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ЭКСПЕРТИЗА\Школы-IT\2026 год\57945-1-9 Кап рем школы 1574 Старопименовский пер д.5\00_Заявлено\"/>
    </mc:Choice>
  </mc:AlternateContent>
  <xr:revisionPtr revIDLastSave="0" documentId="13_ncr:1_{52727924-3B41-41C1-B2F6-FD7821FFF2DA}" xr6:coauthVersionLast="36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_FilterDatabase" localSheetId="0" hidden="1">'Смета по ТСН-2001(с доп.67'!$A$1:$AU$362</definedName>
    <definedName name="_xlnm.Print_Titles" localSheetId="0">'Смета по ТСН-2001(с доп.67'!$34:$34</definedName>
    <definedName name="_xlnm.Print_Area" localSheetId="0">'Смета по ТСН-2001(с доп.67'!$A$1:$K$363</definedName>
  </definedNames>
  <calcPr calcId="191029" calcOnSave="0"/>
</workbook>
</file>

<file path=xl/calcChain.xml><?xml version="1.0" encoding="utf-8"?>
<calcChain xmlns="http://schemas.openxmlformats.org/spreadsheetml/2006/main">
  <c r="A15" i="7" l="1"/>
  <c r="H361" i="7"/>
  <c r="H358" i="7"/>
  <c r="C361" i="7"/>
  <c r="C358" i="7"/>
  <c r="J29" i="7"/>
  <c r="J26" i="7"/>
  <c r="J25" i="7"/>
  <c r="J24" i="7"/>
  <c r="J23" i="7"/>
  <c r="J22" i="7"/>
  <c r="J21" i="7" s="1"/>
  <c r="I29" i="7"/>
  <c r="I27" i="7"/>
  <c r="I26" i="7"/>
  <c r="I25" i="7"/>
  <c r="I24" i="7"/>
  <c r="I23" i="7"/>
  <c r="I22" i="7"/>
  <c r="I21" i="7" s="1"/>
  <c r="I355" i="7"/>
  <c r="J355" i="7"/>
  <c r="I354" i="7"/>
  <c r="J354" i="7"/>
  <c r="A353" i="7"/>
  <c r="I351" i="7"/>
  <c r="J351" i="7"/>
  <c r="I350" i="7"/>
  <c r="J350" i="7"/>
  <c r="A349" i="7"/>
  <c r="I347" i="7"/>
  <c r="J347" i="7"/>
  <c r="I346" i="7"/>
  <c r="J346" i="7"/>
  <c r="A345" i="7"/>
  <c r="H341" i="7"/>
  <c r="J341" i="7"/>
  <c r="I339" i="7"/>
  <c r="H339" i="7"/>
  <c r="E339" i="7"/>
  <c r="J338" i="7"/>
  <c r="E338" i="7"/>
  <c r="J337" i="7"/>
  <c r="E337" i="7"/>
  <c r="K336" i="7"/>
  <c r="J336" i="7"/>
  <c r="H336" i="7"/>
  <c r="I336" i="7"/>
  <c r="F336" i="7"/>
  <c r="V336" i="7"/>
  <c r="T336" i="7"/>
  <c r="R336" i="7"/>
  <c r="U336" i="7"/>
  <c r="S336" i="7"/>
  <c r="Q336" i="7"/>
  <c r="E336" i="7"/>
  <c r="D336" i="7"/>
  <c r="B336" i="7"/>
  <c r="K335" i="7"/>
  <c r="J335" i="7"/>
  <c r="I335" i="7"/>
  <c r="H335" i="7"/>
  <c r="F335" i="7"/>
  <c r="K334" i="7"/>
  <c r="J334" i="7"/>
  <c r="I334" i="7"/>
  <c r="H334" i="7"/>
  <c r="F334" i="7"/>
  <c r="K333" i="7"/>
  <c r="J333" i="7"/>
  <c r="I333" i="7"/>
  <c r="H333" i="7"/>
  <c r="F333" i="7"/>
  <c r="K332" i="7"/>
  <c r="J332" i="7"/>
  <c r="I332" i="7"/>
  <c r="H332" i="7"/>
  <c r="F332" i="7"/>
  <c r="C331" i="7"/>
  <c r="V330" i="7"/>
  <c r="T330" i="7"/>
  <c r="K338" i="7" s="1"/>
  <c r="R330" i="7"/>
  <c r="K337" i="7" s="1"/>
  <c r="U330" i="7"/>
  <c r="S330" i="7"/>
  <c r="I338" i="7" s="1"/>
  <c r="Q330" i="7"/>
  <c r="I337" i="7" s="1"/>
  <c r="E330" i="7"/>
  <c r="D330" i="7"/>
  <c r="B330" i="7"/>
  <c r="H327" i="7"/>
  <c r="J327" i="7"/>
  <c r="I325" i="7"/>
  <c r="H325" i="7"/>
  <c r="E325" i="7"/>
  <c r="J324" i="7"/>
  <c r="E324" i="7"/>
  <c r="J323" i="7"/>
  <c r="E323" i="7"/>
  <c r="K322" i="7"/>
  <c r="J322" i="7"/>
  <c r="H322" i="7"/>
  <c r="I322" i="7"/>
  <c r="F322" i="7"/>
  <c r="V322" i="7"/>
  <c r="T322" i="7"/>
  <c r="R322" i="7"/>
  <c r="U322" i="7"/>
  <c r="S322" i="7"/>
  <c r="I324" i="7" s="1"/>
  <c r="Q322" i="7"/>
  <c r="E322" i="7"/>
  <c r="D322" i="7"/>
  <c r="B322" i="7"/>
  <c r="K321" i="7"/>
  <c r="J321" i="7"/>
  <c r="H321" i="7"/>
  <c r="I321" i="7"/>
  <c r="F321" i="7"/>
  <c r="V321" i="7"/>
  <c r="T321" i="7"/>
  <c r="R321" i="7"/>
  <c r="U321" i="7"/>
  <c r="S321" i="7"/>
  <c r="Q321" i="7"/>
  <c r="E321" i="7"/>
  <c r="D321" i="7"/>
  <c r="B321" i="7"/>
  <c r="K320" i="7"/>
  <c r="J320" i="7"/>
  <c r="H320" i="7"/>
  <c r="I320" i="7"/>
  <c r="F320" i="7"/>
  <c r="V320" i="7"/>
  <c r="T320" i="7"/>
  <c r="R320" i="7"/>
  <c r="U320" i="7"/>
  <c r="S320" i="7"/>
  <c r="Q320" i="7"/>
  <c r="E320" i="7"/>
  <c r="D320" i="7"/>
  <c r="B320" i="7"/>
  <c r="K319" i="7"/>
  <c r="J319" i="7"/>
  <c r="H319" i="7"/>
  <c r="I319" i="7"/>
  <c r="F319" i="7"/>
  <c r="V319" i="7"/>
  <c r="T319" i="7"/>
  <c r="R319" i="7"/>
  <c r="U319" i="7"/>
  <c r="S319" i="7"/>
  <c r="Q319" i="7"/>
  <c r="E319" i="7"/>
  <c r="D319" i="7"/>
  <c r="B319" i="7"/>
  <c r="K318" i="7"/>
  <c r="J318" i="7"/>
  <c r="H318" i="7"/>
  <c r="I318" i="7"/>
  <c r="F318" i="7"/>
  <c r="V318" i="7"/>
  <c r="T318" i="7"/>
  <c r="R318" i="7"/>
  <c r="U318" i="7"/>
  <c r="S318" i="7"/>
  <c r="Q318" i="7"/>
  <c r="E318" i="7"/>
  <c r="D318" i="7"/>
  <c r="B318" i="7"/>
  <c r="K317" i="7"/>
  <c r="J317" i="7"/>
  <c r="I317" i="7"/>
  <c r="H317" i="7"/>
  <c r="F317" i="7"/>
  <c r="K316" i="7"/>
  <c r="J316" i="7"/>
  <c r="I316" i="7"/>
  <c r="H316" i="7"/>
  <c r="F316" i="7"/>
  <c r="K315" i="7"/>
  <c r="J315" i="7"/>
  <c r="I315" i="7"/>
  <c r="H315" i="7"/>
  <c r="F315" i="7"/>
  <c r="K314" i="7"/>
  <c r="J314" i="7"/>
  <c r="I314" i="7"/>
  <c r="H314" i="7"/>
  <c r="F314" i="7"/>
  <c r="C313" i="7"/>
  <c r="V312" i="7"/>
  <c r="T312" i="7"/>
  <c r="K324" i="7" s="1"/>
  <c r="R312" i="7"/>
  <c r="K323" i="7" s="1"/>
  <c r="U312" i="7"/>
  <c r="S312" i="7"/>
  <c r="Q312" i="7"/>
  <c r="I323" i="7" s="1"/>
  <c r="H328" i="7" s="1"/>
  <c r="E312" i="7"/>
  <c r="D312" i="7"/>
  <c r="B312" i="7"/>
  <c r="A311" i="7"/>
  <c r="I309" i="7"/>
  <c r="J309" i="7"/>
  <c r="I308" i="7"/>
  <c r="J308" i="7"/>
  <c r="A307" i="7"/>
  <c r="O304" i="7"/>
  <c r="P304" i="7"/>
  <c r="J304" i="7"/>
  <c r="C303" i="7"/>
  <c r="K302" i="7"/>
  <c r="J302" i="7"/>
  <c r="I302" i="7"/>
  <c r="H304" i="7" s="1"/>
  <c r="H302" i="7"/>
  <c r="F302" i="7"/>
  <c r="V302" i="7"/>
  <c r="T302" i="7"/>
  <c r="R302" i="7"/>
  <c r="U302" i="7"/>
  <c r="S302" i="7"/>
  <c r="Q302" i="7"/>
  <c r="E302" i="7"/>
  <c r="D302" i="7"/>
  <c r="B302" i="7"/>
  <c r="P300" i="7"/>
  <c r="C299" i="7"/>
  <c r="K298" i="7"/>
  <c r="J300" i="7" s="1"/>
  <c r="J298" i="7"/>
  <c r="I298" i="7"/>
  <c r="O300" i="7" s="1"/>
  <c r="H298" i="7"/>
  <c r="F298" i="7"/>
  <c r="V298" i="7"/>
  <c r="T298" i="7"/>
  <c r="R298" i="7"/>
  <c r="U298" i="7"/>
  <c r="S298" i="7"/>
  <c r="Q298" i="7"/>
  <c r="E298" i="7"/>
  <c r="D298" i="7"/>
  <c r="B298" i="7"/>
  <c r="H295" i="7"/>
  <c r="J295" i="7"/>
  <c r="I293" i="7"/>
  <c r="H293" i="7"/>
  <c r="E293" i="7"/>
  <c r="J292" i="7"/>
  <c r="E292" i="7"/>
  <c r="J291" i="7"/>
  <c r="E291" i="7"/>
  <c r="K290" i="7"/>
  <c r="J290" i="7"/>
  <c r="H290" i="7"/>
  <c r="I290" i="7"/>
  <c r="F290" i="7"/>
  <c r="V290" i="7"/>
  <c r="T290" i="7"/>
  <c r="R290" i="7"/>
  <c r="U290" i="7"/>
  <c r="S290" i="7"/>
  <c r="Q290" i="7"/>
  <c r="E290" i="7"/>
  <c r="D290" i="7"/>
  <c r="B290" i="7"/>
  <c r="K289" i="7"/>
  <c r="J289" i="7"/>
  <c r="I289" i="7"/>
  <c r="H289" i="7"/>
  <c r="F289" i="7"/>
  <c r="K288" i="7"/>
  <c r="J288" i="7"/>
  <c r="I288" i="7"/>
  <c r="H288" i="7"/>
  <c r="F288" i="7"/>
  <c r="K287" i="7"/>
  <c r="J287" i="7"/>
  <c r="I287" i="7"/>
  <c r="H287" i="7"/>
  <c r="F287" i="7"/>
  <c r="K286" i="7"/>
  <c r="J296" i="7" s="1"/>
  <c r="J286" i="7"/>
  <c r="I286" i="7"/>
  <c r="H294" i="7" s="1"/>
  <c r="H286" i="7"/>
  <c r="F286" i="7"/>
  <c r="C285" i="7"/>
  <c r="V284" i="7"/>
  <c r="T284" i="7"/>
  <c r="K292" i="7" s="1"/>
  <c r="R284" i="7"/>
  <c r="K291" i="7" s="1"/>
  <c r="U284" i="7"/>
  <c r="S284" i="7"/>
  <c r="I292" i="7" s="1"/>
  <c r="Q284" i="7"/>
  <c r="I291" i="7" s="1"/>
  <c r="E284" i="7"/>
  <c r="D284" i="7"/>
  <c r="B284" i="7"/>
  <c r="H282" i="7"/>
  <c r="P282" i="7"/>
  <c r="J282" i="7"/>
  <c r="C281" i="7"/>
  <c r="K280" i="7"/>
  <c r="J280" i="7"/>
  <c r="I280" i="7"/>
  <c r="O282" i="7" s="1"/>
  <c r="H280" i="7"/>
  <c r="F280" i="7"/>
  <c r="V280" i="7"/>
  <c r="T280" i="7"/>
  <c r="R280" i="7"/>
  <c r="U280" i="7"/>
  <c r="S280" i="7"/>
  <c r="Q280" i="7"/>
  <c r="E280" i="7"/>
  <c r="D280" i="7"/>
  <c r="B280" i="7"/>
  <c r="O278" i="7"/>
  <c r="P278" i="7"/>
  <c r="J278" i="7"/>
  <c r="C277" i="7"/>
  <c r="K276" i="7"/>
  <c r="J276" i="7"/>
  <c r="I276" i="7"/>
  <c r="H278" i="7" s="1"/>
  <c r="H276" i="7"/>
  <c r="F276" i="7"/>
  <c r="V276" i="7"/>
  <c r="T276" i="7"/>
  <c r="R276" i="7"/>
  <c r="U276" i="7"/>
  <c r="S276" i="7"/>
  <c r="Q276" i="7"/>
  <c r="E276" i="7"/>
  <c r="D276" i="7"/>
  <c r="B276" i="7"/>
  <c r="H273" i="7"/>
  <c r="J273" i="7"/>
  <c r="I271" i="7"/>
  <c r="H271" i="7"/>
  <c r="E271" i="7"/>
  <c r="K270" i="7"/>
  <c r="J270" i="7"/>
  <c r="E270" i="7"/>
  <c r="J269" i="7"/>
  <c r="I269" i="7"/>
  <c r="E269" i="7"/>
  <c r="K268" i="7"/>
  <c r="J268" i="7"/>
  <c r="I268" i="7"/>
  <c r="H268" i="7"/>
  <c r="F268" i="7"/>
  <c r="K267" i="7"/>
  <c r="J267" i="7"/>
  <c r="I267" i="7"/>
  <c r="H267" i="7"/>
  <c r="F267" i="7"/>
  <c r="K266" i="7"/>
  <c r="J266" i="7"/>
  <c r="I266" i="7"/>
  <c r="H266" i="7"/>
  <c r="F266" i="7"/>
  <c r="K265" i="7"/>
  <c r="J265" i="7"/>
  <c r="I265" i="7"/>
  <c r="H265" i="7"/>
  <c r="F265" i="7"/>
  <c r="C264" i="7"/>
  <c r="V263" i="7"/>
  <c r="T263" i="7"/>
  <c r="R263" i="7"/>
  <c r="K269" i="7" s="1"/>
  <c r="P274" i="7" s="1"/>
  <c r="U263" i="7"/>
  <c r="S263" i="7"/>
  <c r="I270" i="7" s="1"/>
  <c r="Q263" i="7"/>
  <c r="E263" i="7"/>
  <c r="D263" i="7"/>
  <c r="B263" i="7"/>
  <c r="A262" i="7"/>
  <c r="I260" i="7"/>
  <c r="J260" i="7"/>
  <c r="I259" i="7"/>
  <c r="J259" i="7"/>
  <c r="A258" i="7"/>
  <c r="O255" i="7"/>
  <c r="P255" i="7"/>
  <c r="K254" i="7"/>
  <c r="J255" i="7" s="1"/>
  <c r="J254" i="7"/>
  <c r="I254" i="7"/>
  <c r="H255" i="7" s="1"/>
  <c r="H254" i="7"/>
  <c r="F254" i="7"/>
  <c r="V254" i="7"/>
  <c r="T254" i="7"/>
  <c r="R254" i="7"/>
  <c r="U254" i="7"/>
  <c r="S254" i="7"/>
  <c r="Q254" i="7"/>
  <c r="E254" i="7"/>
  <c r="D254" i="7"/>
  <c r="B254" i="7"/>
  <c r="H251" i="7"/>
  <c r="J251" i="7"/>
  <c r="I249" i="7"/>
  <c r="H249" i="7"/>
  <c r="E249" i="7"/>
  <c r="K248" i="7"/>
  <c r="J248" i="7"/>
  <c r="I248" i="7"/>
  <c r="E248" i="7"/>
  <c r="J247" i="7"/>
  <c r="E247" i="7"/>
  <c r="K246" i="7"/>
  <c r="J246" i="7"/>
  <c r="H246" i="7"/>
  <c r="I246" i="7"/>
  <c r="F246" i="7"/>
  <c r="V246" i="7"/>
  <c r="T246" i="7"/>
  <c r="R246" i="7"/>
  <c r="U246" i="7"/>
  <c r="S246" i="7"/>
  <c r="Q246" i="7"/>
  <c r="I247" i="7" s="1"/>
  <c r="E246" i="7"/>
  <c r="D246" i="7"/>
  <c r="B246" i="7"/>
  <c r="K245" i="7"/>
  <c r="J245" i="7"/>
  <c r="I245" i="7"/>
  <c r="H245" i="7"/>
  <c r="F245" i="7"/>
  <c r="K244" i="7"/>
  <c r="J244" i="7"/>
  <c r="I244" i="7"/>
  <c r="H244" i="7"/>
  <c r="F244" i="7"/>
  <c r="K243" i="7"/>
  <c r="J243" i="7"/>
  <c r="I243" i="7"/>
  <c r="H243" i="7"/>
  <c r="F243" i="7"/>
  <c r="C242" i="7"/>
  <c r="V241" i="7"/>
  <c r="T241" i="7"/>
  <c r="R241" i="7"/>
  <c r="K247" i="7" s="1"/>
  <c r="U241" i="7"/>
  <c r="S241" i="7"/>
  <c r="Q241" i="7"/>
  <c r="E241" i="7"/>
  <c r="D241" i="7"/>
  <c r="B241" i="7"/>
  <c r="H239" i="7"/>
  <c r="J239" i="7"/>
  <c r="K238" i="7"/>
  <c r="P239" i="7" s="1"/>
  <c r="J238" i="7"/>
  <c r="I238" i="7"/>
  <c r="O239" i="7" s="1"/>
  <c r="H238" i="7"/>
  <c r="F238" i="7"/>
  <c r="V238" i="7"/>
  <c r="T238" i="7"/>
  <c r="R238" i="7"/>
  <c r="U238" i="7"/>
  <c r="S238" i="7"/>
  <c r="Q238" i="7"/>
  <c r="E238" i="7"/>
  <c r="D238" i="7"/>
  <c r="B238" i="7"/>
  <c r="H235" i="7"/>
  <c r="J235" i="7"/>
  <c r="I233" i="7"/>
  <c r="H233" i="7"/>
  <c r="E233" i="7"/>
  <c r="J232" i="7"/>
  <c r="E232" i="7"/>
  <c r="J231" i="7"/>
  <c r="E231" i="7"/>
  <c r="K230" i="7"/>
  <c r="J230" i="7"/>
  <c r="I230" i="7"/>
  <c r="H230" i="7"/>
  <c r="F230" i="7"/>
  <c r="K229" i="7"/>
  <c r="J229" i="7"/>
  <c r="I229" i="7"/>
  <c r="H229" i="7"/>
  <c r="F229" i="7"/>
  <c r="V228" i="7"/>
  <c r="T228" i="7"/>
  <c r="K232" i="7" s="1"/>
  <c r="R228" i="7"/>
  <c r="K231" i="7" s="1"/>
  <c r="U228" i="7"/>
  <c r="S228" i="7"/>
  <c r="I232" i="7" s="1"/>
  <c r="Q228" i="7"/>
  <c r="I231" i="7" s="1"/>
  <c r="E228" i="7"/>
  <c r="D228" i="7"/>
  <c r="B228" i="7"/>
  <c r="A227" i="7"/>
  <c r="I225" i="7"/>
  <c r="J225" i="7"/>
  <c r="I224" i="7"/>
  <c r="J224" i="7"/>
  <c r="A223" i="7"/>
  <c r="P220" i="7"/>
  <c r="J220" i="7"/>
  <c r="K219" i="7"/>
  <c r="J219" i="7"/>
  <c r="I219" i="7"/>
  <c r="O220" i="7" s="1"/>
  <c r="H219" i="7"/>
  <c r="F219" i="7"/>
  <c r="V219" i="7"/>
  <c r="T219" i="7"/>
  <c r="R219" i="7"/>
  <c r="U219" i="7"/>
  <c r="S219" i="7"/>
  <c r="Q219" i="7"/>
  <c r="E219" i="7"/>
  <c r="D219" i="7"/>
  <c r="B219" i="7"/>
  <c r="H216" i="7"/>
  <c r="J216" i="7"/>
  <c r="I214" i="7"/>
  <c r="H214" i="7"/>
  <c r="E214" i="7"/>
  <c r="J213" i="7"/>
  <c r="E213" i="7"/>
  <c r="K212" i="7"/>
  <c r="J212" i="7"/>
  <c r="I212" i="7"/>
  <c r="E212" i="7"/>
  <c r="K211" i="7"/>
  <c r="J211" i="7"/>
  <c r="I211" i="7"/>
  <c r="H211" i="7"/>
  <c r="F211" i="7"/>
  <c r="K210" i="7"/>
  <c r="J210" i="7"/>
  <c r="I210" i="7"/>
  <c r="H210" i="7"/>
  <c r="F210" i="7"/>
  <c r="V209" i="7"/>
  <c r="T209" i="7"/>
  <c r="K213" i="7" s="1"/>
  <c r="R209" i="7"/>
  <c r="U209" i="7"/>
  <c r="S209" i="7"/>
  <c r="I213" i="7" s="1"/>
  <c r="Q209" i="7"/>
  <c r="E209" i="7"/>
  <c r="D209" i="7"/>
  <c r="B209" i="7"/>
  <c r="H207" i="7"/>
  <c r="J207" i="7"/>
  <c r="K206" i="7"/>
  <c r="P207" i="7" s="1"/>
  <c r="J206" i="7"/>
  <c r="I206" i="7"/>
  <c r="O207" i="7" s="1"/>
  <c r="H206" i="7"/>
  <c r="F206" i="7"/>
  <c r="V206" i="7"/>
  <c r="T206" i="7"/>
  <c r="R206" i="7"/>
  <c r="U206" i="7"/>
  <c r="S206" i="7"/>
  <c r="Q206" i="7"/>
  <c r="E206" i="7"/>
  <c r="D206" i="7"/>
  <c r="B206" i="7"/>
  <c r="H203" i="7"/>
  <c r="J203" i="7"/>
  <c r="I201" i="7"/>
  <c r="H201" i="7"/>
  <c r="E201" i="7"/>
  <c r="J200" i="7"/>
  <c r="E200" i="7"/>
  <c r="J199" i="7"/>
  <c r="E199" i="7"/>
  <c r="K198" i="7"/>
  <c r="J198" i="7"/>
  <c r="I198" i="7"/>
  <c r="H198" i="7"/>
  <c r="F198" i="7"/>
  <c r="K197" i="7"/>
  <c r="J197" i="7"/>
  <c r="I197" i="7"/>
  <c r="H197" i="7"/>
  <c r="F197" i="7"/>
  <c r="V196" i="7"/>
  <c r="T196" i="7"/>
  <c r="K200" i="7" s="1"/>
  <c r="R196" i="7"/>
  <c r="K199" i="7" s="1"/>
  <c r="U196" i="7"/>
  <c r="S196" i="7"/>
  <c r="I200" i="7" s="1"/>
  <c r="Q196" i="7"/>
  <c r="I199" i="7" s="1"/>
  <c r="E196" i="7"/>
  <c r="D196" i="7"/>
  <c r="B196" i="7"/>
  <c r="O194" i="7"/>
  <c r="H194" i="7"/>
  <c r="P194" i="7"/>
  <c r="K193" i="7"/>
  <c r="J194" i="7" s="1"/>
  <c r="J193" i="7"/>
  <c r="I193" i="7"/>
  <c r="H193" i="7"/>
  <c r="F193" i="7"/>
  <c r="V193" i="7"/>
  <c r="T193" i="7"/>
  <c r="R193" i="7"/>
  <c r="U193" i="7"/>
  <c r="S193" i="7"/>
  <c r="Q193" i="7"/>
  <c r="E193" i="7"/>
  <c r="D193" i="7"/>
  <c r="B193" i="7"/>
  <c r="H190" i="7"/>
  <c r="J190" i="7"/>
  <c r="I188" i="7"/>
  <c r="H188" i="7"/>
  <c r="E188" i="7"/>
  <c r="K187" i="7"/>
  <c r="J187" i="7"/>
  <c r="I187" i="7"/>
  <c r="E187" i="7"/>
  <c r="J186" i="7"/>
  <c r="I186" i="7"/>
  <c r="E186" i="7"/>
  <c r="K185" i="7"/>
  <c r="J185" i="7"/>
  <c r="I185" i="7"/>
  <c r="H185" i="7"/>
  <c r="F185" i="7"/>
  <c r="K184" i="7"/>
  <c r="J184" i="7"/>
  <c r="I184" i="7"/>
  <c r="H184" i="7"/>
  <c r="F184" i="7"/>
  <c r="V183" i="7"/>
  <c r="T183" i="7"/>
  <c r="R183" i="7"/>
  <c r="K186" i="7" s="1"/>
  <c r="U183" i="7"/>
  <c r="S183" i="7"/>
  <c r="Q183" i="7"/>
  <c r="E183" i="7"/>
  <c r="D183" i="7"/>
  <c r="B183" i="7"/>
  <c r="H180" i="7"/>
  <c r="J180" i="7"/>
  <c r="I178" i="7"/>
  <c r="H178" i="7"/>
  <c r="E178" i="7"/>
  <c r="K177" i="7"/>
  <c r="J177" i="7"/>
  <c r="E177" i="7"/>
  <c r="J176" i="7"/>
  <c r="E176" i="7"/>
  <c r="K175" i="7"/>
  <c r="J175" i="7"/>
  <c r="H175" i="7"/>
  <c r="I175" i="7"/>
  <c r="F175" i="7"/>
  <c r="V175" i="7"/>
  <c r="T175" i="7"/>
  <c r="R175" i="7"/>
  <c r="U175" i="7"/>
  <c r="S175" i="7"/>
  <c r="Q175" i="7"/>
  <c r="E175" i="7"/>
  <c r="D175" i="7"/>
  <c r="B175" i="7"/>
  <c r="K174" i="7"/>
  <c r="J174" i="7"/>
  <c r="H174" i="7"/>
  <c r="I174" i="7"/>
  <c r="F174" i="7"/>
  <c r="V174" i="7"/>
  <c r="T174" i="7"/>
  <c r="R174" i="7"/>
  <c r="U174" i="7"/>
  <c r="S174" i="7"/>
  <c r="Q174" i="7"/>
  <c r="E174" i="7"/>
  <c r="D174" i="7"/>
  <c r="B174" i="7"/>
  <c r="K173" i="7"/>
  <c r="J173" i="7"/>
  <c r="I173" i="7"/>
  <c r="H173" i="7"/>
  <c r="F173" i="7"/>
  <c r="K172" i="7"/>
  <c r="J172" i="7"/>
  <c r="I172" i="7"/>
  <c r="H172" i="7"/>
  <c r="F172" i="7"/>
  <c r="K171" i="7"/>
  <c r="J171" i="7"/>
  <c r="I171" i="7"/>
  <c r="H171" i="7"/>
  <c r="F171" i="7"/>
  <c r="K170" i="7"/>
  <c r="J170" i="7"/>
  <c r="I170" i="7"/>
  <c r="H170" i="7"/>
  <c r="F170" i="7"/>
  <c r="V169" i="7"/>
  <c r="T169" i="7"/>
  <c r="R169" i="7"/>
  <c r="K176" i="7" s="1"/>
  <c r="U169" i="7"/>
  <c r="S169" i="7"/>
  <c r="I177" i="7" s="1"/>
  <c r="Q169" i="7"/>
  <c r="I176" i="7" s="1"/>
  <c r="E169" i="7"/>
  <c r="D169" i="7"/>
  <c r="B169" i="7"/>
  <c r="O167" i="7"/>
  <c r="H167" i="7"/>
  <c r="P167" i="7"/>
  <c r="J167" i="7"/>
  <c r="K166" i="7"/>
  <c r="J166" i="7"/>
  <c r="I166" i="7"/>
  <c r="H166" i="7"/>
  <c r="F166" i="7"/>
  <c r="V166" i="7"/>
  <c r="T166" i="7"/>
  <c r="R166" i="7"/>
  <c r="U166" i="7"/>
  <c r="S166" i="7"/>
  <c r="Q166" i="7"/>
  <c r="E166" i="7"/>
  <c r="D166" i="7"/>
  <c r="B166" i="7"/>
  <c r="H163" i="7"/>
  <c r="J163" i="7"/>
  <c r="I161" i="7"/>
  <c r="H161" i="7"/>
  <c r="E161" i="7"/>
  <c r="K160" i="7"/>
  <c r="J160" i="7"/>
  <c r="I160" i="7"/>
  <c r="H164" i="7" s="1"/>
  <c r="E160" i="7"/>
  <c r="J159" i="7"/>
  <c r="I159" i="7"/>
  <c r="E159" i="7"/>
  <c r="K158" i="7"/>
  <c r="J158" i="7"/>
  <c r="I158" i="7"/>
  <c r="H158" i="7"/>
  <c r="F158" i="7"/>
  <c r="K157" i="7"/>
  <c r="J157" i="7"/>
  <c r="I157" i="7"/>
  <c r="O164" i="7" s="1"/>
  <c r="H157" i="7"/>
  <c r="F157" i="7"/>
  <c r="V156" i="7"/>
  <c r="T156" i="7"/>
  <c r="R156" i="7"/>
  <c r="K159" i="7" s="1"/>
  <c r="U156" i="7"/>
  <c r="S156" i="7"/>
  <c r="Q156" i="7"/>
  <c r="E156" i="7"/>
  <c r="D156" i="7"/>
  <c r="B156" i="7"/>
  <c r="P154" i="7"/>
  <c r="J154" i="7"/>
  <c r="K153" i="7"/>
  <c r="J153" i="7"/>
  <c r="I153" i="7"/>
  <c r="O154" i="7" s="1"/>
  <c r="H153" i="7"/>
  <c r="F153" i="7"/>
  <c r="V153" i="7"/>
  <c r="T153" i="7"/>
  <c r="R153" i="7"/>
  <c r="U153" i="7"/>
  <c r="S153" i="7"/>
  <c r="Q153" i="7"/>
  <c r="E153" i="7"/>
  <c r="D153" i="7"/>
  <c r="B153" i="7"/>
  <c r="H150" i="7"/>
  <c r="J150" i="7"/>
  <c r="I148" i="7"/>
  <c r="H148" i="7"/>
  <c r="E148" i="7"/>
  <c r="J147" i="7"/>
  <c r="E147" i="7"/>
  <c r="K146" i="7"/>
  <c r="J146" i="7"/>
  <c r="I146" i="7"/>
  <c r="E146" i="7"/>
  <c r="K145" i="7"/>
  <c r="J145" i="7"/>
  <c r="I145" i="7"/>
  <c r="H145" i="7"/>
  <c r="F145" i="7"/>
  <c r="K144" i="7"/>
  <c r="J144" i="7"/>
  <c r="I144" i="7"/>
  <c r="H144" i="7"/>
  <c r="F144" i="7"/>
  <c r="V143" i="7"/>
  <c r="T143" i="7"/>
  <c r="K147" i="7" s="1"/>
  <c r="R143" i="7"/>
  <c r="U143" i="7"/>
  <c r="S143" i="7"/>
  <c r="I147" i="7" s="1"/>
  <c r="Q143" i="7"/>
  <c r="E143" i="7"/>
  <c r="D143" i="7"/>
  <c r="B143" i="7"/>
  <c r="A142" i="7"/>
  <c r="I140" i="7"/>
  <c r="J140" i="7"/>
  <c r="I139" i="7"/>
  <c r="J139" i="7"/>
  <c r="A138" i="7"/>
  <c r="H134" i="7"/>
  <c r="J134" i="7"/>
  <c r="I132" i="7"/>
  <c r="H132" i="7"/>
  <c r="E132" i="7"/>
  <c r="K131" i="7"/>
  <c r="J131" i="7"/>
  <c r="I131" i="7"/>
  <c r="E131" i="7"/>
  <c r="J130" i="7"/>
  <c r="I130" i="7"/>
  <c r="E130" i="7"/>
  <c r="K129" i="7"/>
  <c r="J129" i="7"/>
  <c r="I129" i="7"/>
  <c r="H129" i="7"/>
  <c r="F129" i="7"/>
  <c r="K128" i="7"/>
  <c r="J128" i="7"/>
  <c r="I128" i="7"/>
  <c r="H128" i="7"/>
  <c r="F128" i="7"/>
  <c r="K127" i="7"/>
  <c r="J133" i="7" s="1"/>
  <c r="J127" i="7"/>
  <c r="I127" i="7"/>
  <c r="H127" i="7"/>
  <c r="F127" i="7"/>
  <c r="C126" i="7"/>
  <c r="V125" i="7"/>
  <c r="T125" i="7"/>
  <c r="R125" i="7"/>
  <c r="K130" i="7" s="1"/>
  <c r="U125" i="7"/>
  <c r="S125" i="7"/>
  <c r="Q125" i="7"/>
  <c r="E125" i="7"/>
  <c r="D125" i="7"/>
  <c r="B125" i="7"/>
  <c r="H122" i="7"/>
  <c r="J122" i="7"/>
  <c r="I120" i="7"/>
  <c r="H120" i="7"/>
  <c r="E120" i="7"/>
  <c r="K119" i="7"/>
  <c r="J119" i="7"/>
  <c r="E119" i="7"/>
  <c r="J118" i="7"/>
  <c r="E118" i="7"/>
  <c r="K117" i="7"/>
  <c r="J117" i="7"/>
  <c r="I117" i="7"/>
  <c r="H117" i="7"/>
  <c r="F117" i="7"/>
  <c r="C116" i="7"/>
  <c r="V115" i="7"/>
  <c r="T115" i="7"/>
  <c r="R115" i="7"/>
  <c r="K118" i="7" s="1"/>
  <c r="U115" i="7"/>
  <c r="S115" i="7"/>
  <c r="I119" i="7" s="1"/>
  <c r="Q115" i="7"/>
  <c r="I118" i="7" s="1"/>
  <c r="E115" i="7"/>
  <c r="D115" i="7"/>
  <c r="B115" i="7"/>
  <c r="H112" i="7"/>
  <c r="J112" i="7"/>
  <c r="I110" i="7"/>
  <c r="H110" i="7"/>
  <c r="E110" i="7"/>
  <c r="K109" i="7"/>
  <c r="J109" i="7"/>
  <c r="E109" i="7"/>
  <c r="J108" i="7"/>
  <c r="I108" i="7"/>
  <c r="E108" i="7"/>
  <c r="K107" i="7"/>
  <c r="J107" i="7"/>
  <c r="I107" i="7"/>
  <c r="H107" i="7"/>
  <c r="F107" i="7"/>
  <c r="C106" i="7"/>
  <c r="V105" i="7"/>
  <c r="T105" i="7"/>
  <c r="R105" i="7"/>
  <c r="K108" i="7" s="1"/>
  <c r="U105" i="7"/>
  <c r="S105" i="7"/>
  <c r="I109" i="7" s="1"/>
  <c r="Q105" i="7"/>
  <c r="E105" i="7"/>
  <c r="D105" i="7"/>
  <c r="B105" i="7"/>
  <c r="H102" i="7"/>
  <c r="J102" i="7"/>
  <c r="I100" i="7"/>
  <c r="H100" i="7"/>
  <c r="E100" i="7"/>
  <c r="J99" i="7"/>
  <c r="I99" i="7"/>
  <c r="E99" i="7"/>
  <c r="J98" i="7"/>
  <c r="E98" i="7"/>
  <c r="K97" i="7"/>
  <c r="J97" i="7"/>
  <c r="I97" i="7"/>
  <c r="H97" i="7"/>
  <c r="F97" i="7"/>
  <c r="C96" i="7"/>
  <c r="V95" i="7"/>
  <c r="T95" i="7"/>
  <c r="K99" i="7" s="1"/>
  <c r="R95" i="7"/>
  <c r="K98" i="7" s="1"/>
  <c r="U95" i="7"/>
  <c r="S95" i="7"/>
  <c r="Q95" i="7"/>
  <c r="I98" i="7" s="1"/>
  <c r="E95" i="7"/>
  <c r="D95" i="7"/>
  <c r="B95" i="7"/>
  <c r="H92" i="7"/>
  <c r="J92" i="7"/>
  <c r="I90" i="7"/>
  <c r="H90" i="7"/>
  <c r="E90" i="7"/>
  <c r="K89" i="7"/>
  <c r="J89" i="7"/>
  <c r="E89" i="7"/>
  <c r="K88" i="7"/>
  <c r="J88" i="7"/>
  <c r="E88" i="7"/>
  <c r="K87" i="7"/>
  <c r="J87" i="7"/>
  <c r="I87" i="7"/>
  <c r="H87" i="7"/>
  <c r="F87" i="7"/>
  <c r="V86" i="7"/>
  <c r="T86" i="7"/>
  <c r="R86" i="7"/>
  <c r="U86" i="7"/>
  <c r="S86" i="7"/>
  <c r="I89" i="7" s="1"/>
  <c r="Q86" i="7"/>
  <c r="I88" i="7" s="1"/>
  <c r="E86" i="7"/>
  <c r="D86" i="7"/>
  <c r="B86" i="7"/>
  <c r="H83" i="7"/>
  <c r="J83" i="7"/>
  <c r="I81" i="7"/>
  <c r="H81" i="7"/>
  <c r="E81" i="7"/>
  <c r="K80" i="7"/>
  <c r="J80" i="7"/>
  <c r="I80" i="7"/>
  <c r="E80" i="7"/>
  <c r="K79" i="7"/>
  <c r="J79" i="7"/>
  <c r="E79" i="7"/>
  <c r="K78" i="7"/>
  <c r="J78" i="7"/>
  <c r="I78" i="7"/>
  <c r="H84" i="7" s="1"/>
  <c r="H78" i="7"/>
  <c r="F78" i="7"/>
  <c r="V77" i="7"/>
  <c r="T77" i="7"/>
  <c r="R77" i="7"/>
  <c r="U77" i="7"/>
  <c r="S77" i="7"/>
  <c r="Q77" i="7"/>
  <c r="I79" i="7" s="1"/>
  <c r="E77" i="7"/>
  <c r="D77" i="7"/>
  <c r="B77" i="7"/>
  <c r="H74" i="7"/>
  <c r="J74" i="7"/>
  <c r="I72" i="7"/>
  <c r="H72" i="7"/>
  <c r="E72" i="7"/>
  <c r="K71" i="7"/>
  <c r="J71" i="7"/>
  <c r="E71" i="7"/>
  <c r="K70" i="7"/>
  <c r="J70" i="7"/>
  <c r="E70" i="7"/>
  <c r="K69" i="7"/>
  <c r="J69" i="7"/>
  <c r="I69" i="7"/>
  <c r="H69" i="7"/>
  <c r="F69" i="7"/>
  <c r="V68" i="7"/>
  <c r="T68" i="7"/>
  <c r="R68" i="7"/>
  <c r="U68" i="7"/>
  <c r="S68" i="7"/>
  <c r="I71" i="7" s="1"/>
  <c r="Q68" i="7"/>
  <c r="I70" i="7" s="1"/>
  <c r="E68" i="7"/>
  <c r="D68" i="7"/>
  <c r="B68" i="7"/>
  <c r="H65" i="7"/>
  <c r="J65" i="7"/>
  <c r="I63" i="7"/>
  <c r="H63" i="7"/>
  <c r="E63" i="7"/>
  <c r="J62" i="7"/>
  <c r="E62" i="7"/>
  <c r="J61" i="7"/>
  <c r="I61" i="7"/>
  <c r="E61" i="7"/>
  <c r="K60" i="7"/>
  <c r="J60" i="7"/>
  <c r="I60" i="7"/>
  <c r="H60" i="7"/>
  <c r="F60" i="7"/>
  <c r="K59" i="7"/>
  <c r="J59" i="7"/>
  <c r="I59" i="7"/>
  <c r="H59" i="7"/>
  <c r="F59" i="7"/>
  <c r="K58" i="7"/>
  <c r="J58" i="7"/>
  <c r="I58" i="7"/>
  <c r="H58" i="7"/>
  <c r="F58" i="7"/>
  <c r="V57" i="7"/>
  <c r="T57" i="7"/>
  <c r="K62" i="7" s="1"/>
  <c r="R57" i="7"/>
  <c r="K61" i="7" s="1"/>
  <c r="U57" i="7"/>
  <c r="S57" i="7"/>
  <c r="I62" i="7" s="1"/>
  <c r="Q57" i="7"/>
  <c r="E57" i="7"/>
  <c r="D57" i="7"/>
  <c r="B57" i="7"/>
  <c r="H54" i="7"/>
  <c r="J54" i="7"/>
  <c r="I52" i="7"/>
  <c r="H52" i="7"/>
  <c r="E52" i="7"/>
  <c r="K51" i="7"/>
  <c r="J51" i="7"/>
  <c r="E51" i="7"/>
  <c r="J50" i="7"/>
  <c r="E50" i="7"/>
  <c r="K49" i="7"/>
  <c r="J49" i="7"/>
  <c r="I49" i="7"/>
  <c r="H49" i="7"/>
  <c r="F49" i="7"/>
  <c r="V48" i="7"/>
  <c r="T48" i="7"/>
  <c r="R48" i="7"/>
  <c r="K50" i="7" s="1"/>
  <c r="J55" i="7" s="1"/>
  <c r="U48" i="7"/>
  <c r="S48" i="7"/>
  <c r="I51" i="7" s="1"/>
  <c r="Q48" i="7"/>
  <c r="I50" i="7" s="1"/>
  <c r="E48" i="7"/>
  <c r="D48" i="7"/>
  <c r="B48" i="7"/>
  <c r="H45" i="7"/>
  <c r="J45" i="7"/>
  <c r="I43" i="7"/>
  <c r="H43" i="7"/>
  <c r="E43" i="7"/>
  <c r="J42" i="7"/>
  <c r="I42" i="7"/>
  <c r="E42" i="7"/>
  <c r="J41" i="7"/>
  <c r="E41" i="7"/>
  <c r="K40" i="7"/>
  <c r="J40" i="7"/>
  <c r="I40" i="7"/>
  <c r="H40" i="7"/>
  <c r="F40" i="7"/>
  <c r="V39" i="7"/>
  <c r="T39" i="7"/>
  <c r="K42" i="7" s="1"/>
  <c r="R39" i="7"/>
  <c r="K41" i="7" s="1"/>
  <c r="U39" i="7"/>
  <c r="S39" i="7"/>
  <c r="Q39" i="7"/>
  <c r="I41" i="7" s="1"/>
  <c r="E39" i="7"/>
  <c r="D39" i="7"/>
  <c r="B39" i="7"/>
  <c r="A38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1" i="3"/>
  <c r="Y1" i="3"/>
  <c r="CV1" i="3" s="1"/>
  <c r="CU1" i="3"/>
  <c r="CX1" i="3"/>
  <c r="CY1" i="3"/>
  <c r="CZ1" i="3"/>
  <c r="DA1" i="3"/>
  <c r="DB1" i="3"/>
  <c r="DC1" i="3"/>
  <c r="A2" i="3"/>
  <c r="Y2" i="3"/>
  <c r="CX2" i="3" s="1"/>
  <c r="CY2" i="3"/>
  <c r="CZ2" i="3"/>
  <c r="DA2" i="3"/>
  <c r="DB2" i="3"/>
  <c r="DC2" i="3"/>
  <c r="A3" i="3"/>
  <c r="Y3" i="3"/>
  <c r="CV3" i="3" s="1"/>
  <c r="CU3" i="3"/>
  <c r="CX3" i="3"/>
  <c r="DI3" i="3" s="1"/>
  <c r="DJ3" i="3" s="1"/>
  <c r="CY3" i="3"/>
  <c r="CZ3" i="3"/>
  <c r="DA3" i="3"/>
  <c r="DB3" i="3"/>
  <c r="DC3" i="3"/>
  <c r="DF3" i="3"/>
  <c r="DG3" i="3"/>
  <c r="DH3" i="3"/>
  <c r="A4" i="3"/>
  <c r="Y4" i="3"/>
  <c r="CX4" i="3" s="1"/>
  <c r="CY4" i="3"/>
  <c r="CZ4" i="3"/>
  <c r="DB4" i="3" s="1"/>
  <c r="DA4" i="3"/>
  <c r="DC4" i="3"/>
  <c r="DG4" i="3"/>
  <c r="A5" i="3"/>
  <c r="Y5" i="3"/>
  <c r="CU5" i="3"/>
  <c r="CV5" i="3"/>
  <c r="CX5" i="3"/>
  <c r="CY5" i="3"/>
  <c r="CZ5" i="3"/>
  <c r="DA5" i="3"/>
  <c r="DB5" i="3"/>
  <c r="DC5" i="3"/>
  <c r="A6" i="3"/>
  <c r="Y6" i="3"/>
  <c r="CX6" i="3" s="1"/>
  <c r="DI6" i="3" s="1"/>
  <c r="CY6" i="3"/>
  <c r="CZ6" i="3"/>
  <c r="DB6" i="3" s="1"/>
  <c r="DA6" i="3"/>
  <c r="DC6" i="3"/>
  <c r="A7" i="3"/>
  <c r="Y7" i="3"/>
  <c r="CV7" i="3" s="1"/>
  <c r="CU7" i="3"/>
  <c r="CX7" i="3"/>
  <c r="DI7" i="3" s="1"/>
  <c r="DJ7" i="3" s="1"/>
  <c r="CY7" i="3"/>
  <c r="CZ7" i="3"/>
  <c r="DA7" i="3"/>
  <c r="DB7" i="3"/>
  <c r="DC7" i="3"/>
  <c r="DH7" i="3"/>
  <c r="A8" i="3"/>
  <c r="Y8" i="3"/>
  <c r="CX8" i="3" s="1"/>
  <c r="CY8" i="3"/>
  <c r="CZ8" i="3"/>
  <c r="DA8" i="3"/>
  <c r="DB8" i="3"/>
  <c r="DC8" i="3"/>
  <c r="A9" i="3"/>
  <c r="Y9" i="3"/>
  <c r="CV9" i="3" s="1"/>
  <c r="CU9" i="3"/>
  <c r="CX9" i="3"/>
  <c r="DI9" i="3" s="1"/>
  <c r="DJ9" i="3" s="1"/>
  <c r="CY9" i="3"/>
  <c r="CZ9" i="3"/>
  <c r="DA9" i="3"/>
  <c r="DB9" i="3"/>
  <c r="DC9" i="3"/>
  <c r="DF9" i="3"/>
  <c r="DG9" i="3"/>
  <c r="DH9" i="3"/>
  <c r="A10" i="3"/>
  <c r="Y10" i="3"/>
  <c r="CW10" i="3" s="1"/>
  <c r="CX10" i="3"/>
  <c r="CY10" i="3"/>
  <c r="CZ10" i="3"/>
  <c r="DB10" i="3" s="1"/>
  <c r="DA10" i="3"/>
  <c r="DC10" i="3"/>
  <c r="DF10" i="3"/>
  <c r="A11" i="3"/>
  <c r="Y11" i="3"/>
  <c r="CW11" i="3"/>
  <c r="CX11" i="3"/>
  <c r="CY11" i="3"/>
  <c r="CZ11" i="3"/>
  <c r="DA11" i="3"/>
  <c r="DB11" i="3"/>
  <c r="DC11" i="3"/>
  <c r="A12" i="3"/>
  <c r="Y12" i="3"/>
  <c r="CY12" i="3"/>
  <c r="CZ12" i="3"/>
  <c r="DB12" i="3" s="1"/>
  <c r="DA12" i="3"/>
  <c r="DC12" i="3"/>
  <c r="A13" i="3"/>
  <c r="Y13" i="3"/>
  <c r="CW13" i="3"/>
  <c r="CX13" i="3"/>
  <c r="DI13" i="3" s="1"/>
  <c r="CY13" i="3"/>
  <c r="CZ13" i="3"/>
  <c r="DA13" i="3"/>
  <c r="DB13" i="3"/>
  <c r="DC13" i="3"/>
  <c r="DH13" i="3"/>
  <c r="A14" i="3"/>
  <c r="Y14" i="3"/>
  <c r="CX14" i="3" s="1"/>
  <c r="CY14" i="3"/>
  <c r="CZ14" i="3"/>
  <c r="DA14" i="3"/>
  <c r="DB14" i="3"/>
  <c r="DC14" i="3"/>
  <c r="A15" i="3"/>
  <c r="Y15" i="3"/>
  <c r="CX15" i="3" s="1"/>
  <c r="CY15" i="3"/>
  <c r="CZ15" i="3"/>
  <c r="DA15" i="3"/>
  <c r="DB15" i="3"/>
  <c r="DC15" i="3"/>
  <c r="DF15" i="3"/>
  <c r="DJ15" i="3" s="1"/>
  <c r="A16" i="3"/>
  <c r="Y16" i="3"/>
  <c r="CU16" i="3"/>
  <c r="CV16" i="3"/>
  <c r="CX16" i="3"/>
  <c r="DI16" i="3" s="1"/>
  <c r="DJ16" i="3" s="1"/>
  <c r="CY16" i="3"/>
  <c r="CZ16" i="3"/>
  <c r="DB16" i="3" s="1"/>
  <c r="DA16" i="3"/>
  <c r="DC16" i="3"/>
  <c r="DF16" i="3"/>
  <c r="DG16" i="3"/>
  <c r="DH16" i="3"/>
  <c r="A17" i="3"/>
  <c r="Y17" i="3"/>
  <c r="CW17" i="3"/>
  <c r="CX17" i="3"/>
  <c r="CY17" i="3"/>
  <c r="CZ17" i="3"/>
  <c r="DB17" i="3" s="1"/>
  <c r="DA17" i="3"/>
  <c r="DC17" i="3"/>
  <c r="A18" i="3"/>
  <c r="Y18" i="3"/>
  <c r="CX18" i="3" s="1"/>
  <c r="CW18" i="3"/>
  <c r="CY18" i="3"/>
  <c r="CZ18" i="3"/>
  <c r="DB18" i="3" s="1"/>
  <c r="DA18" i="3"/>
  <c r="DC18" i="3"/>
  <c r="A19" i="3"/>
  <c r="Y19" i="3"/>
  <c r="CW19" i="3" s="1"/>
  <c r="CY19" i="3"/>
  <c r="CZ19" i="3"/>
  <c r="DB19" i="3" s="1"/>
  <c r="DA19" i="3"/>
  <c r="DC19" i="3"/>
  <c r="A20" i="3"/>
  <c r="Y20" i="3"/>
  <c r="CX20" i="3" s="1"/>
  <c r="CW20" i="3"/>
  <c r="CY20" i="3"/>
  <c r="CZ20" i="3"/>
  <c r="DA20" i="3"/>
  <c r="DB20" i="3"/>
  <c r="DC20" i="3"/>
  <c r="DF20" i="3"/>
  <c r="DG20" i="3"/>
  <c r="DJ20" i="3" s="1"/>
  <c r="A21" i="3"/>
  <c r="Y21" i="3"/>
  <c r="CX21" i="3" s="1"/>
  <c r="CY21" i="3"/>
  <c r="CZ21" i="3"/>
  <c r="DA21" i="3"/>
  <c r="DB21" i="3"/>
  <c r="DC21" i="3"/>
  <c r="DF21" i="3"/>
  <c r="DJ21" i="3" s="1"/>
  <c r="A22" i="3"/>
  <c r="Y22" i="3"/>
  <c r="CX22" i="3"/>
  <c r="CY22" i="3"/>
  <c r="CZ22" i="3"/>
  <c r="DA22" i="3"/>
  <c r="DB22" i="3"/>
  <c r="DC22" i="3"/>
  <c r="DF22" i="3"/>
  <c r="DJ22" i="3" s="1"/>
  <c r="DG22" i="3"/>
  <c r="DH22" i="3"/>
  <c r="DI22" i="3"/>
  <c r="A23" i="3"/>
  <c r="Y23" i="3"/>
  <c r="CU23" i="3"/>
  <c r="CV23" i="3"/>
  <c r="CX23" i="3"/>
  <c r="CY23" i="3"/>
  <c r="CZ23" i="3"/>
  <c r="DB23" i="3" s="1"/>
  <c r="DA23" i="3"/>
  <c r="DC23" i="3"/>
  <c r="DF23" i="3"/>
  <c r="A24" i="3"/>
  <c r="Y24" i="3"/>
  <c r="CX24" i="3"/>
  <c r="CY24" i="3"/>
  <c r="CZ24" i="3"/>
  <c r="DB24" i="3" s="1"/>
  <c r="DA24" i="3"/>
  <c r="DC24" i="3"/>
  <c r="A25" i="3"/>
  <c r="Y25" i="3"/>
  <c r="CU25" i="3"/>
  <c r="CY25" i="3"/>
  <c r="CZ25" i="3"/>
  <c r="DB25" i="3" s="1"/>
  <c r="DA25" i="3"/>
  <c r="DC25" i="3"/>
  <c r="A26" i="3"/>
  <c r="Y26" i="3"/>
  <c r="CX26" i="3"/>
  <c r="DF26" i="3" s="1"/>
  <c r="DJ26" i="3" s="1"/>
  <c r="CY26" i="3"/>
  <c r="CZ26" i="3"/>
  <c r="DB26" i="3" s="1"/>
  <c r="DA26" i="3"/>
  <c r="DC26" i="3"/>
  <c r="DG26" i="3"/>
  <c r="DH26" i="3"/>
  <c r="DI26" i="3"/>
  <c r="A27" i="3"/>
  <c r="Y27" i="3"/>
  <c r="CV27" i="3" s="1"/>
  <c r="CU27" i="3"/>
  <c r="CY27" i="3"/>
  <c r="CZ27" i="3"/>
  <c r="DA27" i="3"/>
  <c r="DB27" i="3"/>
  <c r="DC27" i="3"/>
  <c r="A28" i="3"/>
  <c r="Y28" i="3"/>
  <c r="CX28" i="3"/>
  <c r="CY28" i="3"/>
  <c r="CZ28" i="3"/>
  <c r="DA28" i="3"/>
  <c r="DB28" i="3"/>
  <c r="DC28" i="3"/>
  <c r="DF28" i="3"/>
  <c r="DJ28" i="3" s="1"/>
  <c r="DG28" i="3"/>
  <c r="DH28" i="3"/>
  <c r="DI28" i="3"/>
  <c r="A29" i="3"/>
  <c r="Y29" i="3"/>
  <c r="CU29" i="3"/>
  <c r="CV29" i="3"/>
  <c r="CX29" i="3"/>
  <c r="CY29" i="3"/>
  <c r="CZ29" i="3"/>
  <c r="DB29" i="3" s="1"/>
  <c r="DA29" i="3"/>
  <c r="DC29" i="3"/>
  <c r="DF29" i="3"/>
  <c r="A30" i="3"/>
  <c r="Y30" i="3"/>
  <c r="CX30" i="3" s="1"/>
  <c r="CY30" i="3"/>
  <c r="CZ30" i="3"/>
  <c r="DA30" i="3"/>
  <c r="DB30" i="3"/>
  <c r="DC30" i="3"/>
  <c r="A31" i="3"/>
  <c r="Y31" i="3"/>
  <c r="CU31" i="3"/>
  <c r="CY31" i="3"/>
  <c r="CZ31" i="3"/>
  <c r="DB31" i="3" s="1"/>
  <c r="DA31" i="3"/>
  <c r="DC31" i="3"/>
  <c r="A32" i="3"/>
  <c r="Y32" i="3"/>
  <c r="CX32" i="3"/>
  <c r="DF32" i="3" s="1"/>
  <c r="DJ32" i="3" s="1"/>
  <c r="CY32" i="3"/>
  <c r="CZ32" i="3"/>
  <c r="DB32" i="3" s="1"/>
  <c r="DA32" i="3"/>
  <c r="DC32" i="3"/>
  <c r="DG32" i="3"/>
  <c r="DH32" i="3"/>
  <c r="DI32" i="3"/>
  <c r="A33" i="3"/>
  <c r="Y33" i="3"/>
  <c r="CU33" i="3"/>
  <c r="CY33" i="3"/>
  <c r="CZ33" i="3"/>
  <c r="DA33" i="3"/>
  <c r="DB33" i="3"/>
  <c r="DC33" i="3"/>
  <c r="A34" i="3"/>
  <c r="Y34" i="3"/>
  <c r="CX34" i="3"/>
  <c r="CY34" i="3"/>
  <c r="CZ34" i="3"/>
  <c r="DA34" i="3"/>
  <c r="DB34" i="3"/>
  <c r="DC34" i="3"/>
  <c r="DF34" i="3"/>
  <c r="DJ34" i="3" s="1"/>
  <c r="DG34" i="3"/>
  <c r="DH34" i="3"/>
  <c r="DI34" i="3"/>
  <c r="A35" i="3"/>
  <c r="Y35" i="3"/>
  <c r="CY35" i="3"/>
  <c r="CZ35" i="3"/>
  <c r="DB35" i="3" s="1"/>
  <c r="DA35" i="3"/>
  <c r="DC35" i="3"/>
  <c r="A36" i="3"/>
  <c r="Y36" i="3"/>
  <c r="CY36" i="3"/>
  <c r="CZ36" i="3"/>
  <c r="DB36" i="3" s="1"/>
  <c r="DA36" i="3"/>
  <c r="DC36" i="3"/>
  <c r="A37" i="3"/>
  <c r="Y37" i="3"/>
  <c r="CY37" i="3"/>
  <c r="CZ37" i="3"/>
  <c r="DA37" i="3"/>
  <c r="DB37" i="3"/>
  <c r="DC37" i="3"/>
  <c r="A38" i="3"/>
  <c r="Y38" i="3"/>
  <c r="CY38" i="3"/>
  <c r="CZ38" i="3"/>
  <c r="DA38" i="3"/>
  <c r="DB38" i="3"/>
  <c r="DC38" i="3"/>
  <c r="A39" i="3"/>
  <c r="Y39" i="3"/>
  <c r="CY39" i="3"/>
  <c r="CZ39" i="3"/>
  <c r="DB39" i="3" s="1"/>
  <c r="DA39" i="3"/>
  <c r="DC39" i="3"/>
  <c r="A40" i="3"/>
  <c r="Y40" i="3"/>
  <c r="CY40" i="3"/>
  <c r="CZ40" i="3"/>
  <c r="DA40" i="3"/>
  <c r="DB40" i="3"/>
  <c r="DC40" i="3"/>
  <c r="A41" i="3"/>
  <c r="Y41" i="3"/>
  <c r="CY41" i="3"/>
  <c r="CZ41" i="3"/>
  <c r="DB41" i="3" s="1"/>
  <c r="DA41" i="3"/>
  <c r="DC41" i="3"/>
  <c r="A42" i="3"/>
  <c r="Y42" i="3"/>
  <c r="CY42" i="3"/>
  <c r="CZ42" i="3"/>
  <c r="DB42" i="3" s="1"/>
  <c r="DA42" i="3"/>
  <c r="DC42" i="3"/>
  <c r="A43" i="3"/>
  <c r="Y43" i="3"/>
  <c r="CY43" i="3"/>
  <c r="CZ43" i="3"/>
  <c r="DA43" i="3"/>
  <c r="DB43" i="3"/>
  <c r="DC43" i="3"/>
  <c r="A44" i="3"/>
  <c r="Y44" i="3"/>
  <c r="CY44" i="3"/>
  <c r="CZ44" i="3"/>
  <c r="DB44" i="3" s="1"/>
  <c r="DA44" i="3"/>
  <c r="DC44" i="3"/>
  <c r="A45" i="3"/>
  <c r="Y45" i="3"/>
  <c r="CY45" i="3"/>
  <c r="CZ45" i="3"/>
  <c r="DB45" i="3" s="1"/>
  <c r="DA45" i="3"/>
  <c r="DC45" i="3"/>
  <c r="A46" i="3"/>
  <c r="Y46" i="3"/>
  <c r="CY46" i="3"/>
  <c r="CZ46" i="3"/>
  <c r="DA46" i="3"/>
  <c r="DB46" i="3"/>
  <c r="DC46" i="3"/>
  <c r="A47" i="3"/>
  <c r="Y47" i="3"/>
  <c r="CY47" i="3"/>
  <c r="CZ47" i="3"/>
  <c r="DB47" i="3" s="1"/>
  <c r="DA47" i="3"/>
  <c r="DC47" i="3"/>
  <c r="A48" i="3"/>
  <c r="Y48" i="3"/>
  <c r="CY48" i="3"/>
  <c r="CZ48" i="3"/>
  <c r="DB48" i="3" s="1"/>
  <c r="DA48" i="3"/>
  <c r="DC48" i="3"/>
  <c r="A49" i="3"/>
  <c r="Y49" i="3"/>
  <c r="CY49" i="3"/>
  <c r="CZ49" i="3"/>
  <c r="DB49" i="3" s="1"/>
  <c r="DA49" i="3"/>
  <c r="DC49" i="3"/>
  <c r="A50" i="3"/>
  <c r="Y50" i="3"/>
  <c r="CY50" i="3"/>
  <c r="CZ50" i="3"/>
  <c r="DA50" i="3"/>
  <c r="DB50" i="3"/>
  <c r="DC50" i="3"/>
  <c r="A51" i="3"/>
  <c r="Y51" i="3"/>
  <c r="CY51" i="3"/>
  <c r="CZ51" i="3"/>
  <c r="DA51" i="3"/>
  <c r="DB51" i="3"/>
  <c r="DC51" i="3"/>
  <c r="A52" i="3"/>
  <c r="Y52" i="3"/>
  <c r="CY52" i="3"/>
  <c r="CZ52" i="3"/>
  <c r="DA52" i="3"/>
  <c r="DB52" i="3"/>
  <c r="DC52" i="3"/>
  <c r="A53" i="3"/>
  <c r="Y53" i="3"/>
  <c r="CY53" i="3"/>
  <c r="CZ53" i="3"/>
  <c r="DA53" i="3"/>
  <c r="DB53" i="3"/>
  <c r="DC53" i="3"/>
  <c r="A54" i="3"/>
  <c r="Y54" i="3"/>
  <c r="CY54" i="3"/>
  <c r="CZ54" i="3"/>
  <c r="DB54" i="3" s="1"/>
  <c r="DA54" i="3"/>
  <c r="DC54" i="3"/>
  <c r="A55" i="3"/>
  <c r="Y55" i="3"/>
  <c r="CY55" i="3"/>
  <c r="CZ55" i="3"/>
  <c r="DA55" i="3"/>
  <c r="DB55" i="3"/>
  <c r="DC55" i="3"/>
  <c r="A56" i="3"/>
  <c r="Y56" i="3"/>
  <c r="CY56" i="3"/>
  <c r="CZ56" i="3"/>
  <c r="DB56" i="3" s="1"/>
  <c r="DA56" i="3"/>
  <c r="DC56" i="3"/>
  <c r="A57" i="3"/>
  <c r="Y57" i="3"/>
  <c r="CY57" i="3"/>
  <c r="CZ57" i="3"/>
  <c r="DA57" i="3"/>
  <c r="DB57" i="3"/>
  <c r="DC57" i="3"/>
  <c r="A58" i="3"/>
  <c r="Y58" i="3"/>
  <c r="CY58" i="3"/>
  <c r="CZ58" i="3"/>
  <c r="DA58" i="3"/>
  <c r="DB58" i="3"/>
  <c r="DC58" i="3"/>
  <c r="A59" i="3"/>
  <c r="Y59" i="3"/>
  <c r="CY59" i="3"/>
  <c r="CZ59" i="3"/>
  <c r="DA59" i="3"/>
  <c r="DB59" i="3"/>
  <c r="DC59" i="3"/>
  <c r="A60" i="3"/>
  <c r="Y60" i="3"/>
  <c r="CY60" i="3"/>
  <c r="CZ60" i="3"/>
  <c r="DA60" i="3"/>
  <c r="DB60" i="3"/>
  <c r="DC60" i="3"/>
  <c r="A61" i="3"/>
  <c r="Y61" i="3"/>
  <c r="CY61" i="3"/>
  <c r="CZ61" i="3"/>
  <c r="DA61" i="3"/>
  <c r="DB61" i="3"/>
  <c r="DC61" i="3"/>
  <c r="A62" i="3"/>
  <c r="Y62" i="3"/>
  <c r="CY62" i="3"/>
  <c r="CZ62" i="3"/>
  <c r="DA62" i="3"/>
  <c r="DB62" i="3"/>
  <c r="DC62" i="3"/>
  <c r="A63" i="3"/>
  <c r="Y63" i="3"/>
  <c r="CY63" i="3"/>
  <c r="CZ63" i="3"/>
  <c r="DB63" i="3" s="1"/>
  <c r="DA63" i="3"/>
  <c r="DC63" i="3"/>
  <c r="A64" i="3"/>
  <c r="Y64" i="3"/>
  <c r="CY64" i="3"/>
  <c r="CZ64" i="3"/>
  <c r="DA64" i="3"/>
  <c r="DB64" i="3"/>
  <c r="DC64" i="3"/>
  <c r="A65" i="3"/>
  <c r="Y65" i="3"/>
  <c r="CX65" i="3" s="1"/>
  <c r="CU65" i="3"/>
  <c r="CV65" i="3"/>
  <c r="CY65" i="3"/>
  <c r="CZ65" i="3"/>
  <c r="DB65" i="3" s="1"/>
  <c r="DA65" i="3"/>
  <c r="DC65" i="3"/>
  <c r="A66" i="3"/>
  <c r="Y66" i="3"/>
  <c r="CX66" i="3"/>
  <c r="DF66" i="3" s="1"/>
  <c r="DJ66" i="3" s="1"/>
  <c r="CY66" i="3"/>
  <c r="CZ66" i="3"/>
  <c r="DB66" i="3" s="1"/>
  <c r="DA66" i="3"/>
  <c r="DC66" i="3"/>
  <c r="A67" i="3"/>
  <c r="Y67" i="3"/>
  <c r="CU67" i="3"/>
  <c r="CY67" i="3"/>
  <c r="CZ67" i="3"/>
  <c r="DA67" i="3"/>
  <c r="DB67" i="3"/>
  <c r="DC67" i="3"/>
  <c r="A68" i="3"/>
  <c r="Y68" i="3"/>
  <c r="CX68" i="3"/>
  <c r="CY68" i="3"/>
  <c r="CZ68" i="3"/>
  <c r="DA68" i="3"/>
  <c r="DB68" i="3"/>
  <c r="DC68" i="3"/>
  <c r="DF68" i="3"/>
  <c r="DJ68" i="3" s="1"/>
  <c r="DG68" i="3"/>
  <c r="DH68" i="3"/>
  <c r="DI68" i="3"/>
  <c r="A69" i="3"/>
  <c r="Y69" i="3"/>
  <c r="CU69" i="3"/>
  <c r="CV69" i="3"/>
  <c r="CX69" i="3"/>
  <c r="CY69" i="3"/>
  <c r="CZ69" i="3"/>
  <c r="DB69" i="3" s="1"/>
  <c r="DA69" i="3"/>
  <c r="DC69" i="3"/>
  <c r="A70" i="3"/>
  <c r="Y70" i="3"/>
  <c r="CX70" i="3"/>
  <c r="CY70" i="3"/>
  <c r="CZ70" i="3"/>
  <c r="DB70" i="3" s="1"/>
  <c r="DA70" i="3"/>
  <c r="DC70" i="3"/>
  <c r="A71" i="3"/>
  <c r="Y71" i="3"/>
  <c r="CX71" i="3" s="1"/>
  <c r="CU71" i="3"/>
  <c r="CV71" i="3"/>
  <c r="CY71" i="3"/>
  <c r="CZ71" i="3"/>
  <c r="DB71" i="3" s="1"/>
  <c r="DA71" i="3"/>
  <c r="DC71" i="3"/>
  <c r="DH71" i="3"/>
  <c r="DI71" i="3"/>
  <c r="DJ71" i="3"/>
  <c r="A72" i="3"/>
  <c r="Y72" i="3"/>
  <c r="CX72" i="3"/>
  <c r="DF72" i="3" s="1"/>
  <c r="CY72" i="3"/>
  <c r="CZ72" i="3"/>
  <c r="DB72" i="3" s="1"/>
  <c r="DA72" i="3"/>
  <c r="DC72" i="3"/>
  <c r="DG72" i="3"/>
  <c r="DH72" i="3"/>
  <c r="DI72" i="3"/>
  <c r="DJ72" i="3"/>
  <c r="A73" i="3"/>
  <c r="Y73" i="3"/>
  <c r="CU73" i="3"/>
  <c r="CY73" i="3"/>
  <c r="CZ73" i="3"/>
  <c r="DA73" i="3"/>
  <c r="DB73" i="3"/>
  <c r="DC73" i="3"/>
  <c r="A74" i="3"/>
  <c r="Y74" i="3"/>
  <c r="CW74" i="3"/>
  <c r="CX74" i="3"/>
  <c r="DI74" i="3" s="1"/>
  <c r="CY74" i="3"/>
  <c r="CZ74" i="3"/>
  <c r="DB74" i="3" s="1"/>
  <c r="DA74" i="3"/>
  <c r="DC74" i="3"/>
  <c r="DF74" i="3"/>
  <c r="DG74" i="3"/>
  <c r="DJ74" i="3" s="1"/>
  <c r="DH74" i="3"/>
  <c r="A75" i="3"/>
  <c r="Y75" i="3"/>
  <c r="CW75" i="3" s="1"/>
  <c r="CX75" i="3"/>
  <c r="DF75" i="3" s="1"/>
  <c r="CY75" i="3"/>
  <c r="CZ75" i="3"/>
  <c r="DB75" i="3" s="1"/>
  <c r="DA75" i="3"/>
  <c r="DC75" i="3"/>
  <c r="A76" i="3"/>
  <c r="Y76" i="3"/>
  <c r="CX76" i="3" s="1"/>
  <c r="CW76" i="3"/>
  <c r="CY76" i="3"/>
  <c r="CZ76" i="3"/>
  <c r="DA76" i="3"/>
  <c r="DB76" i="3"/>
  <c r="DC76" i="3"/>
  <c r="A77" i="3"/>
  <c r="Y77" i="3"/>
  <c r="CX77" i="3" s="1"/>
  <c r="CW77" i="3"/>
  <c r="CY77" i="3"/>
  <c r="CZ77" i="3"/>
  <c r="DB77" i="3" s="1"/>
  <c r="DA77" i="3"/>
  <c r="DC77" i="3"/>
  <c r="DH77" i="3"/>
  <c r="DI77" i="3"/>
  <c r="A78" i="3"/>
  <c r="Y78" i="3"/>
  <c r="CX78" i="3"/>
  <c r="DF78" i="3" s="1"/>
  <c r="CY78" i="3"/>
  <c r="CZ78" i="3"/>
  <c r="DB78" i="3" s="1"/>
  <c r="DA78" i="3"/>
  <c r="DC78" i="3"/>
  <c r="DG78" i="3"/>
  <c r="DH78" i="3"/>
  <c r="DI78" i="3"/>
  <c r="DJ78" i="3"/>
  <c r="A79" i="3"/>
  <c r="Y79" i="3"/>
  <c r="CX79" i="3"/>
  <c r="CY79" i="3"/>
  <c r="CZ79" i="3"/>
  <c r="DA79" i="3"/>
  <c r="DB79" i="3"/>
  <c r="DC79" i="3"/>
  <c r="DF79" i="3"/>
  <c r="DJ79" i="3" s="1"/>
  <c r="DG79" i="3"/>
  <c r="DH79" i="3"/>
  <c r="DI79" i="3"/>
  <c r="A80" i="3"/>
  <c r="Y80" i="3"/>
  <c r="CX80" i="3" s="1"/>
  <c r="DI80" i="3" s="1"/>
  <c r="CY80" i="3"/>
  <c r="CZ80" i="3"/>
  <c r="DA80" i="3"/>
  <c r="DB80" i="3"/>
  <c r="DC80" i="3"/>
  <c r="DF80" i="3"/>
  <c r="DG80" i="3"/>
  <c r="DH80" i="3"/>
  <c r="DJ80" i="3"/>
  <c r="A81" i="3"/>
  <c r="Y81" i="3"/>
  <c r="CX81" i="3" s="1"/>
  <c r="DH81" i="3" s="1"/>
  <c r="CY81" i="3"/>
  <c r="CZ81" i="3"/>
  <c r="DA81" i="3"/>
  <c r="DB81" i="3"/>
  <c r="DC81" i="3"/>
  <c r="DF81" i="3"/>
  <c r="DJ81" i="3" s="1"/>
  <c r="DG81" i="3"/>
  <c r="DI81" i="3"/>
  <c r="A82" i="3"/>
  <c r="Y82" i="3"/>
  <c r="CU82" i="3"/>
  <c r="CV82" i="3"/>
  <c r="CX82" i="3"/>
  <c r="DH82" i="3" s="1"/>
  <c r="CY82" i="3"/>
  <c r="CZ82" i="3"/>
  <c r="DA82" i="3"/>
  <c r="DB82" i="3"/>
  <c r="DC82" i="3"/>
  <c r="DF82" i="3"/>
  <c r="DG82" i="3"/>
  <c r="A83" i="3"/>
  <c r="Y83" i="3"/>
  <c r="CW83" i="3"/>
  <c r="CX83" i="3"/>
  <c r="CY83" i="3"/>
  <c r="CZ83" i="3"/>
  <c r="DA83" i="3"/>
  <c r="DB83" i="3"/>
  <c r="DC83" i="3"/>
  <c r="A84" i="3"/>
  <c r="Y84" i="3"/>
  <c r="CW84" i="3" s="1"/>
  <c r="CX84" i="3"/>
  <c r="CY84" i="3"/>
  <c r="CZ84" i="3"/>
  <c r="DB84" i="3" s="1"/>
  <c r="DA84" i="3"/>
  <c r="DC84" i="3"/>
  <c r="A85" i="3"/>
  <c r="Y85" i="3"/>
  <c r="CW85" i="3" s="1"/>
  <c r="CX85" i="3"/>
  <c r="DF85" i="3" s="1"/>
  <c r="CY85" i="3"/>
  <c r="CZ85" i="3"/>
  <c r="DB85" i="3" s="1"/>
  <c r="DA85" i="3"/>
  <c r="DC85" i="3"/>
  <c r="A86" i="3"/>
  <c r="Y86" i="3"/>
  <c r="CX86" i="3" s="1"/>
  <c r="DI86" i="3" s="1"/>
  <c r="CY86" i="3"/>
  <c r="CZ86" i="3"/>
  <c r="DA86" i="3"/>
  <c r="DB86" i="3"/>
  <c r="DC86" i="3"/>
  <c r="A87" i="3"/>
  <c r="Y87" i="3"/>
  <c r="CX87" i="3" s="1"/>
  <c r="DH87" i="3" s="1"/>
  <c r="CY87" i="3"/>
  <c r="CZ87" i="3"/>
  <c r="DA87" i="3"/>
  <c r="DB87" i="3"/>
  <c r="DC87" i="3"/>
  <c r="A88" i="3"/>
  <c r="Y88" i="3"/>
  <c r="CX88" i="3" s="1"/>
  <c r="DG88" i="3" s="1"/>
  <c r="CY88" i="3"/>
  <c r="CZ88" i="3"/>
  <c r="DA88" i="3"/>
  <c r="DB88" i="3"/>
  <c r="DC88" i="3"/>
  <c r="DF88" i="3"/>
  <c r="DJ88" i="3" s="1"/>
  <c r="DH88" i="3"/>
  <c r="A89" i="3"/>
  <c r="Y89" i="3"/>
  <c r="CX89" i="3"/>
  <c r="DI89" i="3" s="1"/>
  <c r="CY89" i="3"/>
  <c r="CZ89" i="3"/>
  <c r="DA89" i="3"/>
  <c r="DB89" i="3"/>
  <c r="DC89" i="3"/>
  <c r="DF89" i="3"/>
  <c r="DJ89" i="3" s="1"/>
  <c r="DG89" i="3"/>
  <c r="DH89" i="3"/>
  <c r="A90" i="3"/>
  <c r="Y90" i="3"/>
  <c r="CX90" i="3" s="1"/>
  <c r="CY90" i="3"/>
  <c r="CZ90" i="3"/>
  <c r="DA90" i="3"/>
  <c r="DB90" i="3"/>
  <c r="DC90" i="3"/>
  <c r="DF90" i="3"/>
  <c r="DJ90" i="3" s="1"/>
  <c r="DG90" i="3"/>
  <c r="A91" i="3"/>
  <c r="Y91" i="3"/>
  <c r="CU91" i="3"/>
  <c r="CV91" i="3"/>
  <c r="CX91" i="3"/>
  <c r="CY91" i="3"/>
  <c r="CZ91" i="3"/>
  <c r="DA91" i="3"/>
  <c r="DB91" i="3"/>
  <c r="DC91" i="3"/>
  <c r="A92" i="3"/>
  <c r="Y92" i="3"/>
  <c r="CX92" i="3"/>
  <c r="CY92" i="3"/>
  <c r="CZ92" i="3"/>
  <c r="DB92" i="3" s="1"/>
  <c r="DA92" i="3"/>
  <c r="DC92" i="3"/>
  <c r="A93" i="3"/>
  <c r="Y93" i="3"/>
  <c r="CV93" i="3" s="1"/>
  <c r="CU93" i="3"/>
  <c r="CY93" i="3"/>
  <c r="CZ93" i="3"/>
  <c r="DA93" i="3"/>
  <c r="DB93" i="3"/>
  <c r="DC93" i="3"/>
  <c r="A94" i="3"/>
  <c r="Y94" i="3"/>
  <c r="CX94" i="3" s="1"/>
  <c r="DI94" i="3" s="1"/>
  <c r="CY94" i="3"/>
  <c r="CZ94" i="3"/>
  <c r="DA94" i="3"/>
  <c r="DB94" i="3"/>
  <c r="DC94" i="3"/>
  <c r="A95" i="3"/>
  <c r="Y95" i="3"/>
  <c r="CV95" i="3" s="1"/>
  <c r="CU95" i="3"/>
  <c r="CX95" i="3"/>
  <c r="DI95" i="3" s="1"/>
  <c r="DJ95" i="3" s="1"/>
  <c r="CY95" i="3"/>
  <c r="CZ95" i="3"/>
  <c r="DB95" i="3" s="1"/>
  <c r="DA95" i="3"/>
  <c r="DC95" i="3"/>
  <c r="DF95" i="3"/>
  <c r="DG95" i="3"/>
  <c r="DH95" i="3"/>
  <c r="A96" i="3"/>
  <c r="Y96" i="3"/>
  <c r="CX96" i="3" s="1"/>
  <c r="CY96" i="3"/>
  <c r="CZ96" i="3"/>
  <c r="DA96" i="3"/>
  <c r="DB96" i="3"/>
  <c r="DC96" i="3"/>
  <c r="A97" i="3"/>
  <c r="Y97" i="3"/>
  <c r="CU97" i="3"/>
  <c r="CV97" i="3"/>
  <c r="CX97" i="3"/>
  <c r="CY97" i="3"/>
  <c r="CZ97" i="3"/>
  <c r="DA97" i="3"/>
  <c r="DB97" i="3"/>
  <c r="DC97" i="3"/>
  <c r="A98" i="3"/>
  <c r="Y98" i="3"/>
  <c r="CX98" i="3"/>
  <c r="CY98" i="3"/>
  <c r="CZ98" i="3"/>
  <c r="DB98" i="3" s="1"/>
  <c r="DA98" i="3"/>
  <c r="DC98" i="3"/>
  <c r="DI98" i="3"/>
  <c r="A99" i="3"/>
  <c r="Y99" i="3"/>
  <c r="CV99" i="3" s="1"/>
  <c r="CU99" i="3"/>
  <c r="CY99" i="3"/>
  <c r="CZ99" i="3"/>
  <c r="DA99" i="3"/>
  <c r="DB99" i="3"/>
  <c r="DC99" i="3"/>
  <c r="A100" i="3"/>
  <c r="Y100" i="3"/>
  <c r="CX100" i="3" s="1"/>
  <c r="CY100" i="3"/>
  <c r="CZ100" i="3"/>
  <c r="DA100" i="3"/>
  <c r="DB100" i="3"/>
  <c r="DC100" i="3"/>
  <c r="DF100" i="3"/>
  <c r="DJ100" i="3" s="1"/>
  <c r="DG100" i="3"/>
  <c r="DH100" i="3"/>
  <c r="DI100" i="3"/>
  <c r="A101" i="3"/>
  <c r="Y101" i="3"/>
  <c r="CV101" i="3" s="1"/>
  <c r="CU101" i="3"/>
  <c r="CX101" i="3"/>
  <c r="DI101" i="3" s="1"/>
  <c r="DJ101" i="3" s="1"/>
  <c r="CY101" i="3"/>
  <c r="CZ101" i="3"/>
  <c r="DB101" i="3" s="1"/>
  <c r="DA101" i="3"/>
  <c r="DC101" i="3"/>
  <c r="DF101" i="3"/>
  <c r="DG101" i="3"/>
  <c r="DH101" i="3"/>
  <c r="A102" i="3"/>
  <c r="Y102" i="3"/>
  <c r="CX102" i="3" s="1"/>
  <c r="CY102" i="3"/>
  <c r="CZ102" i="3"/>
  <c r="DA102" i="3"/>
  <c r="DB102" i="3"/>
  <c r="DC102" i="3"/>
  <c r="DF102" i="3"/>
  <c r="DJ102" i="3" s="1"/>
  <c r="DG102" i="3"/>
  <c r="A103" i="3"/>
  <c r="Y103" i="3"/>
  <c r="CU103" i="3"/>
  <c r="CV103" i="3"/>
  <c r="CX103" i="3"/>
  <c r="CY103" i="3"/>
  <c r="CZ103" i="3"/>
  <c r="DA103" i="3"/>
  <c r="DB103" i="3"/>
  <c r="DC103" i="3"/>
  <c r="A104" i="3"/>
  <c r="Y104" i="3"/>
  <c r="CX104" i="3" s="1"/>
  <c r="CY104" i="3"/>
  <c r="CZ104" i="3"/>
  <c r="DB104" i="3" s="1"/>
  <c r="DA104" i="3"/>
  <c r="DC104" i="3"/>
  <c r="A105" i="3"/>
  <c r="Y105" i="3"/>
  <c r="CU105" i="3"/>
  <c r="CV105" i="3"/>
  <c r="CX105" i="3"/>
  <c r="DG105" i="3" s="1"/>
  <c r="CY105" i="3"/>
  <c r="CZ105" i="3"/>
  <c r="DA105" i="3"/>
  <c r="DB105" i="3"/>
  <c r="DC105" i="3"/>
  <c r="DF105" i="3"/>
  <c r="DH105" i="3"/>
  <c r="A106" i="3"/>
  <c r="Y106" i="3"/>
  <c r="CX106" i="3" s="1"/>
  <c r="DG106" i="3" s="1"/>
  <c r="CY106" i="3"/>
  <c r="CZ106" i="3"/>
  <c r="DA106" i="3"/>
  <c r="DB106" i="3"/>
  <c r="DC106" i="3"/>
  <c r="DF106" i="3"/>
  <c r="DJ106" i="3" s="1"/>
  <c r="DH106" i="3"/>
  <c r="A107" i="3"/>
  <c r="Y107" i="3"/>
  <c r="CY107" i="3"/>
  <c r="CZ107" i="3"/>
  <c r="DA107" i="3"/>
  <c r="DB107" i="3"/>
  <c r="DC107" i="3"/>
  <c r="A108" i="3"/>
  <c r="Y108" i="3"/>
  <c r="CY108" i="3"/>
  <c r="CZ108" i="3"/>
  <c r="DB108" i="3" s="1"/>
  <c r="DA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A114" i="3"/>
  <c r="DB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B117" i="3" s="1"/>
  <c r="DA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A119" i="3"/>
  <c r="DB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B121" i="3" s="1"/>
  <c r="DA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B123" i="3" s="1"/>
  <c r="DA123" i="3"/>
  <c r="DC123" i="3"/>
  <c r="A124" i="3"/>
  <c r="Y124" i="3"/>
  <c r="CY124" i="3"/>
  <c r="CZ124" i="3"/>
  <c r="DB124" i="3" s="1"/>
  <c r="DA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B126" i="3" s="1"/>
  <c r="DA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A128" i="3"/>
  <c r="DB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A132" i="3"/>
  <c r="DB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B134" i="3" s="1"/>
  <c r="DA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A136" i="3"/>
  <c r="DB136" i="3"/>
  <c r="DC136" i="3"/>
  <c r="A137" i="3"/>
  <c r="Y137" i="3"/>
  <c r="CY137" i="3"/>
  <c r="CZ137" i="3"/>
  <c r="DA137" i="3"/>
  <c r="DB137" i="3"/>
  <c r="DC137" i="3"/>
  <c r="A138" i="3"/>
  <c r="Y138" i="3"/>
  <c r="CY138" i="3"/>
  <c r="CZ138" i="3"/>
  <c r="DA138" i="3"/>
  <c r="DB138" i="3"/>
  <c r="DC138" i="3"/>
  <c r="A139" i="3"/>
  <c r="Y139" i="3"/>
  <c r="CY139" i="3"/>
  <c r="CZ139" i="3"/>
  <c r="DA139" i="3"/>
  <c r="DB139" i="3"/>
  <c r="DC139" i="3"/>
  <c r="A140" i="3"/>
  <c r="Y140" i="3"/>
  <c r="CY140" i="3"/>
  <c r="CZ140" i="3"/>
  <c r="DA140" i="3"/>
  <c r="DB140" i="3"/>
  <c r="DC140" i="3"/>
  <c r="A141" i="3"/>
  <c r="Y141" i="3"/>
  <c r="CY141" i="3"/>
  <c r="CZ141" i="3"/>
  <c r="DB141" i="3" s="1"/>
  <c r="DA141" i="3"/>
  <c r="DC141" i="3"/>
  <c r="A142" i="3"/>
  <c r="Y142" i="3"/>
  <c r="CY142" i="3"/>
  <c r="CZ142" i="3"/>
  <c r="DB142" i="3" s="1"/>
  <c r="DA142" i="3"/>
  <c r="DC142" i="3"/>
  <c r="A143" i="3"/>
  <c r="Y143" i="3"/>
  <c r="CY143" i="3"/>
  <c r="CZ143" i="3"/>
  <c r="DA143" i="3"/>
  <c r="DB143" i="3"/>
  <c r="DC143" i="3"/>
  <c r="A144" i="3"/>
  <c r="Y144" i="3"/>
  <c r="CY144" i="3"/>
  <c r="CZ144" i="3"/>
  <c r="DA144" i="3"/>
  <c r="DB144" i="3"/>
  <c r="DC144" i="3"/>
  <c r="A145" i="3"/>
  <c r="Y145" i="3"/>
  <c r="CY145" i="3"/>
  <c r="CZ145" i="3"/>
  <c r="DA145" i="3"/>
  <c r="DB145" i="3"/>
  <c r="DC145" i="3"/>
  <c r="A146" i="3"/>
  <c r="Y146" i="3"/>
  <c r="CY146" i="3"/>
  <c r="CZ146" i="3"/>
  <c r="DA146" i="3"/>
  <c r="DB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A149" i="3"/>
  <c r="DB149" i="3"/>
  <c r="DC149" i="3"/>
  <c r="A150" i="3"/>
  <c r="Y150" i="3"/>
  <c r="CY150" i="3"/>
  <c r="CZ150" i="3"/>
  <c r="DB150" i="3" s="1"/>
  <c r="DA150" i="3"/>
  <c r="DC150" i="3"/>
  <c r="A151" i="3"/>
  <c r="Y151" i="3"/>
  <c r="CY151" i="3"/>
  <c r="CZ151" i="3"/>
  <c r="DB151" i="3" s="1"/>
  <c r="DA151" i="3"/>
  <c r="DC151" i="3"/>
  <c r="A152" i="3"/>
  <c r="Y152" i="3"/>
  <c r="CY152" i="3"/>
  <c r="CZ152" i="3"/>
  <c r="DA152" i="3"/>
  <c r="DB152" i="3"/>
  <c r="DC152" i="3"/>
  <c r="A153" i="3"/>
  <c r="Y153" i="3"/>
  <c r="CY153" i="3"/>
  <c r="CZ153" i="3"/>
  <c r="DB153" i="3" s="1"/>
  <c r="DA153" i="3"/>
  <c r="DC153" i="3"/>
  <c r="A154" i="3"/>
  <c r="Y154" i="3"/>
  <c r="CY154" i="3"/>
  <c r="CZ154" i="3"/>
  <c r="DB154" i="3" s="1"/>
  <c r="DA154" i="3"/>
  <c r="DC154" i="3"/>
  <c r="A155" i="3"/>
  <c r="Y155" i="3"/>
  <c r="CY155" i="3"/>
  <c r="CZ155" i="3"/>
  <c r="DA155" i="3"/>
  <c r="DB155" i="3"/>
  <c r="DC155" i="3"/>
  <c r="A156" i="3"/>
  <c r="Y156" i="3"/>
  <c r="CY156" i="3"/>
  <c r="CZ156" i="3"/>
  <c r="DA156" i="3"/>
  <c r="DB156" i="3"/>
  <c r="DC156" i="3"/>
  <c r="A157" i="3"/>
  <c r="Y157" i="3"/>
  <c r="CY157" i="3"/>
  <c r="CZ157" i="3"/>
  <c r="DA157" i="3"/>
  <c r="DB157" i="3"/>
  <c r="DC157" i="3"/>
  <c r="A158" i="3"/>
  <c r="Y158" i="3"/>
  <c r="CY158" i="3"/>
  <c r="CZ158" i="3"/>
  <c r="DA158" i="3"/>
  <c r="DB158" i="3"/>
  <c r="DC158" i="3"/>
  <c r="A159" i="3"/>
  <c r="Y159" i="3"/>
  <c r="CY159" i="3"/>
  <c r="CZ159" i="3"/>
  <c r="DA159" i="3"/>
  <c r="DB159" i="3"/>
  <c r="DC159" i="3"/>
  <c r="A160" i="3"/>
  <c r="Y160" i="3"/>
  <c r="CY160" i="3"/>
  <c r="CZ160" i="3"/>
  <c r="DB160" i="3" s="1"/>
  <c r="DA160" i="3"/>
  <c r="DC160" i="3"/>
  <c r="A161" i="3"/>
  <c r="Y161" i="3"/>
  <c r="CY161" i="3"/>
  <c r="CZ161" i="3"/>
  <c r="DB161" i="3" s="1"/>
  <c r="DA161" i="3"/>
  <c r="DC161" i="3"/>
  <c r="A162" i="3"/>
  <c r="Y162" i="3"/>
  <c r="CY162" i="3"/>
  <c r="CZ162" i="3"/>
  <c r="DA162" i="3"/>
  <c r="DB162" i="3"/>
  <c r="DC162" i="3"/>
  <c r="A163" i="3"/>
  <c r="Y163" i="3"/>
  <c r="CY163" i="3"/>
  <c r="CZ163" i="3"/>
  <c r="DA163" i="3"/>
  <c r="DB163" i="3"/>
  <c r="DC163" i="3"/>
  <c r="A164" i="3"/>
  <c r="Y164" i="3"/>
  <c r="CY164" i="3"/>
  <c r="CZ164" i="3"/>
  <c r="DB164" i="3" s="1"/>
  <c r="DA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B166" i="3" s="1"/>
  <c r="DA166" i="3"/>
  <c r="DC166" i="3"/>
  <c r="A167" i="3"/>
  <c r="Y167" i="3"/>
  <c r="CY167" i="3"/>
  <c r="CZ167" i="3"/>
  <c r="DA167" i="3"/>
  <c r="DB167" i="3"/>
  <c r="DC167" i="3"/>
  <c r="A168" i="3"/>
  <c r="Y168" i="3"/>
  <c r="CY168" i="3"/>
  <c r="CZ168" i="3"/>
  <c r="DA168" i="3"/>
  <c r="DB168" i="3"/>
  <c r="DC168" i="3"/>
  <c r="A169" i="3"/>
  <c r="Y169" i="3"/>
  <c r="CY169" i="3"/>
  <c r="CZ169" i="3"/>
  <c r="DB169" i="3" s="1"/>
  <c r="DA169" i="3"/>
  <c r="DC169" i="3"/>
  <c r="A170" i="3"/>
  <c r="Y170" i="3"/>
  <c r="CY170" i="3"/>
  <c r="CZ170" i="3"/>
  <c r="DA170" i="3"/>
  <c r="DB170" i="3"/>
  <c r="DC170" i="3"/>
  <c r="A171" i="3"/>
  <c r="Y171" i="3"/>
  <c r="CY171" i="3"/>
  <c r="CZ171" i="3"/>
  <c r="DB171" i="3" s="1"/>
  <c r="DA171" i="3"/>
  <c r="DC171" i="3"/>
  <c r="A172" i="3"/>
  <c r="Y172" i="3"/>
  <c r="CY172" i="3"/>
  <c r="CZ172" i="3"/>
  <c r="DA172" i="3"/>
  <c r="DB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A174" i="3"/>
  <c r="DB174" i="3"/>
  <c r="DC174" i="3"/>
  <c r="A175" i="3"/>
  <c r="Y175" i="3"/>
  <c r="CY175" i="3"/>
  <c r="CZ175" i="3"/>
  <c r="DA175" i="3"/>
  <c r="DB175" i="3"/>
  <c r="DC175" i="3"/>
  <c r="A176" i="3"/>
  <c r="Y176" i="3"/>
  <c r="CY176" i="3"/>
  <c r="CZ176" i="3"/>
  <c r="DA176" i="3"/>
  <c r="DB176" i="3"/>
  <c r="DC176" i="3"/>
  <c r="A177" i="3"/>
  <c r="Y177" i="3"/>
  <c r="CY177" i="3"/>
  <c r="CZ177" i="3"/>
  <c r="DA177" i="3"/>
  <c r="DB177" i="3"/>
  <c r="DC177" i="3"/>
  <c r="A178" i="3"/>
  <c r="Y178" i="3"/>
  <c r="CY178" i="3"/>
  <c r="CZ178" i="3"/>
  <c r="DB178" i="3" s="1"/>
  <c r="DA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A180" i="3"/>
  <c r="DB180" i="3"/>
  <c r="DC180" i="3"/>
  <c r="A181" i="3"/>
  <c r="Y181" i="3"/>
  <c r="CY181" i="3"/>
  <c r="CZ181" i="3"/>
  <c r="DA181" i="3"/>
  <c r="DB181" i="3"/>
  <c r="DC181" i="3"/>
  <c r="A182" i="3"/>
  <c r="Y182" i="3"/>
  <c r="CY182" i="3"/>
  <c r="CZ182" i="3"/>
  <c r="DB182" i="3" s="1"/>
  <c r="DA182" i="3"/>
  <c r="DC182" i="3"/>
  <c r="A183" i="3"/>
  <c r="Y183" i="3"/>
  <c r="CY183" i="3"/>
  <c r="CZ183" i="3"/>
  <c r="DB183" i="3" s="1"/>
  <c r="DA183" i="3"/>
  <c r="DC183" i="3"/>
  <c r="A184" i="3"/>
  <c r="Y184" i="3"/>
  <c r="CY184" i="3"/>
  <c r="CZ184" i="3"/>
  <c r="DA184" i="3"/>
  <c r="DB184" i="3"/>
  <c r="DC184" i="3"/>
  <c r="A185" i="3"/>
  <c r="Y185" i="3"/>
  <c r="CY185" i="3"/>
  <c r="CZ185" i="3"/>
  <c r="DA185" i="3"/>
  <c r="DB185" i="3"/>
  <c r="DC185" i="3"/>
  <c r="A186" i="3"/>
  <c r="Y186" i="3"/>
  <c r="CY186" i="3"/>
  <c r="CZ186" i="3"/>
  <c r="DA186" i="3"/>
  <c r="DB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A188" i="3"/>
  <c r="DB188" i="3"/>
  <c r="DC188" i="3"/>
  <c r="A189" i="3"/>
  <c r="Y189" i="3"/>
  <c r="CY189" i="3"/>
  <c r="CZ189" i="3"/>
  <c r="DB189" i="3" s="1"/>
  <c r="DA189" i="3"/>
  <c r="DC189" i="3"/>
  <c r="A190" i="3"/>
  <c r="Y190" i="3"/>
  <c r="CY190" i="3"/>
  <c r="CZ190" i="3"/>
  <c r="DB190" i="3" s="1"/>
  <c r="DA190" i="3"/>
  <c r="DC190" i="3"/>
  <c r="A191" i="3"/>
  <c r="Y191" i="3"/>
  <c r="CY191" i="3"/>
  <c r="CZ191" i="3"/>
  <c r="DA191" i="3"/>
  <c r="DB191" i="3"/>
  <c r="DC191" i="3"/>
  <c r="A192" i="3"/>
  <c r="Y192" i="3"/>
  <c r="CY192" i="3"/>
  <c r="CZ192" i="3"/>
  <c r="DA192" i="3"/>
  <c r="DB192" i="3"/>
  <c r="DC192" i="3"/>
  <c r="A193" i="3"/>
  <c r="Y193" i="3"/>
  <c r="CY193" i="3"/>
  <c r="CZ193" i="3"/>
  <c r="DB193" i="3" s="1"/>
  <c r="DA193" i="3"/>
  <c r="DC193" i="3"/>
  <c r="A194" i="3"/>
  <c r="Y194" i="3"/>
  <c r="CY194" i="3"/>
  <c r="CZ194" i="3"/>
  <c r="DA194" i="3"/>
  <c r="DB194" i="3"/>
  <c r="DC194" i="3"/>
  <c r="A195" i="3"/>
  <c r="Y195" i="3"/>
  <c r="CY195" i="3"/>
  <c r="CZ195" i="3"/>
  <c r="DA195" i="3"/>
  <c r="DB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A197" i="3"/>
  <c r="DB197" i="3"/>
  <c r="DC197" i="3"/>
  <c r="A198" i="3"/>
  <c r="Y198" i="3"/>
  <c r="CY198" i="3"/>
  <c r="CZ198" i="3"/>
  <c r="DB198" i="3" s="1"/>
  <c r="DA198" i="3"/>
  <c r="DC198" i="3"/>
  <c r="A199" i="3"/>
  <c r="Y199" i="3"/>
  <c r="CY199" i="3"/>
  <c r="CZ199" i="3"/>
  <c r="DA199" i="3"/>
  <c r="DB199" i="3"/>
  <c r="DC199" i="3"/>
  <c r="A200" i="3"/>
  <c r="Y200" i="3"/>
  <c r="CY200" i="3"/>
  <c r="CZ200" i="3"/>
  <c r="DB200" i="3" s="1"/>
  <c r="DA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A202" i="3"/>
  <c r="DB202" i="3"/>
  <c r="DC202" i="3"/>
  <c r="A203" i="3"/>
  <c r="Y203" i="3"/>
  <c r="CY203" i="3"/>
  <c r="CZ203" i="3"/>
  <c r="DB203" i="3" s="1"/>
  <c r="DA203" i="3"/>
  <c r="DC203" i="3"/>
  <c r="A204" i="3"/>
  <c r="Y204" i="3"/>
  <c r="CY204" i="3"/>
  <c r="CZ204" i="3"/>
  <c r="DB204" i="3" s="1"/>
  <c r="DA204" i="3"/>
  <c r="DC204" i="3"/>
  <c r="A205" i="3"/>
  <c r="Y205" i="3"/>
  <c r="CY205" i="3"/>
  <c r="CZ205" i="3"/>
  <c r="DB205" i="3" s="1"/>
  <c r="DA205" i="3"/>
  <c r="DC205" i="3"/>
  <c r="A206" i="3"/>
  <c r="Y206" i="3"/>
  <c r="CY206" i="3"/>
  <c r="CZ206" i="3"/>
  <c r="DA206" i="3"/>
  <c r="DB206" i="3"/>
  <c r="DC206" i="3"/>
  <c r="A207" i="3"/>
  <c r="Y207" i="3"/>
  <c r="CY207" i="3"/>
  <c r="CZ207" i="3"/>
  <c r="DB207" i="3" s="1"/>
  <c r="DA207" i="3"/>
  <c r="DC207" i="3"/>
  <c r="A208" i="3"/>
  <c r="Y208" i="3"/>
  <c r="CY208" i="3"/>
  <c r="CZ208" i="3"/>
  <c r="DB208" i="3" s="1"/>
  <c r="DA208" i="3"/>
  <c r="DC208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G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P28" i="1"/>
  <c r="R28" i="1"/>
  <c r="S28" i="1"/>
  <c r="CY28" i="1" s="1"/>
  <c r="X28" i="1"/>
  <c r="Y28" i="1"/>
  <c r="AC28" i="1"/>
  <c r="AB28" i="1" s="1"/>
  <c r="AD28" i="1"/>
  <c r="AE28" i="1"/>
  <c r="Q28" i="1" s="1"/>
  <c r="AF28" i="1"/>
  <c r="CT28" i="1" s="1"/>
  <c r="AG28" i="1"/>
  <c r="CU28" i="1" s="1"/>
  <c r="T28" i="1" s="1"/>
  <c r="AH28" i="1"/>
  <c r="CV28" i="1" s="1"/>
  <c r="U28" i="1" s="1"/>
  <c r="AI28" i="1"/>
  <c r="CW28" i="1" s="1"/>
  <c r="V28" i="1" s="1"/>
  <c r="AJ28" i="1"/>
  <c r="CX28" i="1" s="1"/>
  <c r="W28" i="1" s="1"/>
  <c r="CQ28" i="1"/>
  <c r="CR28" i="1"/>
  <c r="CS28" i="1"/>
  <c r="CZ28" i="1"/>
  <c r="GL28" i="1"/>
  <c r="GN28" i="1"/>
  <c r="GP28" i="1"/>
  <c r="GV28" i="1"/>
  <c r="HC28" i="1" s="1"/>
  <c r="GX28" i="1" s="1"/>
  <c r="C29" i="1"/>
  <c r="D29" i="1"/>
  <c r="P29" i="1"/>
  <c r="S29" i="1"/>
  <c r="CY29" i="1" s="1"/>
  <c r="AC29" i="1"/>
  <c r="CQ29" i="1" s="1"/>
  <c r="AD29" i="1"/>
  <c r="AB29" i="1" s="1"/>
  <c r="AE29" i="1"/>
  <c r="CR29" i="1" s="1"/>
  <c r="AF29" i="1"/>
  <c r="CT29" i="1" s="1"/>
  <c r="AG29" i="1"/>
  <c r="CU29" i="1" s="1"/>
  <c r="T29" i="1" s="1"/>
  <c r="AH29" i="1"/>
  <c r="CV29" i="1" s="1"/>
  <c r="U29" i="1" s="1"/>
  <c r="AI29" i="1"/>
  <c r="CW29" i="1" s="1"/>
  <c r="V29" i="1" s="1"/>
  <c r="AJ29" i="1"/>
  <c r="CX29" i="1"/>
  <c r="W29" i="1" s="1"/>
  <c r="GL29" i="1"/>
  <c r="GN29" i="1"/>
  <c r="GP29" i="1"/>
  <c r="GV29" i="1"/>
  <c r="GX29" i="1"/>
  <c r="HC29" i="1"/>
  <c r="C30" i="1"/>
  <c r="D30" i="1"/>
  <c r="S30" i="1"/>
  <c r="CY30" i="1" s="1"/>
  <c r="W30" i="1"/>
  <c r="X30" i="1"/>
  <c r="AC30" i="1"/>
  <c r="P30" i="1" s="1"/>
  <c r="AE30" i="1"/>
  <c r="AD30" i="1" s="1"/>
  <c r="AB30" i="1" s="1"/>
  <c r="AF30" i="1"/>
  <c r="AG30" i="1"/>
  <c r="CU30" i="1" s="1"/>
  <c r="T30" i="1" s="1"/>
  <c r="AH30" i="1"/>
  <c r="AI30" i="1"/>
  <c r="CW30" i="1" s="1"/>
  <c r="V30" i="1" s="1"/>
  <c r="AJ30" i="1"/>
  <c r="CS30" i="1"/>
  <c r="CT30" i="1"/>
  <c r="CV30" i="1"/>
  <c r="U30" i="1" s="1"/>
  <c r="CX30" i="1"/>
  <c r="GL30" i="1"/>
  <c r="GN30" i="1"/>
  <c r="GP30" i="1"/>
  <c r="GV30" i="1"/>
  <c r="HC30" i="1" s="1"/>
  <c r="GX30" i="1" s="1"/>
  <c r="C31" i="1"/>
  <c r="D31" i="1"/>
  <c r="P31" i="1"/>
  <c r="R31" i="1"/>
  <c r="U31" i="1"/>
  <c r="AC31" i="1"/>
  <c r="AE31" i="1"/>
  <c r="CR31" i="1" s="1"/>
  <c r="AF31" i="1"/>
  <c r="CT31" i="1" s="1"/>
  <c r="AG31" i="1"/>
  <c r="CU31" i="1" s="1"/>
  <c r="T31" i="1" s="1"/>
  <c r="AH31" i="1"/>
  <c r="AI31" i="1"/>
  <c r="CW31" i="1" s="1"/>
  <c r="V31" i="1" s="1"/>
  <c r="AJ31" i="1"/>
  <c r="CX31" i="1" s="1"/>
  <c r="W31" i="1" s="1"/>
  <c r="CQ31" i="1"/>
  <c r="CS31" i="1"/>
  <c r="CV31" i="1"/>
  <c r="GL31" i="1"/>
  <c r="GN31" i="1"/>
  <c r="GP31" i="1"/>
  <c r="GV31" i="1"/>
  <c r="HC31" i="1"/>
  <c r="GX31" i="1" s="1"/>
  <c r="C32" i="1"/>
  <c r="D32" i="1"/>
  <c r="P32" i="1"/>
  <c r="S32" i="1"/>
  <c r="CY32" i="1" s="1"/>
  <c r="AC32" i="1"/>
  <c r="AD32" i="1"/>
  <c r="AB32" i="1" s="1"/>
  <c r="AE32" i="1"/>
  <c r="Q32" i="1" s="1"/>
  <c r="AF32" i="1"/>
  <c r="CT32" i="1" s="1"/>
  <c r="AG32" i="1"/>
  <c r="AH32" i="1"/>
  <c r="AI32" i="1"/>
  <c r="CW32" i="1" s="1"/>
  <c r="V32" i="1" s="1"/>
  <c r="AJ32" i="1"/>
  <c r="CQ32" i="1"/>
  <c r="CU32" i="1"/>
  <c r="T32" i="1" s="1"/>
  <c r="CV32" i="1"/>
  <c r="U32" i="1" s="1"/>
  <c r="CX32" i="1"/>
  <c r="W32" i="1" s="1"/>
  <c r="GL32" i="1"/>
  <c r="GN32" i="1"/>
  <c r="GP32" i="1"/>
  <c r="GV32" i="1"/>
  <c r="GX32" i="1"/>
  <c r="HC32" i="1"/>
  <c r="C33" i="1"/>
  <c r="D33" i="1"/>
  <c r="P33" i="1"/>
  <c r="S33" i="1"/>
  <c r="Y33" i="1" s="1"/>
  <c r="T33" i="1"/>
  <c r="W33" i="1"/>
  <c r="X33" i="1"/>
  <c r="AC33" i="1"/>
  <c r="AD33" i="1"/>
  <c r="AB33" i="1" s="1"/>
  <c r="AE33" i="1"/>
  <c r="CR33" i="1" s="1"/>
  <c r="AF33" i="1"/>
  <c r="CT33" i="1" s="1"/>
  <c r="AG33" i="1"/>
  <c r="AH33" i="1"/>
  <c r="CV33" i="1" s="1"/>
  <c r="U33" i="1" s="1"/>
  <c r="AI33" i="1"/>
  <c r="CW33" i="1" s="1"/>
  <c r="V33" i="1" s="1"/>
  <c r="AJ33" i="1"/>
  <c r="CQ33" i="1"/>
  <c r="CS33" i="1"/>
  <c r="CU33" i="1"/>
  <c r="CX33" i="1"/>
  <c r="CY33" i="1"/>
  <c r="CZ33" i="1"/>
  <c r="GL33" i="1"/>
  <c r="GN33" i="1"/>
  <c r="GP33" i="1"/>
  <c r="GV33" i="1"/>
  <c r="GX33" i="1"/>
  <c r="HC33" i="1"/>
  <c r="C34" i="1"/>
  <c r="D34" i="1"/>
  <c r="R34" i="1"/>
  <c r="U34" i="1"/>
  <c r="AC34" i="1"/>
  <c r="CQ34" i="1" s="1"/>
  <c r="AD34" i="1"/>
  <c r="AE34" i="1"/>
  <c r="CR34" i="1" s="1"/>
  <c r="AF34" i="1"/>
  <c r="S34" i="1" s="1"/>
  <c r="AG34" i="1"/>
  <c r="CU34" i="1" s="1"/>
  <c r="T34" i="1" s="1"/>
  <c r="AH34" i="1"/>
  <c r="AI34" i="1"/>
  <c r="AJ34" i="1"/>
  <c r="CS34" i="1"/>
  <c r="CV34" i="1"/>
  <c r="CW34" i="1"/>
  <c r="V34" i="1" s="1"/>
  <c r="CX34" i="1"/>
  <c r="W34" i="1" s="1"/>
  <c r="GL34" i="1"/>
  <c r="GN34" i="1"/>
  <c r="GP34" i="1"/>
  <c r="GV34" i="1"/>
  <c r="HC34" i="1" s="1"/>
  <c r="GX34" i="1" s="1"/>
  <c r="CJ49" i="1" s="1"/>
  <c r="C35" i="1"/>
  <c r="D35" i="1"/>
  <c r="P35" i="1"/>
  <c r="R35" i="1"/>
  <c r="U35" i="1"/>
  <c r="V35" i="1"/>
  <c r="AB35" i="1"/>
  <c r="AC35" i="1"/>
  <c r="AD35" i="1"/>
  <c r="AE35" i="1"/>
  <c r="Q35" i="1" s="1"/>
  <c r="AF35" i="1"/>
  <c r="CT35" i="1" s="1"/>
  <c r="AG35" i="1"/>
  <c r="AH35" i="1"/>
  <c r="AI35" i="1"/>
  <c r="AJ35" i="1"/>
  <c r="CX35" i="1" s="1"/>
  <c r="W35" i="1" s="1"/>
  <c r="CQ35" i="1"/>
  <c r="CR35" i="1"/>
  <c r="CS35" i="1"/>
  <c r="CU35" i="1"/>
  <c r="T35" i="1" s="1"/>
  <c r="CV35" i="1"/>
  <c r="CW35" i="1"/>
  <c r="GL35" i="1"/>
  <c r="GN35" i="1"/>
  <c r="GP35" i="1"/>
  <c r="GV35" i="1"/>
  <c r="GX35" i="1"/>
  <c r="HC35" i="1"/>
  <c r="C36" i="1"/>
  <c r="D36" i="1"/>
  <c r="P36" i="1"/>
  <c r="T36" i="1"/>
  <c r="W36" i="1"/>
  <c r="AC36" i="1"/>
  <c r="AE36" i="1"/>
  <c r="CR36" i="1" s="1"/>
  <c r="AF36" i="1"/>
  <c r="CT36" i="1" s="1"/>
  <c r="AG36" i="1"/>
  <c r="AH36" i="1"/>
  <c r="CV36" i="1" s="1"/>
  <c r="U36" i="1" s="1"/>
  <c r="AI36" i="1"/>
  <c r="CW36" i="1" s="1"/>
  <c r="V36" i="1" s="1"/>
  <c r="AJ36" i="1"/>
  <c r="CQ36" i="1"/>
  <c r="CU36" i="1"/>
  <c r="CX36" i="1"/>
  <c r="GL36" i="1"/>
  <c r="GN36" i="1"/>
  <c r="GP36" i="1"/>
  <c r="GV36" i="1"/>
  <c r="HC36" i="1"/>
  <c r="GX36" i="1" s="1"/>
  <c r="C37" i="1"/>
  <c r="D37" i="1"/>
  <c r="R37" i="1"/>
  <c r="W37" i="1"/>
  <c r="AC37" i="1"/>
  <c r="P37" i="1" s="1"/>
  <c r="AD37" i="1"/>
  <c r="AE37" i="1"/>
  <c r="Q37" i="1" s="1"/>
  <c r="AF37" i="1"/>
  <c r="S37" i="1" s="1"/>
  <c r="AG37" i="1"/>
  <c r="AH37" i="1"/>
  <c r="CV37" i="1" s="1"/>
  <c r="U37" i="1" s="1"/>
  <c r="AI37" i="1"/>
  <c r="AJ37" i="1"/>
  <c r="CR37" i="1"/>
  <c r="CS37" i="1"/>
  <c r="CT37" i="1"/>
  <c r="CU37" i="1"/>
  <c r="T37" i="1" s="1"/>
  <c r="CW37" i="1"/>
  <c r="V37" i="1" s="1"/>
  <c r="CX37" i="1"/>
  <c r="GL37" i="1"/>
  <c r="GN37" i="1"/>
  <c r="GP37" i="1"/>
  <c r="GV37" i="1"/>
  <c r="HC37" i="1" s="1"/>
  <c r="GX37" i="1" s="1"/>
  <c r="C38" i="1"/>
  <c r="D38" i="1"/>
  <c r="R38" i="1"/>
  <c r="S38" i="1"/>
  <c r="X38" i="1" s="1"/>
  <c r="V38" i="1"/>
  <c r="AC38" i="1"/>
  <c r="CQ38" i="1" s="1"/>
  <c r="AD38" i="1"/>
  <c r="AE38" i="1"/>
  <c r="Q38" i="1" s="1"/>
  <c r="AF38" i="1"/>
  <c r="AG38" i="1"/>
  <c r="CU38" i="1" s="1"/>
  <c r="T38" i="1" s="1"/>
  <c r="AH38" i="1"/>
  <c r="CV38" i="1" s="1"/>
  <c r="U38" i="1" s="1"/>
  <c r="AI38" i="1"/>
  <c r="AJ38" i="1"/>
  <c r="CX38" i="1" s="1"/>
  <c r="W38" i="1" s="1"/>
  <c r="CR38" i="1"/>
  <c r="CS38" i="1"/>
  <c r="CT38" i="1"/>
  <c r="CW38" i="1"/>
  <c r="GL38" i="1"/>
  <c r="GN38" i="1"/>
  <c r="GP38" i="1"/>
  <c r="GV38" i="1"/>
  <c r="HC38" i="1" s="1"/>
  <c r="GX38" i="1" s="1"/>
  <c r="C39" i="1"/>
  <c r="D39" i="1"/>
  <c r="T39" i="1"/>
  <c r="AC39" i="1"/>
  <c r="CQ39" i="1" s="1"/>
  <c r="AE39" i="1"/>
  <c r="R39" i="1" s="1"/>
  <c r="AF39" i="1"/>
  <c r="S39" i="1" s="1"/>
  <c r="AG39" i="1"/>
  <c r="AH39" i="1"/>
  <c r="AI39" i="1"/>
  <c r="AJ39" i="1"/>
  <c r="CX39" i="1" s="1"/>
  <c r="W39" i="1" s="1"/>
  <c r="CU39" i="1"/>
  <c r="CV39" i="1"/>
  <c r="U39" i="1" s="1"/>
  <c r="CW39" i="1"/>
  <c r="V39" i="1" s="1"/>
  <c r="GL39" i="1"/>
  <c r="GN39" i="1"/>
  <c r="GP39" i="1"/>
  <c r="GV39" i="1"/>
  <c r="HC39" i="1"/>
  <c r="GX39" i="1" s="1"/>
  <c r="C40" i="1"/>
  <c r="D40" i="1"/>
  <c r="I40" i="1"/>
  <c r="Q40" i="1" s="1"/>
  <c r="K40" i="1"/>
  <c r="S40" i="1"/>
  <c r="X40" i="1" s="1"/>
  <c r="V40" i="1"/>
  <c r="AC40" i="1"/>
  <c r="CQ40" i="1" s="1"/>
  <c r="AD40" i="1"/>
  <c r="AE40" i="1"/>
  <c r="AF40" i="1"/>
  <c r="AG40" i="1"/>
  <c r="CU40" i="1" s="1"/>
  <c r="T40" i="1" s="1"/>
  <c r="AH40" i="1"/>
  <c r="CV40" i="1" s="1"/>
  <c r="U40" i="1" s="1"/>
  <c r="AI40" i="1"/>
  <c r="AJ40" i="1"/>
  <c r="CX40" i="1" s="1"/>
  <c r="W40" i="1" s="1"/>
  <c r="CR40" i="1"/>
  <c r="CS40" i="1"/>
  <c r="CT40" i="1"/>
  <c r="CW40" i="1"/>
  <c r="GL40" i="1"/>
  <c r="GO40" i="1"/>
  <c r="GP40" i="1"/>
  <c r="GV40" i="1"/>
  <c r="HC40" i="1" s="1"/>
  <c r="GX40" i="1" s="1"/>
  <c r="C41" i="1"/>
  <c r="D41" i="1"/>
  <c r="I41" i="1"/>
  <c r="CU36" i="3" s="1"/>
  <c r="K41" i="1"/>
  <c r="AC41" i="1"/>
  <c r="P41" i="1" s="1"/>
  <c r="AD41" i="1"/>
  <c r="AE41" i="1"/>
  <c r="AF41" i="1"/>
  <c r="S41" i="1" s="1"/>
  <c r="AG41" i="1"/>
  <c r="AH41" i="1"/>
  <c r="CV41" i="1" s="1"/>
  <c r="U41" i="1" s="1"/>
  <c r="AI41" i="1"/>
  <c r="AJ41" i="1"/>
  <c r="CR41" i="1"/>
  <c r="CS41" i="1"/>
  <c r="CT41" i="1"/>
  <c r="CU41" i="1"/>
  <c r="T41" i="1" s="1"/>
  <c r="CW41" i="1"/>
  <c r="V41" i="1" s="1"/>
  <c r="CX41" i="1"/>
  <c r="GL41" i="1"/>
  <c r="GO41" i="1"/>
  <c r="GP41" i="1"/>
  <c r="GV41" i="1"/>
  <c r="HC41" i="1" s="1"/>
  <c r="GX41" i="1" s="1"/>
  <c r="C42" i="1"/>
  <c r="D42" i="1"/>
  <c r="I42" i="1"/>
  <c r="P42" i="1" s="1"/>
  <c r="K42" i="1"/>
  <c r="T42" i="1"/>
  <c r="W42" i="1"/>
  <c r="AC42" i="1"/>
  <c r="AE42" i="1"/>
  <c r="CR42" i="1" s="1"/>
  <c r="AF42" i="1"/>
  <c r="CT42" i="1" s="1"/>
  <c r="AG42" i="1"/>
  <c r="AH42" i="1"/>
  <c r="CV42" i="1" s="1"/>
  <c r="U42" i="1" s="1"/>
  <c r="AI42" i="1"/>
  <c r="CW42" i="1" s="1"/>
  <c r="V42" i="1" s="1"/>
  <c r="AJ42" i="1"/>
  <c r="CQ42" i="1"/>
  <c r="CU42" i="1"/>
  <c r="CX42" i="1"/>
  <c r="GL42" i="1"/>
  <c r="GO42" i="1"/>
  <c r="GP42" i="1"/>
  <c r="GV42" i="1"/>
  <c r="HC42" i="1"/>
  <c r="GX42" i="1" s="1"/>
  <c r="C43" i="1"/>
  <c r="D43" i="1"/>
  <c r="I43" i="1"/>
  <c r="CU38" i="3" s="1"/>
  <c r="K43" i="1"/>
  <c r="AB43" i="1"/>
  <c r="AC43" i="1"/>
  <c r="AD43" i="1"/>
  <c r="AE43" i="1"/>
  <c r="AF43" i="1"/>
  <c r="CT43" i="1" s="1"/>
  <c r="AG43" i="1"/>
  <c r="AH43" i="1"/>
  <c r="AI43" i="1"/>
  <c r="AJ43" i="1"/>
  <c r="CX43" i="1" s="1"/>
  <c r="W43" i="1" s="1"/>
  <c r="CQ43" i="1"/>
  <c r="CR43" i="1"/>
  <c r="CS43" i="1"/>
  <c r="CU43" i="1"/>
  <c r="T43" i="1" s="1"/>
  <c r="CV43" i="1"/>
  <c r="CW43" i="1"/>
  <c r="GL43" i="1"/>
  <c r="GO43" i="1"/>
  <c r="GP43" i="1"/>
  <c r="GV43" i="1"/>
  <c r="HC43" i="1"/>
  <c r="C44" i="1"/>
  <c r="D44" i="1"/>
  <c r="I44" i="1"/>
  <c r="K44" i="1"/>
  <c r="R44" i="1"/>
  <c r="U44" i="1"/>
  <c r="AC44" i="1"/>
  <c r="CQ44" i="1" s="1"/>
  <c r="AD44" i="1"/>
  <c r="AE44" i="1"/>
  <c r="CR44" i="1" s="1"/>
  <c r="AF44" i="1"/>
  <c r="S44" i="1" s="1"/>
  <c r="AG44" i="1"/>
  <c r="CU44" i="1" s="1"/>
  <c r="T44" i="1" s="1"/>
  <c r="AH44" i="1"/>
  <c r="AI44" i="1"/>
  <c r="AJ44" i="1"/>
  <c r="CS44" i="1"/>
  <c r="CV44" i="1"/>
  <c r="CW44" i="1"/>
  <c r="V44" i="1" s="1"/>
  <c r="CX44" i="1"/>
  <c r="W44" i="1" s="1"/>
  <c r="GL44" i="1"/>
  <c r="GO44" i="1"/>
  <c r="GP44" i="1"/>
  <c r="GV44" i="1"/>
  <c r="HC44" i="1" s="1"/>
  <c r="GX44" i="1" s="1"/>
  <c r="C45" i="1"/>
  <c r="D45" i="1"/>
  <c r="I45" i="1"/>
  <c r="K45" i="1"/>
  <c r="P45" i="1"/>
  <c r="S45" i="1"/>
  <c r="Y45" i="1" s="1"/>
  <c r="T45" i="1"/>
  <c r="W45" i="1"/>
  <c r="X45" i="1"/>
  <c r="AC45" i="1"/>
  <c r="AD45" i="1"/>
  <c r="AB45" i="1" s="1"/>
  <c r="AE45" i="1"/>
  <c r="CR45" i="1" s="1"/>
  <c r="AF45" i="1"/>
  <c r="AG45" i="1"/>
  <c r="AH45" i="1"/>
  <c r="CV45" i="1" s="1"/>
  <c r="U45" i="1" s="1"/>
  <c r="AI45" i="1"/>
  <c r="CW45" i="1" s="1"/>
  <c r="V45" i="1" s="1"/>
  <c r="AJ45" i="1"/>
  <c r="CQ45" i="1"/>
  <c r="CS45" i="1"/>
  <c r="CT45" i="1"/>
  <c r="CU45" i="1"/>
  <c r="CX45" i="1"/>
  <c r="CY45" i="1"/>
  <c r="CZ45" i="1"/>
  <c r="GL45" i="1"/>
  <c r="GO45" i="1"/>
  <c r="GP45" i="1"/>
  <c r="GV45" i="1"/>
  <c r="HC45" i="1" s="1"/>
  <c r="GX45" i="1" s="1"/>
  <c r="C46" i="1"/>
  <c r="D46" i="1"/>
  <c r="I46" i="1"/>
  <c r="K46" i="1"/>
  <c r="P46" i="1"/>
  <c r="AC46" i="1"/>
  <c r="AD46" i="1"/>
  <c r="AB46" i="1" s="1"/>
  <c r="AE46" i="1"/>
  <c r="Q46" i="1" s="1"/>
  <c r="AF46" i="1"/>
  <c r="AG46" i="1"/>
  <c r="AH46" i="1"/>
  <c r="AI46" i="1"/>
  <c r="CW46" i="1" s="1"/>
  <c r="V46" i="1" s="1"/>
  <c r="AJ46" i="1"/>
  <c r="CQ46" i="1"/>
  <c r="CT46" i="1"/>
  <c r="CU46" i="1"/>
  <c r="T46" i="1" s="1"/>
  <c r="CV46" i="1"/>
  <c r="U46" i="1" s="1"/>
  <c r="CX46" i="1"/>
  <c r="W46" i="1" s="1"/>
  <c r="GL46" i="1"/>
  <c r="GN46" i="1"/>
  <c r="GP46" i="1"/>
  <c r="GV46" i="1"/>
  <c r="GX46" i="1"/>
  <c r="HC46" i="1"/>
  <c r="C47" i="1"/>
  <c r="D47" i="1"/>
  <c r="I47" i="1"/>
  <c r="CX54" i="3" s="1"/>
  <c r="K47" i="1"/>
  <c r="R47" i="1"/>
  <c r="U47" i="1"/>
  <c r="AC47" i="1"/>
  <c r="P47" i="1" s="1"/>
  <c r="AE47" i="1"/>
  <c r="CR47" i="1" s="1"/>
  <c r="AF47" i="1"/>
  <c r="CT47" i="1" s="1"/>
  <c r="AG47" i="1"/>
  <c r="CU47" i="1" s="1"/>
  <c r="T47" i="1" s="1"/>
  <c r="AH47" i="1"/>
  <c r="AI47" i="1"/>
  <c r="CW47" i="1" s="1"/>
  <c r="V47" i="1" s="1"/>
  <c r="AJ47" i="1"/>
  <c r="CX47" i="1" s="1"/>
  <c r="W47" i="1" s="1"/>
  <c r="CQ47" i="1"/>
  <c r="CS47" i="1"/>
  <c r="CV47" i="1"/>
  <c r="GL47" i="1"/>
  <c r="GN47" i="1"/>
  <c r="GP47" i="1"/>
  <c r="GV47" i="1"/>
  <c r="HC47" i="1"/>
  <c r="GX47" i="1" s="1"/>
  <c r="B49" i="1"/>
  <c r="B26" i="1" s="1"/>
  <c r="C49" i="1"/>
  <c r="C26" i="1" s="1"/>
  <c r="D49" i="1"/>
  <c r="D26" i="1" s="1"/>
  <c r="F49" i="1"/>
  <c r="F26" i="1" s="1"/>
  <c r="G49" i="1"/>
  <c r="BB49" i="1"/>
  <c r="BB26" i="1" s="1"/>
  <c r="BX49" i="1"/>
  <c r="BY49" i="1"/>
  <c r="BY26" i="1" s="1"/>
  <c r="BZ49" i="1"/>
  <c r="CD49" i="1"/>
  <c r="CD26" i="1" s="1"/>
  <c r="CK49" i="1"/>
  <c r="CK26" i="1" s="1"/>
  <c r="CL49" i="1"/>
  <c r="CL26" i="1" s="1"/>
  <c r="CM49" i="1"/>
  <c r="CM26" i="1" s="1"/>
  <c r="DY49" i="1"/>
  <c r="DY26" i="1" s="1"/>
  <c r="EG49" i="1"/>
  <c r="EG26" i="1" s="1"/>
  <c r="EH49" i="1"/>
  <c r="EH26" i="1" s="1"/>
  <c r="EI49" i="1"/>
  <c r="ET49" i="1"/>
  <c r="ET26" i="1" s="1"/>
  <c r="EU49" i="1"/>
  <c r="FP49" i="1"/>
  <c r="FP26" i="1" s="1"/>
  <c r="FQ49" i="1"/>
  <c r="FQ26" i="1" s="1"/>
  <c r="FR49" i="1"/>
  <c r="FR26" i="1" s="1"/>
  <c r="FV49" i="1"/>
  <c r="FV26" i="1" s="1"/>
  <c r="FY49" i="1"/>
  <c r="FY26" i="1" s="1"/>
  <c r="GC49" i="1"/>
  <c r="GC26" i="1" s="1"/>
  <c r="GD49" i="1"/>
  <c r="GD26" i="1" s="1"/>
  <c r="GE49" i="1"/>
  <c r="GE26" i="1" s="1"/>
  <c r="P53" i="1"/>
  <c r="F62" i="1"/>
  <c r="D79" i="1"/>
  <c r="E81" i="1"/>
  <c r="Z81" i="1"/>
  <c r="AA81" i="1"/>
  <c r="AM81" i="1"/>
  <c r="AN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R81" i="1"/>
  <c r="DS81" i="1"/>
  <c r="EE81" i="1"/>
  <c r="EF81" i="1"/>
  <c r="EW81" i="1"/>
  <c r="EX81" i="1"/>
  <c r="EY81" i="1"/>
  <c r="EZ81" i="1"/>
  <c r="FA81" i="1"/>
  <c r="FB81" i="1"/>
  <c r="FC81" i="1"/>
  <c r="FD81" i="1"/>
  <c r="FE81" i="1"/>
  <c r="FF81" i="1"/>
  <c r="FG81" i="1"/>
  <c r="FH81" i="1"/>
  <c r="FI81" i="1"/>
  <c r="FJ81" i="1"/>
  <c r="FK81" i="1"/>
  <c r="FL81" i="1"/>
  <c r="FM81" i="1"/>
  <c r="FN81" i="1"/>
  <c r="FO81" i="1"/>
  <c r="GF81" i="1"/>
  <c r="GG81" i="1"/>
  <c r="GH81" i="1"/>
  <c r="GI81" i="1"/>
  <c r="GJ81" i="1"/>
  <c r="GK81" i="1"/>
  <c r="GL81" i="1"/>
  <c r="GM81" i="1"/>
  <c r="GN81" i="1"/>
  <c r="GO81" i="1"/>
  <c r="GP81" i="1"/>
  <c r="GQ81" i="1"/>
  <c r="GR81" i="1"/>
  <c r="GS81" i="1"/>
  <c r="GT81" i="1"/>
  <c r="GU81" i="1"/>
  <c r="GV81" i="1"/>
  <c r="GW81" i="1"/>
  <c r="GX81" i="1"/>
  <c r="C83" i="1"/>
  <c r="D83" i="1"/>
  <c r="P83" i="1"/>
  <c r="R83" i="1"/>
  <c r="AC83" i="1"/>
  <c r="CQ83" i="1" s="1"/>
  <c r="AE83" i="1"/>
  <c r="CS83" i="1" s="1"/>
  <c r="AF83" i="1"/>
  <c r="AG83" i="1"/>
  <c r="AH83" i="1"/>
  <c r="AI83" i="1"/>
  <c r="AJ83" i="1"/>
  <c r="CX83" i="1" s="1"/>
  <c r="W83" i="1" s="1"/>
  <c r="CR83" i="1"/>
  <c r="CU83" i="1"/>
  <c r="T83" i="1" s="1"/>
  <c r="CV83" i="1"/>
  <c r="U83" i="1" s="1"/>
  <c r="CW83" i="1"/>
  <c r="V83" i="1" s="1"/>
  <c r="AI110" i="1" s="1"/>
  <c r="GL83" i="1"/>
  <c r="GN83" i="1"/>
  <c r="GP83" i="1"/>
  <c r="GV83" i="1"/>
  <c r="HC83" i="1"/>
  <c r="GX83" i="1" s="1"/>
  <c r="C84" i="1"/>
  <c r="D84" i="1"/>
  <c r="P84" i="1"/>
  <c r="T84" i="1"/>
  <c r="AC84" i="1"/>
  <c r="AE84" i="1"/>
  <c r="CS84" i="1" s="1"/>
  <c r="AF84" i="1"/>
  <c r="S84" i="1" s="1"/>
  <c r="AG84" i="1"/>
  <c r="AH84" i="1"/>
  <c r="CV84" i="1" s="1"/>
  <c r="U84" i="1" s="1"/>
  <c r="AI84" i="1"/>
  <c r="CW84" i="1" s="1"/>
  <c r="V84" i="1" s="1"/>
  <c r="AJ84" i="1"/>
  <c r="CX84" i="1" s="1"/>
  <c r="W84" i="1" s="1"/>
  <c r="CQ84" i="1"/>
  <c r="CR84" i="1"/>
  <c r="CT84" i="1"/>
  <c r="CU84" i="1"/>
  <c r="GL84" i="1"/>
  <c r="GN84" i="1"/>
  <c r="GP84" i="1"/>
  <c r="GV84" i="1"/>
  <c r="HC84" i="1"/>
  <c r="GX84" i="1" s="1"/>
  <c r="V85" i="1"/>
  <c r="AC85" i="1"/>
  <c r="P85" i="1" s="1"/>
  <c r="FR85" i="1" s="1"/>
  <c r="AE85" i="1"/>
  <c r="CR85" i="1" s="1"/>
  <c r="AF85" i="1"/>
  <c r="CT85" i="1" s="1"/>
  <c r="AG85" i="1"/>
  <c r="CU85" i="1" s="1"/>
  <c r="T85" i="1" s="1"/>
  <c r="AH85" i="1"/>
  <c r="AI85" i="1"/>
  <c r="CW85" i="1" s="1"/>
  <c r="AJ85" i="1"/>
  <c r="CX85" i="1" s="1"/>
  <c r="W85" i="1" s="1"/>
  <c r="CQ85" i="1"/>
  <c r="CV85" i="1"/>
  <c r="U85" i="1" s="1"/>
  <c r="GL85" i="1"/>
  <c r="GN85" i="1"/>
  <c r="GO85" i="1"/>
  <c r="GP85" i="1"/>
  <c r="GV85" i="1"/>
  <c r="GX85" i="1"/>
  <c r="HC85" i="1"/>
  <c r="P86" i="1"/>
  <c r="FR86" i="1" s="1"/>
  <c r="R86" i="1"/>
  <c r="AC86" i="1"/>
  <c r="CQ86" i="1" s="1"/>
  <c r="AE86" i="1"/>
  <c r="CS86" i="1" s="1"/>
  <c r="AF86" i="1"/>
  <c r="AG86" i="1"/>
  <c r="AH86" i="1"/>
  <c r="AI86" i="1"/>
  <c r="AJ86" i="1"/>
  <c r="CX86" i="1" s="1"/>
  <c r="W86" i="1" s="1"/>
  <c r="CR86" i="1"/>
  <c r="CU86" i="1"/>
  <c r="T86" i="1" s="1"/>
  <c r="CV86" i="1"/>
  <c r="U86" i="1" s="1"/>
  <c r="CW86" i="1"/>
  <c r="V86" i="1" s="1"/>
  <c r="GL86" i="1"/>
  <c r="GN86" i="1"/>
  <c r="GO86" i="1"/>
  <c r="GP86" i="1"/>
  <c r="GV86" i="1"/>
  <c r="HC86" i="1"/>
  <c r="GX86" i="1" s="1"/>
  <c r="C87" i="1"/>
  <c r="D87" i="1"/>
  <c r="P87" i="1"/>
  <c r="S87" i="1"/>
  <c r="Y87" i="1" s="1"/>
  <c r="X87" i="1"/>
  <c r="AC87" i="1"/>
  <c r="AB87" i="1" s="1"/>
  <c r="AD87" i="1"/>
  <c r="AE87" i="1"/>
  <c r="CR87" i="1" s="1"/>
  <c r="AF87" i="1"/>
  <c r="AG87" i="1"/>
  <c r="CU87" i="1" s="1"/>
  <c r="T87" i="1" s="1"/>
  <c r="AH87" i="1"/>
  <c r="CV87" i="1" s="1"/>
  <c r="U87" i="1" s="1"/>
  <c r="AI87" i="1"/>
  <c r="CW87" i="1" s="1"/>
  <c r="V87" i="1" s="1"/>
  <c r="AJ87" i="1"/>
  <c r="CQ87" i="1"/>
  <c r="CS87" i="1"/>
  <c r="CT87" i="1"/>
  <c r="CX87" i="1"/>
  <c r="W87" i="1" s="1"/>
  <c r="GL87" i="1"/>
  <c r="GN87" i="1"/>
  <c r="GP87" i="1"/>
  <c r="GV87" i="1"/>
  <c r="HC87" i="1" s="1"/>
  <c r="GX87" i="1" s="1"/>
  <c r="C88" i="1"/>
  <c r="D88" i="1"/>
  <c r="S88" i="1"/>
  <c r="AC88" i="1"/>
  <c r="CQ88" i="1" s="1"/>
  <c r="AE88" i="1"/>
  <c r="CR88" i="1" s="1"/>
  <c r="AF88" i="1"/>
  <c r="CT88" i="1" s="1"/>
  <c r="AG88" i="1"/>
  <c r="CU88" i="1" s="1"/>
  <c r="T88" i="1" s="1"/>
  <c r="AH88" i="1"/>
  <c r="AI88" i="1"/>
  <c r="AJ88" i="1"/>
  <c r="CS88" i="1"/>
  <c r="CV88" i="1"/>
  <c r="U88" i="1" s="1"/>
  <c r="CW88" i="1"/>
  <c r="V88" i="1" s="1"/>
  <c r="CX88" i="1"/>
  <c r="W88" i="1" s="1"/>
  <c r="GL88" i="1"/>
  <c r="GN88" i="1"/>
  <c r="GP88" i="1"/>
  <c r="GV88" i="1"/>
  <c r="HC88" i="1"/>
  <c r="GX88" i="1" s="1"/>
  <c r="P89" i="1"/>
  <c r="R89" i="1"/>
  <c r="W89" i="1"/>
  <c r="AC89" i="1"/>
  <c r="CQ89" i="1" s="1"/>
  <c r="AD89" i="1"/>
  <c r="AE89" i="1"/>
  <c r="Q89" i="1" s="1"/>
  <c r="AF89" i="1"/>
  <c r="S89" i="1" s="1"/>
  <c r="AG89" i="1"/>
  <c r="AH89" i="1"/>
  <c r="CV89" i="1" s="1"/>
  <c r="U89" i="1" s="1"/>
  <c r="AI89" i="1"/>
  <c r="AJ89" i="1"/>
  <c r="CR89" i="1"/>
  <c r="CS89" i="1"/>
  <c r="CT89" i="1"/>
  <c r="CU89" i="1"/>
  <c r="T89" i="1" s="1"/>
  <c r="CW89" i="1"/>
  <c r="V89" i="1" s="1"/>
  <c r="CX89" i="1"/>
  <c r="GL89" i="1"/>
  <c r="GN89" i="1"/>
  <c r="GO89" i="1"/>
  <c r="GP89" i="1"/>
  <c r="GV89" i="1"/>
  <c r="HC89" i="1" s="1"/>
  <c r="GX89" i="1" s="1"/>
  <c r="S90" i="1"/>
  <c r="Y90" i="1" s="1"/>
  <c r="X90" i="1"/>
  <c r="AC90" i="1"/>
  <c r="AB90" i="1" s="1"/>
  <c r="AD90" i="1"/>
  <c r="AE90" i="1"/>
  <c r="CR90" i="1" s="1"/>
  <c r="AF90" i="1"/>
  <c r="AG90" i="1"/>
  <c r="CU90" i="1" s="1"/>
  <c r="T90" i="1" s="1"/>
  <c r="AH90" i="1"/>
  <c r="AI90" i="1"/>
  <c r="CW90" i="1" s="1"/>
  <c r="V90" i="1" s="1"/>
  <c r="AJ90" i="1"/>
  <c r="CQ90" i="1"/>
  <c r="CS90" i="1"/>
  <c r="CT90" i="1"/>
  <c r="CV90" i="1"/>
  <c r="U90" i="1" s="1"/>
  <c r="CX90" i="1"/>
  <c r="W90" i="1" s="1"/>
  <c r="GL90" i="1"/>
  <c r="GN90" i="1"/>
  <c r="GO90" i="1"/>
  <c r="GP90" i="1"/>
  <c r="GV90" i="1"/>
  <c r="HC90" i="1" s="1"/>
  <c r="GX90" i="1" s="1"/>
  <c r="C91" i="1"/>
  <c r="D91" i="1"/>
  <c r="P91" i="1"/>
  <c r="R91" i="1"/>
  <c r="AC91" i="1"/>
  <c r="CQ91" i="1" s="1"/>
  <c r="AD91" i="1"/>
  <c r="AE91" i="1"/>
  <c r="CS91" i="1" s="1"/>
  <c r="AF91" i="1"/>
  <c r="AG91" i="1"/>
  <c r="AH91" i="1"/>
  <c r="AI91" i="1"/>
  <c r="AJ91" i="1"/>
  <c r="CX91" i="1" s="1"/>
  <c r="W91" i="1" s="1"/>
  <c r="CR91" i="1"/>
  <c r="CU91" i="1"/>
  <c r="T91" i="1" s="1"/>
  <c r="AG110" i="1" s="1"/>
  <c r="CV91" i="1"/>
  <c r="U91" i="1" s="1"/>
  <c r="CW91" i="1"/>
  <c r="V91" i="1" s="1"/>
  <c r="GL91" i="1"/>
  <c r="GN91" i="1"/>
  <c r="GP91" i="1"/>
  <c r="GV91" i="1"/>
  <c r="HC91" i="1"/>
  <c r="GX91" i="1" s="1"/>
  <c r="C92" i="1"/>
  <c r="D92" i="1"/>
  <c r="T92" i="1"/>
  <c r="Y92" i="1"/>
  <c r="AC92" i="1"/>
  <c r="AE92" i="1"/>
  <c r="CS92" i="1" s="1"/>
  <c r="AF92" i="1"/>
  <c r="S92" i="1" s="1"/>
  <c r="AG92" i="1"/>
  <c r="AH92" i="1"/>
  <c r="CV92" i="1" s="1"/>
  <c r="U92" i="1" s="1"/>
  <c r="AI92" i="1"/>
  <c r="AJ92" i="1"/>
  <c r="CX92" i="1" s="1"/>
  <c r="W92" i="1" s="1"/>
  <c r="CQ92" i="1"/>
  <c r="CR92" i="1"/>
  <c r="CT92" i="1"/>
  <c r="CU92" i="1"/>
  <c r="CW92" i="1"/>
  <c r="V92" i="1" s="1"/>
  <c r="GL92" i="1"/>
  <c r="GN92" i="1"/>
  <c r="GP92" i="1"/>
  <c r="GV92" i="1"/>
  <c r="HC92" i="1" s="1"/>
  <c r="GX92" i="1" s="1"/>
  <c r="I93" i="1"/>
  <c r="Q93" i="1" s="1"/>
  <c r="P93" i="1"/>
  <c r="CP93" i="1" s="1"/>
  <c r="O93" i="1" s="1"/>
  <c r="S93" i="1"/>
  <c r="X93" i="1" s="1"/>
  <c r="U93" i="1"/>
  <c r="AC93" i="1"/>
  <c r="AD93" i="1"/>
  <c r="AB93" i="1" s="1"/>
  <c r="AE93" i="1"/>
  <c r="AF93" i="1"/>
  <c r="CT93" i="1" s="1"/>
  <c r="AG93" i="1"/>
  <c r="AH93" i="1"/>
  <c r="CV93" i="1" s="1"/>
  <c r="AI93" i="1"/>
  <c r="CW93" i="1" s="1"/>
  <c r="V93" i="1" s="1"/>
  <c r="AJ93" i="1"/>
  <c r="CQ93" i="1"/>
  <c r="CR93" i="1"/>
  <c r="CS93" i="1"/>
  <c r="CU93" i="1"/>
  <c r="T93" i="1" s="1"/>
  <c r="CX93" i="1"/>
  <c r="W93" i="1" s="1"/>
  <c r="CY93" i="1"/>
  <c r="CZ93" i="1"/>
  <c r="GL93" i="1"/>
  <c r="GN93" i="1"/>
  <c r="GP93" i="1"/>
  <c r="GV93" i="1"/>
  <c r="GX93" i="1"/>
  <c r="HC93" i="1"/>
  <c r="I94" i="1"/>
  <c r="P94" i="1"/>
  <c r="S94" i="1"/>
  <c r="AC94" i="1"/>
  <c r="AE94" i="1"/>
  <c r="Q94" i="1" s="1"/>
  <c r="AF94" i="1"/>
  <c r="AG94" i="1"/>
  <c r="AH94" i="1"/>
  <c r="AI94" i="1"/>
  <c r="CW94" i="1" s="1"/>
  <c r="V94" i="1" s="1"/>
  <c r="AJ94" i="1"/>
  <c r="CQ94" i="1"/>
  <c r="CT94" i="1"/>
  <c r="CU94" i="1"/>
  <c r="T94" i="1" s="1"/>
  <c r="CV94" i="1"/>
  <c r="U94" i="1" s="1"/>
  <c r="CX94" i="1"/>
  <c r="W94" i="1" s="1"/>
  <c r="GL94" i="1"/>
  <c r="GN94" i="1"/>
  <c r="GP94" i="1"/>
  <c r="GV94" i="1"/>
  <c r="HC94" i="1"/>
  <c r="GX94" i="1" s="1"/>
  <c r="I95" i="1"/>
  <c r="T95" i="1"/>
  <c r="Y95" i="1"/>
  <c r="AC95" i="1"/>
  <c r="AE95" i="1"/>
  <c r="CS95" i="1" s="1"/>
  <c r="AF95" i="1"/>
  <c r="S95" i="1" s="1"/>
  <c r="AG95" i="1"/>
  <c r="AH95" i="1"/>
  <c r="CV95" i="1" s="1"/>
  <c r="U95" i="1" s="1"/>
  <c r="AI95" i="1"/>
  <c r="AJ95" i="1"/>
  <c r="CX95" i="1" s="1"/>
  <c r="W95" i="1" s="1"/>
  <c r="CQ95" i="1"/>
  <c r="CR95" i="1"/>
  <c r="CT95" i="1"/>
  <c r="CU95" i="1"/>
  <c r="CW95" i="1"/>
  <c r="V95" i="1" s="1"/>
  <c r="CY95" i="1"/>
  <c r="GL95" i="1"/>
  <c r="GN95" i="1"/>
  <c r="GP95" i="1"/>
  <c r="GV95" i="1"/>
  <c r="HC95" i="1" s="1"/>
  <c r="GX95" i="1" s="1"/>
  <c r="I96" i="1"/>
  <c r="Q96" i="1" s="1"/>
  <c r="P96" i="1"/>
  <c r="S96" i="1"/>
  <c r="X96" i="1" s="1"/>
  <c r="AC96" i="1"/>
  <c r="AD96" i="1"/>
  <c r="AB96" i="1" s="1"/>
  <c r="AE96" i="1"/>
  <c r="AF96" i="1"/>
  <c r="CT96" i="1" s="1"/>
  <c r="AG96" i="1"/>
  <c r="AH96" i="1"/>
  <c r="CV96" i="1" s="1"/>
  <c r="U96" i="1" s="1"/>
  <c r="DZ110" i="1" s="1"/>
  <c r="DZ81" i="1" s="1"/>
  <c r="AI96" i="1"/>
  <c r="CW96" i="1" s="1"/>
  <c r="V96" i="1" s="1"/>
  <c r="AJ96" i="1"/>
  <c r="CQ96" i="1"/>
  <c r="CR96" i="1"/>
  <c r="CS96" i="1"/>
  <c r="CU96" i="1"/>
  <c r="T96" i="1" s="1"/>
  <c r="CX96" i="1"/>
  <c r="W96" i="1" s="1"/>
  <c r="CY96" i="1"/>
  <c r="CZ96" i="1"/>
  <c r="GL96" i="1"/>
  <c r="GN96" i="1"/>
  <c r="GP96" i="1"/>
  <c r="GV96" i="1"/>
  <c r="GX96" i="1"/>
  <c r="HC96" i="1"/>
  <c r="C97" i="1"/>
  <c r="D97" i="1"/>
  <c r="P97" i="1"/>
  <c r="R97" i="1"/>
  <c r="W97" i="1"/>
  <c r="AC97" i="1"/>
  <c r="CQ97" i="1" s="1"/>
  <c r="AD97" i="1"/>
  <c r="AE97" i="1"/>
  <c r="Q97" i="1" s="1"/>
  <c r="CP97" i="1" s="1"/>
  <c r="O97" i="1" s="1"/>
  <c r="AF97" i="1"/>
  <c r="S97" i="1" s="1"/>
  <c r="AG97" i="1"/>
  <c r="AH97" i="1"/>
  <c r="CV97" i="1" s="1"/>
  <c r="U97" i="1" s="1"/>
  <c r="AI97" i="1"/>
  <c r="AJ97" i="1"/>
  <c r="CR97" i="1"/>
  <c r="CS97" i="1"/>
  <c r="CT97" i="1"/>
  <c r="CU97" i="1"/>
  <c r="T97" i="1" s="1"/>
  <c r="CW97" i="1"/>
  <c r="V97" i="1" s="1"/>
  <c r="CX97" i="1"/>
  <c r="GL97" i="1"/>
  <c r="GN97" i="1"/>
  <c r="GP97" i="1"/>
  <c r="GV97" i="1"/>
  <c r="HC97" i="1" s="1"/>
  <c r="GX97" i="1"/>
  <c r="C98" i="1"/>
  <c r="D98" i="1"/>
  <c r="R98" i="1"/>
  <c r="W98" i="1"/>
  <c r="EB110" i="1" s="1"/>
  <c r="AC98" i="1"/>
  <c r="CQ98" i="1" s="1"/>
  <c r="AD98" i="1"/>
  <c r="AE98" i="1"/>
  <c r="Q98" i="1" s="1"/>
  <c r="AF98" i="1"/>
  <c r="AB98" i="1" s="1"/>
  <c r="AG98" i="1"/>
  <c r="AH98" i="1"/>
  <c r="CV98" i="1" s="1"/>
  <c r="U98" i="1" s="1"/>
  <c r="AI98" i="1"/>
  <c r="AJ98" i="1"/>
  <c r="CX98" i="1" s="1"/>
  <c r="CR98" i="1"/>
  <c r="CS98" i="1"/>
  <c r="CU98" i="1"/>
  <c r="T98" i="1" s="1"/>
  <c r="CW98" i="1"/>
  <c r="V98" i="1" s="1"/>
  <c r="GL98" i="1"/>
  <c r="GN98" i="1"/>
  <c r="GP98" i="1"/>
  <c r="GV98" i="1"/>
  <c r="HC98" i="1" s="1"/>
  <c r="GX98" i="1" s="1"/>
  <c r="R99" i="1"/>
  <c r="S99" i="1"/>
  <c r="AC99" i="1"/>
  <c r="AE99" i="1"/>
  <c r="CS99" i="1" s="1"/>
  <c r="AF99" i="1"/>
  <c r="AG99" i="1"/>
  <c r="CU99" i="1" s="1"/>
  <c r="T99" i="1" s="1"/>
  <c r="AH99" i="1"/>
  <c r="CV99" i="1" s="1"/>
  <c r="U99" i="1" s="1"/>
  <c r="AI99" i="1"/>
  <c r="AJ99" i="1"/>
  <c r="CR99" i="1"/>
  <c r="CT99" i="1"/>
  <c r="CW99" i="1"/>
  <c r="V99" i="1" s="1"/>
  <c r="CX99" i="1"/>
  <c r="W99" i="1" s="1"/>
  <c r="AJ110" i="1" s="1"/>
  <c r="CY99" i="1"/>
  <c r="GL99" i="1"/>
  <c r="GN99" i="1"/>
  <c r="GO99" i="1"/>
  <c r="GP99" i="1"/>
  <c r="CD110" i="1" s="1"/>
  <c r="GV99" i="1"/>
  <c r="HC99" i="1"/>
  <c r="GX99" i="1" s="1"/>
  <c r="R100" i="1"/>
  <c r="S100" i="1"/>
  <c r="W100" i="1"/>
  <c r="AC100" i="1"/>
  <c r="AD100" i="1"/>
  <c r="AE100" i="1"/>
  <c r="Q100" i="1" s="1"/>
  <c r="AF100" i="1"/>
  <c r="AG100" i="1"/>
  <c r="CU100" i="1" s="1"/>
  <c r="T100" i="1" s="1"/>
  <c r="DY110" i="1" s="1"/>
  <c r="AH100" i="1"/>
  <c r="CV100" i="1" s="1"/>
  <c r="U100" i="1" s="1"/>
  <c r="AI100" i="1"/>
  <c r="AJ100" i="1"/>
  <c r="CR100" i="1"/>
  <c r="CS100" i="1"/>
  <c r="CT100" i="1"/>
  <c r="CW100" i="1"/>
  <c r="V100" i="1" s="1"/>
  <c r="CX100" i="1"/>
  <c r="GL100" i="1"/>
  <c r="FR110" i="1" s="1"/>
  <c r="FY110" i="1" s="1"/>
  <c r="GN100" i="1"/>
  <c r="GO100" i="1"/>
  <c r="GP100" i="1"/>
  <c r="GV100" i="1"/>
  <c r="HC100" i="1" s="1"/>
  <c r="GX100" i="1" s="1"/>
  <c r="C101" i="1"/>
  <c r="D101" i="1"/>
  <c r="Q101" i="1"/>
  <c r="S101" i="1"/>
  <c r="T101" i="1"/>
  <c r="V101" i="1"/>
  <c r="Y101" i="1"/>
  <c r="AC101" i="1"/>
  <c r="CQ101" i="1" s="1"/>
  <c r="AE101" i="1"/>
  <c r="AF101" i="1"/>
  <c r="AG101" i="1"/>
  <c r="CU101" i="1" s="1"/>
  <c r="AH101" i="1"/>
  <c r="AI101" i="1"/>
  <c r="CW101" i="1" s="1"/>
  <c r="AJ101" i="1"/>
  <c r="CX101" i="1" s="1"/>
  <c r="W101" i="1" s="1"/>
  <c r="CR101" i="1"/>
  <c r="CT101" i="1"/>
  <c r="CV101" i="1"/>
  <c r="U101" i="1" s="1"/>
  <c r="CY101" i="1"/>
  <c r="CZ101" i="1"/>
  <c r="GL101" i="1"/>
  <c r="GN101" i="1"/>
  <c r="GP101" i="1"/>
  <c r="GV101" i="1"/>
  <c r="HC101" i="1" s="1"/>
  <c r="GX101" i="1" s="1"/>
  <c r="CJ110" i="1" s="1"/>
  <c r="CJ81" i="1" s="1"/>
  <c r="C102" i="1"/>
  <c r="D102" i="1"/>
  <c r="P102" i="1"/>
  <c r="Q102" i="1"/>
  <c r="S102" i="1"/>
  <c r="AC102" i="1"/>
  <c r="AB102" i="1" s="1"/>
  <c r="AD102" i="1"/>
  <c r="AE102" i="1"/>
  <c r="AF102" i="1"/>
  <c r="AG102" i="1"/>
  <c r="CU102" i="1" s="1"/>
  <c r="T102" i="1" s="1"/>
  <c r="AH102" i="1"/>
  <c r="CV102" i="1" s="1"/>
  <c r="U102" i="1" s="1"/>
  <c r="AI102" i="1"/>
  <c r="CW102" i="1" s="1"/>
  <c r="V102" i="1" s="1"/>
  <c r="AJ102" i="1"/>
  <c r="CX102" i="1" s="1"/>
  <c r="W102" i="1" s="1"/>
  <c r="CQ102" i="1"/>
  <c r="CT102" i="1"/>
  <c r="GL102" i="1"/>
  <c r="GN102" i="1"/>
  <c r="GP102" i="1"/>
  <c r="GV102" i="1"/>
  <c r="GX102" i="1"/>
  <c r="HC102" i="1"/>
  <c r="P103" i="1"/>
  <c r="Q103" i="1"/>
  <c r="S103" i="1"/>
  <c r="Y103" i="1" s="1"/>
  <c r="AC103" i="1"/>
  <c r="AD103" i="1"/>
  <c r="AB103" i="1" s="1"/>
  <c r="AE103" i="1"/>
  <c r="R103" i="1" s="1"/>
  <c r="AF103" i="1"/>
  <c r="CT103" i="1" s="1"/>
  <c r="AG103" i="1"/>
  <c r="CU103" i="1" s="1"/>
  <c r="T103" i="1" s="1"/>
  <c r="AH103" i="1"/>
  <c r="AI103" i="1"/>
  <c r="CW103" i="1" s="1"/>
  <c r="V103" i="1" s="1"/>
  <c r="AJ103" i="1"/>
  <c r="CQ103" i="1"/>
  <c r="CV103" i="1"/>
  <c r="U103" i="1" s="1"/>
  <c r="CX103" i="1"/>
  <c r="W103" i="1" s="1"/>
  <c r="CZ103" i="1"/>
  <c r="GL103" i="1"/>
  <c r="GN103" i="1"/>
  <c r="CB110" i="1" s="1"/>
  <c r="GO103" i="1"/>
  <c r="GP103" i="1"/>
  <c r="GV103" i="1"/>
  <c r="HC103" i="1" s="1"/>
  <c r="GX103" i="1"/>
  <c r="S104" i="1"/>
  <c r="T104" i="1"/>
  <c r="V104" i="1"/>
  <c r="X104" i="1"/>
  <c r="Y104" i="1"/>
  <c r="AC104" i="1"/>
  <c r="AE104" i="1"/>
  <c r="Q104" i="1" s="1"/>
  <c r="AF104" i="1"/>
  <c r="AG104" i="1"/>
  <c r="CU104" i="1" s="1"/>
  <c r="AH104" i="1"/>
  <c r="AI104" i="1"/>
  <c r="CW104" i="1" s="1"/>
  <c r="AJ104" i="1"/>
  <c r="CX104" i="1" s="1"/>
  <c r="W104" i="1" s="1"/>
  <c r="CQ104" i="1"/>
  <c r="CR104" i="1"/>
  <c r="CT104" i="1"/>
  <c r="CV104" i="1"/>
  <c r="U104" i="1" s="1"/>
  <c r="CY104" i="1"/>
  <c r="CZ104" i="1"/>
  <c r="GL104" i="1"/>
  <c r="GN104" i="1"/>
  <c r="GO104" i="1"/>
  <c r="GP104" i="1"/>
  <c r="GV104" i="1"/>
  <c r="GX104" i="1"/>
  <c r="HC104" i="1"/>
  <c r="C105" i="1"/>
  <c r="D105" i="1"/>
  <c r="R105" i="1"/>
  <c r="AC105" i="1"/>
  <c r="CQ105" i="1" s="1"/>
  <c r="AD105" i="1"/>
  <c r="AE105" i="1"/>
  <c r="Q105" i="1" s="1"/>
  <c r="AF105" i="1"/>
  <c r="S105" i="1" s="1"/>
  <c r="AG105" i="1"/>
  <c r="AH105" i="1"/>
  <c r="CV105" i="1" s="1"/>
  <c r="U105" i="1" s="1"/>
  <c r="AI105" i="1"/>
  <c r="AJ105" i="1"/>
  <c r="CR105" i="1"/>
  <c r="CS105" i="1"/>
  <c r="CT105" i="1"/>
  <c r="CU105" i="1"/>
  <c r="T105" i="1" s="1"/>
  <c r="CW105" i="1"/>
  <c r="V105" i="1" s="1"/>
  <c r="CX105" i="1"/>
  <c r="W105" i="1" s="1"/>
  <c r="GL105" i="1"/>
  <c r="GN105" i="1"/>
  <c r="GP105" i="1"/>
  <c r="GV105" i="1"/>
  <c r="HC105" i="1" s="1"/>
  <c r="GX105" i="1"/>
  <c r="C106" i="1"/>
  <c r="D106" i="1"/>
  <c r="R106" i="1"/>
  <c r="T106" i="1"/>
  <c r="AC106" i="1"/>
  <c r="CQ106" i="1" s="1"/>
  <c r="AD106" i="1"/>
  <c r="AE106" i="1"/>
  <c r="Q106" i="1" s="1"/>
  <c r="AF106" i="1"/>
  <c r="S106" i="1" s="1"/>
  <c r="X106" i="1" s="1"/>
  <c r="AG106" i="1"/>
  <c r="AH106" i="1"/>
  <c r="CV106" i="1" s="1"/>
  <c r="U106" i="1" s="1"/>
  <c r="AI106" i="1"/>
  <c r="AJ106" i="1"/>
  <c r="CX106" i="1" s="1"/>
  <c r="W106" i="1" s="1"/>
  <c r="CR106" i="1"/>
  <c r="CS106" i="1"/>
  <c r="CU106" i="1"/>
  <c r="CW106" i="1"/>
  <c r="V106" i="1" s="1"/>
  <c r="EA110" i="1" s="1"/>
  <c r="CZ106" i="1"/>
  <c r="GL106" i="1"/>
  <c r="GN106" i="1"/>
  <c r="GP106" i="1"/>
  <c r="GV106" i="1"/>
  <c r="HC106" i="1" s="1"/>
  <c r="GX106" i="1" s="1"/>
  <c r="Q107" i="1"/>
  <c r="R107" i="1"/>
  <c r="S107" i="1"/>
  <c r="CZ107" i="1" s="1"/>
  <c r="T107" i="1"/>
  <c r="V107" i="1"/>
  <c r="X107" i="1"/>
  <c r="AC107" i="1"/>
  <c r="AE107" i="1"/>
  <c r="AF107" i="1"/>
  <c r="AG107" i="1"/>
  <c r="CU107" i="1" s="1"/>
  <c r="AH107" i="1"/>
  <c r="CV107" i="1" s="1"/>
  <c r="U107" i="1" s="1"/>
  <c r="AI107" i="1"/>
  <c r="AJ107" i="1"/>
  <c r="CX107" i="1" s="1"/>
  <c r="W107" i="1" s="1"/>
  <c r="CQ107" i="1"/>
  <c r="CR107" i="1"/>
  <c r="CT107" i="1"/>
  <c r="CW107" i="1"/>
  <c r="GL107" i="1"/>
  <c r="GN107" i="1"/>
  <c r="GO107" i="1"/>
  <c r="GP107" i="1"/>
  <c r="GV107" i="1"/>
  <c r="GX107" i="1"/>
  <c r="HC107" i="1"/>
  <c r="R108" i="1"/>
  <c r="U108" i="1"/>
  <c r="W108" i="1"/>
  <c r="AC108" i="1"/>
  <c r="CQ108" i="1" s="1"/>
  <c r="AD108" i="1"/>
  <c r="AE108" i="1"/>
  <c r="Q108" i="1" s="1"/>
  <c r="AF108" i="1"/>
  <c r="S108" i="1" s="1"/>
  <c r="AG108" i="1"/>
  <c r="AH108" i="1"/>
  <c r="CV108" i="1" s="1"/>
  <c r="AI108" i="1"/>
  <c r="AJ108" i="1"/>
  <c r="CR108" i="1"/>
  <c r="CS108" i="1"/>
  <c r="CT108" i="1"/>
  <c r="CU108" i="1"/>
  <c r="T108" i="1" s="1"/>
  <c r="CW108" i="1"/>
  <c r="V108" i="1" s="1"/>
  <c r="CX108" i="1"/>
  <c r="GL108" i="1"/>
  <c r="GN108" i="1"/>
  <c r="GO108" i="1"/>
  <c r="GP108" i="1"/>
  <c r="FV110" i="1" s="1"/>
  <c r="GV108" i="1"/>
  <c r="HC108" i="1"/>
  <c r="GX108" i="1" s="1"/>
  <c r="B110" i="1"/>
  <c r="B81" i="1" s="1"/>
  <c r="C110" i="1"/>
  <c r="C81" i="1" s="1"/>
  <c r="D110" i="1"/>
  <c r="D81" i="1" s="1"/>
  <c r="F110" i="1"/>
  <c r="F81" i="1" s="1"/>
  <c r="G110" i="1"/>
  <c r="G81" i="1" s="1"/>
  <c r="AO110" i="1"/>
  <c r="AO81" i="1" s="1"/>
  <c r="BA110" i="1"/>
  <c r="BA81" i="1" s="1"/>
  <c r="BX110" i="1"/>
  <c r="BX81" i="1" s="1"/>
  <c r="BZ110" i="1"/>
  <c r="CK110" i="1"/>
  <c r="CK81" i="1" s="1"/>
  <c r="CL110" i="1"/>
  <c r="CM110" i="1"/>
  <c r="EG110" i="1"/>
  <c r="EG81" i="1" s="1"/>
  <c r="ET110" i="1"/>
  <c r="EU110" i="1"/>
  <c r="EU81" i="1" s="1"/>
  <c r="FP110" i="1"/>
  <c r="FP81" i="1" s="1"/>
  <c r="FT110" i="1"/>
  <c r="GC110" i="1"/>
  <c r="GC81" i="1" s="1"/>
  <c r="GD110" i="1"/>
  <c r="GD81" i="1" s="1"/>
  <c r="GE110" i="1"/>
  <c r="GE81" i="1" s="1"/>
  <c r="F114" i="1"/>
  <c r="P126" i="1"/>
  <c r="D140" i="1"/>
  <c r="E142" i="1"/>
  <c r="G142" i="1"/>
  <c r="Z142" i="1"/>
  <c r="AA142" i="1"/>
  <c r="AM142" i="1"/>
  <c r="AN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CL142" i="1"/>
  <c r="CM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DE142" i="1"/>
  <c r="DF142" i="1"/>
  <c r="DR142" i="1"/>
  <c r="DS142" i="1"/>
  <c r="EE142" i="1"/>
  <c r="EF142" i="1"/>
  <c r="EW142" i="1"/>
  <c r="EX142" i="1"/>
  <c r="EY142" i="1"/>
  <c r="EZ142" i="1"/>
  <c r="FA142" i="1"/>
  <c r="FB142" i="1"/>
  <c r="FC142" i="1"/>
  <c r="FD142" i="1"/>
  <c r="FE142" i="1"/>
  <c r="FF142" i="1"/>
  <c r="FG142" i="1"/>
  <c r="FH142" i="1"/>
  <c r="FI142" i="1"/>
  <c r="FJ142" i="1"/>
  <c r="FK142" i="1"/>
  <c r="FL142" i="1"/>
  <c r="FM142" i="1"/>
  <c r="FN142" i="1"/>
  <c r="FO142" i="1"/>
  <c r="GF142" i="1"/>
  <c r="GG142" i="1"/>
  <c r="GH142" i="1"/>
  <c r="GI142" i="1"/>
  <c r="GJ142" i="1"/>
  <c r="GK142" i="1"/>
  <c r="GL142" i="1"/>
  <c r="GM142" i="1"/>
  <c r="GN142" i="1"/>
  <c r="GO142" i="1"/>
  <c r="GP142" i="1"/>
  <c r="GQ142" i="1"/>
  <c r="GR142" i="1"/>
  <c r="GS142" i="1"/>
  <c r="GT142" i="1"/>
  <c r="GU142" i="1"/>
  <c r="GV142" i="1"/>
  <c r="GW142" i="1"/>
  <c r="GX142" i="1"/>
  <c r="C144" i="1"/>
  <c r="D144" i="1"/>
  <c r="P144" i="1"/>
  <c r="AC144" i="1"/>
  <c r="AD144" i="1"/>
  <c r="AB144" i="1" s="1"/>
  <c r="AE144" i="1"/>
  <c r="AF144" i="1"/>
  <c r="S144" i="1" s="1"/>
  <c r="AG144" i="1"/>
  <c r="AH144" i="1"/>
  <c r="AI144" i="1"/>
  <c r="CW144" i="1" s="1"/>
  <c r="V144" i="1" s="1"/>
  <c r="AJ144" i="1"/>
  <c r="CX144" i="1" s="1"/>
  <c r="W144" i="1" s="1"/>
  <c r="CQ144" i="1"/>
  <c r="CT144" i="1"/>
  <c r="CU144" i="1"/>
  <c r="T144" i="1" s="1"/>
  <c r="CV144" i="1"/>
  <c r="U144" i="1" s="1"/>
  <c r="GL144" i="1"/>
  <c r="GN144" i="1"/>
  <c r="GP144" i="1"/>
  <c r="GV144" i="1"/>
  <c r="GX144" i="1"/>
  <c r="HC144" i="1"/>
  <c r="C145" i="1"/>
  <c r="D145" i="1"/>
  <c r="R145" i="1"/>
  <c r="S145" i="1"/>
  <c r="X145" i="1" s="1"/>
  <c r="AC145" i="1"/>
  <c r="AB145" i="1" s="1"/>
  <c r="AD145" i="1"/>
  <c r="AE145" i="1"/>
  <c r="CS145" i="1" s="1"/>
  <c r="AF145" i="1"/>
  <c r="CT145" i="1" s="1"/>
  <c r="AG145" i="1"/>
  <c r="CU145" i="1" s="1"/>
  <c r="T145" i="1" s="1"/>
  <c r="AH145" i="1"/>
  <c r="CV145" i="1" s="1"/>
  <c r="U145" i="1" s="1"/>
  <c r="AI145" i="1"/>
  <c r="AJ145" i="1"/>
  <c r="CQ145" i="1"/>
  <c r="CR145" i="1"/>
  <c r="CW145" i="1"/>
  <c r="V145" i="1" s="1"/>
  <c r="CX145" i="1"/>
  <c r="W145" i="1" s="1"/>
  <c r="EB155" i="1" s="1"/>
  <c r="GL145" i="1"/>
  <c r="GN145" i="1"/>
  <c r="GP145" i="1"/>
  <c r="GV145" i="1"/>
  <c r="HC145" i="1" s="1"/>
  <c r="GX145" i="1" s="1"/>
  <c r="P146" i="1"/>
  <c r="R146" i="1"/>
  <c r="T146" i="1"/>
  <c r="AC146" i="1"/>
  <c r="CQ146" i="1" s="1"/>
  <c r="AD146" i="1"/>
  <c r="AE146" i="1"/>
  <c r="CR146" i="1" s="1"/>
  <c r="AF146" i="1"/>
  <c r="CT146" i="1" s="1"/>
  <c r="AG146" i="1"/>
  <c r="AH146" i="1"/>
  <c r="CV146" i="1" s="1"/>
  <c r="U146" i="1" s="1"/>
  <c r="AI146" i="1"/>
  <c r="CW146" i="1" s="1"/>
  <c r="V146" i="1" s="1"/>
  <c r="AJ146" i="1"/>
  <c r="CU146" i="1"/>
  <c r="CX146" i="1"/>
  <c r="W146" i="1" s="1"/>
  <c r="GL146" i="1"/>
  <c r="GN146" i="1"/>
  <c r="GP146" i="1"/>
  <c r="GV146" i="1"/>
  <c r="HC146" i="1" s="1"/>
  <c r="GX146" i="1" s="1"/>
  <c r="CJ155" i="1" s="1"/>
  <c r="Q147" i="1"/>
  <c r="R147" i="1"/>
  <c r="AC147" i="1"/>
  <c r="CQ147" i="1" s="1"/>
  <c r="AE147" i="1"/>
  <c r="AF147" i="1"/>
  <c r="AG147" i="1"/>
  <c r="AH147" i="1"/>
  <c r="AI147" i="1"/>
  <c r="AJ147" i="1"/>
  <c r="CX147" i="1" s="1"/>
  <c r="W147" i="1" s="1"/>
  <c r="CR147" i="1"/>
  <c r="CU147" i="1"/>
  <c r="T147" i="1" s="1"/>
  <c r="CV147" i="1"/>
  <c r="U147" i="1" s="1"/>
  <c r="CW147" i="1"/>
  <c r="V147" i="1" s="1"/>
  <c r="GL147" i="1"/>
  <c r="GN147" i="1"/>
  <c r="GP147" i="1"/>
  <c r="GV147" i="1"/>
  <c r="HC147" i="1"/>
  <c r="GX147" i="1" s="1"/>
  <c r="C148" i="1"/>
  <c r="D148" i="1"/>
  <c r="I148" i="1"/>
  <c r="K148" i="1"/>
  <c r="R148" i="1"/>
  <c r="V148" i="1"/>
  <c r="AC148" i="1"/>
  <c r="CQ148" i="1" s="1"/>
  <c r="AE148" i="1"/>
  <c r="CR148" i="1" s="1"/>
  <c r="AF148" i="1"/>
  <c r="AG148" i="1"/>
  <c r="CU148" i="1" s="1"/>
  <c r="T148" i="1" s="1"/>
  <c r="AH148" i="1"/>
  <c r="CV148" i="1" s="1"/>
  <c r="U148" i="1" s="1"/>
  <c r="AI148" i="1"/>
  <c r="AJ148" i="1"/>
  <c r="CX148" i="1" s="1"/>
  <c r="W148" i="1" s="1"/>
  <c r="CW148" i="1"/>
  <c r="GL148" i="1"/>
  <c r="BZ155" i="1" s="1"/>
  <c r="BZ142" i="1" s="1"/>
  <c r="GN148" i="1"/>
  <c r="GP148" i="1"/>
  <c r="GV148" i="1"/>
  <c r="HC148" i="1"/>
  <c r="GX148" i="1" s="1"/>
  <c r="C149" i="1"/>
  <c r="D149" i="1"/>
  <c r="I149" i="1"/>
  <c r="K149" i="1"/>
  <c r="W149" i="1"/>
  <c r="AC149" i="1"/>
  <c r="AD149" i="1"/>
  <c r="AE149" i="1"/>
  <c r="AF149" i="1"/>
  <c r="AG149" i="1"/>
  <c r="AH149" i="1"/>
  <c r="CV149" i="1" s="1"/>
  <c r="U149" i="1" s="1"/>
  <c r="AI149" i="1"/>
  <c r="AJ149" i="1"/>
  <c r="CX149" i="1" s="1"/>
  <c r="CR149" i="1"/>
  <c r="CS149" i="1"/>
  <c r="CT149" i="1"/>
  <c r="CU149" i="1"/>
  <c r="T149" i="1" s="1"/>
  <c r="CW149" i="1"/>
  <c r="GL149" i="1"/>
  <c r="GN149" i="1"/>
  <c r="GP149" i="1"/>
  <c r="GV149" i="1"/>
  <c r="HC149" i="1" s="1"/>
  <c r="GX149" i="1"/>
  <c r="I150" i="1"/>
  <c r="Q150" i="1" s="1"/>
  <c r="R150" i="1"/>
  <c r="S150" i="1"/>
  <c r="X150" i="1"/>
  <c r="AC150" i="1"/>
  <c r="AB150" i="1" s="1"/>
  <c r="AD150" i="1"/>
  <c r="AE150" i="1"/>
  <c r="AF150" i="1"/>
  <c r="CT150" i="1" s="1"/>
  <c r="AG150" i="1"/>
  <c r="CU150" i="1" s="1"/>
  <c r="T150" i="1" s="1"/>
  <c r="AH150" i="1"/>
  <c r="CV150" i="1" s="1"/>
  <c r="U150" i="1" s="1"/>
  <c r="AI150" i="1"/>
  <c r="CW150" i="1" s="1"/>
  <c r="V150" i="1" s="1"/>
  <c r="AJ150" i="1"/>
  <c r="CQ150" i="1"/>
  <c r="CR150" i="1"/>
  <c r="CS150" i="1"/>
  <c r="CX150" i="1"/>
  <c r="W150" i="1" s="1"/>
  <c r="GL150" i="1"/>
  <c r="GN150" i="1"/>
  <c r="GP150" i="1"/>
  <c r="GV150" i="1"/>
  <c r="HC150" i="1" s="1"/>
  <c r="GX150" i="1" s="1"/>
  <c r="I151" i="1"/>
  <c r="R151" i="1" s="1"/>
  <c r="S151" i="1"/>
  <c r="CY151" i="1" s="1"/>
  <c r="AC151" i="1"/>
  <c r="AE151" i="1"/>
  <c r="AF151" i="1"/>
  <c r="AG151" i="1"/>
  <c r="CU151" i="1" s="1"/>
  <c r="T151" i="1" s="1"/>
  <c r="DY155" i="1" s="1"/>
  <c r="AH151" i="1"/>
  <c r="CV151" i="1" s="1"/>
  <c r="U151" i="1" s="1"/>
  <c r="DZ155" i="1" s="1"/>
  <c r="AI151" i="1"/>
  <c r="AJ151" i="1"/>
  <c r="CS151" i="1"/>
  <c r="CT151" i="1"/>
  <c r="CW151" i="1"/>
  <c r="CX151" i="1"/>
  <c r="W151" i="1" s="1"/>
  <c r="GL151" i="1"/>
  <c r="GN151" i="1"/>
  <c r="GP151" i="1"/>
  <c r="FV155" i="1" s="1"/>
  <c r="GV151" i="1"/>
  <c r="HC151" i="1" s="1"/>
  <c r="GX151" i="1" s="1"/>
  <c r="Q152" i="1"/>
  <c r="W152" i="1"/>
  <c r="X152" i="1"/>
  <c r="AC152" i="1"/>
  <c r="AD152" i="1"/>
  <c r="AE152" i="1"/>
  <c r="AF152" i="1"/>
  <c r="S152" i="1" s="1"/>
  <c r="AG152" i="1"/>
  <c r="AH152" i="1"/>
  <c r="AI152" i="1"/>
  <c r="CW152" i="1" s="1"/>
  <c r="V152" i="1" s="1"/>
  <c r="AJ152" i="1"/>
  <c r="CS152" i="1"/>
  <c r="CT152" i="1"/>
  <c r="CU152" i="1"/>
  <c r="T152" i="1" s="1"/>
  <c r="CV152" i="1"/>
  <c r="U152" i="1" s="1"/>
  <c r="CX152" i="1"/>
  <c r="GL152" i="1"/>
  <c r="GN152" i="1"/>
  <c r="GP152" i="1"/>
  <c r="GV152" i="1"/>
  <c r="HC152" i="1" s="1"/>
  <c r="GX152" i="1" s="1"/>
  <c r="R153" i="1"/>
  <c r="T153" i="1"/>
  <c r="U153" i="1"/>
  <c r="W153" i="1"/>
  <c r="AB153" i="1"/>
  <c r="AC153" i="1"/>
  <c r="P153" i="1" s="1"/>
  <c r="AE153" i="1"/>
  <c r="AD153" i="1" s="1"/>
  <c r="AF153" i="1"/>
  <c r="CT153" i="1" s="1"/>
  <c r="AG153" i="1"/>
  <c r="AH153" i="1"/>
  <c r="CV153" i="1" s="1"/>
  <c r="AI153" i="1"/>
  <c r="CW153" i="1" s="1"/>
  <c r="V153" i="1" s="1"/>
  <c r="AJ153" i="1"/>
  <c r="CX153" i="1" s="1"/>
  <c r="CQ153" i="1"/>
  <c r="CR153" i="1"/>
  <c r="CS153" i="1"/>
  <c r="CU153" i="1"/>
  <c r="GL153" i="1"/>
  <c r="GN153" i="1"/>
  <c r="FT155" i="1" s="1"/>
  <c r="GP153" i="1"/>
  <c r="GV153" i="1"/>
  <c r="HC153" i="1" s="1"/>
  <c r="GX153" i="1" s="1"/>
  <c r="B155" i="1"/>
  <c r="B142" i="1" s="1"/>
  <c r="C155" i="1"/>
  <c r="C142" i="1" s="1"/>
  <c r="D155" i="1"/>
  <c r="D142" i="1" s="1"/>
  <c r="F155" i="1"/>
  <c r="F142" i="1" s="1"/>
  <c r="G155" i="1"/>
  <c r="AP155" i="1"/>
  <c r="AP142" i="1" s="1"/>
  <c r="AQ155" i="1"/>
  <c r="F165" i="1" s="1"/>
  <c r="BC155" i="1"/>
  <c r="F171" i="1" s="1"/>
  <c r="BD155" i="1"/>
  <c r="BD142" i="1" s="1"/>
  <c r="BX155" i="1"/>
  <c r="BY155" i="1"/>
  <c r="BY142" i="1" s="1"/>
  <c r="CK155" i="1"/>
  <c r="CK142" i="1" s="1"/>
  <c r="CL155" i="1"/>
  <c r="CM155" i="1"/>
  <c r="EG155" i="1"/>
  <c r="P159" i="1" s="1"/>
  <c r="FP155" i="1"/>
  <c r="FP142" i="1" s="1"/>
  <c r="FQ155" i="1"/>
  <c r="FR155" i="1"/>
  <c r="GC155" i="1"/>
  <c r="GD155" i="1"/>
  <c r="EU155" i="1" s="1"/>
  <c r="P171" i="1" s="1"/>
  <c r="GE155" i="1"/>
  <c r="F164" i="1"/>
  <c r="D185" i="1"/>
  <c r="E187" i="1"/>
  <c r="F187" i="1"/>
  <c r="Z187" i="1"/>
  <c r="AA187" i="1"/>
  <c r="AM187" i="1"/>
  <c r="AN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Y187" i="1"/>
  <c r="CN187" i="1"/>
  <c r="CO187" i="1"/>
  <c r="CP187" i="1"/>
  <c r="CQ187" i="1"/>
  <c r="CR187" i="1"/>
  <c r="CS187" i="1"/>
  <c r="CT187" i="1"/>
  <c r="CU187" i="1"/>
  <c r="CV187" i="1"/>
  <c r="CW187" i="1"/>
  <c r="CX187" i="1"/>
  <c r="CY187" i="1"/>
  <c r="CZ187" i="1"/>
  <c r="DA187" i="1"/>
  <c r="DB187" i="1"/>
  <c r="DC187" i="1"/>
  <c r="DD187" i="1"/>
  <c r="DE187" i="1"/>
  <c r="DF187" i="1"/>
  <c r="DR187" i="1"/>
  <c r="DS187" i="1"/>
  <c r="EE187" i="1"/>
  <c r="EF187" i="1"/>
  <c r="EW187" i="1"/>
  <c r="EX187" i="1"/>
  <c r="EY187" i="1"/>
  <c r="EZ187" i="1"/>
  <c r="FA187" i="1"/>
  <c r="FB187" i="1"/>
  <c r="FC187" i="1"/>
  <c r="FD187" i="1"/>
  <c r="FE187" i="1"/>
  <c r="FF187" i="1"/>
  <c r="FG187" i="1"/>
  <c r="FH187" i="1"/>
  <c r="FI187" i="1"/>
  <c r="FJ187" i="1"/>
  <c r="FK187" i="1"/>
  <c r="FL187" i="1"/>
  <c r="FM187" i="1"/>
  <c r="FN187" i="1"/>
  <c r="FO187" i="1"/>
  <c r="GF187" i="1"/>
  <c r="GG187" i="1"/>
  <c r="GH187" i="1"/>
  <c r="GI187" i="1"/>
  <c r="GJ187" i="1"/>
  <c r="GK187" i="1"/>
  <c r="GL187" i="1"/>
  <c r="GM187" i="1"/>
  <c r="GN187" i="1"/>
  <c r="GO187" i="1"/>
  <c r="GP187" i="1"/>
  <c r="GQ187" i="1"/>
  <c r="GR187" i="1"/>
  <c r="GS187" i="1"/>
  <c r="GT187" i="1"/>
  <c r="GU187" i="1"/>
  <c r="GV187" i="1"/>
  <c r="GW187" i="1"/>
  <c r="GX187" i="1"/>
  <c r="C189" i="1"/>
  <c r="D189" i="1"/>
  <c r="I189" i="1"/>
  <c r="K189" i="1"/>
  <c r="W189" i="1"/>
  <c r="AC189" i="1"/>
  <c r="AE189" i="1"/>
  <c r="AF189" i="1"/>
  <c r="AG189" i="1"/>
  <c r="CU189" i="1" s="1"/>
  <c r="T189" i="1" s="1"/>
  <c r="AH189" i="1"/>
  <c r="AI189" i="1"/>
  <c r="CW189" i="1" s="1"/>
  <c r="V189" i="1" s="1"/>
  <c r="AJ189" i="1"/>
  <c r="CQ189" i="1"/>
  <c r="CT189" i="1"/>
  <c r="CV189" i="1"/>
  <c r="U189" i="1" s="1"/>
  <c r="CX189" i="1"/>
  <c r="GL189" i="1"/>
  <c r="GN189" i="1"/>
  <c r="GP189" i="1"/>
  <c r="GV189" i="1"/>
  <c r="HC189" i="1"/>
  <c r="GX189" i="1" s="1"/>
  <c r="C190" i="1"/>
  <c r="D190" i="1"/>
  <c r="I190" i="1"/>
  <c r="K190" i="1"/>
  <c r="P190" i="1"/>
  <c r="Q190" i="1"/>
  <c r="S190" i="1"/>
  <c r="Y190" i="1"/>
  <c r="AC190" i="1"/>
  <c r="CQ190" i="1" s="1"/>
  <c r="AE190" i="1"/>
  <c r="CR190" i="1" s="1"/>
  <c r="AF190" i="1"/>
  <c r="AG190" i="1"/>
  <c r="CU190" i="1" s="1"/>
  <c r="T190" i="1" s="1"/>
  <c r="AH190" i="1"/>
  <c r="AI190" i="1"/>
  <c r="CW190" i="1" s="1"/>
  <c r="V190" i="1" s="1"/>
  <c r="AJ190" i="1"/>
  <c r="CS190" i="1"/>
  <c r="CT190" i="1"/>
  <c r="CV190" i="1"/>
  <c r="U190" i="1" s="1"/>
  <c r="CX190" i="1"/>
  <c r="W190" i="1" s="1"/>
  <c r="CY190" i="1"/>
  <c r="GL190" i="1"/>
  <c r="GN190" i="1"/>
  <c r="GP190" i="1"/>
  <c r="GV190" i="1"/>
  <c r="HC190" i="1" s="1"/>
  <c r="GX190" i="1" s="1"/>
  <c r="I191" i="1"/>
  <c r="K191" i="1"/>
  <c r="P191" i="1"/>
  <c r="S191" i="1"/>
  <c r="X191" i="1"/>
  <c r="AC191" i="1"/>
  <c r="AE191" i="1"/>
  <c r="AF191" i="1"/>
  <c r="AG191" i="1"/>
  <c r="CU191" i="1" s="1"/>
  <c r="T191" i="1" s="1"/>
  <c r="AH191" i="1"/>
  <c r="AI191" i="1"/>
  <c r="AJ191" i="1"/>
  <c r="CQ191" i="1"/>
  <c r="CT191" i="1"/>
  <c r="CV191" i="1"/>
  <c r="U191" i="1" s="1"/>
  <c r="CW191" i="1"/>
  <c r="V191" i="1" s="1"/>
  <c r="CX191" i="1"/>
  <c r="W191" i="1" s="1"/>
  <c r="GL191" i="1"/>
  <c r="GN191" i="1"/>
  <c r="GP191" i="1"/>
  <c r="GV191" i="1"/>
  <c r="HC191" i="1"/>
  <c r="GX191" i="1" s="1"/>
  <c r="I192" i="1"/>
  <c r="Q192" i="1" s="1"/>
  <c r="K192" i="1"/>
  <c r="R192" i="1"/>
  <c r="AC192" i="1"/>
  <c r="P192" i="1" s="1"/>
  <c r="AE192" i="1"/>
  <c r="AD192" i="1" s="1"/>
  <c r="AB192" i="1" s="1"/>
  <c r="AF192" i="1"/>
  <c r="CT192" i="1" s="1"/>
  <c r="AG192" i="1"/>
  <c r="CU192" i="1" s="1"/>
  <c r="T192" i="1" s="1"/>
  <c r="AH192" i="1"/>
  <c r="CV192" i="1" s="1"/>
  <c r="U192" i="1" s="1"/>
  <c r="AI192" i="1"/>
  <c r="AJ192" i="1"/>
  <c r="CQ192" i="1"/>
  <c r="CR192" i="1"/>
  <c r="CS192" i="1"/>
  <c r="CW192" i="1"/>
  <c r="V192" i="1" s="1"/>
  <c r="CX192" i="1"/>
  <c r="W192" i="1" s="1"/>
  <c r="GL192" i="1"/>
  <c r="GN192" i="1"/>
  <c r="GP192" i="1"/>
  <c r="GV192" i="1"/>
  <c r="HC192" i="1" s="1"/>
  <c r="GX192" i="1" s="1"/>
  <c r="I193" i="1"/>
  <c r="U193" i="1" s="1"/>
  <c r="K193" i="1"/>
  <c r="S193" i="1"/>
  <c r="Y193" i="1"/>
  <c r="AC193" i="1"/>
  <c r="CQ193" i="1" s="1"/>
  <c r="AE193" i="1"/>
  <c r="AD193" i="1" s="1"/>
  <c r="AB193" i="1" s="1"/>
  <c r="AF193" i="1"/>
  <c r="CT193" i="1" s="1"/>
  <c r="AG193" i="1"/>
  <c r="CU193" i="1" s="1"/>
  <c r="T193" i="1" s="1"/>
  <c r="AH193" i="1"/>
  <c r="AI193" i="1"/>
  <c r="CW193" i="1" s="1"/>
  <c r="V193" i="1" s="1"/>
  <c r="AJ193" i="1"/>
  <c r="CR193" i="1"/>
  <c r="CS193" i="1"/>
  <c r="CV193" i="1"/>
  <c r="CX193" i="1"/>
  <c r="W193" i="1" s="1"/>
  <c r="GL193" i="1"/>
  <c r="GN193" i="1"/>
  <c r="GP193" i="1"/>
  <c r="GV193" i="1"/>
  <c r="HC193" i="1"/>
  <c r="GX193" i="1" s="1"/>
  <c r="I194" i="1"/>
  <c r="Q194" i="1" s="1"/>
  <c r="K194" i="1"/>
  <c r="P194" i="1"/>
  <c r="AC194" i="1"/>
  <c r="AD194" i="1"/>
  <c r="AB194" i="1" s="1"/>
  <c r="AE194" i="1"/>
  <c r="AF194" i="1"/>
  <c r="AG194" i="1"/>
  <c r="AH194" i="1"/>
  <c r="CV194" i="1" s="1"/>
  <c r="U194" i="1" s="1"/>
  <c r="AI194" i="1"/>
  <c r="CW194" i="1" s="1"/>
  <c r="V194" i="1" s="1"/>
  <c r="AJ194" i="1"/>
  <c r="CX194" i="1" s="1"/>
  <c r="W194" i="1" s="1"/>
  <c r="CQ194" i="1"/>
  <c r="CR194" i="1"/>
  <c r="CS194" i="1"/>
  <c r="CT194" i="1"/>
  <c r="CU194" i="1"/>
  <c r="T194" i="1" s="1"/>
  <c r="GL194" i="1"/>
  <c r="GN194" i="1"/>
  <c r="GP194" i="1"/>
  <c r="GV194" i="1"/>
  <c r="GX194" i="1"/>
  <c r="HC194" i="1"/>
  <c r="C195" i="1"/>
  <c r="D195" i="1"/>
  <c r="I195" i="1"/>
  <c r="K195" i="1"/>
  <c r="S195" i="1"/>
  <c r="U195" i="1"/>
  <c r="Y195" i="1"/>
  <c r="AB195" i="1"/>
  <c r="AC195" i="1"/>
  <c r="CQ195" i="1" s="1"/>
  <c r="AE195" i="1"/>
  <c r="AD195" i="1" s="1"/>
  <c r="AF195" i="1"/>
  <c r="CT195" i="1" s="1"/>
  <c r="AG195" i="1"/>
  <c r="CU195" i="1" s="1"/>
  <c r="T195" i="1" s="1"/>
  <c r="AH195" i="1"/>
  <c r="AI195" i="1"/>
  <c r="CW195" i="1" s="1"/>
  <c r="V195" i="1" s="1"/>
  <c r="AJ195" i="1"/>
  <c r="CR195" i="1"/>
  <c r="CS195" i="1"/>
  <c r="CV195" i="1"/>
  <c r="CX195" i="1"/>
  <c r="W195" i="1" s="1"/>
  <c r="CZ195" i="1"/>
  <c r="GL195" i="1"/>
  <c r="GN195" i="1"/>
  <c r="GP195" i="1"/>
  <c r="GV195" i="1"/>
  <c r="HC195" i="1"/>
  <c r="GX195" i="1" s="1"/>
  <c r="C196" i="1"/>
  <c r="D196" i="1"/>
  <c r="I196" i="1"/>
  <c r="Q196" i="1" s="1"/>
  <c r="K196" i="1"/>
  <c r="R196" i="1"/>
  <c r="S196" i="1"/>
  <c r="X196" i="1"/>
  <c r="AC196" i="1"/>
  <c r="P196" i="1" s="1"/>
  <c r="AE196" i="1"/>
  <c r="AD196" i="1" s="1"/>
  <c r="AB196" i="1" s="1"/>
  <c r="AF196" i="1"/>
  <c r="CT196" i="1" s="1"/>
  <c r="AG196" i="1"/>
  <c r="CU196" i="1" s="1"/>
  <c r="T196" i="1" s="1"/>
  <c r="AH196" i="1"/>
  <c r="CV196" i="1" s="1"/>
  <c r="U196" i="1" s="1"/>
  <c r="AI196" i="1"/>
  <c r="AJ196" i="1"/>
  <c r="CQ196" i="1"/>
  <c r="CR196" i="1"/>
  <c r="CS196" i="1"/>
  <c r="CW196" i="1"/>
  <c r="V196" i="1" s="1"/>
  <c r="CX196" i="1"/>
  <c r="W196" i="1" s="1"/>
  <c r="GL196" i="1"/>
  <c r="GN196" i="1"/>
  <c r="GP196" i="1"/>
  <c r="GV196" i="1"/>
  <c r="HC196" i="1" s="1"/>
  <c r="GX196" i="1" s="1"/>
  <c r="I197" i="1"/>
  <c r="T197" i="1"/>
  <c r="V197" i="1"/>
  <c r="AC197" i="1"/>
  <c r="AE197" i="1"/>
  <c r="CR197" i="1" s="1"/>
  <c r="AF197" i="1"/>
  <c r="S197" i="1" s="1"/>
  <c r="AG197" i="1"/>
  <c r="CU197" i="1" s="1"/>
  <c r="AH197" i="1"/>
  <c r="CV197" i="1" s="1"/>
  <c r="U197" i="1" s="1"/>
  <c r="AI197" i="1"/>
  <c r="AJ197" i="1"/>
  <c r="CX197" i="1" s="1"/>
  <c r="W197" i="1" s="1"/>
  <c r="CS197" i="1"/>
  <c r="CT197" i="1"/>
  <c r="CW197" i="1"/>
  <c r="GL197" i="1"/>
  <c r="GN197" i="1"/>
  <c r="GP197" i="1"/>
  <c r="GV197" i="1"/>
  <c r="HC197" i="1" s="1"/>
  <c r="GX197" i="1" s="1"/>
  <c r="I198" i="1"/>
  <c r="Q198" i="1" s="1"/>
  <c r="P198" i="1"/>
  <c r="R198" i="1"/>
  <c r="V198" i="1"/>
  <c r="AC198" i="1"/>
  <c r="CQ198" i="1" s="1"/>
  <c r="AD198" i="1"/>
  <c r="AE198" i="1"/>
  <c r="AF198" i="1"/>
  <c r="AG198" i="1"/>
  <c r="AH198" i="1"/>
  <c r="AI198" i="1"/>
  <c r="AJ198" i="1"/>
  <c r="CX198" i="1" s="1"/>
  <c r="W198" i="1" s="1"/>
  <c r="CR198" i="1"/>
  <c r="CS198" i="1"/>
  <c r="CU198" i="1"/>
  <c r="T198" i="1" s="1"/>
  <c r="CV198" i="1"/>
  <c r="U198" i="1" s="1"/>
  <c r="CW198" i="1"/>
  <c r="GL198" i="1"/>
  <c r="GN198" i="1"/>
  <c r="GP198" i="1"/>
  <c r="GV198" i="1"/>
  <c r="HC198" i="1" s="1"/>
  <c r="GX198" i="1" s="1"/>
  <c r="I199" i="1"/>
  <c r="P199" i="1" s="1"/>
  <c r="K199" i="1"/>
  <c r="U199" i="1"/>
  <c r="AC199" i="1"/>
  <c r="AE199" i="1"/>
  <c r="AF199" i="1"/>
  <c r="AG199" i="1"/>
  <c r="CU199" i="1" s="1"/>
  <c r="AH199" i="1"/>
  <c r="AI199" i="1"/>
  <c r="CW199" i="1" s="1"/>
  <c r="V199" i="1" s="1"/>
  <c r="AJ199" i="1"/>
  <c r="CX199" i="1" s="1"/>
  <c r="CQ199" i="1"/>
  <c r="CR199" i="1"/>
  <c r="CV199" i="1"/>
  <c r="GL199" i="1"/>
  <c r="GN199" i="1"/>
  <c r="GP199" i="1"/>
  <c r="GV199" i="1"/>
  <c r="HC199" i="1"/>
  <c r="GX199" i="1" s="1"/>
  <c r="I200" i="1"/>
  <c r="Q200" i="1" s="1"/>
  <c r="K200" i="1"/>
  <c r="P200" i="1"/>
  <c r="R200" i="1"/>
  <c r="AC200" i="1"/>
  <c r="AB200" i="1" s="1"/>
  <c r="AD200" i="1"/>
  <c r="AE200" i="1"/>
  <c r="CS200" i="1" s="1"/>
  <c r="AF200" i="1"/>
  <c r="AG200" i="1"/>
  <c r="AH200" i="1"/>
  <c r="CV200" i="1" s="1"/>
  <c r="U200" i="1" s="1"/>
  <c r="AI200" i="1"/>
  <c r="AJ200" i="1"/>
  <c r="CQ200" i="1"/>
  <c r="CR200" i="1"/>
  <c r="CU200" i="1"/>
  <c r="T200" i="1" s="1"/>
  <c r="CW200" i="1"/>
  <c r="V200" i="1" s="1"/>
  <c r="CX200" i="1"/>
  <c r="W200" i="1" s="1"/>
  <c r="GL200" i="1"/>
  <c r="GN200" i="1"/>
  <c r="GP200" i="1"/>
  <c r="GV200" i="1"/>
  <c r="HC200" i="1" s="1"/>
  <c r="GX200" i="1" s="1"/>
  <c r="I201" i="1"/>
  <c r="K201" i="1"/>
  <c r="S201" i="1"/>
  <c r="AC201" i="1"/>
  <c r="AD201" i="1"/>
  <c r="AE201" i="1"/>
  <c r="AF201" i="1"/>
  <c r="AG201" i="1"/>
  <c r="CU201" i="1" s="1"/>
  <c r="T201" i="1" s="1"/>
  <c r="AH201" i="1"/>
  <c r="CV201" i="1" s="1"/>
  <c r="U201" i="1" s="1"/>
  <c r="AI201" i="1"/>
  <c r="CW201" i="1" s="1"/>
  <c r="V201" i="1" s="1"/>
  <c r="AJ201" i="1"/>
  <c r="CR201" i="1"/>
  <c r="CS201" i="1"/>
  <c r="CT201" i="1"/>
  <c r="CX201" i="1"/>
  <c r="W201" i="1" s="1"/>
  <c r="GL201" i="1"/>
  <c r="GN201" i="1"/>
  <c r="GP201" i="1"/>
  <c r="GV201" i="1"/>
  <c r="HC201" i="1" s="1"/>
  <c r="GX201" i="1" s="1"/>
  <c r="I202" i="1"/>
  <c r="K202" i="1"/>
  <c r="R202" i="1"/>
  <c r="V202" i="1"/>
  <c r="AC202" i="1"/>
  <c r="AE202" i="1"/>
  <c r="CR202" i="1" s="1"/>
  <c r="AF202" i="1"/>
  <c r="S202" i="1" s="1"/>
  <c r="AG202" i="1"/>
  <c r="CU202" i="1" s="1"/>
  <c r="T202" i="1" s="1"/>
  <c r="AH202" i="1"/>
  <c r="CV202" i="1" s="1"/>
  <c r="U202" i="1" s="1"/>
  <c r="AI202" i="1"/>
  <c r="AJ202" i="1"/>
  <c r="CX202" i="1" s="1"/>
  <c r="W202" i="1" s="1"/>
  <c r="CS202" i="1"/>
  <c r="CT202" i="1"/>
  <c r="CW202" i="1"/>
  <c r="CY202" i="1"/>
  <c r="GL202" i="1"/>
  <c r="GN202" i="1"/>
  <c r="GP202" i="1"/>
  <c r="GV202" i="1"/>
  <c r="HC202" i="1" s="1"/>
  <c r="GX202" i="1" s="1"/>
  <c r="B204" i="1"/>
  <c r="B187" i="1" s="1"/>
  <c r="C204" i="1"/>
  <c r="C187" i="1" s="1"/>
  <c r="D204" i="1"/>
  <c r="D187" i="1" s="1"/>
  <c r="F204" i="1"/>
  <c r="G204" i="1"/>
  <c r="G187" i="1" s="1"/>
  <c r="AO204" i="1"/>
  <c r="AO187" i="1" s="1"/>
  <c r="AZ204" i="1"/>
  <c r="F215" i="1" s="1"/>
  <c r="BX204" i="1"/>
  <c r="BX187" i="1" s="1"/>
  <c r="BY204" i="1"/>
  <c r="CI204" i="1" s="1"/>
  <c r="CI187" i="1" s="1"/>
  <c r="BZ204" i="1"/>
  <c r="CG204" i="1"/>
  <c r="CK204" i="1"/>
  <c r="BB204" i="1" s="1"/>
  <c r="CL204" i="1"/>
  <c r="CM204" i="1"/>
  <c r="CM187" i="1" s="1"/>
  <c r="FP204" i="1"/>
  <c r="FQ204" i="1"/>
  <c r="FR204" i="1"/>
  <c r="FR187" i="1" s="1"/>
  <c r="GA204" i="1"/>
  <c r="GC204" i="1"/>
  <c r="GD204" i="1"/>
  <c r="GD187" i="1" s="1"/>
  <c r="GE204" i="1"/>
  <c r="GE187" i="1" s="1"/>
  <c r="F208" i="1"/>
  <c r="D234" i="1"/>
  <c r="B236" i="1"/>
  <c r="E236" i="1"/>
  <c r="Z236" i="1"/>
  <c r="AA236" i="1"/>
  <c r="AM236" i="1"/>
  <c r="AN236" i="1"/>
  <c r="AO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CN236" i="1"/>
  <c r="CO236" i="1"/>
  <c r="CP236" i="1"/>
  <c r="CQ236" i="1"/>
  <c r="CR236" i="1"/>
  <c r="CS236" i="1"/>
  <c r="CT236" i="1"/>
  <c r="CU236" i="1"/>
  <c r="CV236" i="1"/>
  <c r="CW236" i="1"/>
  <c r="CX236" i="1"/>
  <c r="CY236" i="1"/>
  <c r="CZ236" i="1"/>
  <c r="DA236" i="1"/>
  <c r="DB236" i="1"/>
  <c r="DC236" i="1"/>
  <c r="DD236" i="1"/>
  <c r="DE236" i="1"/>
  <c r="DF236" i="1"/>
  <c r="DR236" i="1"/>
  <c r="DS236" i="1"/>
  <c r="EE236" i="1"/>
  <c r="EF236" i="1"/>
  <c r="EW236" i="1"/>
  <c r="EX236" i="1"/>
  <c r="EY236" i="1"/>
  <c r="EZ236" i="1"/>
  <c r="FA236" i="1"/>
  <c r="FB236" i="1"/>
  <c r="FC236" i="1"/>
  <c r="FD236" i="1"/>
  <c r="FE236" i="1"/>
  <c r="FF236" i="1"/>
  <c r="FG236" i="1"/>
  <c r="FH236" i="1"/>
  <c r="FI236" i="1"/>
  <c r="FJ236" i="1"/>
  <c r="FK236" i="1"/>
  <c r="FL236" i="1"/>
  <c r="FM236" i="1"/>
  <c r="FN236" i="1"/>
  <c r="FO236" i="1"/>
  <c r="GF236" i="1"/>
  <c r="GG236" i="1"/>
  <c r="GH236" i="1"/>
  <c r="GI236" i="1"/>
  <c r="GJ236" i="1"/>
  <c r="GK236" i="1"/>
  <c r="GL236" i="1"/>
  <c r="GM236" i="1"/>
  <c r="GN236" i="1"/>
  <c r="GO236" i="1"/>
  <c r="GP236" i="1"/>
  <c r="GQ236" i="1"/>
  <c r="GR236" i="1"/>
  <c r="GS236" i="1"/>
  <c r="GT236" i="1"/>
  <c r="GU236" i="1"/>
  <c r="GV236" i="1"/>
  <c r="GW236" i="1"/>
  <c r="GX236" i="1"/>
  <c r="C238" i="1"/>
  <c r="D238" i="1"/>
  <c r="I238" i="1"/>
  <c r="K238" i="1"/>
  <c r="S238" i="1"/>
  <c r="U238" i="1"/>
  <c r="AC238" i="1"/>
  <c r="AD238" i="1"/>
  <c r="AE238" i="1"/>
  <c r="AF238" i="1"/>
  <c r="AG238" i="1"/>
  <c r="AH238" i="1"/>
  <c r="CV238" i="1" s="1"/>
  <c r="AI238" i="1"/>
  <c r="AJ238" i="1"/>
  <c r="CX238" i="1" s="1"/>
  <c r="W238" i="1" s="1"/>
  <c r="CR238" i="1"/>
  <c r="CS238" i="1"/>
  <c r="CT238" i="1"/>
  <c r="CU238" i="1"/>
  <c r="CW238" i="1"/>
  <c r="V238" i="1" s="1"/>
  <c r="GL238" i="1"/>
  <c r="GN238" i="1"/>
  <c r="GP238" i="1"/>
  <c r="GV238" i="1"/>
  <c r="GX238" i="1"/>
  <c r="HC238" i="1"/>
  <c r="C239" i="1"/>
  <c r="D239" i="1"/>
  <c r="I239" i="1"/>
  <c r="K239" i="1"/>
  <c r="R239" i="1"/>
  <c r="W239" i="1"/>
  <c r="AC239" i="1"/>
  <c r="AD239" i="1"/>
  <c r="AE239" i="1"/>
  <c r="AF239" i="1"/>
  <c r="AG239" i="1"/>
  <c r="AH239" i="1"/>
  <c r="CV239" i="1" s="1"/>
  <c r="U239" i="1" s="1"/>
  <c r="AI239" i="1"/>
  <c r="AJ239" i="1"/>
  <c r="CX239" i="1" s="1"/>
  <c r="CQ239" i="1"/>
  <c r="CR239" i="1"/>
  <c r="CS239" i="1"/>
  <c r="CU239" i="1"/>
  <c r="T239" i="1" s="1"/>
  <c r="CW239" i="1"/>
  <c r="V239" i="1" s="1"/>
  <c r="GL239" i="1"/>
  <c r="GN239" i="1"/>
  <c r="GP239" i="1"/>
  <c r="GV239" i="1"/>
  <c r="GX239" i="1"/>
  <c r="HC239" i="1"/>
  <c r="AC240" i="1"/>
  <c r="AE240" i="1"/>
  <c r="CR240" i="1" s="1"/>
  <c r="AF240" i="1"/>
  <c r="CT240" i="1" s="1"/>
  <c r="AG240" i="1"/>
  <c r="CU240" i="1" s="1"/>
  <c r="AH240" i="1"/>
  <c r="AI240" i="1"/>
  <c r="AJ240" i="1"/>
  <c r="CQ240" i="1"/>
  <c r="CS240" i="1"/>
  <c r="CV240" i="1"/>
  <c r="CW240" i="1"/>
  <c r="CX240" i="1"/>
  <c r="GL240" i="1"/>
  <c r="GN240" i="1"/>
  <c r="GP240" i="1"/>
  <c r="GV240" i="1"/>
  <c r="HC240" i="1"/>
  <c r="I241" i="1"/>
  <c r="V241" i="1"/>
  <c r="AC241" i="1"/>
  <c r="AD241" i="1"/>
  <c r="AE241" i="1"/>
  <c r="AF241" i="1"/>
  <c r="S241" i="1" s="1"/>
  <c r="AG241" i="1"/>
  <c r="AH241" i="1"/>
  <c r="CV241" i="1" s="1"/>
  <c r="U241" i="1" s="1"/>
  <c r="AI241" i="1"/>
  <c r="AJ241" i="1"/>
  <c r="CX241" i="1" s="1"/>
  <c r="W241" i="1" s="1"/>
  <c r="CR241" i="1"/>
  <c r="CS241" i="1"/>
  <c r="CT241" i="1"/>
  <c r="CU241" i="1"/>
  <c r="CW241" i="1"/>
  <c r="GL241" i="1"/>
  <c r="GN241" i="1"/>
  <c r="GP241" i="1"/>
  <c r="GV241" i="1"/>
  <c r="HC241" i="1" s="1"/>
  <c r="GX241" i="1" s="1"/>
  <c r="AC242" i="1"/>
  <c r="AD242" i="1"/>
  <c r="AE242" i="1"/>
  <c r="AF242" i="1"/>
  <c r="AG242" i="1"/>
  <c r="AH242" i="1"/>
  <c r="CV242" i="1" s="1"/>
  <c r="AI242" i="1"/>
  <c r="AJ242" i="1"/>
  <c r="CX242" i="1" s="1"/>
  <c r="CQ242" i="1"/>
  <c r="CR242" i="1"/>
  <c r="CS242" i="1"/>
  <c r="CU242" i="1"/>
  <c r="CW242" i="1"/>
  <c r="GL242" i="1"/>
  <c r="GN242" i="1"/>
  <c r="GP242" i="1"/>
  <c r="GV242" i="1"/>
  <c r="HC242" i="1"/>
  <c r="I243" i="1"/>
  <c r="R243" i="1"/>
  <c r="AC243" i="1"/>
  <c r="AE243" i="1"/>
  <c r="CR243" i="1" s="1"/>
  <c r="AF243" i="1"/>
  <c r="CT243" i="1" s="1"/>
  <c r="AG243" i="1"/>
  <c r="CU243" i="1" s="1"/>
  <c r="T243" i="1" s="1"/>
  <c r="AH243" i="1"/>
  <c r="AI243" i="1"/>
  <c r="AJ243" i="1"/>
  <c r="CQ243" i="1"/>
  <c r="CS243" i="1"/>
  <c r="CV243" i="1"/>
  <c r="CW243" i="1"/>
  <c r="V243" i="1" s="1"/>
  <c r="CX243" i="1"/>
  <c r="W243" i="1" s="1"/>
  <c r="GL243" i="1"/>
  <c r="GN243" i="1"/>
  <c r="GP243" i="1"/>
  <c r="GV243" i="1"/>
  <c r="HC243" i="1"/>
  <c r="GX243" i="1" s="1"/>
  <c r="I244" i="1"/>
  <c r="T244" i="1" s="1"/>
  <c r="V244" i="1"/>
  <c r="AC244" i="1"/>
  <c r="AD244" i="1"/>
  <c r="AE244" i="1"/>
  <c r="AF244" i="1"/>
  <c r="AG244" i="1"/>
  <c r="AH244" i="1"/>
  <c r="CV244" i="1" s="1"/>
  <c r="AI244" i="1"/>
  <c r="AJ244" i="1"/>
  <c r="CX244" i="1" s="1"/>
  <c r="W244" i="1" s="1"/>
  <c r="CR244" i="1"/>
  <c r="CS244" i="1"/>
  <c r="CT244" i="1"/>
  <c r="CU244" i="1"/>
  <c r="CW244" i="1"/>
  <c r="GL244" i="1"/>
  <c r="GN244" i="1"/>
  <c r="GP244" i="1"/>
  <c r="CD255" i="1" s="1"/>
  <c r="GV244" i="1"/>
  <c r="HC244" i="1" s="1"/>
  <c r="I245" i="1"/>
  <c r="Q245" i="1" s="1"/>
  <c r="P245" i="1"/>
  <c r="R245" i="1"/>
  <c r="W245" i="1"/>
  <c r="AC245" i="1"/>
  <c r="AD245" i="1"/>
  <c r="AE245" i="1"/>
  <c r="AF245" i="1"/>
  <c r="AG245" i="1"/>
  <c r="AH245" i="1"/>
  <c r="CV245" i="1" s="1"/>
  <c r="U245" i="1" s="1"/>
  <c r="AI245" i="1"/>
  <c r="AJ245" i="1"/>
  <c r="CX245" i="1" s="1"/>
  <c r="CQ245" i="1"/>
  <c r="CR245" i="1"/>
  <c r="CS245" i="1"/>
  <c r="CU245" i="1"/>
  <c r="T245" i="1" s="1"/>
  <c r="CW245" i="1"/>
  <c r="V245" i="1" s="1"/>
  <c r="GL245" i="1"/>
  <c r="GN245" i="1"/>
  <c r="GP245" i="1"/>
  <c r="GV245" i="1"/>
  <c r="GX245" i="1"/>
  <c r="HC245" i="1"/>
  <c r="I246" i="1"/>
  <c r="R246" i="1" s="1"/>
  <c r="S246" i="1"/>
  <c r="AC246" i="1"/>
  <c r="AE246" i="1"/>
  <c r="CR246" i="1" s="1"/>
  <c r="AF246" i="1"/>
  <c r="CT246" i="1" s="1"/>
  <c r="AG246" i="1"/>
  <c r="CU246" i="1" s="1"/>
  <c r="T246" i="1" s="1"/>
  <c r="AH246" i="1"/>
  <c r="AI246" i="1"/>
  <c r="AJ246" i="1"/>
  <c r="CQ246" i="1"/>
  <c r="CS246" i="1"/>
  <c r="CV246" i="1"/>
  <c r="U246" i="1" s="1"/>
  <c r="CW246" i="1"/>
  <c r="CX246" i="1"/>
  <c r="GL246" i="1"/>
  <c r="GN246" i="1"/>
  <c r="GP246" i="1"/>
  <c r="GV246" i="1"/>
  <c r="HC246" i="1"/>
  <c r="I247" i="1"/>
  <c r="V247" i="1" s="1"/>
  <c r="T247" i="1"/>
  <c r="AB247" i="1"/>
  <c r="AC247" i="1"/>
  <c r="AD247" i="1"/>
  <c r="AE247" i="1"/>
  <c r="AF247" i="1"/>
  <c r="S247" i="1" s="1"/>
  <c r="AG247" i="1"/>
  <c r="AH247" i="1"/>
  <c r="CV247" i="1" s="1"/>
  <c r="U247" i="1" s="1"/>
  <c r="AI247" i="1"/>
  <c r="AJ247" i="1"/>
  <c r="CX247" i="1" s="1"/>
  <c r="W247" i="1" s="1"/>
  <c r="CR247" i="1"/>
  <c r="CS247" i="1"/>
  <c r="CT247" i="1"/>
  <c r="CU247" i="1"/>
  <c r="CW247" i="1"/>
  <c r="GL247" i="1"/>
  <c r="GN247" i="1"/>
  <c r="GP247" i="1"/>
  <c r="GV247" i="1"/>
  <c r="HC247" i="1" s="1"/>
  <c r="GX247" i="1" s="1"/>
  <c r="GB255" i="1" s="1"/>
  <c r="AC248" i="1"/>
  <c r="AD248" i="1"/>
  <c r="AB248" i="1" s="1"/>
  <c r="AE248" i="1"/>
  <c r="AF248" i="1"/>
  <c r="AG248" i="1"/>
  <c r="AH248" i="1"/>
  <c r="CV248" i="1" s="1"/>
  <c r="AI248" i="1"/>
  <c r="AJ248" i="1"/>
  <c r="CX248" i="1" s="1"/>
  <c r="CQ248" i="1"/>
  <c r="CR248" i="1"/>
  <c r="CS248" i="1"/>
  <c r="CU248" i="1"/>
  <c r="CW248" i="1"/>
  <c r="GL248" i="1"/>
  <c r="GN248" i="1"/>
  <c r="GP248" i="1"/>
  <c r="GV248" i="1"/>
  <c r="HC248" i="1"/>
  <c r="I249" i="1"/>
  <c r="R249" i="1"/>
  <c r="S249" i="1"/>
  <c r="X249" i="1"/>
  <c r="AC249" i="1"/>
  <c r="AE249" i="1"/>
  <c r="CR249" i="1" s="1"/>
  <c r="AF249" i="1"/>
  <c r="CT249" i="1" s="1"/>
  <c r="AG249" i="1"/>
  <c r="CU249" i="1" s="1"/>
  <c r="AH249" i="1"/>
  <c r="AI249" i="1"/>
  <c r="AJ249" i="1"/>
  <c r="CX249" i="1" s="1"/>
  <c r="W249" i="1" s="1"/>
  <c r="CQ249" i="1"/>
  <c r="CS249" i="1"/>
  <c r="CV249" i="1"/>
  <c r="CW249" i="1"/>
  <c r="V249" i="1" s="1"/>
  <c r="GL249" i="1"/>
  <c r="GN249" i="1"/>
  <c r="GP249" i="1"/>
  <c r="GV249" i="1"/>
  <c r="HC249" i="1"/>
  <c r="GX249" i="1" s="1"/>
  <c r="C250" i="1"/>
  <c r="D250" i="1"/>
  <c r="I250" i="1"/>
  <c r="K250" i="1"/>
  <c r="Q250" i="1"/>
  <c r="S250" i="1"/>
  <c r="W250" i="1"/>
  <c r="AC250" i="1"/>
  <c r="AE250" i="1"/>
  <c r="AF250" i="1"/>
  <c r="AG250" i="1"/>
  <c r="CU250" i="1" s="1"/>
  <c r="T250" i="1" s="1"/>
  <c r="AH250" i="1"/>
  <c r="AI250" i="1"/>
  <c r="CW250" i="1" s="1"/>
  <c r="V250" i="1" s="1"/>
  <c r="AJ250" i="1"/>
  <c r="CQ250" i="1"/>
  <c r="CT250" i="1"/>
  <c r="CV250" i="1"/>
  <c r="U250" i="1" s="1"/>
  <c r="CX250" i="1"/>
  <c r="GL250" i="1"/>
  <c r="GN250" i="1"/>
  <c r="GP250" i="1"/>
  <c r="GV250" i="1"/>
  <c r="HC250" i="1"/>
  <c r="GX250" i="1" s="1"/>
  <c r="C251" i="1"/>
  <c r="D251" i="1"/>
  <c r="I251" i="1"/>
  <c r="K251" i="1"/>
  <c r="P251" i="1"/>
  <c r="T251" i="1"/>
  <c r="V251" i="1"/>
  <c r="X251" i="1"/>
  <c r="AC251" i="1"/>
  <c r="AE251" i="1"/>
  <c r="AF251" i="1"/>
  <c r="S251" i="1" s="1"/>
  <c r="AG251" i="1"/>
  <c r="AH251" i="1"/>
  <c r="CV251" i="1" s="1"/>
  <c r="U251" i="1" s="1"/>
  <c r="AI251" i="1"/>
  <c r="AJ251" i="1"/>
  <c r="CX251" i="1" s="1"/>
  <c r="W251" i="1" s="1"/>
  <c r="CQ251" i="1"/>
  <c r="CT251" i="1"/>
  <c r="CU251" i="1"/>
  <c r="CW251" i="1"/>
  <c r="GL251" i="1"/>
  <c r="GN251" i="1"/>
  <c r="FT255" i="1" s="1"/>
  <c r="GP251" i="1"/>
  <c r="GV251" i="1"/>
  <c r="HC251" i="1" s="1"/>
  <c r="GX251" i="1" s="1"/>
  <c r="I252" i="1"/>
  <c r="Q252" i="1" s="1"/>
  <c r="P252" i="1"/>
  <c r="R252" i="1"/>
  <c r="T252" i="1"/>
  <c r="AC252" i="1"/>
  <c r="AD252" i="1"/>
  <c r="AB252" i="1" s="1"/>
  <c r="AE252" i="1"/>
  <c r="AF252" i="1"/>
  <c r="AG252" i="1"/>
  <c r="AH252" i="1"/>
  <c r="CV252" i="1" s="1"/>
  <c r="U252" i="1" s="1"/>
  <c r="AI252" i="1"/>
  <c r="AJ252" i="1"/>
  <c r="CX252" i="1" s="1"/>
  <c r="W252" i="1" s="1"/>
  <c r="CQ252" i="1"/>
  <c r="CR252" i="1"/>
  <c r="CS252" i="1"/>
  <c r="CU252" i="1"/>
  <c r="CW252" i="1"/>
  <c r="V252" i="1" s="1"/>
  <c r="GL252" i="1"/>
  <c r="GN252" i="1"/>
  <c r="GP252" i="1"/>
  <c r="GV252" i="1"/>
  <c r="HC252" i="1" s="1"/>
  <c r="GX252" i="1" s="1"/>
  <c r="I253" i="1"/>
  <c r="P253" i="1"/>
  <c r="S253" i="1"/>
  <c r="Y253" i="1" s="1"/>
  <c r="U253" i="1"/>
  <c r="AB253" i="1"/>
  <c r="AC253" i="1"/>
  <c r="AD253" i="1"/>
  <c r="AE253" i="1"/>
  <c r="CR253" i="1" s="1"/>
  <c r="AF253" i="1"/>
  <c r="CT253" i="1" s="1"/>
  <c r="AG253" i="1"/>
  <c r="CU253" i="1" s="1"/>
  <c r="T253" i="1" s="1"/>
  <c r="AH253" i="1"/>
  <c r="CV253" i="1" s="1"/>
  <c r="AI253" i="1"/>
  <c r="CW253" i="1" s="1"/>
  <c r="V253" i="1" s="1"/>
  <c r="AJ253" i="1"/>
  <c r="CQ253" i="1"/>
  <c r="CS253" i="1"/>
  <c r="CX253" i="1"/>
  <c r="W253" i="1" s="1"/>
  <c r="GL253" i="1"/>
  <c r="GN253" i="1"/>
  <c r="GP253" i="1"/>
  <c r="GV253" i="1"/>
  <c r="GX253" i="1"/>
  <c r="HC253" i="1"/>
  <c r="B255" i="1"/>
  <c r="C255" i="1"/>
  <c r="C236" i="1" s="1"/>
  <c r="D255" i="1"/>
  <c r="D236" i="1" s="1"/>
  <c r="F255" i="1"/>
  <c r="F236" i="1" s="1"/>
  <c r="G255" i="1"/>
  <c r="G236" i="1" s="1"/>
  <c r="AO255" i="1"/>
  <c r="F259" i="1" s="1"/>
  <c r="BC255" i="1"/>
  <c r="BD255" i="1"/>
  <c r="BD236" i="1" s="1"/>
  <c r="BX255" i="1"/>
  <c r="BX236" i="1" s="1"/>
  <c r="BY255" i="1"/>
  <c r="BY236" i="1" s="1"/>
  <c r="CK255" i="1"/>
  <c r="CK236" i="1" s="1"/>
  <c r="CL255" i="1"/>
  <c r="CL236" i="1" s="1"/>
  <c r="CM255" i="1"/>
  <c r="CM236" i="1" s="1"/>
  <c r="FP255" i="1"/>
  <c r="EG255" i="1" s="1"/>
  <c r="EG236" i="1" s="1"/>
  <c r="FQ255" i="1"/>
  <c r="FQ236" i="1" s="1"/>
  <c r="FR255" i="1"/>
  <c r="GC255" i="1"/>
  <c r="GC236" i="1" s="1"/>
  <c r="GD255" i="1"/>
  <c r="EU255" i="1" s="1"/>
  <c r="EU236" i="1" s="1"/>
  <c r="GE255" i="1"/>
  <c r="GE236" i="1" s="1"/>
  <c r="F280" i="1"/>
  <c r="B285" i="1"/>
  <c r="B22" i="1" s="1"/>
  <c r="C285" i="1"/>
  <c r="C22" i="1" s="1"/>
  <c r="D285" i="1"/>
  <c r="D22" i="1" s="1"/>
  <c r="F285" i="1"/>
  <c r="F22" i="1" s="1"/>
  <c r="G285" i="1"/>
  <c r="G22" i="1" s="1"/>
  <c r="B315" i="1"/>
  <c r="B18" i="1" s="1"/>
  <c r="C315" i="1"/>
  <c r="C18" i="1" s="1"/>
  <c r="D315" i="1"/>
  <c r="D18" i="1" s="1"/>
  <c r="F315" i="1"/>
  <c r="F18" i="1" s="1"/>
  <c r="G315" i="1"/>
  <c r="G18" i="1" s="1"/>
  <c r="F12" i="6"/>
  <c r="G12" i="6"/>
  <c r="O75" i="7" l="1"/>
  <c r="J82" i="7"/>
  <c r="O46" i="7"/>
  <c r="J73" i="7"/>
  <c r="H151" i="7"/>
  <c r="O66" i="7"/>
  <c r="P217" i="7"/>
  <c r="O191" i="7"/>
  <c r="H191" i="7"/>
  <c r="H202" i="7"/>
  <c r="H234" i="7"/>
  <c r="J252" i="7"/>
  <c r="O296" i="7"/>
  <c r="P75" i="7"/>
  <c r="J91" i="7"/>
  <c r="O103" i="7"/>
  <c r="P93" i="7"/>
  <c r="O135" i="7"/>
  <c r="J121" i="7"/>
  <c r="H252" i="7"/>
  <c r="J328" i="7"/>
  <c r="H113" i="7"/>
  <c r="O217" i="7"/>
  <c r="H215" i="7"/>
  <c r="J204" i="7"/>
  <c r="J236" i="7"/>
  <c r="J272" i="7"/>
  <c r="J342" i="7"/>
  <c r="P113" i="7"/>
  <c r="J113" i="7"/>
  <c r="P252" i="7"/>
  <c r="J274" i="7"/>
  <c r="O55" i="7"/>
  <c r="H66" i="7"/>
  <c r="P123" i="7"/>
  <c r="J123" i="7"/>
  <c r="O181" i="7"/>
  <c r="O204" i="7"/>
  <c r="O236" i="7"/>
  <c r="J326" i="7"/>
  <c r="P328" i="7"/>
  <c r="O342" i="7"/>
  <c r="H93" i="7"/>
  <c r="P46" i="7"/>
  <c r="J53" i="7"/>
  <c r="P66" i="7"/>
  <c r="P181" i="7"/>
  <c r="P191" i="7"/>
  <c r="J191" i="7"/>
  <c r="J189" i="7"/>
  <c r="P204" i="7"/>
  <c r="P236" i="7"/>
  <c r="J258" i="7" s="1"/>
  <c r="P342" i="7"/>
  <c r="H82" i="7"/>
  <c r="O84" i="7"/>
  <c r="P151" i="7"/>
  <c r="H217" i="7"/>
  <c r="H46" i="7"/>
  <c r="H44" i="7"/>
  <c r="H55" i="7"/>
  <c r="O113" i="7"/>
  <c r="O252" i="7"/>
  <c r="H272" i="7"/>
  <c r="P296" i="7"/>
  <c r="J307" i="7" s="1"/>
  <c r="H64" i="7"/>
  <c r="O93" i="7"/>
  <c r="H91" i="7"/>
  <c r="P103" i="7"/>
  <c r="H179" i="7"/>
  <c r="H101" i="7"/>
  <c r="H103" i="7"/>
  <c r="J111" i="7"/>
  <c r="O123" i="7"/>
  <c r="O151" i="7"/>
  <c r="H149" i="7"/>
  <c r="P164" i="7"/>
  <c r="J164" i="7"/>
  <c r="J162" i="7"/>
  <c r="J250" i="7"/>
  <c r="O328" i="7"/>
  <c r="J46" i="7"/>
  <c r="H340" i="7"/>
  <c r="J44" i="7"/>
  <c r="P55" i="7"/>
  <c r="J84" i="7"/>
  <c r="P135" i="7"/>
  <c r="H274" i="7"/>
  <c r="H300" i="7"/>
  <c r="H326" i="7"/>
  <c r="J135" i="7"/>
  <c r="J202" i="7"/>
  <c r="J234" i="7"/>
  <c r="J294" i="7"/>
  <c r="J340" i="7"/>
  <c r="H53" i="7"/>
  <c r="P84" i="7"/>
  <c r="H133" i="7"/>
  <c r="J179" i="7"/>
  <c r="O274" i="7"/>
  <c r="J75" i="7"/>
  <c r="H135" i="7"/>
  <c r="J181" i="7"/>
  <c r="J64" i="7"/>
  <c r="H73" i="7"/>
  <c r="J101" i="7"/>
  <c r="H121" i="7"/>
  <c r="H204" i="7"/>
  <c r="H236" i="7"/>
  <c r="H296" i="7"/>
  <c r="H342" i="7"/>
  <c r="J66" i="7"/>
  <c r="H75" i="7"/>
  <c r="J103" i="7"/>
  <c r="H111" i="7"/>
  <c r="H123" i="7"/>
  <c r="J149" i="7"/>
  <c r="H154" i="7"/>
  <c r="H162" i="7"/>
  <c r="H181" i="7"/>
  <c r="H189" i="7"/>
  <c r="J215" i="7"/>
  <c r="H220" i="7"/>
  <c r="H250" i="7"/>
  <c r="J93" i="7"/>
  <c r="J151" i="7"/>
  <c r="J217" i="7"/>
  <c r="W242" i="1"/>
  <c r="AU255" i="1"/>
  <c r="CD236" i="1"/>
  <c r="FT236" i="1"/>
  <c r="EK255" i="1"/>
  <c r="EA255" i="1"/>
  <c r="W248" i="1"/>
  <c r="EB255" i="1"/>
  <c r="ES255" i="1"/>
  <c r="GB236" i="1"/>
  <c r="EI255" i="1"/>
  <c r="FR236" i="1"/>
  <c r="Y246" i="1"/>
  <c r="CY246" i="1"/>
  <c r="CZ246" i="1"/>
  <c r="CQ238" i="1"/>
  <c r="P238" i="1"/>
  <c r="GA187" i="1"/>
  <c r="ER204" i="1"/>
  <c r="EH255" i="1"/>
  <c r="U249" i="1"/>
  <c r="P243" i="1"/>
  <c r="Q243" i="1"/>
  <c r="Q241" i="1"/>
  <c r="R241" i="1"/>
  <c r="T238" i="1"/>
  <c r="AB238" i="1"/>
  <c r="CT199" i="1"/>
  <c r="S199" i="1"/>
  <c r="Y251" i="1"/>
  <c r="CZ251" i="1"/>
  <c r="Y249" i="1"/>
  <c r="CY249" i="1"/>
  <c r="CZ249" i="1"/>
  <c r="P246" i="1"/>
  <c r="CP246" i="1" s="1"/>
  <c r="O246" i="1" s="1"/>
  <c r="GM246" i="1" s="1"/>
  <c r="GO246" i="1" s="1"/>
  <c r="Q246" i="1"/>
  <c r="AH204" i="1"/>
  <c r="CR251" i="1"/>
  <c r="CS251" i="1"/>
  <c r="R251" i="1"/>
  <c r="Q244" i="1"/>
  <c r="R244" i="1"/>
  <c r="X238" i="1"/>
  <c r="Y238" i="1"/>
  <c r="CY238" i="1"/>
  <c r="GD236" i="1"/>
  <c r="FY204" i="1"/>
  <c r="EG204" i="1"/>
  <c r="FP187" i="1"/>
  <c r="EV255" i="1"/>
  <c r="P271" i="1"/>
  <c r="ET255" i="1"/>
  <c r="Q253" i="1"/>
  <c r="CP253" i="1" s="1"/>
  <c r="O253" i="1" s="1"/>
  <c r="GM253" i="1" s="1"/>
  <c r="GO253" i="1" s="1"/>
  <c r="R253" i="1"/>
  <c r="CY251" i="1"/>
  <c r="AD251" i="1"/>
  <c r="P249" i="1"/>
  <c r="CP249" i="1" s="1"/>
  <c r="O249" i="1" s="1"/>
  <c r="GM249" i="1" s="1"/>
  <c r="GO249" i="1" s="1"/>
  <c r="Q249" i="1"/>
  <c r="Q247" i="1"/>
  <c r="R247" i="1"/>
  <c r="FV255" i="1"/>
  <c r="AB251" i="1"/>
  <c r="GX246" i="1"/>
  <c r="GX244" i="1"/>
  <c r="U244" i="1"/>
  <c r="CZ241" i="1"/>
  <c r="X241" i="1"/>
  <c r="Y241" i="1"/>
  <c r="S239" i="1"/>
  <c r="CT239" i="1"/>
  <c r="CU149" i="3"/>
  <c r="CW150" i="3"/>
  <c r="CX158" i="3"/>
  <c r="CX150" i="3"/>
  <c r="CX159" i="3"/>
  <c r="CX165" i="3"/>
  <c r="CX151" i="3"/>
  <c r="CX154" i="3"/>
  <c r="CX161" i="3"/>
  <c r="CX163" i="3"/>
  <c r="CX166" i="3"/>
  <c r="CX152" i="3"/>
  <c r="Q238" i="1"/>
  <c r="I242" i="1"/>
  <c r="U242" i="1" s="1"/>
  <c r="I248" i="1"/>
  <c r="T248" i="1" s="1"/>
  <c r="R238" i="1"/>
  <c r="FY255" i="1"/>
  <c r="CZ253" i="1"/>
  <c r="CR250" i="1"/>
  <c r="CS250" i="1"/>
  <c r="AD250" i="1"/>
  <c r="T249" i="1"/>
  <c r="S244" i="1"/>
  <c r="S242" i="1"/>
  <c r="CT242" i="1"/>
  <c r="CY241" i="1"/>
  <c r="AB239" i="1"/>
  <c r="CY253" i="1"/>
  <c r="AB250" i="1"/>
  <c r="P250" i="1"/>
  <c r="CP250" i="1" s="1"/>
  <c r="O250" i="1" s="1"/>
  <c r="U248" i="1"/>
  <c r="CZ247" i="1"/>
  <c r="X247" i="1"/>
  <c r="Y247" i="1"/>
  <c r="S245" i="1"/>
  <c r="CT245" i="1"/>
  <c r="BZ255" i="1"/>
  <c r="CQ241" i="1"/>
  <c r="P241" i="1"/>
  <c r="CP241" i="1" s="1"/>
  <c r="O241" i="1" s="1"/>
  <c r="GM241" i="1" s="1"/>
  <c r="GO241" i="1" s="1"/>
  <c r="FP236" i="1"/>
  <c r="GB204" i="1"/>
  <c r="AP255" i="1"/>
  <c r="BC236" i="1"/>
  <c r="F271" i="1"/>
  <c r="Q251" i="1"/>
  <c r="CP251" i="1" s="1"/>
  <c r="O251" i="1" s="1"/>
  <c r="GM251" i="1" s="1"/>
  <c r="GO251" i="1" s="1"/>
  <c r="X250" i="1"/>
  <c r="AB242" i="1"/>
  <c r="AB241" i="1"/>
  <c r="CB255" i="1"/>
  <c r="BB187" i="1"/>
  <c r="F217" i="1"/>
  <c r="GA255" i="1"/>
  <c r="P259" i="1"/>
  <c r="CI255" i="1"/>
  <c r="BB255" i="1"/>
  <c r="X253" i="1"/>
  <c r="S248" i="1"/>
  <c r="CT248" i="1"/>
  <c r="CY247" i="1"/>
  <c r="W246" i="1"/>
  <c r="AB245" i="1"/>
  <c r="CQ244" i="1"/>
  <c r="P244" i="1"/>
  <c r="CP244" i="1" s="1"/>
  <c r="O244" i="1" s="1"/>
  <c r="T242" i="1"/>
  <c r="CG187" i="1"/>
  <c r="AX204" i="1"/>
  <c r="DZ204" i="1"/>
  <c r="DY142" i="1"/>
  <c r="DL155" i="1"/>
  <c r="S252" i="1"/>
  <c r="CT252" i="1"/>
  <c r="CY250" i="1"/>
  <c r="CZ250" i="1"/>
  <c r="Y250" i="1"/>
  <c r="CQ247" i="1"/>
  <c r="P247" i="1"/>
  <c r="CP247" i="1" s="1"/>
  <c r="O247" i="1" s="1"/>
  <c r="GM247" i="1" s="1"/>
  <c r="GO247" i="1" s="1"/>
  <c r="V246" i="1"/>
  <c r="X246" i="1"/>
  <c r="AB244" i="1"/>
  <c r="U243" i="1"/>
  <c r="DZ255" i="1" s="1"/>
  <c r="S243" i="1"/>
  <c r="T241" i="1"/>
  <c r="DY255" i="1" s="1"/>
  <c r="I240" i="1"/>
  <c r="GX240" i="1" s="1"/>
  <c r="CZ238" i="1"/>
  <c r="CZ201" i="1"/>
  <c r="X201" i="1"/>
  <c r="CY201" i="1"/>
  <c r="Y201" i="1"/>
  <c r="CQ202" i="1"/>
  <c r="P202" i="1"/>
  <c r="CJ142" i="1"/>
  <c r="BA155" i="1"/>
  <c r="P239" i="1"/>
  <c r="AB201" i="1"/>
  <c r="P201" i="1"/>
  <c r="CQ201" i="1"/>
  <c r="S200" i="1"/>
  <c r="CT200" i="1"/>
  <c r="CU113" i="3"/>
  <c r="CX121" i="3"/>
  <c r="CX113" i="3"/>
  <c r="CX114" i="3"/>
  <c r="CX118" i="3"/>
  <c r="CX117" i="3"/>
  <c r="CX116" i="3"/>
  <c r="P189" i="1"/>
  <c r="R189" i="1"/>
  <c r="Q189" i="1"/>
  <c r="S189" i="1"/>
  <c r="CW168" i="3"/>
  <c r="CX176" i="3"/>
  <c r="CX168" i="3"/>
  <c r="CX177" i="3"/>
  <c r="CX183" i="3"/>
  <c r="CX169" i="3"/>
  <c r="CX172" i="3"/>
  <c r="CU167" i="3"/>
  <c r="CX179" i="3"/>
  <c r="CX170" i="3"/>
  <c r="CX181" i="3"/>
  <c r="CX184" i="3"/>
  <c r="CP194" i="1"/>
  <c r="O194" i="1" s="1"/>
  <c r="CY193" i="1"/>
  <c r="X193" i="1"/>
  <c r="AZ187" i="1"/>
  <c r="EV155" i="1"/>
  <c r="GE142" i="1"/>
  <c r="EI204" i="1"/>
  <c r="CL187" i="1"/>
  <c r="BC204" i="1"/>
  <c r="CP196" i="1"/>
  <c r="O196" i="1" s="1"/>
  <c r="EA204" i="1"/>
  <c r="CK187" i="1"/>
  <c r="CW186" i="3"/>
  <c r="CX195" i="3"/>
  <c r="CX186" i="3"/>
  <c r="CX196" i="3"/>
  <c r="CX190" i="3"/>
  <c r="CX191" i="3"/>
  <c r="CX187" i="3"/>
  <c r="CU185" i="3"/>
  <c r="CX192" i="3"/>
  <c r="FQ187" i="1"/>
  <c r="EH204" i="1"/>
  <c r="AP204" i="1"/>
  <c r="T199" i="1"/>
  <c r="AG204" i="1" s="1"/>
  <c r="CZ197" i="1"/>
  <c r="X197" i="1"/>
  <c r="Y197" i="1"/>
  <c r="P193" i="1"/>
  <c r="CP193" i="1" s="1"/>
  <c r="O193" i="1" s="1"/>
  <c r="GM193" i="1" s="1"/>
  <c r="GO193" i="1" s="1"/>
  <c r="Q193" i="1"/>
  <c r="R193" i="1"/>
  <c r="AI204" i="1"/>
  <c r="ET155" i="1"/>
  <c r="GC142" i="1"/>
  <c r="FT142" i="1"/>
  <c r="EK155" i="1"/>
  <c r="AB152" i="1"/>
  <c r="P152" i="1"/>
  <c r="CP152" i="1" s="1"/>
  <c r="O152" i="1" s="1"/>
  <c r="CQ152" i="1"/>
  <c r="EK110" i="1"/>
  <c r="FT81" i="1"/>
  <c r="DY204" i="1"/>
  <c r="EA81" i="1"/>
  <c r="DN110" i="1"/>
  <c r="FY81" i="1"/>
  <c r="EP110" i="1"/>
  <c r="EV204" i="1"/>
  <c r="CS199" i="1"/>
  <c r="AD199" i="1"/>
  <c r="AB199" i="1" s="1"/>
  <c r="CQ197" i="1"/>
  <c r="P197" i="1"/>
  <c r="Y196" i="1"/>
  <c r="CY196" i="1"/>
  <c r="CZ196" i="1"/>
  <c r="FV204" i="1"/>
  <c r="CJ204" i="1"/>
  <c r="FY155" i="1"/>
  <c r="EI155" i="1"/>
  <c r="FR142" i="1"/>
  <c r="DZ142" i="1"/>
  <c r="DM155" i="1"/>
  <c r="EU204" i="1"/>
  <c r="S198" i="1"/>
  <c r="CT198" i="1"/>
  <c r="FT204" i="1"/>
  <c r="S147" i="1"/>
  <c r="CT147" i="1"/>
  <c r="CB155" i="1"/>
  <c r="AD249" i="1"/>
  <c r="AB249" i="1" s="1"/>
  <c r="AD246" i="1"/>
  <c r="AB246" i="1" s="1"/>
  <c r="AD243" i="1"/>
  <c r="AB243" i="1" s="1"/>
  <c r="AD240" i="1"/>
  <c r="AB240" i="1" s="1"/>
  <c r="ET204" i="1"/>
  <c r="GC187" i="1"/>
  <c r="BZ187" i="1"/>
  <c r="AQ204" i="1"/>
  <c r="CZ202" i="1"/>
  <c r="X202" i="1"/>
  <c r="Y202" i="1"/>
  <c r="Q201" i="1"/>
  <c r="R201" i="1"/>
  <c r="CY197" i="1"/>
  <c r="DU204" i="1"/>
  <c r="CR191" i="1"/>
  <c r="CS191" i="1"/>
  <c r="AD191" i="1"/>
  <c r="AB191" i="1" s="1"/>
  <c r="CD204" i="1"/>
  <c r="AD189" i="1"/>
  <c r="AB189" i="1" s="1"/>
  <c r="CR189" i="1"/>
  <c r="CS189" i="1"/>
  <c r="CX202" i="3"/>
  <c r="CU197" i="3"/>
  <c r="CX197" i="3"/>
  <c r="CW199" i="3"/>
  <c r="CX205" i="3"/>
  <c r="CX199" i="3"/>
  <c r="CW198" i="3"/>
  <c r="CX203" i="3"/>
  <c r="CX207" i="3"/>
  <c r="CV197" i="3"/>
  <c r="CP200" i="1"/>
  <c r="O200" i="1" s="1"/>
  <c r="W199" i="1"/>
  <c r="AJ204" i="1" s="1"/>
  <c r="AB198" i="1"/>
  <c r="CY195" i="1"/>
  <c r="X195" i="1"/>
  <c r="EB204" i="1"/>
  <c r="CB204" i="1"/>
  <c r="FV142" i="1"/>
  <c r="EM155" i="1"/>
  <c r="CT148" i="1"/>
  <c r="S148" i="1"/>
  <c r="BX142" i="1"/>
  <c r="AO155" i="1"/>
  <c r="CG155" i="1"/>
  <c r="EB142" i="1"/>
  <c r="DO155" i="1"/>
  <c r="CM81" i="1"/>
  <c r="BD110" i="1"/>
  <c r="R250" i="1"/>
  <c r="Q239" i="1"/>
  <c r="R199" i="1"/>
  <c r="Q197" i="1"/>
  <c r="R197" i="1"/>
  <c r="CU131" i="3"/>
  <c r="CV131" i="3"/>
  <c r="CX131" i="3"/>
  <c r="CW133" i="3"/>
  <c r="CX133" i="3"/>
  <c r="CW134" i="3"/>
  <c r="CX134" i="3"/>
  <c r="CX136" i="3"/>
  <c r="CX138" i="3"/>
  <c r="P195" i="1"/>
  <c r="CP195" i="1" s="1"/>
  <c r="O195" i="1" s="1"/>
  <c r="GM195" i="1" s="1"/>
  <c r="GO195" i="1" s="1"/>
  <c r="Q195" i="1"/>
  <c r="R195" i="1"/>
  <c r="CZ193" i="1"/>
  <c r="S192" i="1"/>
  <c r="CP192" i="1" s="1"/>
  <c r="O192" i="1" s="1"/>
  <c r="CZ190" i="1"/>
  <c r="X190" i="1"/>
  <c r="Q199" i="1"/>
  <c r="CY191" i="1"/>
  <c r="CZ191" i="1"/>
  <c r="Y191" i="1"/>
  <c r="CP190" i="1"/>
  <c r="O190" i="1" s="1"/>
  <c r="Q151" i="1"/>
  <c r="GB155" i="1"/>
  <c r="FV81" i="1"/>
  <c r="EM110" i="1"/>
  <c r="CQ149" i="1"/>
  <c r="AB149" i="1"/>
  <c r="F130" i="1"/>
  <c r="DY81" i="1"/>
  <c r="DL110" i="1"/>
  <c r="Q202" i="1"/>
  <c r="DV204" i="1" s="1"/>
  <c r="R191" i="1"/>
  <c r="AD190" i="1"/>
  <c r="AB190" i="1" s="1"/>
  <c r="Y150" i="1"/>
  <c r="CY150" i="1"/>
  <c r="CY144" i="1"/>
  <c r="CZ144" i="1"/>
  <c r="Y144" i="1"/>
  <c r="GB110" i="1"/>
  <c r="AD202" i="1"/>
  <c r="AB202" i="1" s="1"/>
  <c r="AD197" i="1"/>
  <c r="AB197" i="1" s="1"/>
  <c r="CU122" i="3"/>
  <c r="CX122" i="3"/>
  <c r="CX129" i="3"/>
  <c r="CW123" i="3"/>
  <c r="CX123" i="3"/>
  <c r="CV122" i="3"/>
  <c r="P149" i="1"/>
  <c r="CD155" i="1"/>
  <c r="R144" i="1"/>
  <c r="CR144" i="1"/>
  <c r="CS144" i="1"/>
  <c r="BC142" i="1"/>
  <c r="DM110" i="1"/>
  <c r="X108" i="1"/>
  <c r="CY108" i="1"/>
  <c r="CZ108" i="1"/>
  <c r="Y108" i="1"/>
  <c r="FR81" i="1"/>
  <c r="EI110" i="1"/>
  <c r="AJ81" i="1"/>
  <c r="W110" i="1"/>
  <c r="BC110" i="1"/>
  <c r="CL81" i="1"/>
  <c r="S194" i="1"/>
  <c r="F180" i="1"/>
  <c r="EH155" i="1"/>
  <c r="GA155" i="1"/>
  <c r="FQ142" i="1"/>
  <c r="CY152" i="1"/>
  <c r="CZ152" i="1"/>
  <c r="Y152" i="1"/>
  <c r="AH155" i="1"/>
  <c r="X144" i="1"/>
  <c r="EU142" i="1"/>
  <c r="AQ142" i="1"/>
  <c r="BD204" i="1"/>
  <c r="R194" i="1"/>
  <c r="BB155" i="1"/>
  <c r="R152" i="1"/>
  <c r="CR152" i="1"/>
  <c r="CR151" i="1"/>
  <c r="AD151" i="1"/>
  <c r="AB151" i="1" s="1"/>
  <c r="AG155" i="1"/>
  <c r="Q144" i="1"/>
  <c r="GD142" i="1"/>
  <c r="ET81" i="1"/>
  <c r="P123" i="1"/>
  <c r="CQ151" i="1"/>
  <c r="P151" i="1"/>
  <c r="CP151" i="1" s="1"/>
  <c r="O151" i="1" s="1"/>
  <c r="CZ150" i="1"/>
  <c r="Y145" i="1"/>
  <c r="CY145" i="1"/>
  <c r="CZ145" i="1"/>
  <c r="CP144" i="1"/>
  <c r="O144" i="1" s="1"/>
  <c r="P114" i="1"/>
  <c r="AQ110" i="1"/>
  <c r="BZ81" i="1"/>
  <c r="CG110" i="1"/>
  <c r="EB81" i="1"/>
  <c r="DO110" i="1"/>
  <c r="AG81" i="1"/>
  <c r="T110" i="1"/>
  <c r="CX145" i="3"/>
  <c r="CU140" i="3"/>
  <c r="CV140" i="3"/>
  <c r="CX140" i="3"/>
  <c r="CW142" i="3"/>
  <c r="CW141" i="3"/>
  <c r="CX142" i="3"/>
  <c r="Q191" i="1"/>
  <c r="CP191" i="1" s="1"/>
  <c r="O191" i="1" s="1"/>
  <c r="GM191" i="1" s="1"/>
  <c r="GO191" i="1" s="1"/>
  <c r="R190" i="1"/>
  <c r="DW204" i="1" s="1"/>
  <c r="CI155" i="1"/>
  <c r="V151" i="1"/>
  <c r="CS147" i="1"/>
  <c r="AD147" i="1"/>
  <c r="AB147" i="1" s="1"/>
  <c r="AJ155" i="1"/>
  <c r="AI81" i="1"/>
  <c r="V110" i="1"/>
  <c r="CZ151" i="1"/>
  <c r="X151" i="1"/>
  <c r="Y151" i="1"/>
  <c r="AI155" i="1"/>
  <c r="X105" i="1"/>
  <c r="Y105" i="1"/>
  <c r="CY105" i="1"/>
  <c r="CZ105" i="1"/>
  <c r="AS110" i="1"/>
  <c r="CB81" i="1"/>
  <c r="CD81" i="1"/>
  <c r="AU110" i="1"/>
  <c r="FR103" i="1"/>
  <c r="CP103" i="1"/>
  <c r="O103" i="1" s="1"/>
  <c r="GM103" i="1" s="1"/>
  <c r="CZ102" i="1"/>
  <c r="Y102" i="1"/>
  <c r="CY88" i="1"/>
  <c r="CZ88" i="1"/>
  <c r="X88" i="1"/>
  <c r="Y88" i="1"/>
  <c r="S83" i="1"/>
  <c r="CT83" i="1"/>
  <c r="EI26" i="1"/>
  <c r="P59" i="1"/>
  <c r="CY39" i="1"/>
  <c r="CZ39" i="1"/>
  <c r="X39" i="1"/>
  <c r="Y39" i="1"/>
  <c r="CJ26" i="1"/>
  <c r="BA49" i="1"/>
  <c r="CY34" i="1"/>
  <c r="CZ34" i="1"/>
  <c r="X34" i="1"/>
  <c r="Y34" i="1"/>
  <c r="P147" i="1"/>
  <c r="CP147" i="1" s="1"/>
  <c r="O147" i="1" s="1"/>
  <c r="S146" i="1"/>
  <c r="EG142" i="1"/>
  <c r="AB108" i="1"/>
  <c r="P106" i="1"/>
  <c r="CP106" i="1" s="1"/>
  <c r="O106" i="1" s="1"/>
  <c r="CY97" i="1"/>
  <c r="CZ97" i="1"/>
  <c r="X97" i="1"/>
  <c r="GM97" i="1" s="1"/>
  <c r="GO97" i="1" s="1"/>
  <c r="Y97" i="1"/>
  <c r="X94" i="1"/>
  <c r="CY89" i="1"/>
  <c r="CZ89" i="1"/>
  <c r="X89" i="1"/>
  <c r="Y89" i="1"/>
  <c r="CU110" i="3"/>
  <c r="CW111" i="3"/>
  <c r="CV110" i="3"/>
  <c r="CX111" i="3"/>
  <c r="CX110" i="3"/>
  <c r="CP102" i="1"/>
  <c r="O102" i="1" s="1"/>
  <c r="CZ95" i="1"/>
  <c r="X95" i="1"/>
  <c r="CY94" i="1"/>
  <c r="S86" i="1"/>
  <c r="CT86" i="1"/>
  <c r="Q146" i="1"/>
  <c r="CP146" i="1" s="1"/>
  <c r="O146" i="1" s="1"/>
  <c r="BB110" i="1"/>
  <c r="CY106" i="1"/>
  <c r="CQ100" i="1"/>
  <c r="AB100" i="1"/>
  <c r="CQ99" i="1"/>
  <c r="AB99" i="1"/>
  <c r="P99" i="1"/>
  <c r="CY84" i="1"/>
  <c r="CZ84" i="1"/>
  <c r="X84" i="1"/>
  <c r="CP94" i="1"/>
  <c r="O94" i="1" s="1"/>
  <c r="V149" i="1"/>
  <c r="EA155" i="1" s="1"/>
  <c r="Q148" i="1"/>
  <c r="AB105" i="1"/>
  <c r="CY100" i="1"/>
  <c r="CZ100" i="1"/>
  <c r="X100" i="1"/>
  <c r="Y100" i="1"/>
  <c r="R94" i="1"/>
  <c r="S91" i="1"/>
  <c r="CT91" i="1"/>
  <c r="AH110" i="1"/>
  <c r="EA49" i="1"/>
  <c r="S153" i="1"/>
  <c r="AD148" i="1"/>
  <c r="P148" i="1"/>
  <c r="CP148" i="1" s="1"/>
  <c r="O148" i="1" s="1"/>
  <c r="CS146" i="1"/>
  <c r="AB146" i="1"/>
  <c r="Q145" i="1"/>
  <c r="CT106" i="1"/>
  <c r="AB106" i="1"/>
  <c r="R102" i="1"/>
  <c r="CR102" i="1"/>
  <c r="CS102" i="1"/>
  <c r="CZ99" i="1"/>
  <c r="X99" i="1"/>
  <c r="Y99" i="1"/>
  <c r="Y84" i="1"/>
  <c r="P150" i="1"/>
  <c r="CP150" i="1" s="1"/>
  <c r="O150" i="1" s="1"/>
  <c r="GM150" i="1" s="1"/>
  <c r="GO150" i="1" s="1"/>
  <c r="P145" i="1"/>
  <c r="CY107" i="1"/>
  <c r="Y106" i="1"/>
  <c r="CS103" i="1"/>
  <c r="CY102" i="1"/>
  <c r="P100" i="1"/>
  <c r="AB91" i="1"/>
  <c r="FR89" i="1"/>
  <c r="CP89" i="1"/>
  <c r="O89" i="1" s="1"/>
  <c r="Q153" i="1"/>
  <c r="CP153" i="1" s="1"/>
  <c r="O153" i="1" s="1"/>
  <c r="S149" i="1"/>
  <c r="CS148" i="1"/>
  <c r="AB148" i="1"/>
  <c r="P108" i="1"/>
  <c r="CS107" i="1"/>
  <c r="AD107" i="1"/>
  <c r="AB107" i="1" s="1"/>
  <c r="CR103" i="1"/>
  <c r="X103" i="1"/>
  <c r="R149" i="1"/>
  <c r="DW155" i="1" s="1"/>
  <c r="CU107" i="3"/>
  <c r="CX107" i="3"/>
  <c r="CX109" i="3"/>
  <c r="CX108" i="3"/>
  <c r="EV110" i="1"/>
  <c r="P107" i="1"/>
  <c r="X102" i="1"/>
  <c r="CP96" i="1"/>
  <c r="O96" i="1" s="1"/>
  <c r="CY92" i="1"/>
  <c r="CZ92" i="1"/>
  <c r="X92" i="1"/>
  <c r="Q149" i="1"/>
  <c r="Y107" i="1"/>
  <c r="P105" i="1"/>
  <c r="CP105" i="1" s="1"/>
  <c r="O105" i="1" s="1"/>
  <c r="GM105" i="1" s="1"/>
  <c r="GO105" i="1" s="1"/>
  <c r="CS104" i="1"/>
  <c r="AD104" i="1"/>
  <c r="R104" i="1"/>
  <c r="CY103" i="1"/>
  <c r="X101" i="1"/>
  <c r="CS101" i="1"/>
  <c r="AD101" i="1"/>
  <c r="R101" i="1"/>
  <c r="EU26" i="1"/>
  <c r="P65" i="1"/>
  <c r="BZ26" i="1"/>
  <c r="AQ49" i="1"/>
  <c r="AB104" i="1"/>
  <c r="P104" i="1"/>
  <c r="CT98" i="1"/>
  <c r="S98" i="1"/>
  <c r="CZ94" i="1"/>
  <c r="CR94" i="1"/>
  <c r="CS94" i="1"/>
  <c r="AD94" i="1"/>
  <c r="AB94" i="1" s="1"/>
  <c r="Q91" i="1"/>
  <c r="CP91" i="1" s="1"/>
  <c r="O91" i="1" s="1"/>
  <c r="R88" i="1"/>
  <c r="Q86" i="1"/>
  <c r="Q83" i="1"/>
  <c r="CP83" i="1" s="1"/>
  <c r="O83" i="1" s="1"/>
  <c r="AB97" i="1"/>
  <c r="AB89" i="1"/>
  <c r="Q88" i="1"/>
  <c r="AD86" i="1"/>
  <c r="AB86" i="1" s="1"/>
  <c r="AD83" i="1"/>
  <c r="AB83" i="1" s="1"/>
  <c r="BX26" i="1"/>
  <c r="AO49" i="1"/>
  <c r="AP49" i="1"/>
  <c r="DG54" i="3"/>
  <c r="DH54" i="3"/>
  <c r="DI54" i="3"/>
  <c r="DJ54" i="3" s="1"/>
  <c r="DF54" i="3"/>
  <c r="Q99" i="1"/>
  <c r="R96" i="1"/>
  <c r="R93" i="1"/>
  <c r="CZ90" i="1"/>
  <c r="AD88" i="1"/>
  <c r="AB88" i="1" s="1"/>
  <c r="P88" i="1"/>
  <c r="CZ87" i="1"/>
  <c r="S85" i="1"/>
  <c r="P58" i="1"/>
  <c r="BD49" i="1"/>
  <c r="AD99" i="1"/>
  <c r="Y94" i="1"/>
  <c r="CY90" i="1"/>
  <c r="CY87" i="1"/>
  <c r="R85" i="1"/>
  <c r="BC49" i="1"/>
  <c r="AJ49" i="1"/>
  <c r="CX188" i="3"/>
  <c r="Q85" i="1"/>
  <c r="CP85" i="1" s="1"/>
  <c r="O85" i="1" s="1"/>
  <c r="EP49" i="1"/>
  <c r="CI49" i="1"/>
  <c r="CY37" i="1"/>
  <c r="CZ37" i="1"/>
  <c r="X37" i="1"/>
  <c r="Y37" i="1"/>
  <c r="AI49" i="1"/>
  <c r="P101" i="1"/>
  <c r="CP101" i="1" s="1"/>
  <c r="O101" i="1" s="1"/>
  <c r="GM101" i="1" s="1"/>
  <c r="GO101" i="1" s="1"/>
  <c r="R90" i="1"/>
  <c r="R87" i="1"/>
  <c r="AD85" i="1"/>
  <c r="AB85" i="1" s="1"/>
  <c r="CY41" i="1"/>
  <c r="CZ41" i="1"/>
  <c r="X41" i="1"/>
  <c r="Y41" i="1"/>
  <c r="CP32" i="1"/>
  <c r="O32" i="1" s="1"/>
  <c r="AH49" i="1"/>
  <c r="P98" i="1"/>
  <c r="CP98" i="1" s="1"/>
  <c r="O98" i="1" s="1"/>
  <c r="R95" i="1"/>
  <c r="R92" i="1"/>
  <c r="Q90" i="1"/>
  <c r="Q87" i="1"/>
  <c r="CP87" i="1" s="1"/>
  <c r="O87" i="1" s="1"/>
  <c r="GM87" i="1" s="1"/>
  <c r="GO87" i="1" s="1"/>
  <c r="R84" i="1"/>
  <c r="P62" i="1"/>
  <c r="DL49" i="1"/>
  <c r="CG49" i="1"/>
  <c r="AG49" i="1"/>
  <c r="CX206" i="3"/>
  <c r="AB101" i="1"/>
  <c r="Y96" i="1"/>
  <c r="Q95" i="1"/>
  <c r="Y93" i="1"/>
  <c r="GM93" i="1" s="1"/>
  <c r="GO93" i="1" s="1"/>
  <c r="Q92" i="1"/>
  <c r="P90" i="1"/>
  <c r="CS85" i="1"/>
  <c r="Q84" i="1"/>
  <c r="EM49" i="1"/>
  <c r="CP37" i="1"/>
  <c r="O37" i="1" s="1"/>
  <c r="GM37" i="1" s="1"/>
  <c r="GO37" i="1" s="1"/>
  <c r="CW200" i="3"/>
  <c r="CX173" i="3"/>
  <c r="AD95" i="1"/>
  <c r="AB95" i="1" s="1"/>
  <c r="P95" i="1"/>
  <c r="AD92" i="1"/>
  <c r="AB92" i="1" s="1"/>
  <c r="P92" i="1"/>
  <c r="CP92" i="1" s="1"/>
  <c r="O92" i="1" s="1"/>
  <c r="GM92" i="1" s="1"/>
  <c r="GO92" i="1" s="1"/>
  <c r="AD84" i="1"/>
  <c r="AB84" i="1" s="1"/>
  <c r="AU49" i="1"/>
  <c r="CY44" i="1"/>
  <c r="CZ44" i="1"/>
  <c r="X44" i="1"/>
  <c r="Y44" i="1"/>
  <c r="AD49" i="1"/>
  <c r="CP28" i="1"/>
  <c r="O28" i="1" s="1"/>
  <c r="GA49" i="1"/>
  <c r="EV49" i="1"/>
  <c r="Q39" i="1"/>
  <c r="CX178" i="3"/>
  <c r="CX155" i="3"/>
  <c r="CX139" i="3"/>
  <c r="CW115" i="3"/>
  <c r="DI1" i="3"/>
  <c r="DJ1" i="3" s="1"/>
  <c r="DF1" i="3"/>
  <c r="DG1" i="3"/>
  <c r="DH1" i="3"/>
  <c r="Q44" i="1"/>
  <c r="S42" i="1"/>
  <c r="AB41" i="1"/>
  <c r="CZ40" i="1"/>
  <c r="AD39" i="1"/>
  <c r="AB39" i="1" s="1"/>
  <c r="P39" i="1"/>
  <c r="CZ38" i="1"/>
  <c r="AB37" i="1"/>
  <c r="S36" i="1"/>
  <c r="Q34" i="1"/>
  <c r="CR30" i="1"/>
  <c r="Y30" i="1"/>
  <c r="R29" i="1"/>
  <c r="CX201" i="3"/>
  <c r="CX174" i="3"/>
  <c r="DF104" i="3"/>
  <c r="DJ104" i="3" s="1"/>
  <c r="DG104" i="3"/>
  <c r="DH104" i="3"/>
  <c r="DI104" i="3"/>
  <c r="DF92" i="3"/>
  <c r="DJ92" i="3" s="1"/>
  <c r="DG92" i="3"/>
  <c r="DH92" i="3"/>
  <c r="DI92" i="3"/>
  <c r="CW12" i="3"/>
  <c r="CX12" i="3"/>
  <c r="S47" i="1"/>
  <c r="CS46" i="1"/>
  <c r="P44" i="1"/>
  <c r="CP44" i="1" s="1"/>
  <c r="O44" i="1" s="1"/>
  <c r="GM44" i="1" s="1"/>
  <c r="GN44" i="1" s="1"/>
  <c r="R42" i="1"/>
  <c r="CY40" i="1"/>
  <c r="CT39" i="1"/>
  <c r="CY38" i="1"/>
  <c r="R36" i="1"/>
  <c r="P34" i="1"/>
  <c r="CP34" i="1" s="1"/>
  <c r="O34" i="1" s="1"/>
  <c r="CS32" i="1"/>
  <c r="S31" i="1"/>
  <c r="CQ30" i="1"/>
  <c r="Q29" i="1"/>
  <c r="DV49" i="1" s="1"/>
  <c r="CX189" i="3"/>
  <c r="CW170" i="3"/>
  <c r="CX160" i="3"/>
  <c r="CW152" i="3"/>
  <c r="CV149" i="3"/>
  <c r="CX149" i="3"/>
  <c r="CW132" i="3"/>
  <c r="CR46" i="1"/>
  <c r="CW44" i="3"/>
  <c r="CX44" i="3"/>
  <c r="CX50" i="3"/>
  <c r="CX45" i="3"/>
  <c r="CX49" i="3"/>
  <c r="CU43" i="3"/>
  <c r="CX47" i="3"/>
  <c r="CT44" i="1"/>
  <c r="V43" i="1"/>
  <c r="Q42" i="1"/>
  <c r="CP42" i="1" s="1"/>
  <c r="O42" i="1" s="1"/>
  <c r="CQ41" i="1"/>
  <c r="CS39" i="1"/>
  <c r="CQ37" i="1"/>
  <c r="Q36" i="1"/>
  <c r="CT34" i="1"/>
  <c r="CR32" i="1"/>
  <c r="Y32" i="1"/>
  <c r="CX193" i="3"/>
  <c r="CV185" i="3"/>
  <c r="CX185" i="3"/>
  <c r="CX156" i="3"/>
  <c r="CX127" i="3"/>
  <c r="CX125" i="3"/>
  <c r="CW46" i="3"/>
  <c r="CX46" i="3"/>
  <c r="Q47" i="1"/>
  <c r="CP47" i="1" s="1"/>
  <c r="O47" i="1" s="1"/>
  <c r="AB44" i="1"/>
  <c r="U43" i="1"/>
  <c r="DZ49" i="1" s="1"/>
  <c r="AD42" i="1"/>
  <c r="AB42" i="1" s="1"/>
  <c r="W41" i="1"/>
  <c r="EB49" i="1" s="1"/>
  <c r="R40" i="1"/>
  <c r="CR39" i="1"/>
  <c r="AD36" i="1"/>
  <c r="AB36" i="1" s="1"/>
  <c r="AB34" i="1"/>
  <c r="X32" i="1"/>
  <c r="Q31" i="1"/>
  <c r="CP31" i="1" s="1"/>
  <c r="O31" i="1" s="1"/>
  <c r="CX182" i="3"/>
  <c r="CX175" i="3"/>
  <c r="AD47" i="1"/>
  <c r="AB47" i="1" s="1"/>
  <c r="R45" i="1"/>
  <c r="CU39" i="3"/>
  <c r="CV39" i="3"/>
  <c r="CX39" i="3"/>
  <c r="R33" i="1"/>
  <c r="AD31" i="1"/>
  <c r="AB31" i="1" s="1"/>
  <c r="CZ30" i="1"/>
  <c r="CS29" i="1"/>
  <c r="CW171" i="3"/>
  <c r="CX171" i="3"/>
  <c r="CW153" i="3"/>
  <c r="CX153" i="3"/>
  <c r="CX146" i="3"/>
  <c r="CX40" i="3"/>
  <c r="Q45" i="1"/>
  <c r="CP45" i="1" s="1"/>
  <c r="O45" i="1" s="1"/>
  <c r="GM45" i="1" s="1"/>
  <c r="GN45" i="1" s="1"/>
  <c r="S43" i="1"/>
  <c r="CS42" i="1"/>
  <c r="P40" i="1"/>
  <c r="CP40" i="1" s="1"/>
  <c r="O40" i="1" s="1"/>
  <c r="P38" i="1"/>
  <c r="CP38" i="1" s="1"/>
  <c r="O38" i="1" s="1"/>
  <c r="CS36" i="1"/>
  <c r="S35" i="1"/>
  <c r="Q33" i="1"/>
  <c r="CP33" i="1" s="1"/>
  <c r="O33" i="1" s="1"/>
  <c r="GM33" i="1" s="1"/>
  <c r="GO33" i="1" s="1"/>
  <c r="Y29" i="1"/>
  <c r="CV167" i="3"/>
  <c r="CX167" i="3"/>
  <c r="CX164" i="3"/>
  <c r="CX157" i="3"/>
  <c r="R43" i="1"/>
  <c r="CU37" i="3"/>
  <c r="CV37" i="3"/>
  <c r="CX37" i="3"/>
  <c r="CZ32" i="1"/>
  <c r="X29" i="1"/>
  <c r="CX198" i="3"/>
  <c r="CX194" i="3"/>
  <c r="CW187" i="3"/>
  <c r="CW143" i="3"/>
  <c r="CX143" i="3"/>
  <c r="DF76" i="3"/>
  <c r="DG76" i="3"/>
  <c r="DJ76" i="3" s="1"/>
  <c r="DH76" i="3"/>
  <c r="DI76" i="3"/>
  <c r="CV36" i="3"/>
  <c r="CX60" i="3"/>
  <c r="CU54" i="3"/>
  <c r="CX61" i="3"/>
  <c r="CV54" i="3"/>
  <c r="CX64" i="3"/>
  <c r="CW57" i="3"/>
  <c r="CX57" i="3"/>
  <c r="CW56" i="3"/>
  <c r="CX63" i="3"/>
  <c r="CX55" i="3"/>
  <c r="Q43" i="1"/>
  <c r="AB40" i="1"/>
  <c r="AB38" i="1"/>
  <c r="R30" i="1"/>
  <c r="CX208" i="3"/>
  <c r="CX204" i="3"/>
  <c r="CX180" i="3"/>
  <c r="CX147" i="3"/>
  <c r="DF84" i="3"/>
  <c r="DG84" i="3"/>
  <c r="DJ84" i="3" s="1"/>
  <c r="DH84" i="3"/>
  <c r="DI84" i="3"/>
  <c r="S46" i="1"/>
  <c r="GX43" i="1"/>
  <c r="GB49" i="1" s="1"/>
  <c r="P43" i="1"/>
  <c r="R41" i="1"/>
  <c r="Y40" i="1"/>
  <c r="CU35" i="3"/>
  <c r="CV35" i="3"/>
  <c r="CX35" i="3"/>
  <c r="Y38" i="1"/>
  <c r="Q30" i="1"/>
  <c r="CP30" i="1" s="1"/>
  <c r="O30" i="1" s="1"/>
  <c r="GM30" i="1" s="1"/>
  <c r="GO30" i="1" s="1"/>
  <c r="CW151" i="3"/>
  <c r="CX126" i="3"/>
  <c r="CW124" i="3"/>
  <c r="CX119" i="3"/>
  <c r="CV73" i="3"/>
  <c r="CX73" i="3"/>
  <c r="R46" i="1"/>
  <c r="CX42" i="3"/>
  <c r="CU41" i="3"/>
  <c r="Q41" i="1"/>
  <c r="CP41" i="1" s="1"/>
  <c r="O41" i="1" s="1"/>
  <c r="GM41" i="1" s="1"/>
  <c r="GN41" i="1" s="1"/>
  <c r="R32" i="1"/>
  <c r="CZ29" i="1"/>
  <c r="CW169" i="3"/>
  <c r="CX162" i="3"/>
  <c r="CX141" i="3"/>
  <c r="CV41" i="3"/>
  <c r="DF30" i="3"/>
  <c r="DJ30" i="3" s="1"/>
  <c r="DG30" i="3"/>
  <c r="DH30" i="3"/>
  <c r="DI30" i="3"/>
  <c r="CX200" i="3"/>
  <c r="CW188" i="3"/>
  <c r="CX148" i="3"/>
  <c r="CW55" i="3"/>
  <c r="CW108" i="3"/>
  <c r="CX93" i="3"/>
  <c r="DG69" i="3"/>
  <c r="DH69" i="3"/>
  <c r="DI69" i="3"/>
  <c r="DJ69" i="3" s="1"/>
  <c r="DF24" i="3"/>
  <c r="DJ24" i="3" s="1"/>
  <c r="DG24" i="3"/>
  <c r="DH24" i="3"/>
  <c r="DI24" i="3"/>
  <c r="DF18" i="3"/>
  <c r="DG18" i="3"/>
  <c r="DJ18" i="3" s="1"/>
  <c r="DH18" i="3"/>
  <c r="DI106" i="3"/>
  <c r="DI105" i="3"/>
  <c r="DJ105" i="3" s="1"/>
  <c r="DF65" i="3"/>
  <c r="DG65" i="3"/>
  <c r="DH2" i="3"/>
  <c r="DI2" i="3"/>
  <c r="DF97" i="3"/>
  <c r="DG97" i="3"/>
  <c r="DH97" i="3"/>
  <c r="DI97" i="3"/>
  <c r="DJ97" i="3" s="1"/>
  <c r="DH96" i="3"/>
  <c r="DI96" i="3"/>
  <c r="CX62" i="3"/>
  <c r="CX41" i="3"/>
  <c r="DH14" i="3"/>
  <c r="DI14" i="3"/>
  <c r="DH8" i="3"/>
  <c r="DI8" i="3"/>
  <c r="CX137" i="3"/>
  <c r="CW86" i="3"/>
  <c r="CV67" i="3"/>
  <c r="CX67" i="3"/>
  <c r="CX36" i="3"/>
  <c r="CX135" i="3"/>
  <c r="DF70" i="3"/>
  <c r="DJ70" i="3" s="1"/>
  <c r="DG70" i="3"/>
  <c r="DH70" i="3"/>
  <c r="DI70" i="3"/>
  <c r="CX48" i="3"/>
  <c r="CV43" i="3"/>
  <c r="CX43" i="3"/>
  <c r="CV38" i="3"/>
  <c r="CX38" i="3"/>
  <c r="DG10" i="3"/>
  <c r="DJ10" i="3" s="1"/>
  <c r="DH10" i="3"/>
  <c r="DI10" i="3"/>
  <c r="DH4" i="3"/>
  <c r="DI4" i="3"/>
  <c r="DF4" i="3"/>
  <c r="DJ4" i="3" s="1"/>
  <c r="CX120" i="3"/>
  <c r="CV113" i="3"/>
  <c r="CX112" i="3"/>
  <c r="DF98" i="3"/>
  <c r="DJ98" i="3" s="1"/>
  <c r="DG98" i="3"/>
  <c r="DH98" i="3"/>
  <c r="DH94" i="3"/>
  <c r="DF77" i="3"/>
  <c r="DG77" i="3"/>
  <c r="DJ77" i="3" s="1"/>
  <c r="DI65" i="3"/>
  <c r="DJ65" i="3" s="1"/>
  <c r="DG15" i="3"/>
  <c r="DH15" i="3"/>
  <c r="DI15" i="3"/>
  <c r="DG13" i="3"/>
  <c r="DJ13" i="3" s="1"/>
  <c r="DG7" i="3"/>
  <c r="DF103" i="3"/>
  <c r="DG103" i="3"/>
  <c r="DH103" i="3"/>
  <c r="DI103" i="3"/>
  <c r="DJ103" i="3" s="1"/>
  <c r="DH102" i="3"/>
  <c r="DI102" i="3"/>
  <c r="CX99" i="3"/>
  <c r="DG94" i="3"/>
  <c r="DI66" i="3"/>
  <c r="DH65" i="3"/>
  <c r="CX56" i="3"/>
  <c r="CV31" i="3"/>
  <c r="CX31" i="3"/>
  <c r="CV25" i="3"/>
  <c r="CX25" i="3"/>
  <c r="DH20" i="3"/>
  <c r="DI20" i="3"/>
  <c r="DI18" i="3"/>
  <c r="DF17" i="3"/>
  <c r="DG17" i="3"/>
  <c r="DJ17" i="3" s="1"/>
  <c r="DH17" i="3"/>
  <c r="DI17" i="3"/>
  <c r="DF13" i="3"/>
  <c r="DF7" i="3"/>
  <c r="DF5" i="3"/>
  <c r="DG5" i="3"/>
  <c r="DH5" i="3"/>
  <c r="DI5" i="3"/>
  <c r="DJ5" i="3" s="1"/>
  <c r="DG2" i="3"/>
  <c r="CX132" i="3"/>
  <c r="CX124" i="3"/>
  <c r="CW114" i="3"/>
  <c r="DG96" i="3"/>
  <c r="DF94" i="3"/>
  <c r="DJ94" i="3" s="1"/>
  <c r="DH86" i="3"/>
  <c r="DI85" i="3"/>
  <c r="DF69" i="3"/>
  <c r="DH66" i="3"/>
  <c r="CX58" i="3"/>
  <c r="CW45" i="3"/>
  <c r="DG14" i="3"/>
  <c r="DF11" i="3"/>
  <c r="DG11" i="3"/>
  <c r="DJ11" i="3" s="1"/>
  <c r="DH11" i="3"/>
  <c r="DI11" i="3"/>
  <c r="DG8" i="3"/>
  <c r="DF2" i="3"/>
  <c r="DJ2" i="3" s="1"/>
  <c r="CX115" i="3"/>
  <c r="DF96" i="3"/>
  <c r="DJ96" i="3" s="1"/>
  <c r="DF91" i="3"/>
  <c r="DG91" i="3"/>
  <c r="DH91" i="3"/>
  <c r="DI91" i="3"/>
  <c r="DJ91" i="3" s="1"/>
  <c r="DH90" i="3"/>
  <c r="DI90" i="3"/>
  <c r="DI87" i="3"/>
  <c r="DG86" i="3"/>
  <c r="DJ86" i="3" s="1"/>
  <c r="DH85" i="3"/>
  <c r="DF83" i="3"/>
  <c r="DG83" i="3"/>
  <c r="DJ83" i="3" s="1"/>
  <c r="DH83" i="3"/>
  <c r="DI83" i="3"/>
  <c r="DG66" i="3"/>
  <c r="CX59" i="3"/>
  <c r="CX51" i="3"/>
  <c r="DG23" i="3"/>
  <c r="DH23" i="3"/>
  <c r="DI23" i="3"/>
  <c r="DJ23" i="3" s="1"/>
  <c r="DG21" i="3"/>
  <c r="DH21" i="3"/>
  <c r="DI21" i="3"/>
  <c r="DF14" i="3"/>
  <c r="DJ14" i="3" s="1"/>
  <c r="DF8" i="3"/>
  <c r="DJ8" i="3" s="1"/>
  <c r="CX130" i="3"/>
  <c r="DI88" i="3"/>
  <c r="DG87" i="3"/>
  <c r="DF86" i="3"/>
  <c r="DG85" i="3"/>
  <c r="DJ85" i="3" s="1"/>
  <c r="DF71" i="3"/>
  <c r="DG71" i="3"/>
  <c r="CX52" i="3"/>
  <c r="DG29" i="3"/>
  <c r="DH29" i="3"/>
  <c r="DI29" i="3"/>
  <c r="DJ29" i="3" s="1"/>
  <c r="CX144" i="3"/>
  <c r="CX128" i="3"/>
  <c r="CV107" i="3"/>
  <c r="DF87" i="3"/>
  <c r="DJ87" i="3" s="1"/>
  <c r="DG75" i="3"/>
  <c r="DJ75" i="3" s="1"/>
  <c r="DH75" i="3"/>
  <c r="DI75" i="3"/>
  <c r="CX53" i="3"/>
  <c r="CV33" i="3"/>
  <c r="CX33" i="3"/>
  <c r="DF6" i="3"/>
  <c r="DJ6" i="3" s="1"/>
  <c r="DG6" i="3"/>
  <c r="DH6" i="3"/>
  <c r="CX19" i="3"/>
  <c r="DI82" i="3"/>
  <c r="DJ82" i="3" s="1"/>
  <c r="CX27" i="3"/>
  <c r="H307" i="7" l="1"/>
  <c r="H349" i="7"/>
  <c r="H138" i="7"/>
  <c r="H223" i="7"/>
  <c r="J345" i="7"/>
  <c r="H258" i="7"/>
  <c r="H345" i="7"/>
  <c r="J223" i="7"/>
  <c r="J353" i="7"/>
  <c r="J138" i="7"/>
  <c r="J349" i="7"/>
  <c r="H353" i="7"/>
  <c r="AG187" i="1"/>
  <c r="T204" i="1"/>
  <c r="DJ155" i="1"/>
  <c r="DW142" i="1"/>
  <c r="EA142" i="1"/>
  <c r="DN155" i="1"/>
  <c r="DV187" i="1"/>
  <c r="DI204" i="1"/>
  <c r="AJ187" i="1"/>
  <c r="W204" i="1"/>
  <c r="GB26" i="1"/>
  <c r="ES49" i="1"/>
  <c r="DG146" i="3"/>
  <c r="DI146" i="3"/>
  <c r="DF146" i="3"/>
  <c r="DJ146" i="3" s="1"/>
  <c r="DH146" i="3"/>
  <c r="DG45" i="3"/>
  <c r="DJ45" i="3" s="1"/>
  <c r="DH45" i="3"/>
  <c r="DI45" i="3"/>
  <c r="DF45" i="3"/>
  <c r="GA26" i="1"/>
  <c r="ER49" i="1"/>
  <c r="AQ26" i="1"/>
  <c r="F59" i="1"/>
  <c r="DF137" i="3"/>
  <c r="DJ137" i="3" s="1"/>
  <c r="DG137" i="3"/>
  <c r="DH137" i="3"/>
  <c r="DI137" i="3"/>
  <c r="DI61" i="3"/>
  <c r="DF61" i="3"/>
  <c r="DJ61" i="3" s="1"/>
  <c r="DG61" i="3"/>
  <c r="DH61" i="3"/>
  <c r="DF115" i="3"/>
  <c r="DG115" i="3"/>
  <c r="DJ115" i="3" s="1"/>
  <c r="DH115" i="3"/>
  <c r="DI115" i="3"/>
  <c r="DG112" i="3"/>
  <c r="DH112" i="3"/>
  <c r="DI112" i="3"/>
  <c r="DF112" i="3"/>
  <c r="DJ112" i="3" s="1"/>
  <c r="DH73" i="3"/>
  <c r="DF73" i="3"/>
  <c r="DG73" i="3"/>
  <c r="DI73" i="3"/>
  <c r="DJ73" i="3" s="1"/>
  <c r="AE49" i="1"/>
  <c r="CY35" i="1"/>
  <c r="CZ35" i="1"/>
  <c r="X35" i="1"/>
  <c r="Y35" i="1"/>
  <c r="GM34" i="1"/>
  <c r="GO34" i="1" s="1"/>
  <c r="AG26" i="1"/>
  <c r="T49" i="1"/>
  <c r="CP29" i="1"/>
  <c r="O29" i="1" s="1"/>
  <c r="AH81" i="1"/>
  <c r="U110" i="1"/>
  <c r="GM106" i="1"/>
  <c r="GO106" i="1" s="1"/>
  <c r="T81" i="1"/>
  <c r="F131" i="1"/>
  <c r="F168" i="1"/>
  <c r="BB142" i="1"/>
  <c r="EH142" i="1"/>
  <c r="P164" i="1"/>
  <c r="DF129" i="3"/>
  <c r="DJ129" i="3" s="1"/>
  <c r="DG129" i="3"/>
  <c r="DH129" i="3"/>
  <c r="DI129" i="3"/>
  <c r="DF207" i="3"/>
  <c r="DJ207" i="3" s="1"/>
  <c r="DG207" i="3"/>
  <c r="DI207" i="3"/>
  <c r="DH207" i="3"/>
  <c r="CD187" i="1"/>
  <c r="AU204" i="1"/>
  <c r="AQ187" i="1"/>
  <c r="F214" i="1"/>
  <c r="DY187" i="1"/>
  <c r="DL204" i="1"/>
  <c r="DF191" i="3"/>
  <c r="DJ191" i="3" s="1"/>
  <c r="DH191" i="3"/>
  <c r="DG191" i="3"/>
  <c r="DI191" i="3"/>
  <c r="DG169" i="3"/>
  <c r="DJ169" i="3" s="1"/>
  <c r="DH169" i="3"/>
  <c r="DI169" i="3"/>
  <c r="DF169" i="3"/>
  <c r="DF118" i="3"/>
  <c r="DJ118" i="3" s="1"/>
  <c r="DH118" i="3"/>
  <c r="DI118" i="3"/>
  <c r="DG118" i="3"/>
  <c r="DY236" i="1"/>
  <c r="DL255" i="1"/>
  <c r="CZ252" i="1"/>
  <c r="CP252" i="1"/>
  <c r="O252" i="1" s="1"/>
  <c r="X252" i="1"/>
  <c r="Y252" i="1"/>
  <c r="CY252" i="1"/>
  <c r="S240" i="1"/>
  <c r="V240" i="1"/>
  <c r="FY236" i="1"/>
  <c r="EP255" i="1"/>
  <c r="DF165" i="3"/>
  <c r="DJ165" i="3" s="1"/>
  <c r="DG165" i="3"/>
  <c r="DI165" i="3"/>
  <c r="DH165" i="3"/>
  <c r="T240" i="1"/>
  <c r="CP243" i="1"/>
  <c r="O243" i="1" s="1"/>
  <c r="EI236" i="1"/>
  <c r="P265" i="1"/>
  <c r="X47" i="1"/>
  <c r="GM47" i="1" s="1"/>
  <c r="GO47" i="1" s="1"/>
  <c r="Y47" i="1"/>
  <c r="CY47" i="1"/>
  <c r="CZ47" i="1"/>
  <c r="AP26" i="1"/>
  <c r="F58" i="1"/>
  <c r="DH43" i="3"/>
  <c r="DF43" i="3"/>
  <c r="DG43" i="3"/>
  <c r="DI43" i="3"/>
  <c r="DJ43" i="3" s="1"/>
  <c r="DF208" i="3"/>
  <c r="DJ208" i="3" s="1"/>
  <c r="DH208" i="3"/>
  <c r="DG208" i="3"/>
  <c r="DI208" i="3"/>
  <c r="DF171" i="3"/>
  <c r="DG171" i="3"/>
  <c r="DJ171" i="3" s="1"/>
  <c r="DI171" i="3"/>
  <c r="DH171" i="3"/>
  <c r="AE110" i="1"/>
  <c r="DF48" i="3"/>
  <c r="DJ48" i="3" s="1"/>
  <c r="DG48" i="3"/>
  <c r="DI48" i="3"/>
  <c r="DH48" i="3"/>
  <c r="DG60" i="3"/>
  <c r="DF60" i="3"/>
  <c r="DJ60" i="3" s="1"/>
  <c r="DH60" i="3"/>
  <c r="DI60" i="3"/>
  <c r="DG125" i="3"/>
  <c r="DF125" i="3"/>
  <c r="DJ125" i="3" s="1"/>
  <c r="DH125" i="3"/>
  <c r="DI125" i="3"/>
  <c r="CZ36" i="1"/>
  <c r="X36" i="1"/>
  <c r="AK49" i="1" s="1"/>
  <c r="Y36" i="1"/>
  <c r="CY36" i="1"/>
  <c r="AH26" i="1"/>
  <c r="U49" i="1"/>
  <c r="FR100" i="1"/>
  <c r="CP100" i="1"/>
  <c r="O100" i="1" s="1"/>
  <c r="GM100" i="1" s="1"/>
  <c r="BB81" i="1"/>
  <c r="F123" i="1"/>
  <c r="BB285" i="1"/>
  <c r="GM151" i="1"/>
  <c r="GO151" i="1" s="1"/>
  <c r="DH122" i="3"/>
  <c r="DI122" i="3"/>
  <c r="DJ122" i="3" s="1"/>
  <c r="DF122" i="3"/>
  <c r="DG122" i="3"/>
  <c r="EM142" i="1"/>
  <c r="P174" i="1"/>
  <c r="DI203" i="3"/>
  <c r="DF203" i="3"/>
  <c r="DJ203" i="3" s="1"/>
  <c r="DG203" i="3"/>
  <c r="DH203" i="3"/>
  <c r="DF190" i="3"/>
  <c r="DJ190" i="3" s="1"/>
  <c r="DG190" i="3"/>
  <c r="DI190" i="3"/>
  <c r="DH190" i="3"/>
  <c r="EV142" i="1"/>
  <c r="P180" i="1"/>
  <c r="DF183" i="3"/>
  <c r="DJ183" i="3" s="1"/>
  <c r="DG183" i="3"/>
  <c r="DI183" i="3"/>
  <c r="DH183" i="3"/>
  <c r="DG114" i="3"/>
  <c r="DJ114" i="3" s="1"/>
  <c r="DH114" i="3"/>
  <c r="DI114" i="3"/>
  <c r="DF114" i="3"/>
  <c r="Y243" i="1"/>
  <c r="CY243" i="1"/>
  <c r="CZ243" i="1"/>
  <c r="X243" i="1"/>
  <c r="DL142" i="1"/>
  <c r="P176" i="1"/>
  <c r="CY248" i="1"/>
  <c r="CZ248" i="1"/>
  <c r="X248" i="1"/>
  <c r="Y248" i="1"/>
  <c r="U240" i="1"/>
  <c r="AH255" i="1" s="1"/>
  <c r="DI159" i="3"/>
  <c r="DF159" i="3"/>
  <c r="DJ159" i="3" s="1"/>
  <c r="DG159" i="3"/>
  <c r="DH159" i="3"/>
  <c r="DH59" i="3"/>
  <c r="DF59" i="3"/>
  <c r="DJ59" i="3" s="1"/>
  <c r="DG59" i="3"/>
  <c r="DI59" i="3"/>
  <c r="DG167" i="3"/>
  <c r="DH167" i="3"/>
  <c r="DF167" i="3"/>
  <c r="DI167" i="3"/>
  <c r="DJ167" i="3" s="1"/>
  <c r="AD26" i="1"/>
  <c r="Q49" i="1"/>
  <c r="DF56" i="3"/>
  <c r="DG56" i="3"/>
  <c r="DJ56" i="3" s="1"/>
  <c r="DH56" i="3"/>
  <c r="DI56" i="3"/>
  <c r="CP43" i="1"/>
  <c r="O43" i="1" s="1"/>
  <c r="DG33" i="3"/>
  <c r="DH33" i="3"/>
  <c r="DF33" i="3"/>
  <c r="DI33" i="3"/>
  <c r="DJ33" i="3" s="1"/>
  <c r="DG120" i="3"/>
  <c r="DH120" i="3"/>
  <c r="DI120" i="3"/>
  <c r="DF120" i="3"/>
  <c r="DJ120" i="3" s="1"/>
  <c r="DG119" i="3"/>
  <c r="DH119" i="3"/>
  <c r="DI119" i="3"/>
  <c r="DF119" i="3"/>
  <c r="DJ119" i="3" s="1"/>
  <c r="DF37" i="3"/>
  <c r="DG37" i="3"/>
  <c r="DH37" i="3"/>
  <c r="DI37" i="3"/>
  <c r="DJ37" i="3" s="1"/>
  <c r="GM38" i="1"/>
  <c r="GO38" i="1" s="1"/>
  <c r="DF127" i="3"/>
  <c r="DJ127" i="3" s="1"/>
  <c r="DG127" i="3"/>
  <c r="DH127" i="3"/>
  <c r="DI127" i="3"/>
  <c r="DG149" i="3"/>
  <c r="DH149" i="3"/>
  <c r="DF149" i="3"/>
  <c r="DI149" i="3"/>
  <c r="DJ149" i="3" s="1"/>
  <c r="EM26" i="1"/>
  <c r="P68" i="1"/>
  <c r="AC49" i="1"/>
  <c r="GM32" i="1"/>
  <c r="GO32" i="1" s="1"/>
  <c r="GM94" i="1"/>
  <c r="GO94" i="1" s="1"/>
  <c r="CI142" i="1"/>
  <c r="AZ155" i="1"/>
  <c r="DO81" i="1"/>
  <c r="P134" i="1"/>
  <c r="BD187" i="1"/>
  <c r="F229" i="1"/>
  <c r="X194" i="1"/>
  <c r="GM194" i="1" s="1"/>
  <c r="GO194" i="1" s="1"/>
  <c r="Y194" i="1"/>
  <c r="CY194" i="1"/>
  <c r="CZ194" i="1"/>
  <c r="DM81" i="1"/>
  <c r="P132" i="1"/>
  <c r="DL81" i="1"/>
  <c r="P131" i="1"/>
  <c r="DI138" i="3"/>
  <c r="DF138" i="3"/>
  <c r="DJ138" i="3" s="1"/>
  <c r="DG138" i="3"/>
  <c r="DH138" i="3"/>
  <c r="DV255" i="1"/>
  <c r="CY198" i="1"/>
  <c r="CZ198" i="1"/>
  <c r="X198" i="1"/>
  <c r="Y198" i="1"/>
  <c r="CP198" i="1"/>
  <c r="O198" i="1" s="1"/>
  <c r="CP197" i="1"/>
  <c r="O197" i="1" s="1"/>
  <c r="GM197" i="1" s="1"/>
  <c r="GO197" i="1" s="1"/>
  <c r="EK81" i="1"/>
  <c r="P127" i="1"/>
  <c r="DI196" i="3"/>
  <c r="DF196" i="3"/>
  <c r="DJ196" i="3" s="1"/>
  <c r="DG196" i="3"/>
  <c r="DH196" i="3"/>
  <c r="DI177" i="3"/>
  <c r="DF177" i="3"/>
  <c r="DJ177" i="3" s="1"/>
  <c r="DG177" i="3"/>
  <c r="DH177" i="3"/>
  <c r="DI113" i="3"/>
  <c r="DJ113" i="3" s="1"/>
  <c r="DG113" i="3"/>
  <c r="DH113" i="3"/>
  <c r="DF113" i="3"/>
  <c r="DZ236" i="1"/>
  <c r="DM255" i="1"/>
  <c r="W240" i="1"/>
  <c r="AJ255" i="1" s="1"/>
  <c r="DH150" i="3"/>
  <c r="DI150" i="3"/>
  <c r="DF150" i="3"/>
  <c r="DG150" i="3"/>
  <c r="DJ150" i="3" s="1"/>
  <c r="ET236" i="1"/>
  <c r="P268" i="1"/>
  <c r="P275" i="1"/>
  <c r="ES236" i="1"/>
  <c r="DG144" i="3"/>
  <c r="DI144" i="3"/>
  <c r="DF144" i="3"/>
  <c r="DJ144" i="3" s="1"/>
  <c r="DH144" i="3"/>
  <c r="DF182" i="3"/>
  <c r="DJ182" i="3" s="1"/>
  <c r="DG182" i="3"/>
  <c r="DH182" i="3"/>
  <c r="DI182" i="3"/>
  <c r="DG173" i="3"/>
  <c r="DI173" i="3"/>
  <c r="DF173" i="3"/>
  <c r="DJ173" i="3" s="1"/>
  <c r="DH173" i="3"/>
  <c r="DF141" i="3"/>
  <c r="DG141" i="3"/>
  <c r="DJ141" i="3" s="1"/>
  <c r="DH141" i="3"/>
  <c r="DI141" i="3"/>
  <c r="GM40" i="1"/>
  <c r="GN40" i="1" s="1"/>
  <c r="DF156" i="3"/>
  <c r="DJ156" i="3" s="1"/>
  <c r="DH156" i="3"/>
  <c r="DI156" i="3"/>
  <c r="DG156" i="3"/>
  <c r="DH139" i="3"/>
  <c r="DF139" i="3"/>
  <c r="DJ139" i="3" s="1"/>
  <c r="DG139" i="3"/>
  <c r="DI139" i="3"/>
  <c r="CP84" i="1"/>
  <c r="O84" i="1" s="1"/>
  <c r="DV110" i="1"/>
  <c r="CG26" i="1"/>
  <c r="AX49" i="1"/>
  <c r="CP35" i="1"/>
  <c r="O35" i="1" s="1"/>
  <c r="GM35" i="1" s="1"/>
  <c r="GO35" i="1" s="1"/>
  <c r="GM96" i="1"/>
  <c r="GO96" i="1" s="1"/>
  <c r="CY91" i="1"/>
  <c r="CZ91" i="1"/>
  <c r="X91" i="1"/>
  <c r="GM91" i="1" s="1"/>
  <c r="GO91" i="1" s="1"/>
  <c r="Y91" i="1"/>
  <c r="X146" i="1"/>
  <c r="GM146" i="1" s="1"/>
  <c r="GO146" i="1" s="1"/>
  <c r="Y146" i="1"/>
  <c r="CZ146" i="1"/>
  <c r="AF155" i="1"/>
  <c r="CY146" i="1"/>
  <c r="AI142" i="1"/>
  <c r="V155" i="1"/>
  <c r="DW187" i="1"/>
  <c r="DJ204" i="1"/>
  <c r="DF136" i="3"/>
  <c r="DJ136" i="3" s="1"/>
  <c r="DG136" i="3"/>
  <c r="DH136" i="3"/>
  <c r="DI136" i="3"/>
  <c r="CB187" i="1"/>
  <c r="AS204" i="1"/>
  <c r="DF199" i="3"/>
  <c r="DG199" i="3"/>
  <c r="DJ199" i="3" s="1"/>
  <c r="DH199" i="3"/>
  <c r="DI199" i="3"/>
  <c r="ET187" i="1"/>
  <c r="P217" i="1"/>
  <c r="EU187" i="1"/>
  <c r="P220" i="1"/>
  <c r="EU285" i="1"/>
  <c r="DI186" i="3"/>
  <c r="DF186" i="3"/>
  <c r="DG186" i="3"/>
  <c r="DJ186" i="3" s="1"/>
  <c r="DH186" i="3"/>
  <c r="DI168" i="3"/>
  <c r="DF168" i="3"/>
  <c r="DG168" i="3"/>
  <c r="DJ168" i="3" s="1"/>
  <c r="DH168" i="3"/>
  <c r="DG121" i="3"/>
  <c r="DH121" i="3"/>
  <c r="DI121" i="3"/>
  <c r="DF121" i="3"/>
  <c r="DJ121" i="3" s="1"/>
  <c r="CP202" i="1"/>
  <c r="O202" i="1" s="1"/>
  <c r="GM202" i="1" s="1"/>
  <c r="GO202" i="1" s="1"/>
  <c r="DZ187" i="1"/>
  <c r="DM204" i="1"/>
  <c r="AQ255" i="1"/>
  <c r="BZ236" i="1"/>
  <c r="CG255" i="1"/>
  <c r="Q248" i="1"/>
  <c r="GX248" i="1"/>
  <c r="P248" i="1"/>
  <c r="CP248" i="1" s="1"/>
  <c r="O248" i="1" s="1"/>
  <c r="R248" i="1"/>
  <c r="DF158" i="3"/>
  <c r="DJ158" i="3" s="1"/>
  <c r="DG158" i="3"/>
  <c r="DH158" i="3"/>
  <c r="DI158" i="3"/>
  <c r="EH236" i="1"/>
  <c r="P264" i="1"/>
  <c r="V248" i="1"/>
  <c r="CP88" i="1"/>
  <c r="O88" i="1" s="1"/>
  <c r="GM88" i="1" s="1"/>
  <c r="GO88" i="1" s="1"/>
  <c r="DU110" i="1"/>
  <c r="DF31" i="3"/>
  <c r="DG31" i="3"/>
  <c r="DH31" i="3"/>
  <c r="DI31" i="3"/>
  <c r="DJ31" i="3" s="1"/>
  <c r="DF198" i="3"/>
  <c r="DG198" i="3"/>
  <c r="DJ198" i="3" s="1"/>
  <c r="DH198" i="3"/>
  <c r="DI198" i="3"/>
  <c r="DF46" i="3"/>
  <c r="DG46" i="3"/>
  <c r="DJ46" i="3" s="1"/>
  <c r="DH46" i="3"/>
  <c r="DI46" i="3"/>
  <c r="DF206" i="3"/>
  <c r="DJ206" i="3" s="1"/>
  <c r="DG206" i="3"/>
  <c r="DH206" i="3"/>
  <c r="DI206" i="3"/>
  <c r="DH52" i="3"/>
  <c r="DF52" i="3"/>
  <c r="DJ52" i="3" s="1"/>
  <c r="DG52" i="3"/>
  <c r="DI52" i="3"/>
  <c r="CY46" i="1"/>
  <c r="CZ46" i="1"/>
  <c r="X46" i="1"/>
  <c r="Y46" i="1"/>
  <c r="DG53" i="3"/>
  <c r="DF53" i="3"/>
  <c r="DJ53" i="3" s="1"/>
  <c r="DH53" i="3"/>
  <c r="DI53" i="3"/>
  <c r="DF41" i="3"/>
  <c r="DG41" i="3"/>
  <c r="DH41" i="3"/>
  <c r="DI41" i="3"/>
  <c r="DJ41" i="3" s="1"/>
  <c r="DF93" i="3"/>
  <c r="DG93" i="3"/>
  <c r="DH93" i="3"/>
  <c r="DI93" i="3"/>
  <c r="DJ93" i="3" s="1"/>
  <c r="DF162" i="3"/>
  <c r="DJ162" i="3" s="1"/>
  <c r="DG162" i="3"/>
  <c r="DH162" i="3"/>
  <c r="DI162" i="3"/>
  <c r="DF126" i="3"/>
  <c r="DJ126" i="3" s="1"/>
  <c r="DG126" i="3"/>
  <c r="DH126" i="3"/>
  <c r="DI126" i="3"/>
  <c r="DF55" i="3"/>
  <c r="DG55" i="3"/>
  <c r="DJ55" i="3" s="1"/>
  <c r="DH55" i="3"/>
  <c r="DI55" i="3"/>
  <c r="DG185" i="3"/>
  <c r="DH185" i="3"/>
  <c r="DF185" i="3"/>
  <c r="DI185" i="3"/>
  <c r="DJ185" i="3" s="1"/>
  <c r="CP39" i="1"/>
  <c r="O39" i="1" s="1"/>
  <c r="GM39" i="1" s="1"/>
  <c r="GO39" i="1" s="1"/>
  <c r="DU49" i="1"/>
  <c r="DG155" i="3"/>
  <c r="DI155" i="3"/>
  <c r="DF155" i="3"/>
  <c r="DJ155" i="3" s="1"/>
  <c r="DH155" i="3"/>
  <c r="DL26" i="1"/>
  <c r="P70" i="1"/>
  <c r="DL285" i="1"/>
  <c r="BD26" i="1"/>
  <c r="F74" i="1"/>
  <c r="BD285" i="1"/>
  <c r="X98" i="1"/>
  <c r="GM98" i="1" s="1"/>
  <c r="GO98" i="1" s="1"/>
  <c r="Y98" i="1"/>
  <c r="CY98" i="1"/>
  <c r="CZ98" i="1"/>
  <c r="CG81" i="1"/>
  <c r="AX110" i="1"/>
  <c r="CP199" i="1"/>
  <c r="O199" i="1" s="1"/>
  <c r="DF134" i="3"/>
  <c r="DG134" i="3"/>
  <c r="DJ134" i="3" s="1"/>
  <c r="DH134" i="3"/>
  <c r="DI134" i="3"/>
  <c r="BD81" i="1"/>
  <c r="F135" i="1"/>
  <c r="DG205" i="3"/>
  <c r="DH205" i="3"/>
  <c r="DI205" i="3"/>
  <c r="DF205" i="3"/>
  <c r="DJ205" i="3" s="1"/>
  <c r="DM142" i="1"/>
  <c r="P177" i="1"/>
  <c r="GM152" i="1"/>
  <c r="GO152" i="1" s="1"/>
  <c r="DF195" i="3"/>
  <c r="DJ195" i="3" s="1"/>
  <c r="DG195" i="3"/>
  <c r="DH195" i="3"/>
  <c r="DI195" i="3"/>
  <c r="DF176" i="3"/>
  <c r="DJ176" i="3" s="1"/>
  <c r="DG176" i="3"/>
  <c r="DI176" i="3"/>
  <c r="DH176" i="3"/>
  <c r="F211" i="1"/>
  <c r="AX187" i="1"/>
  <c r="BB236" i="1"/>
  <c r="F268" i="1"/>
  <c r="Q242" i="1"/>
  <c r="GX242" i="1"/>
  <c r="CJ255" i="1" s="1"/>
  <c r="P242" i="1"/>
  <c r="CP242" i="1" s="1"/>
  <c r="O242" i="1" s="1"/>
  <c r="R242" i="1"/>
  <c r="V242" i="1"/>
  <c r="EV236" i="1"/>
  <c r="P280" i="1"/>
  <c r="ER187" i="1"/>
  <c r="P215" i="1"/>
  <c r="EB236" i="1"/>
  <c r="DO255" i="1"/>
  <c r="DG27" i="3"/>
  <c r="DH27" i="3"/>
  <c r="DI27" i="3"/>
  <c r="DJ27" i="3" s="1"/>
  <c r="DF27" i="3"/>
  <c r="DG35" i="3"/>
  <c r="DH35" i="3"/>
  <c r="DI35" i="3"/>
  <c r="DJ35" i="3" s="1"/>
  <c r="DF35" i="3"/>
  <c r="CZ42" i="1"/>
  <c r="X42" i="1"/>
  <c r="GM42" i="1" s="1"/>
  <c r="GN42" i="1" s="1"/>
  <c r="Y42" i="1"/>
  <c r="CY42" i="1"/>
  <c r="DF124" i="3"/>
  <c r="DH124" i="3"/>
  <c r="DG124" i="3"/>
  <c r="DJ124" i="3" s="1"/>
  <c r="DI124" i="3"/>
  <c r="DH62" i="3"/>
  <c r="DI62" i="3"/>
  <c r="DF62" i="3"/>
  <c r="DJ62" i="3" s="1"/>
  <c r="DG62" i="3"/>
  <c r="DG39" i="3"/>
  <c r="DH39" i="3"/>
  <c r="DI39" i="3"/>
  <c r="DJ39" i="3" s="1"/>
  <c r="DF39" i="3"/>
  <c r="DH178" i="3"/>
  <c r="DI178" i="3"/>
  <c r="DF178" i="3"/>
  <c r="DJ178" i="3" s="1"/>
  <c r="DG178" i="3"/>
  <c r="CI26" i="1"/>
  <c r="AZ49" i="1"/>
  <c r="FR107" i="1"/>
  <c r="CP107" i="1"/>
  <c r="O107" i="1" s="1"/>
  <c r="GM107" i="1" s="1"/>
  <c r="FR108" i="1"/>
  <c r="CP108" i="1"/>
  <c r="O108" i="1" s="1"/>
  <c r="GM108" i="1" s="1"/>
  <c r="DV155" i="1"/>
  <c r="CY86" i="1"/>
  <c r="CZ86" i="1"/>
  <c r="X86" i="1"/>
  <c r="EC110" i="1" s="1"/>
  <c r="Y86" i="1"/>
  <c r="DX110" i="1"/>
  <c r="CP46" i="1"/>
  <c r="O46" i="1" s="1"/>
  <c r="GM46" i="1" s="1"/>
  <c r="GO46" i="1" s="1"/>
  <c r="DF142" i="3"/>
  <c r="DG142" i="3"/>
  <c r="DJ142" i="3" s="1"/>
  <c r="DH142" i="3"/>
  <c r="DI142" i="3"/>
  <c r="BC81" i="1"/>
  <c r="F126" i="1"/>
  <c r="GB81" i="1"/>
  <c r="ES110" i="1"/>
  <c r="EB187" i="1"/>
  <c r="DO204" i="1"/>
  <c r="FX204" i="1"/>
  <c r="FZ204" i="1"/>
  <c r="DU187" i="1"/>
  <c r="DH204" i="1"/>
  <c r="FW204" i="1"/>
  <c r="CI236" i="1"/>
  <c r="AZ255" i="1"/>
  <c r="CY245" i="1"/>
  <c r="CZ245" i="1"/>
  <c r="X245" i="1"/>
  <c r="Y245" i="1"/>
  <c r="CP245" i="1"/>
  <c r="O245" i="1" s="1"/>
  <c r="CY242" i="1"/>
  <c r="CZ242" i="1"/>
  <c r="X242" i="1"/>
  <c r="Y242" i="1"/>
  <c r="EM255" i="1"/>
  <c r="FV236" i="1"/>
  <c r="X199" i="1"/>
  <c r="CY199" i="1"/>
  <c r="Y199" i="1"/>
  <c r="CZ199" i="1"/>
  <c r="DV26" i="1"/>
  <c r="DI49" i="1"/>
  <c r="DF47" i="3"/>
  <c r="DJ47" i="3" s="1"/>
  <c r="DG47" i="3"/>
  <c r="DH47" i="3"/>
  <c r="DI47" i="3"/>
  <c r="AU26" i="1"/>
  <c r="F68" i="1"/>
  <c r="FR90" i="1"/>
  <c r="CP90" i="1"/>
  <c r="O90" i="1" s="1"/>
  <c r="GM90" i="1" s="1"/>
  <c r="DG132" i="3"/>
  <c r="DJ132" i="3" s="1"/>
  <c r="DF132" i="3"/>
  <c r="DH132" i="3"/>
  <c r="DI132" i="3"/>
  <c r="DF135" i="3"/>
  <c r="DJ135" i="3" s="1"/>
  <c r="DG135" i="3"/>
  <c r="DH135" i="3"/>
  <c r="DI135" i="3"/>
  <c r="DG157" i="3"/>
  <c r="DH157" i="3"/>
  <c r="DI157" i="3"/>
  <c r="DF157" i="3"/>
  <c r="DJ157" i="3" s="1"/>
  <c r="EB26" i="1"/>
  <c r="DO49" i="1"/>
  <c r="DF193" i="3"/>
  <c r="DJ193" i="3" s="1"/>
  <c r="DH193" i="3"/>
  <c r="DI193" i="3"/>
  <c r="DG193" i="3"/>
  <c r="DW110" i="1"/>
  <c r="EP26" i="1"/>
  <c r="P56" i="1"/>
  <c r="X85" i="1"/>
  <c r="GM85" i="1" s="1"/>
  <c r="Y85" i="1"/>
  <c r="CY85" i="1"/>
  <c r="CZ85" i="1"/>
  <c r="CP104" i="1"/>
  <c r="O104" i="1" s="1"/>
  <c r="GM104" i="1" s="1"/>
  <c r="FR104" i="1"/>
  <c r="DU155" i="1"/>
  <c r="CP145" i="1"/>
  <c r="O145" i="1" s="1"/>
  <c r="AQ81" i="1"/>
  <c r="F120" i="1"/>
  <c r="AD155" i="1"/>
  <c r="AH142" i="1"/>
  <c r="U155" i="1"/>
  <c r="W81" i="1"/>
  <c r="F134" i="1"/>
  <c r="AE155" i="1"/>
  <c r="DH133" i="3"/>
  <c r="DI133" i="3"/>
  <c r="DF133" i="3"/>
  <c r="DG133" i="3"/>
  <c r="DJ133" i="3" s="1"/>
  <c r="DO142" i="1"/>
  <c r="P179" i="1"/>
  <c r="DF197" i="3"/>
  <c r="DG197" i="3"/>
  <c r="DH197" i="3"/>
  <c r="DI197" i="3"/>
  <c r="DJ197" i="3" s="1"/>
  <c r="EV187" i="1"/>
  <c r="P229" i="1"/>
  <c r="EK142" i="1"/>
  <c r="P172" i="1"/>
  <c r="AP187" i="1"/>
  <c r="F213" i="1"/>
  <c r="DF184" i="3"/>
  <c r="DJ184" i="3" s="1"/>
  <c r="DH184" i="3"/>
  <c r="DG184" i="3"/>
  <c r="DI184" i="3"/>
  <c r="X189" i="1"/>
  <c r="AK204" i="1" s="1"/>
  <c r="Y189" i="1"/>
  <c r="CY189" i="1"/>
  <c r="CZ189" i="1"/>
  <c r="AF204" i="1"/>
  <c r="CZ200" i="1"/>
  <c r="X200" i="1"/>
  <c r="GM200" i="1" s="1"/>
  <c r="GO200" i="1" s="1"/>
  <c r="CY200" i="1"/>
  <c r="Y200" i="1"/>
  <c r="CZ244" i="1"/>
  <c r="X244" i="1"/>
  <c r="Y244" i="1"/>
  <c r="GM244" i="1" s="1"/>
  <c r="GO244" i="1" s="1"/>
  <c r="CY244" i="1"/>
  <c r="DF152" i="3"/>
  <c r="DG152" i="3"/>
  <c r="DJ152" i="3" s="1"/>
  <c r="DH152" i="3"/>
  <c r="DI152" i="3"/>
  <c r="EG187" i="1"/>
  <c r="P208" i="1"/>
  <c r="EG285" i="1"/>
  <c r="CP238" i="1"/>
  <c r="O238" i="1" s="1"/>
  <c r="EA236" i="1"/>
  <c r="DN255" i="1"/>
  <c r="DH99" i="3"/>
  <c r="DI99" i="3"/>
  <c r="DJ99" i="3" s="1"/>
  <c r="DF99" i="3"/>
  <c r="DG99" i="3"/>
  <c r="DG63" i="3"/>
  <c r="DH63" i="3"/>
  <c r="DI63" i="3"/>
  <c r="DF63" i="3"/>
  <c r="DJ63" i="3" s="1"/>
  <c r="CY43" i="1"/>
  <c r="CZ43" i="1"/>
  <c r="X43" i="1"/>
  <c r="Y43" i="1"/>
  <c r="DH160" i="3"/>
  <c r="DI160" i="3"/>
  <c r="DF160" i="3"/>
  <c r="DJ160" i="3" s="1"/>
  <c r="DG160" i="3"/>
  <c r="AD110" i="1"/>
  <c r="DI51" i="3"/>
  <c r="DF51" i="3"/>
  <c r="DJ51" i="3" s="1"/>
  <c r="DG51" i="3"/>
  <c r="DH51" i="3"/>
  <c r="DF36" i="3"/>
  <c r="DG36" i="3"/>
  <c r="DH36" i="3"/>
  <c r="DI36" i="3"/>
  <c r="DJ36" i="3" s="1"/>
  <c r="DH148" i="3"/>
  <c r="DG148" i="3"/>
  <c r="DF148" i="3"/>
  <c r="DJ148" i="3" s="1"/>
  <c r="DI148" i="3"/>
  <c r="DH57" i="3"/>
  <c r="DI57" i="3"/>
  <c r="DF57" i="3"/>
  <c r="DG57" i="3"/>
  <c r="DJ57" i="3" s="1"/>
  <c r="DF143" i="3"/>
  <c r="DG143" i="3"/>
  <c r="DJ143" i="3" s="1"/>
  <c r="DI143" i="3"/>
  <c r="DH143" i="3"/>
  <c r="DF164" i="3"/>
  <c r="DJ164" i="3" s="1"/>
  <c r="DG164" i="3"/>
  <c r="DH164" i="3"/>
  <c r="DI164" i="3"/>
  <c r="DF40" i="3"/>
  <c r="DJ40" i="3" s="1"/>
  <c r="DG40" i="3"/>
  <c r="DH40" i="3"/>
  <c r="DI40" i="3"/>
  <c r="DF49" i="3"/>
  <c r="DJ49" i="3" s="1"/>
  <c r="DG49" i="3"/>
  <c r="DH49" i="3"/>
  <c r="DI49" i="3"/>
  <c r="DF189" i="3"/>
  <c r="DJ189" i="3" s="1"/>
  <c r="DG189" i="3"/>
  <c r="DH189" i="3"/>
  <c r="DI189" i="3"/>
  <c r="DF174" i="3"/>
  <c r="DJ174" i="3" s="1"/>
  <c r="DH174" i="3"/>
  <c r="DI174" i="3"/>
  <c r="DG174" i="3"/>
  <c r="EV26" i="1"/>
  <c r="P74" i="1"/>
  <c r="EV285" i="1"/>
  <c r="CP86" i="1"/>
  <c r="O86" i="1" s="1"/>
  <c r="GM86" i="1" s="1"/>
  <c r="EV81" i="1"/>
  <c r="P135" i="1"/>
  <c r="FR99" i="1"/>
  <c r="CP99" i="1"/>
  <c r="O99" i="1" s="1"/>
  <c r="GM99" i="1" s="1"/>
  <c r="AF49" i="1"/>
  <c r="AU81" i="1"/>
  <c r="F129" i="1"/>
  <c r="AG142" i="1"/>
  <c r="T155" i="1"/>
  <c r="AU155" i="1"/>
  <c r="CD142" i="1"/>
  <c r="EM81" i="1"/>
  <c r="P129" i="1"/>
  <c r="P165" i="1"/>
  <c r="EI142" i="1"/>
  <c r="EP81" i="1"/>
  <c r="P117" i="1"/>
  <c r="EH187" i="1"/>
  <c r="P213" i="1"/>
  <c r="DN204" i="1"/>
  <c r="EA187" i="1"/>
  <c r="DF181" i="3"/>
  <c r="DJ181" i="3" s="1"/>
  <c r="DG181" i="3"/>
  <c r="DH181" i="3"/>
  <c r="DI181" i="3"/>
  <c r="AD204" i="1"/>
  <c r="GA236" i="1"/>
  <c r="ER255" i="1"/>
  <c r="DF166" i="3"/>
  <c r="DJ166" i="3" s="1"/>
  <c r="DH166" i="3"/>
  <c r="DG166" i="3"/>
  <c r="DI166" i="3"/>
  <c r="EP204" i="1"/>
  <c r="FY187" i="1"/>
  <c r="AH187" i="1"/>
  <c r="U204" i="1"/>
  <c r="EK236" i="1"/>
  <c r="P272" i="1"/>
  <c r="DG131" i="3"/>
  <c r="DI131" i="3"/>
  <c r="DJ131" i="3" s="1"/>
  <c r="DF131" i="3"/>
  <c r="DH131" i="3"/>
  <c r="AX155" i="1"/>
  <c r="CG142" i="1"/>
  <c r="DF202" i="3"/>
  <c r="DJ202" i="3" s="1"/>
  <c r="DG202" i="3"/>
  <c r="DH202" i="3"/>
  <c r="DI202" i="3"/>
  <c r="CB142" i="1"/>
  <c r="AS155" i="1"/>
  <c r="FY142" i="1"/>
  <c r="EP155" i="1"/>
  <c r="EP285" i="1" s="1"/>
  <c r="GM196" i="1"/>
  <c r="GO196" i="1" s="1"/>
  <c r="DF170" i="3"/>
  <c r="DG170" i="3"/>
  <c r="DJ170" i="3" s="1"/>
  <c r="DH170" i="3"/>
  <c r="DI170" i="3"/>
  <c r="AE204" i="1"/>
  <c r="CP201" i="1"/>
  <c r="O201" i="1" s="1"/>
  <c r="GM201" i="1" s="1"/>
  <c r="GO201" i="1" s="1"/>
  <c r="AP236" i="1"/>
  <c r="F264" i="1"/>
  <c r="DF163" i="3"/>
  <c r="DJ163" i="3" s="1"/>
  <c r="DG163" i="3"/>
  <c r="DH163" i="3"/>
  <c r="DI163" i="3"/>
  <c r="CY239" i="1"/>
  <c r="CZ239" i="1"/>
  <c r="X239" i="1"/>
  <c r="Y239" i="1"/>
  <c r="ED255" i="1" s="1"/>
  <c r="DX255" i="1"/>
  <c r="AG255" i="1"/>
  <c r="DZ26" i="1"/>
  <c r="DM49" i="1"/>
  <c r="DF188" i="3"/>
  <c r="DG188" i="3"/>
  <c r="DJ188" i="3" s="1"/>
  <c r="DH188" i="3"/>
  <c r="DI188" i="3"/>
  <c r="DG108" i="3"/>
  <c r="DJ108" i="3" s="1"/>
  <c r="DH108" i="3"/>
  <c r="DI108" i="3"/>
  <c r="DF108" i="3"/>
  <c r="CY149" i="1"/>
  <c r="CZ149" i="1"/>
  <c r="X149" i="1"/>
  <c r="Y149" i="1"/>
  <c r="DG140" i="3"/>
  <c r="DF140" i="3"/>
  <c r="DH140" i="3"/>
  <c r="DI140" i="3"/>
  <c r="DJ140" i="3" s="1"/>
  <c r="EI81" i="1"/>
  <c r="P120" i="1"/>
  <c r="EI285" i="1"/>
  <c r="CP149" i="1"/>
  <c r="O149" i="1" s="1"/>
  <c r="GM149" i="1" s="1"/>
  <c r="GO149" i="1" s="1"/>
  <c r="DI58" i="3"/>
  <c r="DF58" i="3"/>
  <c r="DJ58" i="3" s="1"/>
  <c r="DG58" i="3"/>
  <c r="DH58" i="3"/>
  <c r="DF25" i="3"/>
  <c r="DG25" i="3"/>
  <c r="DH25" i="3"/>
  <c r="DI25" i="3"/>
  <c r="DJ25" i="3" s="1"/>
  <c r="DG38" i="3"/>
  <c r="DF38" i="3"/>
  <c r="DH38" i="3"/>
  <c r="DI38" i="3"/>
  <c r="DJ38" i="3" s="1"/>
  <c r="DH200" i="3"/>
  <c r="DI200" i="3"/>
  <c r="DF200" i="3"/>
  <c r="DG200" i="3"/>
  <c r="DJ200" i="3" s="1"/>
  <c r="DF180" i="3"/>
  <c r="DJ180" i="3" s="1"/>
  <c r="DG180" i="3"/>
  <c r="DH180" i="3"/>
  <c r="DI180" i="3"/>
  <c r="DF64" i="3"/>
  <c r="DJ64" i="3" s="1"/>
  <c r="DG64" i="3"/>
  <c r="DH64" i="3"/>
  <c r="DI64" i="3"/>
  <c r="DF153" i="3"/>
  <c r="DG153" i="3"/>
  <c r="DJ153" i="3" s="1"/>
  <c r="DI153" i="3"/>
  <c r="DH153" i="3"/>
  <c r="DI50" i="3"/>
  <c r="DF50" i="3"/>
  <c r="DJ50" i="3" s="1"/>
  <c r="DG50" i="3"/>
  <c r="DH50" i="3"/>
  <c r="DF12" i="3"/>
  <c r="DG12" i="3"/>
  <c r="DJ12" i="3" s="1"/>
  <c r="DH12" i="3"/>
  <c r="DI12" i="3"/>
  <c r="DW49" i="1"/>
  <c r="CP95" i="1"/>
  <c r="O95" i="1" s="1"/>
  <c r="GM95" i="1" s="1"/>
  <c r="GO95" i="1" s="1"/>
  <c r="AJ26" i="1"/>
  <c r="W49" i="1"/>
  <c r="AO26" i="1"/>
  <c r="F53" i="1"/>
  <c r="AO285" i="1"/>
  <c r="AC110" i="1"/>
  <c r="DF109" i="3"/>
  <c r="DJ109" i="3" s="1"/>
  <c r="DG109" i="3"/>
  <c r="DH109" i="3"/>
  <c r="DI109" i="3"/>
  <c r="GM102" i="1"/>
  <c r="GO102" i="1" s="1"/>
  <c r="CY83" i="1"/>
  <c r="CZ83" i="1"/>
  <c r="X83" i="1"/>
  <c r="AK110" i="1" s="1"/>
  <c r="Y83" i="1"/>
  <c r="AF110" i="1"/>
  <c r="ES155" i="1"/>
  <c r="GB142" i="1"/>
  <c r="Y192" i="1"/>
  <c r="ED204" i="1" s="1"/>
  <c r="CY192" i="1"/>
  <c r="CZ192" i="1"/>
  <c r="X192" i="1"/>
  <c r="EC204" i="1" s="1"/>
  <c r="DX204" i="1"/>
  <c r="F159" i="1"/>
  <c r="AO142" i="1"/>
  <c r="BA204" i="1"/>
  <c r="CJ187" i="1"/>
  <c r="DN81" i="1"/>
  <c r="P133" i="1"/>
  <c r="ET142" i="1"/>
  <c r="P168" i="1"/>
  <c r="ET285" i="1"/>
  <c r="DG192" i="3"/>
  <c r="DI192" i="3"/>
  <c r="DF192" i="3"/>
  <c r="DJ192" i="3" s="1"/>
  <c r="DH192" i="3"/>
  <c r="BC187" i="1"/>
  <c r="F220" i="1"/>
  <c r="DG179" i="3"/>
  <c r="DH179" i="3"/>
  <c r="DI179" i="3"/>
  <c r="DF179" i="3"/>
  <c r="DJ179" i="3" s="1"/>
  <c r="CP189" i="1"/>
  <c r="O189" i="1" s="1"/>
  <c r="AC204" i="1"/>
  <c r="DG161" i="3"/>
  <c r="DH161" i="3"/>
  <c r="DI161" i="3"/>
  <c r="DF161" i="3"/>
  <c r="DJ161" i="3" s="1"/>
  <c r="DW255" i="1"/>
  <c r="DI147" i="3"/>
  <c r="DG147" i="3"/>
  <c r="DF147" i="3"/>
  <c r="DJ147" i="3" s="1"/>
  <c r="DH147" i="3"/>
  <c r="DG201" i="3"/>
  <c r="DH201" i="3"/>
  <c r="DF201" i="3"/>
  <c r="DJ201" i="3" s="1"/>
  <c r="DI201" i="3"/>
  <c r="ED110" i="1"/>
  <c r="V81" i="1"/>
  <c r="F133" i="1"/>
  <c r="GM144" i="1"/>
  <c r="AB155" i="1"/>
  <c r="DF19" i="3"/>
  <c r="DG19" i="3"/>
  <c r="DJ19" i="3" s="1"/>
  <c r="DH19" i="3"/>
  <c r="DI19" i="3"/>
  <c r="DF128" i="3"/>
  <c r="DJ128" i="3" s="1"/>
  <c r="DG128" i="3"/>
  <c r="DH128" i="3"/>
  <c r="DI128" i="3"/>
  <c r="DF130" i="3"/>
  <c r="DJ130" i="3" s="1"/>
  <c r="DG130" i="3"/>
  <c r="DH130" i="3"/>
  <c r="DI130" i="3"/>
  <c r="DF42" i="3"/>
  <c r="DJ42" i="3" s="1"/>
  <c r="DG42" i="3"/>
  <c r="DH42" i="3"/>
  <c r="DI42" i="3"/>
  <c r="DH204" i="3"/>
  <c r="DI204" i="3"/>
  <c r="DF204" i="3"/>
  <c r="DJ204" i="3" s="1"/>
  <c r="DG204" i="3"/>
  <c r="DG194" i="3"/>
  <c r="DH194" i="3"/>
  <c r="DF194" i="3"/>
  <c r="DJ194" i="3" s="1"/>
  <c r="DI194" i="3"/>
  <c r="ED49" i="1"/>
  <c r="DG175" i="3"/>
  <c r="DH175" i="3"/>
  <c r="DF175" i="3"/>
  <c r="DJ175" i="3" s="1"/>
  <c r="DI175" i="3"/>
  <c r="CP36" i="1"/>
  <c r="O36" i="1" s="1"/>
  <c r="GM36" i="1" s="1"/>
  <c r="GO36" i="1" s="1"/>
  <c r="DI44" i="3"/>
  <c r="DF44" i="3"/>
  <c r="DG44" i="3"/>
  <c r="DJ44" i="3" s="1"/>
  <c r="DH44" i="3"/>
  <c r="X31" i="1"/>
  <c r="GM31" i="1" s="1"/>
  <c r="GO31" i="1" s="1"/>
  <c r="Y31" i="1"/>
  <c r="CY31" i="1"/>
  <c r="CZ31" i="1"/>
  <c r="DX49" i="1"/>
  <c r="AL49" i="1"/>
  <c r="AB49" i="1"/>
  <c r="GM28" i="1"/>
  <c r="BC26" i="1"/>
  <c r="F65" i="1"/>
  <c r="BC285" i="1"/>
  <c r="DI107" i="3"/>
  <c r="DJ107" i="3" s="1"/>
  <c r="DF107" i="3"/>
  <c r="DG107" i="3"/>
  <c r="DH107" i="3"/>
  <c r="GM89" i="1"/>
  <c r="X153" i="1"/>
  <c r="GM153" i="1" s="1"/>
  <c r="GO153" i="1" s="1"/>
  <c r="Y153" i="1"/>
  <c r="CZ153" i="1"/>
  <c r="CY153" i="1"/>
  <c r="DF110" i="3"/>
  <c r="DG110" i="3"/>
  <c r="DI110" i="3"/>
  <c r="DJ110" i="3" s="1"/>
  <c r="DH110" i="3"/>
  <c r="BA26" i="1"/>
  <c r="F69" i="1"/>
  <c r="AS81" i="1"/>
  <c r="F127" i="1"/>
  <c r="AJ142" i="1"/>
  <c r="W155" i="1"/>
  <c r="DF123" i="3"/>
  <c r="DG123" i="3"/>
  <c r="DJ123" i="3" s="1"/>
  <c r="DH123" i="3"/>
  <c r="DI123" i="3"/>
  <c r="CY147" i="1"/>
  <c r="CZ147" i="1"/>
  <c r="X147" i="1"/>
  <c r="EC155" i="1" s="1"/>
  <c r="DX155" i="1"/>
  <c r="Y147" i="1"/>
  <c r="FV187" i="1"/>
  <c r="EM204" i="1"/>
  <c r="V204" i="1"/>
  <c r="AI187" i="1"/>
  <c r="DF116" i="3"/>
  <c r="DJ116" i="3" s="1"/>
  <c r="DG116" i="3"/>
  <c r="DH116" i="3"/>
  <c r="DI116" i="3"/>
  <c r="DU255" i="1"/>
  <c r="CP239" i="1"/>
  <c r="O239" i="1" s="1"/>
  <c r="GB187" i="1"/>
  <c r="ES204" i="1"/>
  <c r="GM250" i="1"/>
  <c r="GO250" i="1" s="1"/>
  <c r="DF154" i="3"/>
  <c r="DJ154" i="3" s="1"/>
  <c r="DH154" i="3"/>
  <c r="DG154" i="3"/>
  <c r="DI154" i="3"/>
  <c r="AU236" i="1"/>
  <c r="F274" i="1"/>
  <c r="DH67" i="3"/>
  <c r="DF67" i="3"/>
  <c r="DG67" i="3"/>
  <c r="DI67" i="3"/>
  <c r="DJ67" i="3" s="1"/>
  <c r="AI26" i="1"/>
  <c r="V49" i="1"/>
  <c r="BY110" i="1"/>
  <c r="EA26" i="1"/>
  <c r="DN49" i="1"/>
  <c r="DG111" i="3"/>
  <c r="DJ111" i="3" s="1"/>
  <c r="DH111" i="3"/>
  <c r="DI111" i="3"/>
  <c r="DF111" i="3"/>
  <c r="DI145" i="3"/>
  <c r="DG145" i="3"/>
  <c r="DF145" i="3"/>
  <c r="DJ145" i="3" s="1"/>
  <c r="DH145" i="3"/>
  <c r="ED155" i="1"/>
  <c r="GA142" i="1"/>
  <c r="ER155" i="1"/>
  <c r="GM190" i="1"/>
  <c r="DT204" i="1"/>
  <c r="X148" i="1"/>
  <c r="GM148" i="1" s="1"/>
  <c r="GO148" i="1" s="1"/>
  <c r="Y148" i="1"/>
  <c r="AL155" i="1" s="1"/>
  <c r="CY148" i="1"/>
  <c r="CZ148" i="1"/>
  <c r="FT187" i="1"/>
  <c r="EK204" i="1"/>
  <c r="AC155" i="1"/>
  <c r="DG187" i="3"/>
  <c r="DJ187" i="3" s="1"/>
  <c r="DH187" i="3"/>
  <c r="DI187" i="3"/>
  <c r="DF187" i="3"/>
  <c r="EI187" i="1"/>
  <c r="P214" i="1"/>
  <c r="DF172" i="3"/>
  <c r="DJ172" i="3" s="1"/>
  <c r="DH172" i="3"/>
  <c r="DG172" i="3"/>
  <c r="DI172" i="3"/>
  <c r="DF117" i="3"/>
  <c r="DJ117" i="3" s="1"/>
  <c r="DG117" i="3"/>
  <c r="DH117" i="3"/>
  <c r="DI117" i="3"/>
  <c r="BA142" i="1"/>
  <c r="F175" i="1"/>
  <c r="P240" i="1"/>
  <c r="CP240" i="1" s="1"/>
  <c r="O240" i="1" s="1"/>
  <c r="Q240" i="1"/>
  <c r="AD255" i="1" s="1"/>
  <c r="R240" i="1"/>
  <c r="AE255" i="1" s="1"/>
  <c r="CB236" i="1"/>
  <c r="AS255" i="1"/>
  <c r="DF151" i="3"/>
  <c r="DG151" i="3"/>
  <c r="DJ151" i="3" s="1"/>
  <c r="DH151" i="3"/>
  <c r="DI151" i="3"/>
  <c r="EP22" i="1" l="1"/>
  <c r="P292" i="1"/>
  <c r="EP315" i="1"/>
  <c r="AK26" i="1"/>
  <c r="X49" i="1"/>
  <c r="EC187" i="1"/>
  <c r="DP204" i="1"/>
  <c r="AD236" i="1"/>
  <c r="Q255" i="1"/>
  <c r="AE236" i="1"/>
  <c r="R255" i="1"/>
  <c r="CJ236" i="1"/>
  <c r="BA255" i="1"/>
  <c r="EC81" i="1"/>
  <c r="DP110" i="1"/>
  <c r="AL142" i="1"/>
  <c r="Y155" i="1"/>
  <c r="DX236" i="1"/>
  <c r="DK255" i="1"/>
  <c r="P166" i="1"/>
  <c r="ER142" i="1"/>
  <c r="EI22" i="1"/>
  <c r="EI315" i="1"/>
  <c r="P295" i="1"/>
  <c r="DQ255" i="1"/>
  <c r="ED236" i="1"/>
  <c r="EP187" i="1"/>
  <c r="P211" i="1"/>
  <c r="EV22" i="1"/>
  <c r="EV315" i="1"/>
  <c r="P310" i="1"/>
  <c r="DN236" i="1"/>
  <c r="P278" i="1"/>
  <c r="F177" i="1"/>
  <c r="U142" i="1"/>
  <c r="FQ110" i="1"/>
  <c r="ES81" i="1"/>
  <c r="P130" i="1"/>
  <c r="GM198" i="1"/>
  <c r="GO198" i="1" s="1"/>
  <c r="Q26" i="1"/>
  <c r="F61" i="1"/>
  <c r="GM243" i="1"/>
  <c r="GO243" i="1" s="1"/>
  <c r="BY81" i="1"/>
  <c r="CI110" i="1"/>
  <c r="AP110" i="1"/>
  <c r="V187" i="1"/>
  <c r="F227" i="1"/>
  <c r="GO28" i="1"/>
  <c r="CC49" i="1" s="1"/>
  <c r="CA49" i="1"/>
  <c r="AC187" i="1"/>
  <c r="CF204" i="1"/>
  <c r="CH204" i="1"/>
  <c r="P204" i="1"/>
  <c r="CE204" i="1"/>
  <c r="ET22" i="1"/>
  <c r="ET315" i="1"/>
  <c r="P298" i="1"/>
  <c r="EC255" i="1"/>
  <c r="AU142" i="1"/>
  <c r="F174" i="1"/>
  <c r="AU285" i="1"/>
  <c r="GM248" i="1"/>
  <c r="GO248" i="1" s="1"/>
  <c r="DJ187" i="1"/>
  <c r="P218" i="1"/>
  <c r="GM252" i="1"/>
  <c r="GO252" i="1" s="1"/>
  <c r="EC49" i="1"/>
  <c r="ES26" i="1"/>
  <c r="P69" i="1"/>
  <c r="ES285" i="1"/>
  <c r="DN142" i="1"/>
  <c r="P178" i="1"/>
  <c r="V26" i="1"/>
  <c r="F72" i="1"/>
  <c r="AB26" i="1"/>
  <c r="O49" i="1"/>
  <c r="GM189" i="1"/>
  <c r="AB204" i="1"/>
  <c r="ED187" i="1"/>
  <c r="DQ204" i="1"/>
  <c r="AX142" i="1"/>
  <c r="F162" i="1"/>
  <c r="DN187" i="1"/>
  <c r="P227" i="1"/>
  <c r="T142" i="1"/>
  <c r="F176" i="1"/>
  <c r="AC255" i="1"/>
  <c r="Q155" i="1"/>
  <c r="AD142" i="1"/>
  <c r="AZ236" i="1"/>
  <c r="F266" i="1"/>
  <c r="P279" i="1"/>
  <c r="DO236" i="1"/>
  <c r="GM199" i="1"/>
  <c r="GO199" i="1" s="1"/>
  <c r="DL22" i="1"/>
  <c r="P306" i="1"/>
  <c r="DL315" i="1"/>
  <c r="AC26" i="1"/>
  <c r="P49" i="1"/>
  <c r="CE49" i="1"/>
  <c r="CF49" i="1"/>
  <c r="CH49" i="1"/>
  <c r="AH236" i="1"/>
  <c r="U255" i="1"/>
  <c r="BB22" i="1"/>
  <c r="F298" i="1"/>
  <c r="BB315" i="1"/>
  <c r="AE81" i="1"/>
  <c r="R110" i="1"/>
  <c r="U81" i="1"/>
  <c r="F132" i="1"/>
  <c r="AE26" i="1"/>
  <c r="R49" i="1"/>
  <c r="ER26" i="1"/>
  <c r="P60" i="1"/>
  <c r="EM187" i="1"/>
  <c r="P223" i="1"/>
  <c r="W142" i="1"/>
  <c r="F179" i="1"/>
  <c r="AC142" i="1"/>
  <c r="P155" i="1"/>
  <c r="CE155" i="1"/>
  <c r="CF155" i="1"/>
  <c r="CH155" i="1"/>
  <c r="AL26" i="1"/>
  <c r="Y49" i="1"/>
  <c r="AC81" i="1"/>
  <c r="P110" i="1"/>
  <c r="CE110" i="1"/>
  <c r="CF110" i="1"/>
  <c r="CH110" i="1"/>
  <c r="GM238" i="1"/>
  <c r="AB255" i="1"/>
  <c r="P274" i="1"/>
  <c r="EM236" i="1"/>
  <c r="DI155" i="1"/>
  <c r="DV142" i="1"/>
  <c r="AX81" i="1"/>
  <c r="F117" i="1"/>
  <c r="DU81" i="1"/>
  <c r="FZ110" i="1"/>
  <c r="DH110" i="1"/>
  <c r="FW110" i="1"/>
  <c r="V142" i="1"/>
  <c r="F178" i="1"/>
  <c r="EM285" i="1"/>
  <c r="DL236" i="1"/>
  <c r="P276" i="1"/>
  <c r="GM192" i="1"/>
  <c r="GO192" i="1" s="1"/>
  <c r="DN26" i="1"/>
  <c r="P72" i="1"/>
  <c r="DN285" i="1"/>
  <c r="DQ155" i="1"/>
  <c r="ED142" i="1"/>
  <c r="EK187" i="1"/>
  <c r="P221" i="1"/>
  <c r="ES187" i="1"/>
  <c r="P224" i="1"/>
  <c r="DX26" i="1"/>
  <c r="DK49" i="1"/>
  <c r="ES142" i="1"/>
  <c r="P175" i="1"/>
  <c r="AO22" i="1"/>
  <c r="AO315" i="1"/>
  <c r="F289" i="1"/>
  <c r="EG22" i="1"/>
  <c r="EG315" i="1"/>
  <c r="P289" i="1"/>
  <c r="DW81" i="1"/>
  <c r="DJ110" i="1"/>
  <c r="AK155" i="1"/>
  <c r="AX255" i="1"/>
  <c r="AX285" i="1" s="1"/>
  <c r="CG236" i="1"/>
  <c r="AX26" i="1"/>
  <c r="F56" i="1"/>
  <c r="CB49" i="1"/>
  <c r="GM29" i="1"/>
  <c r="DT49" i="1"/>
  <c r="DX142" i="1"/>
  <c r="DK155" i="1"/>
  <c r="EP142" i="1"/>
  <c r="P162" i="1"/>
  <c r="ER236" i="1"/>
  <c r="P266" i="1"/>
  <c r="DT155" i="1"/>
  <c r="GM145" i="1"/>
  <c r="FW187" i="1"/>
  <c r="EN204" i="1"/>
  <c r="GM147" i="1"/>
  <c r="GO147" i="1" s="1"/>
  <c r="DV236" i="1"/>
  <c r="DI255" i="1"/>
  <c r="DL187" i="1"/>
  <c r="P225" i="1"/>
  <c r="W187" i="1"/>
  <c r="F228" i="1"/>
  <c r="AB110" i="1"/>
  <c r="DT255" i="1"/>
  <c r="GM239" i="1"/>
  <c r="ED26" i="1"/>
  <c r="DQ49" i="1"/>
  <c r="AL110" i="1"/>
  <c r="AF26" i="1"/>
  <c r="S49" i="1"/>
  <c r="FX155" i="1"/>
  <c r="FZ155" i="1"/>
  <c r="DH155" i="1"/>
  <c r="DU142" i="1"/>
  <c r="FW155" i="1"/>
  <c r="DH187" i="1"/>
  <c r="P207" i="1"/>
  <c r="AQ236" i="1"/>
  <c r="F265" i="1"/>
  <c r="AF142" i="1"/>
  <c r="S155" i="1"/>
  <c r="DV81" i="1"/>
  <c r="DI110" i="1"/>
  <c r="AJ236" i="1"/>
  <c r="W255" i="1"/>
  <c r="EP236" i="1"/>
  <c r="P262" i="1"/>
  <c r="T26" i="1"/>
  <c r="F70" i="1"/>
  <c r="GM83" i="1"/>
  <c r="F272" i="1"/>
  <c r="AS236" i="1"/>
  <c r="FX255" i="1"/>
  <c r="FZ255" i="1"/>
  <c r="DU236" i="1"/>
  <c r="DH255" i="1"/>
  <c r="FW255" i="1"/>
  <c r="AB142" i="1"/>
  <c r="O155" i="1"/>
  <c r="BA187" i="1"/>
  <c r="F224" i="1"/>
  <c r="AK81" i="1"/>
  <c r="X110" i="1"/>
  <c r="W26" i="1"/>
  <c r="F73" i="1"/>
  <c r="AS142" i="1"/>
  <c r="F172" i="1"/>
  <c r="AD81" i="1"/>
  <c r="Q110" i="1"/>
  <c r="AF187" i="1"/>
  <c r="S204" i="1"/>
  <c r="DM187" i="1"/>
  <c r="P226" i="1"/>
  <c r="AS187" i="1"/>
  <c r="F221" i="1"/>
  <c r="GM84" i="1"/>
  <c r="DT110" i="1"/>
  <c r="P277" i="1"/>
  <c r="DM236" i="1"/>
  <c r="GM43" i="1"/>
  <c r="GN43" i="1" s="1"/>
  <c r="FT49" i="1" s="1"/>
  <c r="U26" i="1"/>
  <c r="F71" i="1"/>
  <c r="U285" i="1"/>
  <c r="ED81" i="1"/>
  <c r="DQ110" i="1"/>
  <c r="S110" i="1"/>
  <c r="AF81" i="1"/>
  <c r="EC142" i="1"/>
  <c r="DP155" i="1"/>
  <c r="CA155" i="1"/>
  <c r="GO144" i="1"/>
  <c r="CC155" i="1" s="1"/>
  <c r="DW236" i="1"/>
  <c r="DJ255" i="1"/>
  <c r="DM26" i="1"/>
  <c r="P71" i="1"/>
  <c r="DM285" i="1"/>
  <c r="AD187" i="1"/>
  <c r="Q204" i="1"/>
  <c r="DI26" i="1"/>
  <c r="P61" i="1"/>
  <c r="DI285" i="1"/>
  <c r="EQ204" i="1"/>
  <c r="FZ187" i="1"/>
  <c r="AZ26" i="1"/>
  <c r="F60" i="1"/>
  <c r="AI255" i="1"/>
  <c r="DJ142" i="1"/>
  <c r="P169" i="1"/>
  <c r="U187" i="1"/>
  <c r="F226" i="1"/>
  <c r="AE142" i="1"/>
  <c r="R155" i="1"/>
  <c r="DO26" i="1"/>
  <c r="P73" i="1"/>
  <c r="DO285" i="1"/>
  <c r="GM245" i="1"/>
  <c r="GO245" i="1" s="1"/>
  <c r="EO204" i="1"/>
  <c r="FX187" i="1"/>
  <c r="DU26" i="1"/>
  <c r="DH49" i="1"/>
  <c r="FW49" i="1"/>
  <c r="FX49" i="1"/>
  <c r="FZ49" i="1"/>
  <c r="Y240" i="1"/>
  <c r="AL255" i="1" s="1"/>
  <c r="CY240" i="1"/>
  <c r="CZ240" i="1"/>
  <c r="AF255" i="1"/>
  <c r="X240" i="1"/>
  <c r="AK255" i="1" s="1"/>
  <c r="AU187" i="1"/>
  <c r="F223" i="1"/>
  <c r="DG204" i="1"/>
  <c r="DT187" i="1"/>
  <c r="BC22" i="1"/>
  <c r="F301" i="1"/>
  <c r="BC315" i="1"/>
  <c r="DX187" i="1"/>
  <c r="DK204" i="1"/>
  <c r="DW26" i="1"/>
  <c r="DJ49" i="1"/>
  <c r="AG236" i="1"/>
  <c r="T255" i="1"/>
  <c r="T285" i="1" s="1"/>
  <c r="AL204" i="1"/>
  <c r="P228" i="1"/>
  <c r="DO187" i="1"/>
  <c r="DK110" i="1"/>
  <c r="DX81" i="1"/>
  <c r="GM242" i="1"/>
  <c r="GO242" i="1" s="1"/>
  <c r="EU22" i="1"/>
  <c r="EU315" i="1"/>
  <c r="P301" i="1"/>
  <c r="F166" i="1"/>
  <c r="AZ142" i="1"/>
  <c r="T187" i="1"/>
  <c r="F225" i="1"/>
  <c r="GO190" i="1"/>
  <c r="FU204" i="1" s="1"/>
  <c r="FS204" i="1"/>
  <c r="AE187" i="1"/>
  <c r="R204" i="1"/>
  <c r="AK187" i="1"/>
  <c r="X204" i="1"/>
  <c r="BD22" i="1"/>
  <c r="BD315" i="1"/>
  <c r="F310" i="1"/>
  <c r="AQ285" i="1"/>
  <c r="DI187" i="1"/>
  <c r="P216" i="1"/>
  <c r="T22" i="1" l="1"/>
  <c r="F306" i="1"/>
  <c r="T315" i="1"/>
  <c r="AX22" i="1"/>
  <c r="F292" i="1"/>
  <c r="AX315" i="1"/>
  <c r="EL204" i="1"/>
  <c r="FU187" i="1"/>
  <c r="DG187" i="1"/>
  <c r="P206" i="1"/>
  <c r="DM22" i="1"/>
  <c r="P307" i="1"/>
  <c r="DM315" i="1"/>
  <c r="CB26" i="1"/>
  <c r="AS49" i="1"/>
  <c r="DQ142" i="1"/>
  <c r="P182" i="1"/>
  <c r="DH81" i="1"/>
  <c r="P113" i="1"/>
  <c r="CF81" i="1"/>
  <c r="AW110" i="1"/>
  <c r="BB18" i="1"/>
  <c r="F328" i="1"/>
  <c r="FQ81" i="1"/>
  <c r="GA110" i="1"/>
  <c r="EH110" i="1"/>
  <c r="FW81" i="1"/>
  <c r="EN110" i="1"/>
  <c r="V255" i="1"/>
  <c r="AI236" i="1"/>
  <c r="U22" i="1"/>
  <c r="F307" i="1"/>
  <c r="U315" i="1"/>
  <c r="GO239" i="1"/>
  <c r="FU255" i="1" s="1"/>
  <c r="FS255" i="1"/>
  <c r="GO145" i="1"/>
  <c r="FU155" i="1" s="1"/>
  <c r="FS155" i="1"/>
  <c r="AO18" i="1"/>
  <c r="F319" i="1"/>
  <c r="DN22" i="1"/>
  <c r="P308" i="1"/>
  <c r="DN315" i="1"/>
  <c r="FZ81" i="1"/>
  <c r="EQ110" i="1"/>
  <c r="AV110" i="1"/>
  <c r="CE81" i="1"/>
  <c r="EC236" i="1"/>
  <c r="DP255" i="1"/>
  <c r="EI18" i="1"/>
  <c r="P325" i="1"/>
  <c r="R236" i="1"/>
  <c r="F269" i="1"/>
  <c r="Y204" i="1"/>
  <c r="AL187" i="1"/>
  <c r="S187" i="1"/>
  <c r="F219" i="1"/>
  <c r="T236" i="1"/>
  <c r="F276" i="1"/>
  <c r="P210" i="1"/>
  <c r="EO187" i="1"/>
  <c r="O142" i="1"/>
  <c r="F157" i="1"/>
  <c r="DG255" i="1"/>
  <c r="DT236" i="1"/>
  <c r="DG155" i="1"/>
  <c r="DT142" i="1"/>
  <c r="P81" i="1"/>
  <c r="F113" i="1"/>
  <c r="ES22" i="1"/>
  <c r="P305" i="1"/>
  <c r="ES315" i="1"/>
  <c r="AP81" i="1"/>
  <c r="F119" i="1"/>
  <c r="AP285" i="1"/>
  <c r="DQ26" i="1"/>
  <c r="P76" i="1"/>
  <c r="DQ285" i="1"/>
  <c r="DQ236" i="1"/>
  <c r="P282" i="1"/>
  <c r="AK236" i="1"/>
  <c r="X255" i="1"/>
  <c r="DJ236" i="1"/>
  <c r="P269" i="1"/>
  <c r="Q81" i="1"/>
  <c r="F122" i="1"/>
  <c r="FW142" i="1"/>
  <c r="EN155" i="1"/>
  <c r="AB81" i="1"/>
  <c r="O110" i="1"/>
  <c r="F277" i="1"/>
  <c r="U236" i="1"/>
  <c r="DQ187" i="1"/>
  <c r="P231" i="1"/>
  <c r="ET18" i="1"/>
  <c r="P328" i="1"/>
  <c r="CI81" i="1"/>
  <c r="AZ110" i="1"/>
  <c r="Q236" i="1"/>
  <c r="F267" i="1"/>
  <c r="CA110" i="1"/>
  <c r="GO83" i="1"/>
  <c r="CC110" i="1" s="1"/>
  <c r="CH81" i="1"/>
  <c r="AY110" i="1"/>
  <c r="AQ22" i="1"/>
  <c r="F295" i="1"/>
  <c r="AQ315" i="1"/>
  <c r="DJ26" i="1"/>
  <c r="P63" i="1"/>
  <c r="DJ285" i="1"/>
  <c r="S255" i="1"/>
  <c r="AF236" i="1"/>
  <c r="DO22" i="1"/>
  <c r="P309" i="1"/>
  <c r="DO315" i="1"/>
  <c r="FT26" i="1"/>
  <c r="EK49" i="1"/>
  <c r="FW236" i="1"/>
  <c r="EN255" i="1"/>
  <c r="Y26" i="1"/>
  <c r="F76" i="1"/>
  <c r="Y285" i="1"/>
  <c r="W236" i="1"/>
  <c r="F279" i="1"/>
  <c r="DH26" i="1"/>
  <c r="P52" i="1"/>
  <c r="DH285" i="1"/>
  <c r="EN187" i="1"/>
  <c r="P209" i="1"/>
  <c r="O204" i="1"/>
  <c r="AB187" i="1"/>
  <c r="DK236" i="1"/>
  <c r="P270" i="1"/>
  <c r="DK187" i="1"/>
  <c r="P219" i="1"/>
  <c r="P212" i="1"/>
  <c r="EQ187" i="1"/>
  <c r="CA142" i="1"/>
  <c r="AR155" i="1"/>
  <c r="FZ142" i="1"/>
  <c r="EQ155" i="1"/>
  <c r="AK142" i="1"/>
  <c r="X155" i="1"/>
  <c r="DI142" i="1"/>
  <c r="P167" i="1"/>
  <c r="AY155" i="1"/>
  <c r="CH142" i="1"/>
  <c r="R26" i="1"/>
  <c r="F63" i="1"/>
  <c r="R285" i="1"/>
  <c r="CF26" i="1"/>
  <c r="AW49" i="1"/>
  <c r="GO189" i="1"/>
  <c r="CC204" i="1" s="1"/>
  <c r="CA204" i="1"/>
  <c r="P187" i="1"/>
  <c r="F207" i="1"/>
  <c r="Q285" i="1"/>
  <c r="EV18" i="1"/>
  <c r="P340" i="1"/>
  <c r="GO29" i="1"/>
  <c r="FU49" i="1" s="1"/>
  <c r="FS49" i="1"/>
  <c r="EC26" i="1"/>
  <c r="DP49" i="1"/>
  <c r="P230" i="1"/>
  <c r="DP187" i="1"/>
  <c r="EU18" i="1"/>
  <c r="P331" i="1"/>
  <c r="F230" i="1"/>
  <c r="X187" i="1"/>
  <c r="F169" i="1"/>
  <c r="R142" i="1"/>
  <c r="DT81" i="1"/>
  <c r="DG110" i="1"/>
  <c r="W285" i="1"/>
  <c r="FZ236" i="1"/>
  <c r="EQ255" i="1"/>
  <c r="DI81" i="1"/>
  <c r="P122" i="1"/>
  <c r="FX142" i="1"/>
  <c r="EO155" i="1"/>
  <c r="DK142" i="1"/>
  <c r="P170" i="1"/>
  <c r="DJ81" i="1"/>
  <c r="P124" i="1"/>
  <c r="EM22" i="1"/>
  <c r="EM315" i="1"/>
  <c r="P304" i="1"/>
  <c r="AW155" i="1"/>
  <c r="CF142" i="1"/>
  <c r="AV49" i="1"/>
  <c r="CE26" i="1"/>
  <c r="F167" i="1"/>
  <c r="Q142" i="1"/>
  <c r="O26" i="1"/>
  <c r="F51" i="1"/>
  <c r="CH187" i="1"/>
  <c r="AY204" i="1"/>
  <c r="Y142" i="1"/>
  <c r="F182" i="1"/>
  <c r="X26" i="1"/>
  <c r="F75" i="1"/>
  <c r="X285" i="1"/>
  <c r="DQ81" i="1"/>
  <c r="P137" i="1"/>
  <c r="BD18" i="1"/>
  <c r="F340" i="1"/>
  <c r="CH26" i="1"/>
  <c r="AY49" i="1"/>
  <c r="DI22" i="1"/>
  <c r="P297" i="1"/>
  <c r="DI315" i="1"/>
  <c r="BC18" i="1"/>
  <c r="F331" i="1"/>
  <c r="FZ26" i="1"/>
  <c r="EQ49" i="1"/>
  <c r="FS110" i="1"/>
  <c r="GO84" i="1"/>
  <c r="FU110" i="1" s="1"/>
  <c r="EO255" i="1"/>
  <c r="FX236" i="1"/>
  <c r="S26" i="1"/>
  <c r="F64" i="1"/>
  <c r="S285" i="1"/>
  <c r="DI236" i="1"/>
  <c r="P267" i="1"/>
  <c r="AV155" i="1"/>
  <c r="CE142" i="1"/>
  <c r="P26" i="1"/>
  <c r="F52" i="1"/>
  <c r="P285" i="1"/>
  <c r="AC236" i="1"/>
  <c r="CH255" i="1"/>
  <c r="P255" i="1"/>
  <c r="CE255" i="1"/>
  <c r="CF255" i="1"/>
  <c r="AW204" i="1"/>
  <c r="CF187" i="1"/>
  <c r="CC142" i="1"/>
  <c r="AT155" i="1"/>
  <c r="DH142" i="1"/>
  <c r="P158" i="1"/>
  <c r="DK26" i="1"/>
  <c r="P64" i="1"/>
  <c r="DK285" i="1"/>
  <c r="CE187" i="1"/>
  <c r="AV204" i="1"/>
  <c r="AL236" i="1"/>
  <c r="Y255" i="1"/>
  <c r="DP142" i="1"/>
  <c r="P181" i="1"/>
  <c r="R187" i="1"/>
  <c r="F218" i="1"/>
  <c r="FX26" i="1"/>
  <c r="EO49" i="1"/>
  <c r="S142" i="1"/>
  <c r="F170" i="1"/>
  <c r="GM240" i="1"/>
  <c r="GO240" i="1" s="1"/>
  <c r="AB236" i="1"/>
  <c r="O255" i="1"/>
  <c r="P142" i="1"/>
  <c r="F158" i="1"/>
  <c r="DP81" i="1"/>
  <c r="P136" i="1"/>
  <c r="EP18" i="1"/>
  <c r="P322" i="1"/>
  <c r="FS187" i="1"/>
  <c r="EJ204" i="1"/>
  <c r="P258" i="1"/>
  <c r="DH236" i="1"/>
  <c r="AX236" i="1"/>
  <c r="F262" i="1"/>
  <c r="DK81" i="1"/>
  <c r="P125" i="1"/>
  <c r="FW26" i="1"/>
  <c r="EN49" i="1"/>
  <c r="Q187" i="1"/>
  <c r="F216" i="1"/>
  <c r="S81" i="1"/>
  <c r="F125" i="1"/>
  <c r="X81" i="1"/>
  <c r="F136" i="1"/>
  <c r="AL81" i="1"/>
  <c r="Y110" i="1"/>
  <c r="DT26" i="1"/>
  <c r="DG49" i="1"/>
  <c r="EG18" i="1"/>
  <c r="P319" i="1"/>
  <c r="FX110" i="1"/>
  <c r="GO238" i="1"/>
  <c r="CC255" i="1" s="1"/>
  <c r="CA255" i="1"/>
  <c r="R81" i="1"/>
  <c r="F124" i="1"/>
  <c r="DL18" i="1"/>
  <c r="P336" i="1"/>
  <c r="AU22" i="1"/>
  <c r="AU315" i="1"/>
  <c r="F304" i="1"/>
  <c r="CA26" i="1"/>
  <c r="AR49" i="1"/>
  <c r="CC26" i="1"/>
  <c r="AT49" i="1"/>
  <c r="BA236" i="1"/>
  <c r="F275" i="1"/>
  <c r="BA285" i="1"/>
  <c r="AT26" i="1" l="1"/>
  <c r="F67" i="1"/>
  <c r="ES18" i="1"/>
  <c r="P335" i="1"/>
  <c r="FS236" i="1"/>
  <c r="EJ255" i="1"/>
  <c r="EO26" i="1"/>
  <c r="P55" i="1"/>
  <c r="CC236" i="1"/>
  <c r="AT255" i="1"/>
  <c r="AR26" i="1"/>
  <c r="F77" i="1"/>
  <c r="X142" i="1"/>
  <c r="F181" i="1"/>
  <c r="EN236" i="1"/>
  <c r="P260" i="1"/>
  <c r="AQ18" i="1"/>
  <c r="F325" i="1"/>
  <c r="FU236" i="1"/>
  <c r="EL255" i="1"/>
  <c r="Q22" i="1"/>
  <c r="Q315" i="1"/>
  <c r="F297" i="1"/>
  <c r="EO142" i="1"/>
  <c r="P161" i="1"/>
  <c r="AT142" i="1"/>
  <c r="F173" i="1"/>
  <c r="CA187" i="1"/>
  <c r="AR204" i="1"/>
  <c r="F206" i="1"/>
  <c r="O187" i="1"/>
  <c r="X236" i="1"/>
  <c r="F281" i="1"/>
  <c r="AV81" i="1"/>
  <c r="F115" i="1"/>
  <c r="U18" i="1"/>
  <c r="F337" i="1"/>
  <c r="AW81" i="1"/>
  <c r="F116" i="1"/>
  <c r="FU81" i="1"/>
  <c r="EL110" i="1"/>
  <c r="X22" i="1"/>
  <c r="X315" i="1"/>
  <c r="F311" i="1"/>
  <c r="F160" i="1"/>
  <c r="AV142" i="1"/>
  <c r="AV26" i="1"/>
  <c r="F54" i="1"/>
  <c r="DG26" i="1"/>
  <c r="P51" i="1"/>
  <c r="DG285" i="1"/>
  <c r="CC187" i="1"/>
  <c r="AT204" i="1"/>
  <c r="EQ142" i="1"/>
  <c r="P163" i="1"/>
  <c r="EK26" i="1"/>
  <c r="P66" i="1"/>
  <c r="EK285" i="1"/>
  <c r="EQ81" i="1"/>
  <c r="P118" i="1"/>
  <c r="AY142" i="1"/>
  <c r="F163" i="1"/>
  <c r="DJ22" i="1"/>
  <c r="P299" i="1"/>
  <c r="DJ315" i="1"/>
  <c r="DP236" i="1"/>
  <c r="P281" i="1"/>
  <c r="FX81" i="1"/>
  <c r="EO110" i="1"/>
  <c r="EO285" i="1" s="1"/>
  <c r="EQ236" i="1"/>
  <c r="P263" i="1"/>
  <c r="AY81" i="1"/>
  <c r="F118" i="1"/>
  <c r="EL187" i="1"/>
  <c r="P222" i="1"/>
  <c r="Y81" i="1"/>
  <c r="F137" i="1"/>
  <c r="O236" i="1"/>
  <c r="F257" i="1"/>
  <c r="AW255" i="1"/>
  <c r="AW285" i="1" s="1"/>
  <c r="CF236" i="1"/>
  <c r="S22" i="1"/>
  <c r="S315" i="1"/>
  <c r="F300" i="1"/>
  <c r="W16" i="2"/>
  <c r="DP26" i="1"/>
  <c r="P75" i="1"/>
  <c r="DP285" i="1"/>
  <c r="AR142" i="1"/>
  <c r="F183" i="1"/>
  <c r="DH22" i="1"/>
  <c r="DH315" i="1"/>
  <c r="P288" i="1"/>
  <c r="DO18" i="1"/>
  <c r="P339" i="1"/>
  <c r="DN18" i="1"/>
  <c r="P338" i="1"/>
  <c r="AX18" i="1"/>
  <c r="F322" i="1"/>
  <c r="CA236" i="1"/>
  <c r="AR255" i="1"/>
  <c r="Y22" i="1"/>
  <c r="F312" i="1"/>
  <c r="Y315" i="1"/>
  <c r="FU142" i="1"/>
  <c r="EL155" i="1"/>
  <c r="EQ26" i="1"/>
  <c r="P57" i="1"/>
  <c r="EQ285" i="1"/>
  <c r="CC81" i="1"/>
  <c r="AT110" i="1"/>
  <c r="DG142" i="1"/>
  <c r="P157" i="1"/>
  <c r="F231" i="1"/>
  <c r="Y187" i="1"/>
  <c r="V236" i="1"/>
  <c r="F278" i="1"/>
  <c r="V285" i="1"/>
  <c r="DI18" i="1"/>
  <c r="P327" i="1"/>
  <c r="AV187" i="1"/>
  <c r="F209" i="1"/>
  <c r="AY187" i="1"/>
  <c r="F212" i="1"/>
  <c r="EM18" i="1"/>
  <c r="P334" i="1"/>
  <c r="O81" i="1"/>
  <c r="F112" i="1"/>
  <c r="P236" i="1"/>
  <c r="F258" i="1"/>
  <c r="AY26" i="1"/>
  <c r="F57" i="1"/>
  <c r="DG81" i="1"/>
  <c r="P112" i="1"/>
  <c r="FS26" i="1"/>
  <c r="EJ49" i="1"/>
  <c r="CA81" i="1"/>
  <c r="AR110" i="1"/>
  <c r="EN81" i="1"/>
  <c r="P115" i="1"/>
  <c r="FS81" i="1"/>
  <c r="EJ110" i="1"/>
  <c r="AU18" i="1"/>
  <c r="F334" i="1"/>
  <c r="AW187" i="1"/>
  <c r="F210" i="1"/>
  <c r="F161" i="1"/>
  <c r="AW142" i="1"/>
  <c r="CE236" i="1"/>
  <c r="AV255" i="1"/>
  <c r="R22" i="1"/>
  <c r="F299" i="1"/>
  <c r="R315" i="1"/>
  <c r="DK22" i="1"/>
  <c r="P300" i="1"/>
  <c r="Y16" i="2" s="1"/>
  <c r="DK315" i="1"/>
  <c r="CH236" i="1"/>
  <c r="AY255" i="1"/>
  <c r="AY285" i="1" s="1"/>
  <c r="O285" i="1"/>
  <c r="FU26" i="1"/>
  <c r="EL49" i="1"/>
  <c r="P160" i="1"/>
  <c r="EN142" i="1"/>
  <c r="DG236" i="1"/>
  <c r="P257" i="1"/>
  <c r="AS26" i="1"/>
  <c r="F66" i="1"/>
  <c r="AS285" i="1"/>
  <c r="T18" i="1"/>
  <c r="F336" i="1"/>
  <c r="P22" i="1"/>
  <c r="F288" i="1"/>
  <c r="P315" i="1"/>
  <c r="AZ81" i="1"/>
  <c r="F121" i="1"/>
  <c r="AZ285" i="1"/>
  <c r="EN26" i="1"/>
  <c r="P54" i="1"/>
  <c r="EN285" i="1"/>
  <c r="F282" i="1"/>
  <c r="Y236" i="1"/>
  <c r="AW26" i="1"/>
  <c r="F55" i="1"/>
  <c r="W22" i="1"/>
  <c r="W315" i="1"/>
  <c r="F309" i="1"/>
  <c r="DQ22" i="1"/>
  <c r="P312" i="1"/>
  <c r="DQ315" i="1"/>
  <c r="BA22" i="1"/>
  <c r="F305" i="1"/>
  <c r="H16" i="2" s="1"/>
  <c r="BA315" i="1"/>
  <c r="EJ187" i="1"/>
  <c r="P232" i="1"/>
  <c r="EO236" i="1"/>
  <c r="P261" i="1"/>
  <c r="S236" i="1"/>
  <c r="F270" i="1"/>
  <c r="AP22" i="1"/>
  <c r="F294" i="1"/>
  <c r="G16" i="2" s="1"/>
  <c r="AP315" i="1"/>
  <c r="EH81" i="1"/>
  <c r="P119" i="1"/>
  <c r="EH285" i="1"/>
  <c r="EJ155" i="1"/>
  <c r="FS142" i="1"/>
  <c r="GA81" i="1"/>
  <c r="ER110" i="1"/>
  <c r="DM18" i="1"/>
  <c r="P337" i="1"/>
  <c r="EO22" i="1" l="1"/>
  <c r="P291" i="1"/>
  <c r="EO315" i="1"/>
  <c r="AY22" i="1"/>
  <c r="F293" i="1"/>
  <c r="AY315" i="1"/>
  <c r="AW22" i="1"/>
  <c r="AW315" i="1"/>
  <c r="F291" i="1"/>
  <c r="W18" i="1"/>
  <c r="F339" i="1"/>
  <c r="AR81" i="1"/>
  <c r="F138" i="1"/>
  <c r="AT236" i="1"/>
  <c r="F273" i="1"/>
  <c r="ER81" i="1"/>
  <c r="P121" i="1"/>
  <c r="ER285" i="1"/>
  <c r="P18" i="1"/>
  <c r="F318" i="1"/>
  <c r="EL26" i="1"/>
  <c r="P67" i="1"/>
  <c r="EL285" i="1"/>
  <c r="EL236" i="1"/>
  <c r="P273" i="1"/>
  <c r="AV236" i="1"/>
  <c r="F260" i="1"/>
  <c r="EJ26" i="1"/>
  <c r="P77" i="1"/>
  <c r="EJ285" i="1"/>
  <c r="F283" i="1"/>
  <c r="AR236" i="1"/>
  <c r="DJ18" i="1"/>
  <c r="P329" i="1"/>
  <c r="AT187" i="1"/>
  <c r="F222" i="1"/>
  <c r="X18" i="1"/>
  <c r="F341" i="1"/>
  <c r="AZ22" i="1"/>
  <c r="F296" i="1"/>
  <c r="AZ315" i="1"/>
  <c r="Q18" i="1"/>
  <c r="F327" i="1"/>
  <c r="O22" i="1"/>
  <c r="F287" i="1"/>
  <c r="O315" i="1"/>
  <c r="DP22" i="1"/>
  <c r="P311" i="1"/>
  <c r="DP315" i="1"/>
  <c r="DH18" i="1"/>
  <c r="P318" i="1"/>
  <c r="AS22" i="1"/>
  <c r="AS315" i="1"/>
  <c r="F302" i="1"/>
  <c r="E16" i="2" s="1"/>
  <c r="DK18" i="1"/>
  <c r="P330" i="1"/>
  <c r="EQ22" i="1"/>
  <c r="P293" i="1"/>
  <c r="EQ315" i="1"/>
  <c r="Y18" i="1"/>
  <c r="F342" i="1"/>
  <c r="DG22" i="1"/>
  <c r="DG315" i="1"/>
  <c r="P287" i="1"/>
  <c r="EH22" i="1"/>
  <c r="EH315" i="1"/>
  <c r="P294" i="1"/>
  <c r="V16" i="2" s="1"/>
  <c r="EJ236" i="1"/>
  <c r="P283" i="1"/>
  <c r="J16" i="2"/>
  <c r="EO81" i="1"/>
  <c r="P116" i="1"/>
  <c r="AW236" i="1"/>
  <c r="F261" i="1"/>
  <c r="EJ142" i="1"/>
  <c r="P183" i="1"/>
  <c r="AT81" i="1"/>
  <c r="F128" i="1"/>
  <c r="AR187" i="1"/>
  <c r="F232" i="1"/>
  <c r="BA18" i="1"/>
  <c r="F335" i="1"/>
  <c r="EN22" i="1"/>
  <c r="EN315" i="1"/>
  <c r="P290" i="1"/>
  <c r="AP18" i="1"/>
  <c r="F324" i="1"/>
  <c r="DQ18" i="1"/>
  <c r="P342" i="1"/>
  <c r="EJ81" i="1"/>
  <c r="P138" i="1"/>
  <c r="S18" i="1"/>
  <c r="F330" i="1"/>
  <c r="AV285" i="1"/>
  <c r="AY236" i="1"/>
  <c r="F263" i="1"/>
  <c r="EL81" i="1"/>
  <c r="P128" i="1"/>
  <c r="R18" i="1"/>
  <c r="F329" i="1"/>
  <c r="V22" i="1"/>
  <c r="V315" i="1"/>
  <c r="F308" i="1"/>
  <c r="EL142" i="1"/>
  <c r="P173" i="1"/>
  <c r="EK22" i="1"/>
  <c r="EK315" i="1"/>
  <c r="P302" i="1"/>
  <c r="T16" i="2" s="1"/>
  <c r="AR285" i="1"/>
  <c r="AT285" i="1"/>
  <c r="AW18" i="1" l="1"/>
  <c r="F321" i="1"/>
  <c r="EQ18" i="1"/>
  <c r="P323" i="1"/>
  <c r="ER22" i="1"/>
  <c r="ER315" i="1"/>
  <c r="P296" i="1"/>
  <c r="AY18" i="1"/>
  <c r="F323" i="1"/>
  <c r="EN18" i="1"/>
  <c r="P320" i="1"/>
  <c r="I16" i="2"/>
  <c r="N16" i="2" s="1"/>
  <c r="AS18" i="1"/>
  <c r="F332" i="1"/>
  <c r="AZ18" i="1"/>
  <c r="F326" i="1"/>
  <c r="O18" i="1"/>
  <c r="F317" i="1"/>
  <c r="EL22" i="1"/>
  <c r="P303" i="1"/>
  <c r="U16" i="2" s="1"/>
  <c r="X16" i="2" s="1"/>
  <c r="AC16" i="2" s="1"/>
  <c r="EL315" i="1"/>
  <c r="EJ22" i="1"/>
  <c r="EJ315" i="1"/>
  <c r="P313" i="1"/>
  <c r="EO18" i="1"/>
  <c r="P321" i="1"/>
  <c r="AV22" i="1"/>
  <c r="AV315" i="1"/>
  <c r="F290" i="1"/>
  <c r="V18" i="1"/>
  <c r="F338" i="1"/>
  <c r="EH18" i="1"/>
  <c r="P324" i="1"/>
  <c r="DG18" i="1"/>
  <c r="P317" i="1"/>
  <c r="AT22" i="1"/>
  <c r="AT315" i="1"/>
  <c r="F303" i="1"/>
  <c r="F16" i="2" s="1"/>
  <c r="EK18" i="1"/>
  <c r="P332" i="1"/>
  <c r="AR22" i="1"/>
  <c r="AR315" i="1"/>
  <c r="F313" i="1"/>
  <c r="DP18" i="1"/>
  <c r="P341" i="1"/>
  <c r="ER18" i="1" l="1"/>
  <c r="P326" i="1"/>
  <c r="EJ18" i="1"/>
  <c r="P343" i="1"/>
  <c r="AV18" i="1"/>
  <c r="F320" i="1"/>
  <c r="EL18" i="1"/>
  <c r="P333" i="1"/>
  <c r="AR18" i="1"/>
  <c r="F343" i="1"/>
  <c r="AT18" i="1"/>
  <c r="F333" i="1"/>
</calcChain>
</file>

<file path=xl/sharedStrings.xml><?xml version="1.0" encoding="utf-8"?>
<sst xmlns="http://schemas.openxmlformats.org/spreadsheetml/2006/main" count="10640" uniqueCount="556">
  <si>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</si>
  <si>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</si>
  <si>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</si>
  <si>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</si>
  <si>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</si>
  <si>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02-01-12</t>
  </si>
  <si>
    <t>02-01-12 СКТ</t>
  </si>
  <si>
    <t>2024-00375-01-0-ИОС5.5</t>
  </si>
  <si>
    <t>Сметные нормы списания</t>
  </si>
  <si>
    <t>Коды ОКП для ТСН-2001 МГЭ Дополнение 81</t>
  </si>
  <si>
    <t>ТСН-2001 (МГЭ) Доп 81 - Новое строительство</t>
  </si>
  <si>
    <t>Типовой расчет для ТСН-2001 МГЭ, Дополнение 81, строительство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</si>
  <si>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</si>
  <si>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</si>
  <si>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</si>
  <si>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</si>
  <si>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Система кабельного телевидения</t>
  </si>
  <si>
    <t>Новый раздел</t>
  </si>
  <si>
    <t>Демонтаж</t>
  </si>
  <si>
    <t>1</t>
  </si>
  <si>
    <t>4.10-134-4</t>
  </si>
  <si>
    <t>Монтаж антенны коллективной для приема ТВ на антенной опоре высотой до 9 м с одним ярусом оттяжек / демонтаж эфирной антенны</t>
  </si>
  <si>
    <t>1 антенна</t>
  </si>
  <si>
    <t>ТСН-2001.4 Доп. 81, Сб. 10, т. 134, поз. 4</t>
  </si>
  <si>
    <t>*1)*0</t>
  </si>
  <si>
    <t>*1,2)*0,3</t>
  </si>
  <si>
    <t>Монтаж оборудования</t>
  </si>
  <si>
    <t>ТСН-2001.4-10. Монтаж радиотелевизионного и электронного оборудования</t>
  </si>
  <si>
    <t>ТСН-2001.4-10-2</t>
  </si>
  <si>
    <t>Поправка: Гл.12.Прил.8.п.8. 3_12.00.01.11.001
Поправка: Гл.4.Прил.2.2.п.2.2.29_04.00.01.35.003</t>
  </si>
  <si>
    <t>2</t>
  </si>
  <si>
    <t>4.10-136-1</t>
  </si>
  <si>
    <t>Монтаж коробки телевизионной (ответвители, разветвители магистральные, домовые, абонентские), УСС, БФТК / демонтаж грозозащиты</t>
  </si>
  <si>
    <t>1  ШТ.</t>
  </si>
  <si>
    <t>ТСН-2001.4 Доп. 81, Сб. 10, т. 136, поз. 1</t>
  </si>
  <si>
    <t>3</t>
  </si>
  <si>
    <t>4.8-240-4</t>
  </si>
  <si>
    <t>Монтаж пультов и шкафов управления, шкафа (пульта) управления навесного, высотой, шириной, глубиной до 600х600х350 мм / демонтаж голосовой станции в металлическом шкафу</t>
  </si>
  <si>
    <t>ТСН-2001.4 Доп. 80, Сб. 8, т. 240, поз. 4</t>
  </si>
  <si>
    <t>ТСН-2001.4-8. Электротехнические установки</t>
  </si>
  <si>
    <t>ТСН-2001.4-8-1</t>
  </si>
  <si>
    <t>4</t>
  </si>
  <si>
    <t>4.10-136-3</t>
  </si>
  <si>
    <t>Монтаж антенного ТВ усилителя на мачте (без измерений) без повала мачты / демонтаж мачтового усилителя</t>
  </si>
  <si>
    <t>ТСН-2001.4 Доп. 81, Сб. 10, т. 136, поз. 3</t>
  </si>
  <si>
    <t>5</t>
  </si>
  <si>
    <t>4.10-136-4</t>
  </si>
  <si>
    <t>Монтаж тв усилителя настенного типа, блока питания / демонтаж блока питания</t>
  </si>
  <si>
    <t>ТСН-2001.4 Доп. 81, Сб. 10, т. 136, поз. 4</t>
  </si>
  <si>
    <t>6</t>
  </si>
  <si>
    <t>Монтаж коробки телевизионной (ответвители, разветвители магистральные, домовые, абонентские), УСС, БФТК / демонтаж ответвителя</t>
  </si>
  <si>
    <t>7</t>
  </si>
  <si>
    <t>6.67-7-1</t>
  </si>
  <si>
    <t>Демонтаж осветительных приборов, выключатели, розетки</t>
  </si>
  <si>
    <t>100 шт.</t>
  </si>
  <si>
    <t>ТСН-2001.6. Доп. 1-42. Сб. 67, т. 7, поз. 1</t>
  </si>
  <si>
    <t>*1</t>
  </si>
  <si>
    <t>*1,2</t>
  </si>
  <si>
    <t>Ремонтно-строительные работы</t>
  </si>
  <si>
    <t>ТСН-2001.6-67. Электромонтажные работы</t>
  </si>
  <si>
    <t>ТСН-2001.6-67-1</t>
  </si>
  <si>
    <t>Поправка: Гл.12.Прил.8.п.8. 3_12.00.01.11.001</t>
  </si>
  <si>
    <t>8</t>
  </si>
  <si>
    <t>6.67-6-1</t>
  </si>
  <si>
    <t>Демонтаж кабеля</t>
  </si>
  <si>
    <t>100 м</t>
  </si>
  <si>
    <t>ТСН-2001.6. Доп. 1-42. Сб. 67, т. 6, поз. 1</t>
  </si>
  <si>
    <t>9</t>
  </si>
  <si>
    <t>6.67-5-12</t>
  </si>
  <si>
    <t>Демонтаж трубных проводок, трубы в борозде диаметром 25 мм / ПВХ</t>
  </si>
  <si>
    <t>ТСН-2001.6. Доп. 1-42. Сб. 67, т. 5, поз. 12</t>
  </si>
  <si>
    <t>10</t>
  </si>
  <si>
    <t>4.8-174-1</t>
  </si>
  <si>
    <t>Прокладка металлического рукава, наружный диаметр до 48 мм / демонтаж металлорукава</t>
  </si>
  <si>
    <t>ТСН-2001.4 Доп. 80, Сб. 8, т. 174, поз. 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</si>
  <si>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</si>
  <si>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</si>
  <si>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</si>
  <si>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</si>
  <si>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</si>
  <si>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</si>
  <si>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</si>
  <si>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</si>
  <si>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</si>
  <si>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</si>
  <si>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</si>
  <si>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</si>
  <si>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</si>
  <si>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</si>
  <si>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</si>
  <si>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</si>
  <si>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</si>
  <si>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</si>
  <si>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</si>
  <si>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</si>
  <si>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</si>
  <si>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</si>
  <si>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</si>
  <si>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</si>
  <si>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</si>
  <si>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</si>
  <si>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</si>
  <si>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</si>
  <si>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</si>
  <si>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</si>
  <si>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</si>
  <si>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</si>
  <si>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</si>
  <si>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</si>
  <si>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</si>
  <si>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</si>
  <si>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</si>
  <si>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</si>
  <si>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</si>
  <si>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</si>
  <si>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</si>
  <si>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</si>
  <si>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</si>
  <si>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</si>
  <si>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</si>
  <si>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</si>
  <si>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</si>
  <si>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</si>
  <si>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</si>
  <si>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</si>
  <si>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</si>
  <si>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</si>
  <si>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</si>
  <si>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</si>
  <si>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Комплект основного оборудования</t>
  </si>
  <si>
    <t>11</t>
  </si>
  <si>
    <t>Монтаж антенны коллективной для приема ТВ на антенной опоре высотой до 9 м с одним ярусом оттяжек</t>
  </si>
  <si>
    <t>12</t>
  </si>
  <si>
    <t>КА, п.1</t>
  </si>
  <si>
    <t>Антенна эфирная ДМВ диапазона EB45LTE</t>
  </si>
  <si>
    <t>ШТ</t>
  </si>
  <si>
    <t>Оборудование, отсутствующие в СНБ</t>
  </si>
  <si>
    <t>Оборуд. КА</t>
  </si>
  <si>
    <t>[5 500 / 1,22 /  9,84] +  1,2% Трансп +  3% Заг.скл</t>
  </si>
  <si>
    <t>1,2</t>
  </si>
  <si>
    <t>13</t>
  </si>
  <si>
    <t>Монтаж коробки телевизионной (ответвители, разветвители магистральные, домовые, абонентские), УСС, БФТК</t>
  </si>
  <si>
    <t>14</t>
  </si>
  <si>
    <t>КА, п.2</t>
  </si>
  <si>
    <t>Грозозащита ОВР</t>
  </si>
  <si>
    <t>[6 071,03 / 1,22 /  9,84] +  1,2% Трансп +  3% Заг.скл</t>
  </si>
  <si>
    <t>15</t>
  </si>
  <si>
    <t>Монтаж пультов и шкафов управления, шкафа (пульта) управления навесного, высотой, шириной, глубиной до 600х600х350 мм</t>
  </si>
  <si>
    <t>15,1</t>
  </si>
  <si>
    <t>1.1-1-8146</t>
  </si>
  <si>
    <t>Болты стальные оцинкованные с шестигранной головкой, с полной резьбой, с гайкой оцинкованной, М6, длина от 12 до 60 мм</t>
  </si>
  <si>
    <t>кг</t>
  </si>
  <si>
    <t>ТСН-2001.1 Доп. 79, Р. 1, о. 1, поз. 8146</t>
  </si>
  <si>
    <t>15,2</t>
  </si>
  <si>
    <t>1.21-1-65</t>
  </si>
  <si>
    <t>Щит навесной, с дверцей и монтажной панелью, степень защиты IР65, размер 600х400х250 мм, металлоконструкция без аппаратов</t>
  </si>
  <si>
    <t>шт.</t>
  </si>
  <si>
    <t>ТСН-2001.1 Доп. 79, Р. 21, о. 1, поз. 65</t>
  </si>
  <si>
    <t>16</t>
  </si>
  <si>
    <t>4.10-136-5</t>
  </si>
  <si>
    <t>Монтаж базового блока головной станции настенного типа</t>
  </si>
  <si>
    <t>ТСН-2001.4 Доп. 81, Сб. 10, т. 136, поз. 5</t>
  </si>
  <si>
    <t>17</t>
  </si>
  <si>
    <t>КА, п.3</t>
  </si>
  <si>
    <t>Головная станция  СКТ "ГС мини"</t>
  </si>
  <si>
    <t>[82 923,38 / 1,22 /  9,84] +  1,2% Трансп +  3% Заг.скл</t>
  </si>
  <si>
    <t>18</t>
  </si>
  <si>
    <t>Монтаж антенного ТВ усилителя на мачте (без измерений) без повала мачты</t>
  </si>
  <si>
    <t>19</t>
  </si>
  <si>
    <t>КА, п.4</t>
  </si>
  <si>
    <t>Мачтовый усилитель ДМВ(DVB-T2) AB 011</t>
  </si>
  <si>
    <t>[1 390 / 1,22 /  9,84] +  1,2% Трансп +  3% Заг.скл</t>
  </si>
  <si>
    <t>20</t>
  </si>
  <si>
    <t>Монтаж тв усилителя настенного типа, блока питания</t>
  </si>
  <si>
    <t>21</t>
  </si>
  <si>
    <t>КА, п.5</t>
  </si>
  <si>
    <t>Блок питания PI 011</t>
  </si>
  <si>
    <t>[1 800 / 1,22 /  9,84] +  1,2% Трансп +  3% Заг.скл</t>
  </si>
  <si>
    <t>Оборудование устанавливаемое по месту</t>
  </si>
  <si>
    <t>22</t>
  </si>
  <si>
    <t>23</t>
  </si>
  <si>
    <t>1.14-1-249</t>
  </si>
  <si>
    <t>Ответвитель на 4 направления, диапазон рабочих частот от 5 до 1300 МГц, потери 12 дБ</t>
  </si>
  <si>
    <t>ТСН-2001.1 Доп. 79, Р. 14, о. 1, поз. 249</t>
  </si>
  <si>
    <t>Материалы монтажные</t>
  </si>
  <si>
    <t>ТСН-2001.1 Материалы монтажные</t>
  </si>
  <si>
    <t>ТСН-2001.1-2</t>
  </si>
  <si>
    <t>24</t>
  </si>
  <si>
    <t>4.8-333-7</t>
  </si>
  <si>
    <t>Монтаж розетки штепсельной скрытого типа</t>
  </si>
  <si>
    <t>ТСН-2001.4 Доп. 80, Сб. 8, т. 333, поз. 7</t>
  </si>
  <si>
    <t>24,1</t>
  </si>
  <si>
    <t>1.14-1-199</t>
  </si>
  <si>
    <t>ТСН-2001.1 Доп. 67, Р. 14, о. 1, поз. 199</t>
  </si>
  <si>
    <t>25</t>
  </si>
  <si>
    <t>1.14-1-312</t>
  </si>
  <si>
    <t>Корпус телевизионной розетки, пластиковый, для наружной установки, размеры 75x75x35 мм</t>
  </si>
  <si>
    <t>ТСН-2001.1 Доп. 79, Р. 14, о. 1, поз. 312</t>
  </si>
  <si>
    <t>Кабели и провода</t>
  </si>
  <si>
    <t>26</t>
  </si>
  <si>
    <t>4.8-175-1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</si>
  <si>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2,5 мм2</t>
  </si>
  <si>
    <t>ТСН-2001.4 Доп. 71, Сб. 8, т. 175, поз. 1</t>
  </si>
  <si>
    <t>27</t>
  </si>
  <si>
    <t>КА, п.6</t>
  </si>
  <si>
    <t>Кабель коаксиальный РК 75-4,8-319 нг(A)-LSL Тх</t>
  </si>
  <si>
    <t>м</t>
  </si>
  <si>
    <t>Материалы, отсутствующие в СНБ (Строительные)</t>
  </si>
  <si>
    <t>МР КА Строительные</t>
  </si>
  <si>
    <t>[172,99 / 1,22 /  7,57] +  2% Заг.скл</t>
  </si>
  <si>
    <t>0</t>
  </si>
  <si>
    <t>28</t>
  </si>
  <si>
    <t>КА, п.7</t>
  </si>
  <si>
    <t>Провод с медной жилой с изоляцией из поливинилхлоридного пластиката пониженной пожарной опасности, с низкой токсичностью продуктов горения , жёлто-зелёныйПуГВнг(А)-LSLTх 1x6.00 желто-зеленый</t>
  </si>
  <si>
    <t>[98,45 / 1,22 /  7,57] +  2% Заг.скл</t>
  </si>
  <si>
    <t>29</t>
  </si>
  <si>
    <t>4.8-168-1</t>
  </si>
  <si>
    <t>Прокладка по стальным конструкциям и панелям провода сечением до 16 мм2</t>
  </si>
  <si>
    <t>100 М ТРАССЫ</t>
  </si>
  <si>
    <t>ТСН-2001.4 Доп. 80, Сб. 8, т. 168, поз. 1</t>
  </si>
  <si>
    <t>29,1</t>
  </si>
  <si>
    <t>1.14-1-555</t>
  </si>
  <si>
    <t>Скобы крепежные для радиочастотного коаксиального кабеля с номинальным диаметром по изоляции от 4 до 6 мм</t>
  </si>
  <si>
    <t>ТСН-2001.1 Доп. 73, Р. 14, о. 1, поз. 555</t>
  </si>
  <si>
    <t>30</t>
  </si>
  <si>
    <t>31</t>
  </si>
  <si>
    <t>КА, п.8</t>
  </si>
  <si>
    <t>Кабель коаксиальный РК 75-7-327нг(A)-LSLТх</t>
  </si>
  <si>
    <t>[279,01 / 1,22 /  7,57] +  2% Заг.скл</t>
  </si>
  <si>
    <t>Материалы</t>
  </si>
  <si>
    <t>32</t>
  </si>
  <si>
    <t>4.8-170-1</t>
  </si>
  <si>
    <t>Прокладка по установленным конструкциям, по стенам с креплением скобами стальной трубы диаметром до 25 мм</t>
  </si>
  <si>
    <t>ТСН-2001.4 Доп. 80, Сб. 8, т. 170, поз. 1</t>
  </si>
  <si>
    <t>32,1</t>
  </si>
  <si>
    <t>КА, п.9</t>
  </si>
  <si>
    <t>Гибкая гофрированная ПЛЛ труба без содержания галогенов, ДУ20, O 19.7 / 14.8 мм, протяжка, цвет белый 81820 DKC</t>
  </si>
  <si>
    <t>[133,33 / 1,22 /  7,57] +  2% Заг.скл</t>
  </si>
  <si>
    <t>32,2</t>
  </si>
  <si>
    <t>1.21-5-1136</t>
  </si>
  <si>
    <t>Держатель пластиковый с защелкой для крепления труб, рукавов и гибких вводов диаметром 20 мм</t>
  </si>
  <si>
    <t>ТСН-2001.1 Доп. 73, Р. 21, о. 5, поз. 1136</t>
  </si>
  <si>
    <t>32,3</t>
  </si>
  <si>
    <t>1.14-1-281</t>
  </si>
  <si>
    <t>Разъем телевизионный F для коаксиального кабеля стандарта RG11</t>
  </si>
  <si>
    <t>ТСН-2001.1 Доп. 67, Р. 14, о. 1, поз. 281</t>
  </si>
  <si>
    <t>32,4</t>
  </si>
  <si>
    <t>1.14-1-280</t>
  </si>
  <si>
    <t>Разъем телевизионный F для коаксиального кабеля стандарта RG6</t>
  </si>
  <si>
    <t>ТСН-2001.1 Доп. 67, Р. 14, о. 1, поз. 280</t>
  </si>
  <si>
    <t>32,5</t>
  </si>
  <si>
    <t>1.14-1-219</t>
  </si>
  <si>
    <t>Заглушка коаксиальной линии, номинальное волновое сопротивление 75 Ом, с емкостной развязкой, разъем типа F</t>
  </si>
  <si>
    <t>ТСН-2001.1 Доп. 67, Р. 14, о. 1, поз. 219</t>
  </si>
  <si>
    <t>33</t>
  </si>
  <si>
    <t>Прокладка металлического рукава, наружный диаметр до 48 мм</t>
  </si>
  <si>
    <t>33,1</t>
  </si>
  <si>
    <t>1.21-5-435</t>
  </si>
  <si>
    <t>Рукав металлический, типа РЗ-ЦХ, из стальной оцинкованной ленты, негерметичный, с уплотнением хлопчатобумажной нитью, условный диаметр 20 мм</t>
  </si>
  <si>
    <t>ТСН-2001.1 Доп. 73, Р. 21, о. 5, поз. 435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</si>
  <si>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</si>
  <si>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</si>
  <si>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</si>
  <si>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</si>
  <si>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</si>
  <si>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</si>
  <si>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</si>
  <si>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</si>
  <si>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</si>
  <si>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</si>
  <si>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Базовый уровень цен</t>
  </si>
  <si>
    <t>Сборник индексов</t>
  </si>
  <si>
    <t>Коэффициенты к ТСН-2001 МГЭ Дополнение 81, строительство</t>
  </si>
  <si>
    <t>Текущий уровень цен</t>
  </si>
  <si>
    <t>219/81</t>
  </si>
  <si>
    <t>Коэффициенты к ТСН-2001.13-2 Дополнение 47</t>
  </si>
  <si>
    <t>64/47</t>
  </si>
  <si>
    <t>_OBSM_</t>
  </si>
  <si>
    <t>9999990008</t>
  </si>
  <si>
    <t>Трудозатраты рабочих</t>
  </si>
  <si>
    <t>чел.-ч.</t>
  </si>
  <si>
    <t>1.1-1-1051</t>
  </si>
  <si>
    <t>ТСН-2001.1 Доп. 79, Р. 1, о. 1, поз. 1051</t>
  </si>
  <si>
    <t>Солидол жировой</t>
  </si>
  <si>
    <t>т</t>
  </si>
  <si>
    <t>1.1-1-1501</t>
  </si>
  <si>
    <t>ТСН-2001.1 Доп. 79, Р. 1, о. 1, поз. 1501</t>
  </si>
  <si>
    <t>Шурупы с потайной головкой, черные, диаметр 5 мм, длина 70 мм</t>
  </si>
  <si>
    <t>2.1-10-1</t>
  </si>
  <si>
    <t>ТСН-2001.2. Доп. 68. п.1-10-1 (100101)</t>
  </si>
  <si>
    <t>Компрессоры передвижные с двигателем внутреннего сгорания, давление до 7 ат, производительность до 5 м3/мин</t>
  </si>
  <si>
    <t>маш.-ч</t>
  </si>
  <si>
    <t>9999990009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</si>
  <si>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</si>
  <si>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</si>
  <si>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</si>
  <si>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2.1-18-7</t>
  </si>
  <si>
    <t>ТСН-2001.2. Доп. 68. п.1-18-7 (183001)</t>
  </si>
  <si>
    <t>Автомобили грузовые бортовые, грузоподъемность до 5 т</t>
  </si>
  <si>
    <t>2.1-30-7</t>
  </si>
  <si>
    <t>ТСН-2001.2. Доп. 68. п.1-30-7 (303801)</t>
  </si>
  <si>
    <t>Молотки бурильные пневматические легкие</t>
  </si>
  <si>
    <t>1.1-1-1577</t>
  </si>
  <si>
    <t>ТСН-2001.1 Доп. 79, Р. 1, о. 1, поз. 1577</t>
  </si>
  <si>
    <t>Эмаль пентафталевая, цветная, типа ПФ-115</t>
  </si>
  <si>
    <t>1.1-1-1669</t>
  </si>
  <si>
    <t>ТСН-2001.1 Доп. 79, Р. 1, о. 1, поз. 1669</t>
  </si>
  <si>
    <t>Электроды, типа Э-42А, диаметр от 4 до 6 мм</t>
  </si>
  <si>
    <t>9999990001</t>
  </si>
  <si>
    <t>Масса мусора</t>
  </si>
  <si>
    <t>2.1-30-10</t>
  </si>
  <si>
    <t>ТСН-2001.2. Доп. 68. п.1-30-10 (304101)</t>
  </si>
  <si>
    <t>Перфораторы, мощность до 800 Вт</t>
  </si>
  <si>
    <t>1.1-1-1092</t>
  </si>
  <si>
    <t>ТСН-2001.1 Доп. 79, Р. 1, о. 1, поз. 1092</t>
  </si>
  <si>
    <t>Полоса из стали углеродистой обыкновенного качества, спокойной</t>
  </si>
  <si>
    <t>1.1-1-237</t>
  </si>
  <si>
    <t>ТСН-2001.1 Доп. 67, Р. 1, о. 1, поз. 237</t>
  </si>
  <si>
    <t>Дюбель с патроном</t>
  </si>
  <si>
    <t>1.1-1-2381</t>
  </si>
  <si>
    <t>ТСН-2001.1 Доп. 79, Р. 1, о. 1, поз. 2381</t>
  </si>
  <si>
    <t>Винты с полукруглой головкой, М6х10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</si>
  <si>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</si>
  <si>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</si>
  <si>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</si>
  <si>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1.21-5-1655</t>
  </si>
  <si>
    <t>ТСН-2001.1 Доп. 67, Р. 21, о. 5, поз. 1655</t>
  </si>
  <si>
    <t>Перемычка гибкая, типа ПГС 50-280</t>
  </si>
  <si>
    <t>1.21-5-873</t>
  </si>
  <si>
    <t>ТСН-2001.1 Доп. 79, Р. 21, о. 5, поз. 873</t>
  </si>
  <si>
    <t>Скоба двухлапковая стальная оцинкованная, для кабелей диаметром от 48 до 50 мм</t>
  </si>
  <si>
    <t>1000 шт.</t>
  </si>
  <si>
    <t>2.1-3-38</t>
  </si>
  <si>
    <t>ТСН-2001.2. Доп. 68. п.1-3-38 (032009)</t>
  </si>
  <si>
    <t>Краны на автомобильном ходу, грузоподъемность до 16 т</t>
  </si>
  <si>
    <t>1.1-1-1257</t>
  </si>
  <si>
    <t>ТСН-2001.1 Доп. 79, Р. 1, о. 1, поз. 1257</t>
  </si>
  <si>
    <t>Тальк молотый</t>
  </si>
  <si>
    <t>1.1-1-1723</t>
  </si>
  <si>
    <t>ТСН-2001.1 Доп. 79, Р. 1, о. 1, поз. 1723</t>
  </si>
  <si>
    <t>Лента изоляционная, прорезиненная, односторонняя</t>
  </si>
  <si>
    <t>1.21-5-1543</t>
  </si>
  <si>
    <t>ТСН-2001.1 Доп. 65, Р. 21, о. 5, поз. 1543</t>
  </si>
  <si>
    <t>Гильзы кабельные медные типа ГМ 2,5</t>
  </si>
  <si>
    <t>1.21-5-1554</t>
  </si>
  <si>
    <t>ТСН-2001.1 Доп. 65, Р. 21, о. 5, поз. 1554</t>
  </si>
  <si>
    <t>Втулка трубная, полипропиленовая, диаметр 17 мм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</si>
  <si>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</si>
  <si>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</si>
  <si>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</si>
  <si>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1.21-5-757</t>
  </si>
  <si>
    <t>ТСН-2001.1 Доп. 73, Р. 21, о. 5, поз. 757</t>
  </si>
  <si>
    <t>Зажим соединительно-изолирующий, типа СИЗ-2</t>
  </si>
  <si>
    <t>2.1-30-102</t>
  </si>
  <si>
    <t>ТСН-2001.2. Доп. 68. п.1-30-102 (303704)</t>
  </si>
  <si>
    <t>Дрели, мощность до 800 Вт</t>
  </si>
  <si>
    <t>1.1-1-335</t>
  </si>
  <si>
    <t>ТСН-2001.1 Доп. 79, Р. 1, о. 1, поз. 335</t>
  </si>
  <si>
    <t>Картон электроизоляционный, типа ЭВ-05</t>
  </si>
  <si>
    <t>1.21-5-1652</t>
  </si>
  <si>
    <t>ТСН-2001.1 Доп. 66, Р. 21, о. 5, поз. 1652</t>
  </si>
  <si>
    <t>Полоска типа К-405 с пряжкой типа К-407, стальные, для крепления проводов</t>
  </si>
  <si>
    <t>2.1-4-109</t>
  </si>
  <si>
    <t>ТСН-2001.2. Доп. 75. п.1-4-109 (042510)</t>
  </si>
  <si>
    <t>Подъемники ножничные несамоходные, высота подъема до 10 м</t>
  </si>
  <si>
    <t>1.1-1-238</t>
  </si>
  <si>
    <t>ТСН-2001.1 Доп. 80, Р. 1, о. 1, поз. 238</t>
  </si>
  <si>
    <t>Дюбель пластмассовый</t>
  </si>
  <si>
    <t>1.1-1-3588</t>
  </si>
  <si>
    <t>ТСН-2001.1 Доп. 79, Р. 1, о. 1, поз. 3588</t>
  </si>
  <si>
    <t>Лента для уплотнения резьбы при монтаже инженерных сетей, типа ФУМ</t>
  </si>
  <si>
    <t>1.1-1-493</t>
  </si>
  <si>
    <t>ТСН-2001.1 Доп. 79, Р. 1, о. 1, поз. 493</t>
  </si>
  <si>
    <t>Лак битумный, типа БТ-577</t>
  </si>
  <si>
    <t>1.21-5-1561</t>
  </si>
  <si>
    <t>ТСН-2001.1 Доп. 65, Р. 21, о. 5, поз. 1561</t>
  </si>
  <si>
    <t>Заглушка трубная полиэтиленовая У469</t>
  </si>
  <si>
    <t>10 шт.</t>
  </si>
  <si>
    <t>1.21-5-872</t>
  </si>
  <si>
    <t>ТСН-2001.1 Доп. 79, Р. 21, о. 5, поз. 872</t>
  </si>
  <si>
    <t>Скоба двухлапковая стальная оцинкованная, для кабелей диаметром от 25 до 26</t>
  </si>
  <si>
    <t>22.21.29.120 , п.9</t>
  </si>
  <si>
    <t>1297020000</t>
  </si>
  <si>
    <t>Болты строительные с гайками и шайбами (1297030000, 1610000000, 1620000000, 1680000000)</t>
  </si>
  <si>
    <t>3430000000</t>
  </si>
  <si>
    <t>Шкафы (пульты) управления навесные</t>
  </si>
  <si>
    <t>3449650000</t>
  </si>
  <si>
    <t>Рукава металлические (2559370000, 3148630000, 4833852000)</t>
  </si>
  <si>
    <t>Муфты соединительные для металлорукавов (2559370000)</t>
  </si>
  <si>
    <t>Патрубки (2248208000)</t>
  </si>
  <si>
    <t>3449652000</t>
  </si>
  <si>
    <t>Втулки изолирующие</t>
  </si>
  <si>
    <t>3464740000</t>
  </si>
  <si>
    <t>Коробки для соединения проводов (3434200000)</t>
  </si>
  <si>
    <t>3464430000</t>
  </si>
  <si>
    <t>Розетки штепсельные скрытого типа (3464010000)</t>
  </si>
  <si>
    <t>3500000000</t>
  </si>
  <si>
    <t>Провода (марка и сечение по проекту)</t>
  </si>
  <si>
    <t>км</t>
  </si>
  <si>
    <t>3449953000</t>
  </si>
  <si>
    <t>Скобы для крепления кабеля</t>
  </si>
  <si>
    <t>4594300000</t>
  </si>
  <si>
    <t>Винты с полукруглой головкой</t>
  </si>
  <si>
    <t>1303000000</t>
  </si>
  <si>
    <t>Трубы стальные для электропроводок (1385000000)</t>
  </si>
  <si>
    <t>1462020000</t>
  </si>
  <si>
    <t>Муфты резьбовые для соединения стальных труб (2559370100)</t>
  </si>
  <si>
    <t>3449654000</t>
  </si>
  <si>
    <t>Гайки установочные заземляющие</t>
  </si>
  <si>
    <t>3449870000</t>
  </si>
  <si>
    <t>Гильзы соединительные кабельные, закрепляемые опрессовкой (3449860000)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</si>
  <si>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</si>
  <si>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</si>
  <si>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</si>
  <si>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</si>
  <si>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</si>
  <si>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</si>
  <si>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</si>
  <si>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</si>
  <si>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1.1</t>
  </si>
  <si>
    <t>КА</t>
  </si>
  <si>
    <t>ООО "Сател ПРО"</t>
  </si>
  <si>
    <t>7701101088</t>
  </si>
  <si>
    <t>стр. п.</t>
  </si>
  <si>
    <t>1.2</t>
  </si>
  <si>
    <t>ООО "ЛАНМАРК"</t>
  </si>
  <si>
    <t>5018131860</t>
  </si>
  <si>
    <t>1.3</t>
  </si>
  <si>
    <t>ООО "ТД "Толедо"</t>
  </si>
  <si>
    <t>5260294545</t>
  </si>
  <si>
    <t>2.1</t>
  </si>
  <si>
    <t>ИП Иванников Вячеслав Петрович</t>
  </si>
  <si>
    <t>621401462596</t>
  </si>
  <si>
    <t>2.2</t>
  </si>
  <si>
    <t>2.3</t>
  </si>
  <si>
    <t>ООО "АРГО"</t>
  </si>
  <si>
    <t>7804628380</t>
  </si>
  <si>
    <t>3.1</t>
  </si>
  <si>
    <t>3.2</t>
  </si>
  <si>
    <t>ООО "АЛЬМ-ТЕХНОЛОГИИ"</t>
  </si>
  <si>
    <t>6672145329</t>
  </si>
  <si>
    <t>3.3</t>
  </si>
  <si>
    <t>4.1</t>
  </si>
  <si>
    <t>ООО «Спутник Трейд»</t>
  </si>
  <si>
    <t>7814478840</t>
  </si>
  <si>
    <t>4.2</t>
  </si>
  <si>
    <t>ООО "ТЕЛЕСИН ГРУПП"</t>
  </si>
  <si>
    <t>7733894672</t>
  </si>
  <si>
    <t>4.3</t>
  </si>
  <si>
    <t>ООО «ЦПИ»</t>
  </si>
  <si>
    <t>7713458808</t>
  </si>
  <si>
    <t>5.1</t>
  </si>
  <si>
    <t>ООО «Альтерико»</t>
  </si>
  <si>
    <t>1657134468</t>
  </si>
  <si>
    <t>5.2</t>
  </si>
  <si>
    <t>ООО "Техника безопасности"</t>
  </si>
  <si>
    <t>2312127366</t>
  </si>
  <si>
    <t>5.3</t>
  </si>
  <si>
    <t>ИП Щеколдин Павел Игоревич</t>
  </si>
  <si>
    <t>503124303600</t>
  </si>
  <si>
    <t>6.1</t>
  </si>
  <si>
    <t>ООО "Тантос"</t>
  </si>
  <si>
    <t>9721058155</t>
  </si>
  <si>
    <t>6.2</t>
  </si>
  <si>
    <t>ООО "ТД Тинко"</t>
  </si>
  <si>
    <t>7702680818</t>
  </si>
  <si>
    <t>6.3</t>
  </si>
  <si>
    <t>ООО "ТПД Паритет"</t>
  </si>
  <si>
    <t>5074008028</t>
  </si>
  <si>
    <t>7.1</t>
  </si>
  <si>
    <t>ООО "СветЭлектро"</t>
  </si>
  <si>
    <t>7723685084</t>
  </si>
  <si>
    <t>7.2</t>
  </si>
  <si>
    <t>ООО «Мираплюс»</t>
  </si>
  <si>
    <t>6453073463</t>
  </si>
  <si>
    <t>7.3</t>
  </si>
  <si>
    <t>ООО "ЛИДЕР ГРУПП"</t>
  </si>
  <si>
    <t>9705153330</t>
  </si>
  <si>
    <t>8.1</t>
  </si>
  <si>
    <t>8.2</t>
  </si>
  <si>
    <t>8.3</t>
  </si>
  <si>
    <t>9.1</t>
  </si>
  <si>
    <t>АО "ЧИП и ДИП"</t>
  </si>
  <si>
    <t>7729108750</t>
  </si>
  <si>
    <t>9.2</t>
  </si>
  <si>
    <t>АО «ТД ЭЛЕКТРОТЕХМОНТАЖ»</t>
  </si>
  <si>
    <t>7842224734</t>
  </si>
  <si>
    <t>9.3</t>
  </si>
  <si>
    <t>ООО «ТД ТИНКО»</t>
  </si>
  <si>
    <t>7722753969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</si>
  <si>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</si>
  <si>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</si>
  <si>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</si>
  <si>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Розетка телевизионная, скрытой установки, раздельная, двухместная, "штырь" и "гнездо", конечная, затухание 4 дБ, возвратные потери от 12 до 18 дБ, диапазон частот от 5 до 2400 МГц, степень защиты IP20, с безвинтовыми зажимами для радиочастотного коаксиального кабеля с диаметром внутреннего проводника от 0,58 до 1,15 мм и диаметром по изоляции от 3,7 до 5,8 мм, механизм с литой цинковой крепежной рамой, без декоративной крышки, размер не более 71х71х22 мм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</si>
  <si>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</si>
  <si>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</si>
  <si>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</si>
  <si>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</si>
  <si>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</si>
  <si>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</si>
  <si>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</si>
  <si>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</si>
  <si>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</si>
  <si>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</si>
  <si>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</si>
  <si>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</si>
  <si>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</si>
  <si>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</si>
  <si>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</si>
  <si>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</si>
  <si>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</si>
  <si>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</si>
  <si>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</si>
  <si>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</si>
  <si>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</si>
  <si>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</si>
  <si>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</si>
  <si>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</si>
  <si>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</si>
  <si>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</si>
  <si>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02-01-12 СКТ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</si>
  <si>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</si>
  <si>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строительство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</si>
  <si>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</si>
  <si>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</si>
  <si>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</si>
  <si>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</si>
  <si>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</si>
  <si>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</si>
  <si>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</si>
  <si>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</si>
  <si>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</si>
  <si>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</si>
  <si>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</si>
  <si>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ЭМ</t>
  </si>
  <si>
    <t>в т.ч. ЗПМ</t>
  </si>
  <si>
    <t xml:space="preserve">   Итого по ТСН-2001.16</t>
  </si>
  <si>
    <t xml:space="preserve">   Итого возвратных сумм</t>
  </si>
  <si>
    <t>МР</t>
  </si>
  <si>
    <r>
      <t>Кабель коаксиальный РК 75-4,8-319 нг(A)-LSL Тх</t>
    </r>
    <r>
      <rPr>
        <i/>
        <sz val="10"/>
        <rFont val="Arial"/>
        <family val="2"/>
        <charset val="204"/>
      </rPr>
      <t xml:space="preserve">
19,10 = [172,99 / 1,22 /  7,57] +  2% Заг.скл</t>
    </r>
  </si>
  <si>
    <r>
      <t>Провод с медной жилой с изоляцией из поливинилхлоридного пластиката пониженной пожарной опасности, с низкой токсичностью продуктов горения , жёлто-зелёныйПуГВнг(А)-LSLTх 1x6.00 желто-зеленый</t>
    </r>
    <r>
      <rPr>
        <i/>
        <sz val="10"/>
        <rFont val="Arial"/>
        <family val="2"/>
        <charset val="204"/>
      </rPr>
      <t xml:space="preserve">
10,87 = [98,45 / 1,22 /  7,57] +  2% Заг.скл</t>
    </r>
  </si>
  <si>
    <r>
      <t>Кабель коаксиальный РК 75-7-327нг(A)-LSLТх</t>
    </r>
    <r>
      <rPr>
        <i/>
        <sz val="10"/>
        <rFont val="Arial"/>
        <family val="2"/>
        <charset val="204"/>
      </rPr>
      <t xml:space="preserve">
30,81 = [279,01 / 1,22 /  7,57] +  2% Заг.скл</t>
    </r>
  </si>
  <si>
    <r>
      <t>Гибкая гофрированная ПЛЛ труба без содержания галогенов, ДУ20, O 19.7 / 14.8 мм, протяжка, цвет белый 81820 DKC</t>
    </r>
    <r>
      <rPr>
        <i/>
        <sz val="10"/>
        <rFont val="Arial"/>
        <family val="2"/>
        <charset val="204"/>
      </rPr>
      <t xml:space="preserve">
14,73 = [133,33 / 1,22 /  7,57]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</si>
  <si>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</si>
  <si>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</si>
  <si>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</si>
  <si>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</si>
  <si>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</si>
  <si>
    <t>отнести  в оборуд  коэф 7,57</t>
  </si>
  <si>
    <r>
      <t>ОБОРУДОВАНИЕ:
Антенна эфирная ДМВ диапазона EB45LTE</t>
    </r>
    <r>
      <rPr>
        <i/>
        <sz val="10"/>
        <color rgb="FF821E82"/>
        <rFont val="Arial"/>
        <family val="2"/>
        <charset val="204"/>
      </rPr>
      <t xml:space="preserve">
477,56 = [5 500 / 1,22 /  9,84] +  1,2% Трансп +  3% Заг.скл</t>
    </r>
  </si>
  <si>
    <t>+</t>
  </si>
  <si>
    <r>
      <t>ОБОРУДОВАНИЕ:
Грозозащита ОВР</t>
    </r>
    <r>
      <rPr>
        <i/>
        <sz val="10"/>
        <color rgb="FF821E82"/>
        <rFont val="Arial"/>
        <family val="2"/>
        <charset val="204"/>
      </rPr>
      <t xml:space="preserve">
527,14 = [6 071,03 / 1,22 /  9,84] +  1,2% Трансп +  3% Заг.скл</t>
    </r>
  </si>
  <si>
    <r>
      <t>ОБОРУДОВАНИЕ:
Головная станция  СКТ "ГС мини"</t>
    </r>
    <r>
      <rPr>
        <i/>
        <sz val="10"/>
        <color rgb="FF821E82"/>
        <rFont val="Arial"/>
        <family val="2"/>
        <charset val="204"/>
      </rPr>
      <t xml:space="preserve">
7 200,12 = [82 923,38 / 1,22 /  9,84] +  1,2% Трансп +  3% Заг.скл</t>
    </r>
  </si>
  <si>
    <r>
      <t>ОБОРУДОВАНИЕ:
Мачтовый усилитель ДМВ(DVB-T2) AB 011</t>
    </r>
    <r>
      <rPr>
        <i/>
        <sz val="10"/>
        <color rgb="FF821E82"/>
        <rFont val="Arial"/>
        <family val="2"/>
        <charset val="204"/>
      </rPr>
      <t xml:space="preserve">
120,70 = [1 390 / 1,22 /  9,84] +  1,2% Трансп +  3% Заг.скл</t>
    </r>
  </si>
  <si>
    <r>
      <t>ОБОРУДОВАНИЕ:
Блок питания PI 011</t>
    </r>
    <r>
      <rPr>
        <i/>
        <sz val="10"/>
        <color rgb="FF821E82"/>
        <rFont val="Arial"/>
        <family val="2"/>
        <charset val="204"/>
      </rPr>
      <t xml:space="preserve">
156,29 = [1 800 / 1,22 /  9,84] +  1,2% Трансп +  3% Заг.скл</t>
    </r>
  </si>
  <si>
    <t>отнести в мат коэф 9,84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</si>
</sst>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6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  <font>
      <sz val="10"/>
      <color rgb="FFC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0" fillId="0" borderId="0" xfId="0" applyNumberFormat="1"/>
    <xf numFmtId="164" fontId="18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0" fontId="12" fillId="0" borderId="0" xfId="0" quotePrefix="1" applyFont="1" applyAlignment="1">
      <alignment horizontal="right" vertical="top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1" xfId="0" applyFont="1" applyBorder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0" fontId="17" fillId="0" borderId="0" xfId="0" applyFont="1" applyAlignment="1">
      <alignment horizontal="left" wrapText="1"/>
    </xf>
    <xf numFmtId="164" fontId="17" fillId="0" borderId="0" xfId="0" applyNumberFormat="1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164" fontId="17" fillId="0" borderId="2" xfId="0" applyNumberFormat="1" applyFont="1" applyBorder="1" applyAlignment="1">
      <alignment horizontal="right" vertical="top"/>
    </xf>
    <xf numFmtId="0" fontId="13" fillId="0" borderId="0" xfId="0" applyFont="1" applyAlignment="1">
      <alignment horizontal="center" vertical="top" wrapText="1"/>
    </xf>
    <xf numFmtId="164" fontId="23" fillId="0" borderId="2" xfId="0" applyNumberFormat="1" applyFont="1" applyBorder="1" applyAlignment="1">
      <alignment horizontal="right" vertical="top"/>
    </xf>
    <xf numFmtId="0" fontId="12" fillId="2" borderId="0" xfId="0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13" fillId="2" borderId="0" xfId="0" applyFont="1" applyFill="1"/>
    <xf numFmtId="0" fontId="14" fillId="2" borderId="0" xfId="0" applyFont="1" applyFill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left" wrapText="1"/>
    </xf>
    <xf numFmtId="0" fontId="0" fillId="2" borderId="0" xfId="0" applyFill="1"/>
    <xf numFmtId="0" fontId="14" fillId="2" borderId="1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0" fillId="2" borderId="0" xfId="0" applyFill="1"/>
    <xf numFmtId="0" fontId="12" fillId="2" borderId="1" xfId="0" applyFont="1" applyFill="1" applyBorder="1" applyAlignment="1">
      <alignment horizontal="left" wrapText="1"/>
    </xf>
    <xf numFmtId="0" fontId="1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center" vertical="top" wrapText="1"/>
    </xf>
    <xf numFmtId="0" fontId="17" fillId="2" borderId="0" xfId="0" applyFont="1" applyFill="1" applyAlignment="1">
      <alignment horizontal="left"/>
    </xf>
    <xf numFmtId="164" fontId="17" fillId="2" borderId="0" xfId="0" applyNumberFormat="1" applyFont="1" applyFill="1"/>
    <xf numFmtId="0" fontId="17" fillId="2" borderId="0" xfId="0" applyFont="1" applyFill="1"/>
    <xf numFmtId="164" fontId="12" fillId="2" borderId="0" xfId="0" applyNumberFormat="1" applyFont="1" applyFill="1"/>
    <xf numFmtId="0" fontId="12" fillId="2" borderId="0" xfId="1" applyFont="1" applyFill="1" applyAlignment="1">
      <alignment horizontal="left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top" wrapText="1"/>
    </xf>
    <xf numFmtId="0" fontId="19" fillId="2" borderId="1" xfId="0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right" vertical="top" wrapText="1"/>
    </xf>
    <xf numFmtId="0" fontId="19" fillId="2" borderId="1" xfId="0" applyFont="1" applyFill="1" applyBorder="1" applyAlignment="1">
      <alignment horizontal="right" vertical="top"/>
    </xf>
    <xf numFmtId="164" fontId="19" fillId="2" borderId="1" xfId="0" applyNumberFormat="1" applyFont="1" applyFill="1" applyBorder="1" applyAlignment="1">
      <alignment horizontal="right" vertical="top"/>
    </xf>
    <xf numFmtId="0" fontId="19" fillId="2" borderId="1" xfId="0" applyFont="1" applyFill="1" applyBorder="1" applyAlignment="1">
      <alignment horizontal="right" vertical="top" wrapText="1"/>
    </xf>
    <xf numFmtId="0" fontId="10" fillId="0" borderId="0" xfId="0" applyFont="1"/>
    <xf numFmtId="0" fontId="25" fillId="0" borderId="0" xfId="0" applyFont="1"/>
    <xf numFmtId="0" fontId="12" fillId="2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right" vertical="top" wrapText="1"/>
    </xf>
    <xf numFmtId="0" fontId="12" fillId="2" borderId="0" xfId="0" applyFont="1" applyFill="1" applyAlignment="1">
      <alignment horizontal="right" vertical="top"/>
    </xf>
    <xf numFmtId="164" fontId="12" fillId="2" borderId="0" xfId="0" applyNumberFormat="1" applyFont="1" applyFill="1" applyAlignment="1">
      <alignment horizontal="right" vertical="top"/>
    </xf>
    <xf numFmtId="0" fontId="12" fillId="2" borderId="0" xfId="0" applyFont="1" applyFill="1" applyAlignment="1">
      <alignment horizontal="right" vertical="top" wrapText="1"/>
    </xf>
    <xf numFmtId="0" fontId="12" fillId="2" borderId="0" xfId="0" quotePrefix="1" applyFont="1" applyFill="1" applyAlignment="1">
      <alignment horizontal="right" vertical="top" wrapText="1"/>
    </xf>
  </cellXfs>
  <cellStyles count="2">
    <cellStyle name="Обычный" xfId="0" builtinId="0"/>
    <cellStyle name="Обычный 4" xfId="1" xr:uid="{6E036405-C3CE-4F82-9D11-E7C46EAF08E3}"/>
  </cellStyles>
  <dxfs count="1">
    <dxf>
      <fill>
        <patternFill patternType="solid">
          <fgColor rgb="FFD9E1F2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8EDF-0409-40BD-835F-E71D34FBB4FF}">
  <sheetPr filterMode="1">
    <pageSetUpPr fitToPage="1"/>
  </sheetPr>
  <dimension ref="A1:AP362"/>
  <sheetViews>
    <sheetView tabSelected="1" view="pageBreakPreview" topLeftCell="A193" zoomScaleNormal="100" zoomScaleSheetLayoutView="100" workbookViewId="0">
      <selection activeCell="N193" sqref="N1:N1048576"/>
    </sheetView>
  </sheetViews>
  <sheetFormatPr defaultRowHeight="12.75" x14ac:dyDescent="0.2"/>
  <cols>
    <col min="1" max="1" width="5.5703125" customWidth="1"/>
    <col min="2" max="2" width="11.5703125" customWidth="1"/>
    <col min="3" max="3" width="40.5703125" customWidth="1"/>
    <col min="4" max="4" width="11.5703125" customWidth="1"/>
    <col min="5" max="5" width="7.7109375" bestFit="1" customWidth="1"/>
    <col min="6" max="6" width="8.5703125" bestFit="1" customWidth="1"/>
    <col min="7" max="7" width="8.42578125" bestFit="1" customWidth="1"/>
    <col min="9" max="9" width="9.85546875" bestFit="1" customWidth="1"/>
    <col min="10" max="10" width="9.42578125" bestFit="1" customWidth="1"/>
    <col min="11" max="11" width="10.7109375" bestFit="1" customWidth="1"/>
    <col min="12" max="13" width="13.85546875" customWidth="1"/>
    <col min="14" max="14" width="13.85546875" style="81" customWidth="1"/>
    <col min="15" max="41" width="0" hidden="1" customWidth="1"/>
    <col min="42" max="42" width="127.28515625" hidden="1" customWidth="1"/>
    <col min="43" max="47" width="0" hidden="1" customWidth="1"/>
  </cols>
  <sheetData>
    <row r="1" spans="1:42" x14ac:dyDescent="0.2">
      <c r="A1" s="15" t="str">
        <f>Source!B1</f>
        <v>Smeta.RU  (495) 974-1589</v>
      </c>
    </row>
    <row r="2" spans="1:42" ht="14.25" x14ac:dyDescent="0.2">
      <c r="A2" s="48"/>
      <c r="B2" s="48"/>
      <c r="C2" s="48"/>
      <c r="D2" s="48"/>
      <c r="E2" s="48"/>
      <c r="F2" s="48"/>
      <c r="G2" s="48"/>
      <c r="H2" s="48"/>
      <c r="I2" s="48"/>
      <c r="J2" s="49" t="s">
        <v>496</v>
      </c>
      <c r="K2" s="49"/>
    </row>
    <row r="3" spans="1:42" ht="16.5" x14ac:dyDescent="0.25">
      <c r="A3" s="50"/>
      <c r="B3" s="51" t="s">
        <v>494</v>
      </c>
      <c r="C3" s="51"/>
      <c r="D3" s="51"/>
      <c r="E3" s="51"/>
      <c r="F3" s="52"/>
      <c r="G3" s="51" t="s">
        <v>495</v>
      </c>
      <c r="H3" s="51"/>
      <c r="I3" s="51"/>
      <c r="J3" s="51"/>
      <c r="K3" s="51"/>
    </row>
    <row r="4" spans="1:42" ht="14.25" x14ac:dyDescent="0.2">
      <c r="A4" s="52"/>
      <c r="B4" s="53"/>
      <c r="C4" s="53"/>
      <c r="D4" s="53"/>
      <c r="E4" s="53"/>
      <c r="F4" s="52"/>
      <c r="G4" s="53"/>
      <c r="H4" s="53"/>
      <c r="I4" s="53"/>
      <c r="J4" s="53"/>
      <c r="K4" s="53"/>
    </row>
    <row r="5" spans="1:42" ht="14.25" x14ac:dyDescent="0.2">
      <c r="A5" s="52"/>
      <c r="B5" s="52"/>
      <c r="C5" s="54"/>
      <c r="D5" s="54"/>
      <c r="E5" s="54"/>
      <c r="F5" s="52"/>
      <c r="G5" s="54"/>
      <c r="H5" s="54"/>
      <c r="I5" s="54"/>
      <c r="J5" s="54"/>
      <c r="K5" s="54"/>
    </row>
    <row r="6" spans="1:42" ht="14.25" x14ac:dyDescent="0.2">
      <c r="A6" s="54"/>
      <c r="B6" s="53" t="str">
        <f>CONCATENATE("______________________ ", IF(Source!AL12&lt;&gt;"", Source!AL12, ""))</f>
        <v xml:space="preserve">______________________ </v>
      </c>
      <c r="C6" s="53"/>
      <c r="D6" s="53"/>
      <c r="E6" s="53"/>
      <c r="F6" s="52"/>
      <c r="G6" s="53" t="str">
        <f>CONCATENATE("______________________ ", IF(Source!AH12&lt;&gt;"", Source!AH12, ""))</f>
        <v xml:space="preserve">______________________ </v>
      </c>
      <c r="H6" s="53"/>
      <c r="I6" s="53"/>
      <c r="J6" s="53"/>
      <c r="K6" s="53"/>
    </row>
    <row r="7" spans="1:42" ht="14.25" x14ac:dyDescent="0.2">
      <c r="A7" s="55"/>
      <c r="B7" s="56" t="s">
        <v>497</v>
      </c>
      <c r="C7" s="56"/>
      <c r="D7" s="56"/>
      <c r="E7" s="56"/>
      <c r="F7" s="52"/>
      <c r="G7" s="56" t="s">
        <v>497</v>
      </c>
      <c r="H7" s="56"/>
      <c r="I7" s="56"/>
      <c r="J7" s="56"/>
      <c r="K7" s="56"/>
    </row>
    <row r="8" spans="1:42" x14ac:dyDescent="0.2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</row>
    <row r="9" spans="1:42" ht="14.25" x14ac:dyDescent="0.2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</row>
    <row r="10" spans="1:42" ht="47.25" x14ac:dyDescent="0.25">
      <c r="A10" s="58" t="s">
        <v>547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AP10" s="17" t="s">
        <v>520</v>
      </c>
    </row>
    <row r="11" spans="1:42" x14ac:dyDescent="0.2">
      <c r="A11" s="59" t="s">
        <v>498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</row>
    <row r="12" spans="1:42" ht="14.25" x14ac:dyDescent="0.2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</row>
    <row r="13" spans="1:42" ht="15.75" x14ac:dyDescent="0.25">
      <c r="A13" s="58" t="str">
        <f>CONCATENATE( "ЛОКАЛЬНАЯ СМЕТА № ",IF(Source!F12&lt;&gt;"Новый объект", Source!F12, ""))</f>
        <v>ЛОКАЛЬНАЯ СМЕТА № 02-01-12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</row>
    <row r="14" spans="1:42" ht="14.25" x14ac:dyDescent="0.2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</row>
    <row r="15" spans="1:42" ht="18" x14ac:dyDescent="0.25">
      <c r="A15" s="61" t="str">
        <f>Source!G20</f>
        <v>Система кабельного телевидения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</row>
    <row r="16" spans="1:42" x14ac:dyDescent="0.2">
      <c r="A16" s="62" t="s">
        <v>499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</row>
    <row r="17" spans="1:42" ht="14.25" x14ac:dyDescent="0.2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</row>
    <row r="18" spans="1:42" ht="14.25" x14ac:dyDescent="0.2">
      <c r="A18" s="64" t="str">
        <f>CONCATENATE( "Основание: чертежи № ", Source!J12)</f>
        <v>Основание: чертежи № 2024-00375-01-0-ИОС5.5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</row>
    <row r="19" spans="1:42" ht="14.25" x14ac:dyDescent="0.2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</row>
    <row r="20" spans="1:42" ht="71.25" x14ac:dyDescent="0.2">
      <c r="A20" s="52"/>
      <c r="B20" s="52"/>
      <c r="C20" s="52"/>
      <c r="D20" s="52"/>
      <c r="E20" s="52"/>
      <c r="F20" s="52"/>
      <c r="G20" s="52"/>
      <c r="H20" s="52"/>
      <c r="I20" s="66" t="s">
        <v>500</v>
      </c>
      <c r="J20" s="66" t="s">
        <v>501</v>
      </c>
      <c r="K20" s="52"/>
    </row>
    <row r="21" spans="1:42" ht="15" x14ac:dyDescent="0.25">
      <c r="A21" s="52"/>
      <c r="B21" s="52"/>
      <c r="C21" s="52"/>
      <c r="D21" s="52"/>
      <c r="E21" s="67" t="s">
        <v>502</v>
      </c>
      <c r="F21" s="67"/>
      <c r="G21" s="67"/>
      <c r="H21" s="67"/>
      <c r="I21" s="68">
        <f>I22+I23+I24+I25</f>
        <v>99.050000000000011</v>
      </c>
      <c r="J21" s="68">
        <f>J22+J23+J24+J25</f>
        <v>928.24</v>
      </c>
      <c r="K21" s="69" t="s">
        <v>543</v>
      </c>
    </row>
    <row r="22" spans="1:42" ht="14.25" x14ac:dyDescent="0.2">
      <c r="A22" s="52"/>
      <c r="B22" s="52"/>
      <c r="C22" s="52"/>
      <c r="D22" s="52"/>
      <c r="E22" s="53" t="s">
        <v>503</v>
      </c>
      <c r="F22" s="53"/>
      <c r="G22" s="53"/>
      <c r="H22" s="53"/>
      <c r="I22" s="70">
        <f>ROUND((Source!F332)/1000, 2)</f>
        <v>3.09</v>
      </c>
      <c r="J22" s="70">
        <f>ROUND((Source!P332)/1000, 2)</f>
        <v>173.99</v>
      </c>
      <c r="K22" s="52" t="s">
        <v>543</v>
      </c>
    </row>
    <row r="23" spans="1:42" ht="14.25" x14ac:dyDescent="0.2">
      <c r="A23" s="52"/>
      <c r="B23" s="52"/>
      <c r="C23" s="52"/>
      <c r="D23" s="52"/>
      <c r="E23" s="53" t="s">
        <v>504</v>
      </c>
      <c r="F23" s="53"/>
      <c r="G23" s="53"/>
      <c r="H23" s="53"/>
      <c r="I23" s="70">
        <f>ROUND((Source!F333)/1000, 2)</f>
        <v>87.48</v>
      </c>
      <c r="J23" s="70">
        <f>ROUND((Source!P333)/1000, 2)</f>
        <v>670.79</v>
      </c>
      <c r="K23" s="52" t="s">
        <v>543</v>
      </c>
    </row>
    <row r="24" spans="1:42" ht="14.25" x14ac:dyDescent="0.2">
      <c r="A24" s="52"/>
      <c r="B24" s="52"/>
      <c r="C24" s="52"/>
      <c r="D24" s="52"/>
      <c r="E24" s="53" t="s">
        <v>505</v>
      </c>
      <c r="F24" s="53"/>
      <c r="G24" s="53"/>
      <c r="H24" s="53"/>
      <c r="I24" s="70">
        <f>ROUND((Source!F324)/1000, 2)</f>
        <v>8.48</v>
      </c>
      <c r="J24" s="70">
        <f>ROUND((Source!P324)/1000, 2)</f>
        <v>83.46</v>
      </c>
      <c r="K24" s="52" t="s">
        <v>543</v>
      </c>
    </row>
    <row r="25" spans="1:42" ht="14.25" x14ac:dyDescent="0.2">
      <c r="A25" s="52"/>
      <c r="B25" s="52"/>
      <c r="C25" s="52"/>
      <c r="D25" s="52"/>
      <c r="E25" s="53" t="s">
        <v>506</v>
      </c>
      <c r="F25" s="53"/>
      <c r="G25" s="53"/>
      <c r="H25" s="53"/>
      <c r="I25" s="70">
        <f>ROUND((Source!F334+Source!F335)/1000, 2)</f>
        <v>0</v>
      </c>
      <c r="J25" s="70">
        <f>ROUND((Source!P334+Source!P335)/1000, 2)</f>
        <v>0</v>
      </c>
      <c r="K25" s="52" t="s">
        <v>543</v>
      </c>
    </row>
    <row r="26" spans="1:42" ht="14.25" x14ac:dyDescent="0.2">
      <c r="A26" s="52"/>
      <c r="B26" s="52"/>
      <c r="C26" s="52"/>
      <c r="D26" s="52"/>
      <c r="E26" s="53" t="s">
        <v>507</v>
      </c>
      <c r="F26" s="53"/>
      <c r="G26" s="53"/>
      <c r="H26" s="53"/>
      <c r="I26" s="70">
        <f>(Source!F330+ Source!F329)/1000</f>
        <v>4.3801499999999995</v>
      </c>
      <c r="J26" s="70">
        <f>((Source!P330 + Source!P329)/1000)</f>
        <v>246.82146</v>
      </c>
      <c r="K26" s="52" t="s">
        <v>543</v>
      </c>
    </row>
    <row r="27" spans="1:42" ht="14.25" x14ac:dyDescent="0.2">
      <c r="A27" s="52"/>
      <c r="B27" s="52"/>
      <c r="C27" s="52"/>
      <c r="D27" s="52"/>
      <c r="E27" s="53" t="s">
        <v>508</v>
      </c>
      <c r="F27" s="53"/>
      <c r="G27" s="53"/>
      <c r="H27" s="53"/>
      <c r="I27" s="70">
        <f>Source!F337</f>
        <v>323.30434151999998</v>
      </c>
      <c r="J27" s="70"/>
      <c r="K27" s="52" t="s">
        <v>280</v>
      </c>
    </row>
    <row r="28" spans="1:42" ht="14.25" x14ac:dyDescent="0.2">
      <c r="A28" s="52"/>
      <c r="B28" s="52"/>
      <c r="C28" s="52"/>
      <c r="D28" s="52"/>
      <c r="E28" s="53" t="s">
        <v>509</v>
      </c>
      <c r="F28" s="53"/>
      <c r="G28" s="53"/>
      <c r="H28" s="53"/>
      <c r="I28" s="70"/>
      <c r="J28" s="70"/>
      <c r="K28" s="52"/>
    </row>
    <row r="29" spans="1:42" ht="14.25" x14ac:dyDescent="0.2">
      <c r="A29" s="52"/>
      <c r="B29" s="52"/>
      <c r="C29" s="52"/>
      <c r="D29" s="52"/>
      <c r="E29" s="71" t="s">
        <v>114</v>
      </c>
      <c r="F29" s="71"/>
      <c r="G29" s="71"/>
      <c r="H29" s="71"/>
      <c r="I29" s="70">
        <f>SUM(Y1:Y355)/1000</f>
        <v>0</v>
      </c>
      <c r="J29" s="70">
        <f>SUM(Z1:Z355)/1000</f>
        <v>0</v>
      </c>
      <c r="K29" s="52" t="s">
        <v>543</v>
      </c>
    </row>
    <row r="30" spans="1:42" ht="14.25" x14ac:dyDescent="0.2">
      <c r="A30" s="52"/>
      <c r="B30" s="52"/>
      <c r="C30" s="52"/>
      <c r="D30" s="52"/>
      <c r="E30" s="52"/>
      <c r="F30" s="54"/>
      <c r="G30" s="54"/>
      <c r="H30" s="54"/>
      <c r="I30" s="70"/>
      <c r="J30" s="70"/>
      <c r="K30" s="52"/>
    </row>
    <row r="31" spans="1:42" ht="14.25" x14ac:dyDescent="0.2">
      <c r="A31" s="52" t="s">
        <v>521</v>
      </c>
      <c r="B31" s="52"/>
      <c r="C31" s="52"/>
      <c r="D31" s="52"/>
      <c r="E31" s="52"/>
      <c r="F31" s="54"/>
      <c r="G31" s="54"/>
      <c r="H31" s="54"/>
      <c r="I31" s="70"/>
      <c r="J31" s="70"/>
      <c r="K31" s="52"/>
    </row>
    <row r="32" spans="1:42" ht="28.5" x14ac:dyDescent="0.2">
      <c r="A32" s="64" t="s">
        <v>522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AP32" s="18" t="s">
        <v>522</v>
      </c>
    </row>
    <row r="33" spans="1:29" ht="114" x14ac:dyDescent="0.2">
      <c r="A33" s="72" t="s">
        <v>510</v>
      </c>
      <c r="B33" s="72" t="s">
        <v>511</v>
      </c>
      <c r="C33" s="72" t="s">
        <v>512</v>
      </c>
      <c r="D33" s="72" t="s">
        <v>513</v>
      </c>
      <c r="E33" s="72" t="s">
        <v>514</v>
      </c>
      <c r="F33" s="72" t="s">
        <v>515</v>
      </c>
      <c r="G33" s="73" t="s">
        <v>516</v>
      </c>
      <c r="H33" s="73" t="s">
        <v>517</v>
      </c>
      <c r="I33" s="72" t="s">
        <v>523</v>
      </c>
      <c r="J33" s="74" t="s">
        <v>518</v>
      </c>
      <c r="K33" s="72" t="s">
        <v>519</v>
      </c>
    </row>
    <row r="34" spans="1:29" ht="14.25" x14ac:dyDescent="0.2">
      <c r="A34" s="72">
        <v>1</v>
      </c>
      <c r="B34" s="72">
        <v>2</v>
      </c>
      <c r="C34" s="72">
        <v>3</v>
      </c>
      <c r="D34" s="72">
        <v>4</v>
      </c>
      <c r="E34" s="72">
        <v>5</v>
      </c>
      <c r="F34" s="72">
        <v>6</v>
      </c>
      <c r="G34" s="72">
        <v>7</v>
      </c>
      <c r="H34" s="72">
        <v>8</v>
      </c>
      <c r="I34" s="72">
        <v>9</v>
      </c>
      <c r="J34" s="72">
        <v>10</v>
      </c>
      <c r="K34" s="72">
        <v>11</v>
      </c>
    </row>
    <row r="35" spans="1:29" hidden="1" x14ac:dyDescent="0.2">
      <c r="N35"/>
    </row>
    <row r="36" spans="1:29" ht="16.5" hidden="1" x14ac:dyDescent="0.2">
      <c r="A36" s="46" t="str">
        <f>CONCATENATE("Локальная смета: ",IF(Source!G20&lt;&gt;"Новая локальная смета", Source!G20, ""))</f>
        <v>Локальная смета: Система кабельного телевидения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N36"/>
    </row>
    <row r="37" spans="1:29" hidden="1" x14ac:dyDescent="0.2">
      <c r="N37"/>
    </row>
    <row r="38" spans="1:29" ht="16.5" hidden="1" x14ac:dyDescent="0.2">
      <c r="A38" s="46" t="str">
        <f>CONCATENATE("Раздел: ",IF(Source!G24&lt;&gt;"Новый раздел", Source!G24, ""))</f>
        <v>Раздел: Демонтаж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N38"/>
    </row>
    <row r="39" spans="1:29" ht="57" hidden="1" x14ac:dyDescent="0.2">
      <c r="A39" s="19">
        <v>1</v>
      </c>
      <c r="B39" s="19" t="str">
        <f>Source!F28</f>
        <v>4.10-134-4</v>
      </c>
      <c r="C39" s="19" t="s">
        <v>21</v>
      </c>
      <c r="D39" s="21" t="str">
        <f>Source!H28</f>
        <v>1 антенна</v>
      </c>
      <c r="E39" s="20">
        <f>Source!I28</f>
        <v>1</v>
      </c>
      <c r="F39" s="23"/>
      <c r="G39" s="22"/>
      <c r="H39" s="20"/>
      <c r="I39" s="23"/>
      <c r="J39" s="20"/>
      <c r="K39" s="23"/>
      <c r="N39"/>
      <c r="Q39">
        <f>Source!X28</f>
        <v>28.31</v>
      </c>
      <c r="R39">
        <f>Source!X29</f>
        <v>1595.27</v>
      </c>
      <c r="S39">
        <f>Source!Y28</f>
        <v>15.79</v>
      </c>
      <c r="T39">
        <f>Source!Y29</f>
        <v>889.99</v>
      </c>
      <c r="U39">
        <f>ROUND((175/100)*ROUND(Source!R28, 2), 2)</f>
        <v>0</v>
      </c>
      <c r="V39">
        <f>ROUND((0/100)*ROUND(Source!R29, 2), 2)</f>
        <v>0</v>
      </c>
      <c r="AC39">
        <v>0</v>
      </c>
    </row>
    <row r="40" spans="1:29" ht="14.25" hidden="1" x14ac:dyDescent="0.2">
      <c r="A40" s="19"/>
      <c r="B40" s="19"/>
      <c r="C40" s="19" t="s">
        <v>524</v>
      </c>
      <c r="D40" s="21"/>
      <c r="E40" s="20"/>
      <c r="F40" s="23">
        <f>Source!AO28</f>
        <v>76.150000000000006</v>
      </c>
      <c r="G40" s="22" t="s">
        <v>525</v>
      </c>
      <c r="H40" s="20">
        <f>Source!AV29</f>
        <v>1.087</v>
      </c>
      <c r="I40" s="23">
        <f>Source!S28</f>
        <v>29.8</v>
      </c>
      <c r="J40" s="20">
        <f>IF(Source!BA29&lt;&gt; 0, Source!BA29, 1)</f>
        <v>56.35</v>
      </c>
      <c r="K40" s="23">
        <f>Source!S29</f>
        <v>1679.23</v>
      </c>
      <c r="N40"/>
    </row>
    <row r="41" spans="1:29" ht="14.25" hidden="1" x14ac:dyDescent="0.2">
      <c r="A41" s="19"/>
      <c r="B41" s="19"/>
      <c r="C41" s="19" t="s">
        <v>526</v>
      </c>
      <c r="D41" s="21" t="s">
        <v>527</v>
      </c>
      <c r="E41" s="20">
        <f>Source!BZ29</f>
        <v>95</v>
      </c>
      <c r="F41" s="23"/>
      <c r="G41" s="22"/>
      <c r="H41" s="20"/>
      <c r="I41" s="23">
        <f>SUM(Q39:Q40)</f>
        <v>28.31</v>
      </c>
      <c r="J41" s="20">
        <f>Source!AT29</f>
        <v>95</v>
      </c>
      <c r="K41" s="23">
        <f>SUM(R39:R40)</f>
        <v>1595.27</v>
      </c>
      <c r="N41"/>
    </row>
    <row r="42" spans="1:29" ht="14.25" hidden="1" x14ac:dyDescent="0.2">
      <c r="A42" s="19"/>
      <c r="B42" s="19"/>
      <c r="C42" s="19" t="s">
        <v>528</v>
      </c>
      <c r="D42" s="21" t="s">
        <v>527</v>
      </c>
      <c r="E42" s="20">
        <f>Source!CA29</f>
        <v>53</v>
      </c>
      <c r="F42" s="23"/>
      <c r="G42" s="22"/>
      <c r="H42" s="20"/>
      <c r="I42" s="23">
        <f>SUM(S39:S41)</f>
        <v>15.79</v>
      </c>
      <c r="J42" s="20">
        <f>Source!AU29</f>
        <v>53</v>
      </c>
      <c r="K42" s="23">
        <f>SUM(T39:T41)</f>
        <v>889.99</v>
      </c>
      <c r="N42"/>
    </row>
    <row r="43" spans="1:29" ht="14.25" hidden="1" x14ac:dyDescent="0.2">
      <c r="A43" s="24"/>
      <c r="B43" s="24"/>
      <c r="C43" s="24" t="s">
        <v>529</v>
      </c>
      <c r="D43" s="25" t="s">
        <v>530</v>
      </c>
      <c r="E43" s="26">
        <f>Source!AQ28</f>
        <v>5.37</v>
      </c>
      <c r="F43" s="27"/>
      <c r="G43" s="28" t="s">
        <v>525</v>
      </c>
      <c r="H43" s="26">
        <f>Source!AV29</f>
        <v>1.087</v>
      </c>
      <c r="I43" s="27">
        <f>Source!U28</f>
        <v>2.1013883999999998</v>
      </c>
      <c r="J43" s="26"/>
      <c r="K43" s="27"/>
      <c r="N43"/>
    </row>
    <row r="44" spans="1:29" ht="15" hidden="1" x14ac:dyDescent="0.2">
      <c r="C44" s="29" t="s">
        <v>531</v>
      </c>
      <c r="H44" s="45">
        <f>I40+I41+I42+0-0-0</f>
        <v>73.900000000000006</v>
      </c>
      <c r="I44" s="45"/>
      <c r="J44" s="45">
        <f>K40+K41+K42+0-0-0</f>
        <v>4164.49</v>
      </c>
      <c r="K44" s="45"/>
      <c r="N44"/>
    </row>
    <row r="45" spans="1:29" ht="15" hidden="1" x14ac:dyDescent="0.2">
      <c r="C45" s="29" t="s">
        <v>532</v>
      </c>
      <c r="H45" s="43">
        <f>0+0</f>
        <v>0</v>
      </c>
      <c r="I45" s="43"/>
      <c r="J45" s="43">
        <f>0+0</f>
        <v>0</v>
      </c>
      <c r="K45" s="43"/>
      <c r="N45"/>
    </row>
    <row r="46" spans="1:29" ht="15" hidden="1" x14ac:dyDescent="0.2">
      <c r="C46" s="29" t="s">
        <v>533</v>
      </c>
      <c r="H46" s="43">
        <f>I40+I41+I42+0</f>
        <v>73.900000000000006</v>
      </c>
      <c r="I46" s="43"/>
      <c r="J46" s="43">
        <f>K40+K41+K42+0</f>
        <v>4164.49</v>
      </c>
      <c r="K46" s="43"/>
      <c r="N46"/>
      <c r="O46" s="30">
        <f>I40+I41+I42+0</f>
        <v>73.900000000000006</v>
      </c>
      <c r="P46" s="30">
        <f>K40+K41+K42+0</f>
        <v>4164.49</v>
      </c>
    </row>
    <row r="47" spans="1:29" hidden="1" x14ac:dyDescent="0.2">
      <c r="N47"/>
    </row>
    <row r="48" spans="1:29" ht="71.25" hidden="1" x14ac:dyDescent="0.2">
      <c r="A48" s="19">
        <v>2</v>
      </c>
      <c r="B48" s="19" t="str">
        <f>Source!F30</f>
        <v>4.10-136-1</v>
      </c>
      <c r="C48" s="19" t="s">
        <v>32</v>
      </c>
      <c r="D48" s="21" t="str">
        <f>Source!H30</f>
        <v>1  ШТ.</v>
      </c>
      <c r="E48" s="20">
        <f>Source!I30</f>
        <v>1</v>
      </c>
      <c r="F48" s="23"/>
      <c r="G48" s="22"/>
      <c r="H48" s="20"/>
      <c r="I48" s="23"/>
      <c r="J48" s="20"/>
      <c r="K48" s="23"/>
      <c r="N48"/>
      <c r="Q48">
        <f>Source!X30</f>
        <v>4.09</v>
      </c>
      <c r="R48">
        <f>Source!X31</f>
        <v>230.73</v>
      </c>
      <c r="S48">
        <f>Source!Y30</f>
        <v>2.2799999999999998</v>
      </c>
      <c r="T48">
        <f>Source!Y31</f>
        <v>128.72</v>
      </c>
      <c r="U48">
        <f>ROUND((175/100)*ROUND(Source!R30, 2), 2)</f>
        <v>0</v>
      </c>
      <c r="V48">
        <f>ROUND((0/100)*ROUND(Source!R31, 2), 2)</f>
        <v>0</v>
      </c>
      <c r="AC48">
        <v>0</v>
      </c>
    </row>
    <row r="49" spans="1:29" ht="14.25" hidden="1" x14ac:dyDescent="0.2">
      <c r="A49" s="19"/>
      <c r="B49" s="19"/>
      <c r="C49" s="19" t="s">
        <v>524</v>
      </c>
      <c r="D49" s="21"/>
      <c r="E49" s="20"/>
      <c r="F49" s="23">
        <f>Source!AO30</f>
        <v>11.02</v>
      </c>
      <c r="G49" s="22" t="s">
        <v>525</v>
      </c>
      <c r="H49" s="20">
        <f>Source!AV31</f>
        <v>1.087</v>
      </c>
      <c r="I49" s="23">
        <f>Source!S30</f>
        <v>4.3099999999999996</v>
      </c>
      <c r="J49" s="20">
        <f>IF(Source!BA31&lt;&gt; 0, Source!BA31, 1)</f>
        <v>56.35</v>
      </c>
      <c r="K49" s="23">
        <f>Source!S31</f>
        <v>242.87</v>
      </c>
      <c r="N49"/>
    </row>
    <row r="50" spans="1:29" ht="14.25" hidden="1" x14ac:dyDescent="0.2">
      <c r="A50" s="19"/>
      <c r="B50" s="19"/>
      <c r="C50" s="19" t="s">
        <v>526</v>
      </c>
      <c r="D50" s="21" t="s">
        <v>527</v>
      </c>
      <c r="E50" s="20">
        <f>Source!BZ31</f>
        <v>95</v>
      </c>
      <c r="F50" s="23"/>
      <c r="G50" s="22"/>
      <c r="H50" s="20"/>
      <c r="I50" s="23">
        <f>SUM(Q48:Q49)</f>
        <v>4.09</v>
      </c>
      <c r="J50" s="20">
        <f>Source!AT31</f>
        <v>95</v>
      </c>
      <c r="K50" s="23">
        <f>SUM(R48:R49)</f>
        <v>230.73</v>
      </c>
      <c r="N50"/>
    </row>
    <row r="51" spans="1:29" ht="14.25" hidden="1" x14ac:dyDescent="0.2">
      <c r="A51" s="19"/>
      <c r="B51" s="19"/>
      <c r="C51" s="19" t="s">
        <v>528</v>
      </c>
      <c r="D51" s="21" t="s">
        <v>527</v>
      </c>
      <c r="E51" s="20">
        <f>Source!CA31</f>
        <v>53</v>
      </c>
      <c r="F51" s="23"/>
      <c r="G51" s="22"/>
      <c r="H51" s="20"/>
      <c r="I51" s="23">
        <f>SUM(S48:S50)</f>
        <v>2.2799999999999998</v>
      </c>
      <c r="J51" s="20">
        <f>Source!AU31</f>
        <v>53</v>
      </c>
      <c r="K51" s="23">
        <f>SUM(T48:T50)</f>
        <v>128.72</v>
      </c>
      <c r="N51"/>
    </row>
    <row r="52" spans="1:29" ht="14.25" hidden="1" x14ac:dyDescent="0.2">
      <c r="A52" s="24"/>
      <c r="B52" s="24"/>
      <c r="C52" s="24" t="s">
        <v>529</v>
      </c>
      <c r="D52" s="25" t="s">
        <v>530</v>
      </c>
      <c r="E52" s="26">
        <f>Source!AQ30</f>
        <v>0.8</v>
      </c>
      <c r="F52" s="27"/>
      <c r="G52" s="28" t="s">
        <v>525</v>
      </c>
      <c r="H52" s="26">
        <f>Source!AV31</f>
        <v>1.087</v>
      </c>
      <c r="I52" s="27">
        <f>Source!U30</f>
        <v>0.31305599999999995</v>
      </c>
      <c r="J52" s="26"/>
      <c r="K52" s="27"/>
      <c r="N52"/>
    </row>
    <row r="53" spans="1:29" ht="15" hidden="1" x14ac:dyDescent="0.2">
      <c r="C53" s="29" t="s">
        <v>531</v>
      </c>
      <c r="H53" s="45">
        <f>I49+I50+I51+0-0-0</f>
        <v>10.679999999999998</v>
      </c>
      <c r="I53" s="45"/>
      <c r="J53" s="45">
        <f>K49+K50+K51+0-0-0</f>
        <v>602.32000000000005</v>
      </c>
      <c r="K53" s="45"/>
      <c r="N53"/>
    </row>
    <row r="54" spans="1:29" ht="15" hidden="1" x14ac:dyDescent="0.2">
      <c r="C54" s="29" t="s">
        <v>532</v>
      </c>
      <c r="H54" s="43">
        <f>0+0</f>
        <v>0</v>
      </c>
      <c r="I54" s="43"/>
      <c r="J54" s="43">
        <f>0+0</f>
        <v>0</v>
      </c>
      <c r="K54" s="43"/>
      <c r="N54"/>
    </row>
    <row r="55" spans="1:29" ht="15" hidden="1" x14ac:dyDescent="0.2">
      <c r="C55" s="29" t="s">
        <v>533</v>
      </c>
      <c r="H55" s="43">
        <f>I49+I50+I51+0</f>
        <v>10.679999999999998</v>
      </c>
      <c r="I55" s="43"/>
      <c r="J55" s="43">
        <f>K49+K50+K51+0</f>
        <v>602.32000000000005</v>
      </c>
      <c r="K55" s="43"/>
      <c r="N55"/>
      <c r="O55" s="30">
        <f>I49+I50+I51+0</f>
        <v>10.679999999999998</v>
      </c>
      <c r="P55" s="30">
        <f>K49+K50+K51+0</f>
        <v>602.32000000000005</v>
      </c>
    </row>
    <row r="56" spans="1:29" hidden="1" x14ac:dyDescent="0.2">
      <c r="N56"/>
    </row>
    <row r="57" spans="1:29" ht="71.25" hidden="1" x14ac:dyDescent="0.2">
      <c r="A57" s="19">
        <v>3</v>
      </c>
      <c r="B57" s="19" t="str">
        <f>Source!F32</f>
        <v>4.8-240-4</v>
      </c>
      <c r="C57" s="19" t="s">
        <v>37</v>
      </c>
      <c r="D57" s="21" t="str">
        <f>Source!H32</f>
        <v>1  ШТ.</v>
      </c>
      <c r="E57" s="20">
        <f>Source!I32</f>
        <v>1</v>
      </c>
      <c r="F57" s="23"/>
      <c r="G57" s="22"/>
      <c r="H57" s="20"/>
      <c r="I57" s="23"/>
      <c r="J57" s="20"/>
      <c r="K57" s="23"/>
      <c r="N57"/>
      <c r="Q57">
        <f>Source!X32</f>
        <v>10.94</v>
      </c>
      <c r="R57">
        <f>Source!X33</f>
        <v>616.55999999999995</v>
      </c>
      <c r="S57">
        <f>Source!Y32</f>
        <v>5.75</v>
      </c>
      <c r="T57">
        <f>Source!Y33</f>
        <v>324.17</v>
      </c>
      <c r="U57">
        <f>ROUND((175/100)*ROUND(Source!R32, 2), 2)</f>
        <v>2.08</v>
      </c>
      <c r="V57">
        <f>ROUND((0/100)*ROUND(Source!R33, 2), 2)</f>
        <v>0</v>
      </c>
      <c r="AC57">
        <v>0</v>
      </c>
    </row>
    <row r="58" spans="1:29" ht="14.25" hidden="1" x14ac:dyDescent="0.2">
      <c r="A58" s="19"/>
      <c r="B58" s="19"/>
      <c r="C58" s="19" t="s">
        <v>524</v>
      </c>
      <c r="D58" s="21"/>
      <c r="E58" s="20"/>
      <c r="F58" s="23">
        <f>Source!AO32</f>
        <v>26.76</v>
      </c>
      <c r="G58" s="22" t="s">
        <v>525</v>
      </c>
      <c r="H58" s="20">
        <f>Source!AV33</f>
        <v>1.0469999999999999</v>
      </c>
      <c r="I58" s="23">
        <f>Source!S32</f>
        <v>10.09</v>
      </c>
      <c r="J58" s="20">
        <f>IF(Source!BA33&lt;&gt; 0, Source!BA33, 1)</f>
        <v>56.35</v>
      </c>
      <c r="K58" s="23">
        <f>Source!S33</f>
        <v>568.57000000000005</v>
      </c>
      <c r="N58"/>
    </row>
    <row r="59" spans="1:29" ht="14.25" hidden="1" x14ac:dyDescent="0.2">
      <c r="A59" s="19"/>
      <c r="B59" s="19"/>
      <c r="C59" s="19" t="s">
        <v>534</v>
      </c>
      <c r="D59" s="21"/>
      <c r="E59" s="20"/>
      <c r="F59" s="23">
        <f>Source!AM32</f>
        <v>17.420000000000002</v>
      </c>
      <c r="G59" s="22" t="s">
        <v>525</v>
      </c>
      <c r="H59" s="20">
        <f>Source!AV33</f>
        <v>1.0469999999999999</v>
      </c>
      <c r="I59" s="23">
        <f>Source!Q32</f>
        <v>6.57</v>
      </c>
      <c r="J59" s="20">
        <f>IF(Source!BB33&lt;&gt; 0, Source!BB33, 1)</f>
        <v>19.89</v>
      </c>
      <c r="K59" s="23">
        <f>Source!Q33</f>
        <v>130.68</v>
      </c>
      <c r="N59"/>
    </row>
    <row r="60" spans="1:29" ht="14.25" hidden="1" x14ac:dyDescent="0.2">
      <c r="A60" s="19"/>
      <c r="B60" s="19"/>
      <c r="C60" s="19" t="s">
        <v>535</v>
      </c>
      <c r="D60" s="21"/>
      <c r="E60" s="20"/>
      <c r="F60" s="23">
        <f>Source!AN32</f>
        <v>3.16</v>
      </c>
      <c r="G60" s="22" t="s">
        <v>525</v>
      </c>
      <c r="H60" s="20">
        <f>Source!AV33</f>
        <v>1.0469999999999999</v>
      </c>
      <c r="I60" s="31">
        <f>Source!R32</f>
        <v>1.19</v>
      </c>
      <c r="J60" s="20">
        <f>IF(Source!BS33&lt;&gt; 0, Source!BS33, 1)</f>
        <v>56.35</v>
      </c>
      <c r="K60" s="31">
        <f>Source!R33</f>
        <v>67.06</v>
      </c>
      <c r="N60"/>
    </row>
    <row r="61" spans="1:29" ht="14.25" hidden="1" x14ac:dyDescent="0.2">
      <c r="A61" s="19"/>
      <c r="B61" s="19"/>
      <c r="C61" s="19" t="s">
        <v>526</v>
      </c>
      <c r="D61" s="21" t="s">
        <v>527</v>
      </c>
      <c r="E61" s="20">
        <f>Source!BZ33</f>
        <v>97</v>
      </c>
      <c r="F61" s="23"/>
      <c r="G61" s="22"/>
      <c r="H61" s="20"/>
      <c r="I61" s="23">
        <f>SUM(Q57:Q60)</f>
        <v>10.94</v>
      </c>
      <c r="J61" s="20">
        <f>Source!AT33</f>
        <v>97</v>
      </c>
      <c r="K61" s="23">
        <f>SUM(R57:R60)</f>
        <v>616.55999999999995</v>
      </c>
      <c r="N61"/>
    </row>
    <row r="62" spans="1:29" ht="14.25" hidden="1" x14ac:dyDescent="0.2">
      <c r="A62" s="19"/>
      <c r="B62" s="19"/>
      <c r="C62" s="19" t="s">
        <v>528</v>
      </c>
      <c r="D62" s="21" t="s">
        <v>527</v>
      </c>
      <c r="E62" s="20">
        <f>Source!CA33</f>
        <v>51</v>
      </c>
      <c r="F62" s="23"/>
      <c r="G62" s="22"/>
      <c r="H62" s="20"/>
      <c r="I62" s="23">
        <f>SUM(S57:S61)</f>
        <v>5.75</v>
      </c>
      <c r="J62" s="20">
        <f>Source!AU33</f>
        <v>51</v>
      </c>
      <c r="K62" s="23">
        <f>SUM(T57:T61)</f>
        <v>324.17</v>
      </c>
      <c r="N62"/>
    </row>
    <row r="63" spans="1:29" ht="14.25" hidden="1" x14ac:dyDescent="0.2">
      <c r="A63" s="24"/>
      <c r="B63" s="24"/>
      <c r="C63" s="24" t="s">
        <v>529</v>
      </c>
      <c r="D63" s="25" t="s">
        <v>530</v>
      </c>
      <c r="E63" s="26">
        <f>Source!AQ32</f>
        <v>2.06</v>
      </c>
      <c r="F63" s="27"/>
      <c r="G63" s="28" t="s">
        <v>525</v>
      </c>
      <c r="H63" s="26">
        <f>Source!AV33</f>
        <v>1.0469999999999999</v>
      </c>
      <c r="I63" s="27">
        <f>Source!U32</f>
        <v>0.7764551999999999</v>
      </c>
      <c r="J63" s="26"/>
      <c r="K63" s="27"/>
      <c r="N63"/>
    </row>
    <row r="64" spans="1:29" ht="15" hidden="1" x14ac:dyDescent="0.2">
      <c r="C64" s="29" t="s">
        <v>531</v>
      </c>
      <c r="H64" s="45">
        <f>I58+I59+I61+I62+0-0-0</f>
        <v>33.35</v>
      </c>
      <c r="I64" s="45"/>
      <c r="J64" s="45">
        <f>K58+K59+K61+K62+0-0-0</f>
        <v>1639.98</v>
      </c>
      <c r="K64" s="45"/>
      <c r="N64"/>
    </row>
    <row r="65" spans="1:29" ht="15" hidden="1" x14ac:dyDescent="0.2">
      <c r="C65" s="29" t="s">
        <v>532</v>
      </c>
      <c r="H65" s="43">
        <f>0+0</f>
        <v>0</v>
      </c>
      <c r="I65" s="43"/>
      <c r="J65" s="43">
        <f>0+0</f>
        <v>0</v>
      </c>
      <c r="K65" s="43"/>
      <c r="N65"/>
    </row>
    <row r="66" spans="1:29" ht="15" hidden="1" x14ac:dyDescent="0.2">
      <c r="C66" s="29" t="s">
        <v>533</v>
      </c>
      <c r="H66" s="43">
        <f>I58+I59+I61+I62+0</f>
        <v>33.35</v>
      </c>
      <c r="I66" s="43"/>
      <c r="J66" s="43">
        <f>K58+K59+K61+K62+0</f>
        <v>1639.98</v>
      </c>
      <c r="K66" s="43"/>
      <c r="N66"/>
      <c r="O66" s="30">
        <f>I58+I59+I61+I62+0</f>
        <v>33.35</v>
      </c>
      <c r="P66" s="30">
        <f>K58+K59+K61+K62+0</f>
        <v>1639.98</v>
      </c>
    </row>
    <row r="67" spans="1:29" hidden="1" x14ac:dyDescent="0.2">
      <c r="N67"/>
    </row>
    <row r="68" spans="1:29" ht="57" hidden="1" x14ac:dyDescent="0.2">
      <c r="A68" s="19">
        <v>4</v>
      </c>
      <c r="B68" s="19" t="str">
        <f>Source!F34</f>
        <v>4.10-136-3</v>
      </c>
      <c r="C68" s="19" t="s">
        <v>43</v>
      </c>
      <c r="D68" s="21" t="str">
        <f>Source!H34</f>
        <v>1  ШТ.</v>
      </c>
      <c r="E68" s="20">
        <f>Source!I34</f>
        <v>1</v>
      </c>
      <c r="F68" s="23"/>
      <c r="G68" s="22"/>
      <c r="H68" s="20"/>
      <c r="I68" s="23"/>
      <c r="J68" s="20"/>
      <c r="K68" s="23"/>
      <c r="N68"/>
      <c r="Q68">
        <f>Source!X34</f>
        <v>9.59</v>
      </c>
      <c r="R68">
        <f>Source!X35</f>
        <v>540.14</v>
      </c>
      <c r="S68">
        <f>Source!Y34</f>
        <v>5.35</v>
      </c>
      <c r="T68">
        <f>Source!Y35</f>
        <v>301.33999999999997</v>
      </c>
      <c r="U68">
        <f>ROUND((175/100)*ROUND(Source!R34, 2), 2)</f>
        <v>0</v>
      </c>
      <c r="V68">
        <f>ROUND((0/100)*ROUND(Source!R35, 2), 2)</f>
        <v>0</v>
      </c>
      <c r="AC68">
        <v>0</v>
      </c>
    </row>
    <row r="69" spans="1:29" ht="14.25" hidden="1" x14ac:dyDescent="0.2">
      <c r="A69" s="19"/>
      <c r="B69" s="19"/>
      <c r="C69" s="19" t="s">
        <v>524</v>
      </c>
      <c r="D69" s="21"/>
      <c r="E69" s="20"/>
      <c r="F69" s="23">
        <f>Source!AO34</f>
        <v>25.78</v>
      </c>
      <c r="G69" s="22" t="s">
        <v>525</v>
      </c>
      <c r="H69" s="20">
        <f>Source!AV35</f>
        <v>1.087</v>
      </c>
      <c r="I69" s="23">
        <f>Source!S34</f>
        <v>10.09</v>
      </c>
      <c r="J69" s="20">
        <f>IF(Source!BA35&lt;&gt; 0, Source!BA35, 1)</f>
        <v>56.35</v>
      </c>
      <c r="K69" s="23">
        <f>Source!S35</f>
        <v>568.57000000000005</v>
      </c>
      <c r="N69"/>
    </row>
    <row r="70" spans="1:29" ht="14.25" hidden="1" x14ac:dyDescent="0.2">
      <c r="A70" s="19"/>
      <c r="B70" s="19"/>
      <c r="C70" s="19" t="s">
        <v>526</v>
      </c>
      <c r="D70" s="21" t="s">
        <v>527</v>
      </c>
      <c r="E70" s="20">
        <f>Source!BZ35</f>
        <v>95</v>
      </c>
      <c r="F70" s="23"/>
      <c r="G70" s="22"/>
      <c r="H70" s="20"/>
      <c r="I70" s="23">
        <f>SUM(Q68:Q69)</f>
        <v>9.59</v>
      </c>
      <c r="J70" s="20">
        <f>Source!AT35</f>
        <v>95</v>
      </c>
      <c r="K70" s="23">
        <f>SUM(R68:R69)</f>
        <v>540.14</v>
      </c>
      <c r="N70"/>
    </row>
    <row r="71" spans="1:29" ht="14.25" hidden="1" x14ac:dyDescent="0.2">
      <c r="A71" s="19"/>
      <c r="B71" s="19"/>
      <c r="C71" s="19" t="s">
        <v>528</v>
      </c>
      <c r="D71" s="21" t="s">
        <v>527</v>
      </c>
      <c r="E71" s="20">
        <f>Source!CA35</f>
        <v>53</v>
      </c>
      <c r="F71" s="23"/>
      <c r="G71" s="22"/>
      <c r="H71" s="20"/>
      <c r="I71" s="23">
        <f>SUM(S68:S70)</f>
        <v>5.35</v>
      </c>
      <c r="J71" s="20">
        <f>Source!AU35</f>
        <v>53</v>
      </c>
      <c r="K71" s="23">
        <f>SUM(T68:T70)</f>
        <v>301.33999999999997</v>
      </c>
      <c r="N71"/>
    </row>
    <row r="72" spans="1:29" ht="14.25" hidden="1" x14ac:dyDescent="0.2">
      <c r="A72" s="24"/>
      <c r="B72" s="24"/>
      <c r="C72" s="24" t="s">
        <v>529</v>
      </c>
      <c r="D72" s="25" t="s">
        <v>530</v>
      </c>
      <c r="E72" s="26">
        <f>Source!AQ34</f>
        <v>1.9</v>
      </c>
      <c r="F72" s="27"/>
      <c r="G72" s="28" t="s">
        <v>525</v>
      </c>
      <c r="H72" s="26">
        <f>Source!AV35</f>
        <v>1.087</v>
      </c>
      <c r="I72" s="27">
        <f>Source!U34</f>
        <v>0.74350799999999995</v>
      </c>
      <c r="J72" s="26"/>
      <c r="K72" s="27"/>
      <c r="N72"/>
    </row>
    <row r="73" spans="1:29" ht="15" hidden="1" x14ac:dyDescent="0.2">
      <c r="C73" s="29" t="s">
        <v>531</v>
      </c>
      <c r="H73" s="45">
        <f>I69+I70+I71+0-0-0</f>
        <v>25.03</v>
      </c>
      <c r="I73" s="45"/>
      <c r="J73" s="45">
        <f>K69+K70+K71+0-0-0</f>
        <v>1410.05</v>
      </c>
      <c r="K73" s="45"/>
      <c r="N73"/>
    </row>
    <row r="74" spans="1:29" ht="15" hidden="1" x14ac:dyDescent="0.2">
      <c r="C74" s="29" t="s">
        <v>532</v>
      </c>
      <c r="H74" s="43">
        <f>0+0</f>
        <v>0</v>
      </c>
      <c r="I74" s="43"/>
      <c r="J74" s="43">
        <f>0+0</f>
        <v>0</v>
      </c>
      <c r="K74" s="43"/>
      <c r="N74"/>
    </row>
    <row r="75" spans="1:29" ht="15" hidden="1" x14ac:dyDescent="0.2">
      <c r="C75" s="29" t="s">
        <v>533</v>
      </c>
      <c r="H75" s="43">
        <f>I69+I70+I71+0</f>
        <v>25.03</v>
      </c>
      <c r="I75" s="43"/>
      <c r="J75" s="43">
        <f>K69+K70+K71+0</f>
        <v>1410.05</v>
      </c>
      <c r="K75" s="43"/>
      <c r="N75"/>
      <c r="O75" s="30">
        <f>I69+I70+I71+0</f>
        <v>25.03</v>
      </c>
      <c r="P75" s="30">
        <f>K69+K70+K71+0</f>
        <v>1410.05</v>
      </c>
    </row>
    <row r="76" spans="1:29" hidden="1" x14ac:dyDescent="0.2">
      <c r="N76"/>
    </row>
    <row r="77" spans="1:29" ht="42.75" hidden="1" x14ac:dyDescent="0.2">
      <c r="A77" s="19">
        <v>5</v>
      </c>
      <c r="B77" s="19" t="str">
        <f>Source!F36</f>
        <v>4.10-136-4</v>
      </c>
      <c r="C77" s="19" t="s">
        <v>47</v>
      </c>
      <c r="D77" s="21" t="str">
        <f>Source!H36</f>
        <v>1  ШТ.</v>
      </c>
      <c r="E77" s="20">
        <f>Source!I36</f>
        <v>1</v>
      </c>
      <c r="F77" s="23"/>
      <c r="G77" s="22"/>
      <c r="H77" s="20"/>
      <c r="I77" s="23"/>
      <c r="J77" s="20"/>
      <c r="K77" s="23"/>
      <c r="N77"/>
      <c r="Q77">
        <f>Source!X36</f>
        <v>9.39</v>
      </c>
      <c r="R77">
        <f>Source!X37</f>
        <v>528.9</v>
      </c>
      <c r="S77">
        <f>Source!Y36</f>
        <v>5.24</v>
      </c>
      <c r="T77">
        <f>Source!Y37</f>
        <v>295.07</v>
      </c>
      <c r="U77">
        <f>ROUND((175/100)*ROUND(Source!R36, 2), 2)</f>
        <v>0</v>
      </c>
      <c r="V77">
        <f>ROUND((0/100)*ROUND(Source!R37, 2), 2)</f>
        <v>0</v>
      </c>
      <c r="AC77">
        <v>0</v>
      </c>
    </row>
    <row r="78" spans="1:29" ht="14.25" hidden="1" x14ac:dyDescent="0.2">
      <c r="A78" s="19"/>
      <c r="B78" s="19"/>
      <c r="C78" s="19" t="s">
        <v>524</v>
      </c>
      <c r="D78" s="21"/>
      <c r="E78" s="20"/>
      <c r="F78" s="23">
        <f>Source!AO36</f>
        <v>25.24</v>
      </c>
      <c r="G78" s="22" t="s">
        <v>525</v>
      </c>
      <c r="H78" s="20">
        <f>Source!AV37</f>
        <v>1.087</v>
      </c>
      <c r="I78" s="23">
        <f>Source!S36</f>
        <v>9.8800000000000008</v>
      </c>
      <c r="J78" s="20">
        <f>IF(Source!BA37&lt;&gt; 0, Source!BA37, 1)</f>
        <v>56.35</v>
      </c>
      <c r="K78" s="23">
        <f>Source!S37</f>
        <v>556.74</v>
      </c>
      <c r="N78"/>
    </row>
    <row r="79" spans="1:29" ht="14.25" hidden="1" x14ac:dyDescent="0.2">
      <c r="A79" s="19"/>
      <c r="B79" s="19"/>
      <c r="C79" s="19" t="s">
        <v>526</v>
      </c>
      <c r="D79" s="21" t="s">
        <v>527</v>
      </c>
      <c r="E79" s="20">
        <f>Source!BZ37</f>
        <v>95</v>
      </c>
      <c r="F79" s="23"/>
      <c r="G79" s="22"/>
      <c r="H79" s="20"/>
      <c r="I79" s="23">
        <f>SUM(Q77:Q78)</f>
        <v>9.39</v>
      </c>
      <c r="J79" s="20">
        <f>Source!AT37</f>
        <v>95</v>
      </c>
      <c r="K79" s="23">
        <f>SUM(R77:R78)</f>
        <v>528.9</v>
      </c>
      <c r="N79"/>
    </row>
    <row r="80" spans="1:29" ht="14.25" hidden="1" x14ac:dyDescent="0.2">
      <c r="A80" s="19"/>
      <c r="B80" s="19"/>
      <c r="C80" s="19" t="s">
        <v>528</v>
      </c>
      <c r="D80" s="21" t="s">
        <v>527</v>
      </c>
      <c r="E80" s="20">
        <f>Source!CA37</f>
        <v>53</v>
      </c>
      <c r="F80" s="23"/>
      <c r="G80" s="22"/>
      <c r="H80" s="20"/>
      <c r="I80" s="23">
        <f>SUM(S77:S79)</f>
        <v>5.24</v>
      </c>
      <c r="J80" s="20">
        <f>Source!AU37</f>
        <v>53</v>
      </c>
      <c r="K80" s="23">
        <f>SUM(T77:T79)</f>
        <v>295.07</v>
      </c>
      <c r="N80"/>
    </row>
    <row r="81" spans="1:29" ht="14.25" hidden="1" x14ac:dyDescent="0.2">
      <c r="A81" s="24"/>
      <c r="B81" s="24"/>
      <c r="C81" s="24" t="s">
        <v>529</v>
      </c>
      <c r="D81" s="25" t="s">
        <v>530</v>
      </c>
      <c r="E81" s="26">
        <f>Source!AQ36</f>
        <v>2</v>
      </c>
      <c r="F81" s="27"/>
      <c r="G81" s="28" t="s">
        <v>525</v>
      </c>
      <c r="H81" s="26">
        <f>Source!AV37</f>
        <v>1.087</v>
      </c>
      <c r="I81" s="27">
        <f>Source!U36</f>
        <v>0.78263999999999989</v>
      </c>
      <c r="J81" s="26"/>
      <c r="K81" s="27"/>
      <c r="N81"/>
    </row>
    <row r="82" spans="1:29" ht="15" hidden="1" x14ac:dyDescent="0.2">
      <c r="C82" s="29" t="s">
        <v>531</v>
      </c>
      <c r="H82" s="45">
        <f>I78+I79+I80+0-0-0</f>
        <v>24.510000000000005</v>
      </c>
      <c r="I82" s="45"/>
      <c r="J82" s="45">
        <f>K78+K79+K80+0-0-0</f>
        <v>1380.7099999999998</v>
      </c>
      <c r="K82" s="45"/>
      <c r="N82"/>
    </row>
    <row r="83" spans="1:29" ht="15" hidden="1" x14ac:dyDescent="0.2">
      <c r="C83" s="29" t="s">
        <v>532</v>
      </c>
      <c r="H83" s="43">
        <f>0+0</f>
        <v>0</v>
      </c>
      <c r="I83" s="43"/>
      <c r="J83" s="43">
        <f>0+0</f>
        <v>0</v>
      </c>
      <c r="K83" s="43"/>
      <c r="N83"/>
    </row>
    <row r="84" spans="1:29" ht="15" hidden="1" x14ac:dyDescent="0.2">
      <c r="C84" s="29" t="s">
        <v>533</v>
      </c>
      <c r="H84" s="43">
        <f>I78+I79+I80+0</f>
        <v>24.510000000000005</v>
      </c>
      <c r="I84" s="43"/>
      <c r="J84" s="43">
        <f>K78+K79+K80+0</f>
        <v>1380.7099999999998</v>
      </c>
      <c r="K84" s="43"/>
      <c r="N84"/>
      <c r="O84" s="30">
        <f>I78+I79+I80+0</f>
        <v>24.510000000000005</v>
      </c>
      <c r="P84" s="30">
        <f>K78+K79+K80+0</f>
        <v>1380.7099999999998</v>
      </c>
    </row>
    <row r="85" spans="1:29" hidden="1" x14ac:dyDescent="0.2">
      <c r="N85"/>
    </row>
    <row r="86" spans="1:29" ht="71.25" hidden="1" x14ac:dyDescent="0.2">
      <c r="A86" s="19">
        <v>6</v>
      </c>
      <c r="B86" s="19" t="str">
        <f>Source!F38</f>
        <v>4.10-136-1</v>
      </c>
      <c r="C86" s="19" t="s">
        <v>50</v>
      </c>
      <c r="D86" s="21" t="str">
        <f>Source!H38</f>
        <v>1  ШТ.</v>
      </c>
      <c r="E86" s="20">
        <f>Source!I38</f>
        <v>6</v>
      </c>
      <c r="F86" s="23"/>
      <c r="G86" s="22"/>
      <c r="H86" s="20"/>
      <c r="I86" s="23"/>
      <c r="J86" s="20"/>
      <c r="K86" s="23"/>
      <c r="N86"/>
      <c r="Q86">
        <f>Source!X38</f>
        <v>24.58</v>
      </c>
      <c r="R86">
        <f>Source!X39</f>
        <v>1384.88</v>
      </c>
      <c r="S86">
        <f>Source!Y38</f>
        <v>13.71</v>
      </c>
      <c r="T86">
        <f>Source!Y39</f>
        <v>772.62</v>
      </c>
      <c r="U86">
        <f>ROUND((175/100)*ROUND(Source!R38, 2), 2)</f>
        <v>0</v>
      </c>
      <c r="V86">
        <f>ROUND((0/100)*ROUND(Source!R39, 2), 2)</f>
        <v>0</v>
      </c>
      <c r="AC86">
        <v>0</v>
      </c>
    </row>
    <row r="87" spans="1:29" ht="14.25" hidden="1" x14ac:dyDescent="0.2">
      <c r="A87" s="19"/>
      <c r="B87" s="19"/>
      <c r="C87" s="19" t="s">
        <v>524</v>
      </c>
      <c r="D87" s="21"/>
      <c r="E87" s="20"/>
      <c r="F87" s="23">
        <f>Source!AO38</f>
        <v>11.02</v>
      </c>
      <c r="G87" s="22" t="s">
        <v>525</v>
      </c>
      <c r="H87" s="20">
        <f>Source!AV39</f>
        <v>1.087</v>
      </c>
      <c r="I87" s="23">
        <f>Source!S38</f>
        <v>25.87</v>
      </c>
      <c r="J87" s="20">
        <f>IF(Source!BA39&lt;&gt; 0, Source!BA39, 1)</f>
        <v>56.35</v>
      </c>
      <c r="K87" s="23">
        <f>Source!S39</f>
        <v>1457.77</v>
      </c>
      <c r="N87"/>
    </row>
    <row r="88" spans="1:29" ht="14.25" hidden="1" x14ac:dyDescent="0.2">
      <c r="A88" s="19"/>
      <c r="B88" s="19"/>
      <c r="C88" s="19" t="s">
        <v>526</v>
      </c>
      <c r="D88" s="21" t="s">
        <v>527</v>
      </c>
      <c r="E88" s="20">
        <f>Source!BZ39</f>
        <v>95</v>
      </c>
      <c r="F88" s="23"/>
      <c r="G88" s="22"/>
      <c r="H88" s="20"/>
      <c r="I88" s="23">
        <f>SUM(Q86:Q87)</f>
        <v>24.58</v>
      </c>
      <c r="J88" s="20">
        <f>Source!AT39</f>
        <v>95</v>
      </c>
      <c r="K88" s="23">
        <f>SUM(R86:R87)</f>
        <v>1384.88</v>
      </c>
      <c r="N88"/>
    </row>
    <row r="89" spans="1:29" ht="14.25" hidden="1" x14ac:dyDescent="0.2">
      <c r="A89" s="19"/>
      <c r="B89" s="19"/>
      <c r="C89" s="19" t="s">
        <v>528</v>
      </c>
      <c r="D89" s="21" t="s">
        <v>527</v>
      </c>
      <c r="E89" s="20">
        <f>Source!CA39</f>
        <v>53</v>
      </c>
      <c r="F89" s="23"/>
      <c r="G89" s="22"/>
      <c r="H89" s="20"/>
      <c r="I89" s="23">
        <f>SUM(S86:S88)</f>
        <v>13.71</v>
      </c>
      <c r="J89" s="20">
        <f>Source!AU39</f>
        <v>53</v>
      </c>
      <c r="K89" s="23">
        <f>SUM(T86:T88)</f>
        <v>772.62</v>
      </c>
      <c r="N89"/>
    </row>
    <row r="90" spans="1:29" ht="14.25" hidden="1" x14ac:dyDescent="0.2">
      <c r="A90" s="24"/>
      <c r="B90" s="24"/>
      <c r="C90" s="24" t="s">
        <v>529</v>
      </c>
      <c r="D90" s="25" t="s">
        <v>530</v>
      </c>
      <c r="E90" s="26">
        <f>Source!AQ38</f>
        <v>0.8</v>
      </c>
      <c r="F90" s="27"/>
      <c r="G90" s="28" t="s">
        <v>525</v>
      </c>
      <c r="H90" s="26">
        <f>Source!AV39</f>
        <v>1.087</v>
      </c>
      <c r="I90" s="27">
        <f>Source!U38</f>
        <v>1.8783359999999996</v>
      </c>
      <c r="J90" s="26"/>
      <c r="K90" s="27"/>
      <c r="N90"/>
    </row>
    <row r="91" spans="1:29" ht="15" hidden="1" x14ac:dyDescent="0.2">
      <c r="C91" s="29" t="s">
        <v>531</v>
      </c>
      <c r="H91" s="45">
        <f>I87+I88+I89+0-0-0</f>
        <v>64.16</v>
      </c>
      <c r="I91" s="45"/>
      <c r="J91" s="45">
        <f>K87+K88+K89+0-0-0</f>
        <v>3615.27</v>
      </c>
      <c r="K91" s="45"/>
      <c r="N91"/>
    </row>
    <row r="92" spans="1:29" ht="15" hidden="1" x14ac:dyDescent="0.2">
      <c r="C92" s="29" t="s">
        <v>532</v>
      </c>
      <c r="H92" s="43">
        <f>0+0</f>
        <v>0</v>
      </c>
      <c r="I92" s="43"/>
      <c r="J92" s="43">
        <f>0+0</f>
        <v>0</v>
      </c>
      <c r="K92" s="43"/>
      <c r="N92"/>
    </row>
    <row r="93" spans="1:29" ht="15" hidden="1" x14ac:dyDescent="0.2">
      <c r="C93" s="29" t="s">
        <v>533</v>
      </c>
      <c r="H93" s="43">
        <f>I87+I88+I89+0</f>
        <v>64.16</v>
      </c>
      <c r="I93" s="43"/>
      <c r="J93" s="43">
        <f>K87+K88+K89+0</f>
        <v>3615.27</v>
      </c>
      <c r="K93" s="43"/>
      <c r="N93"/>
      <c r="O93" s="30">
        <f>I87+I88+I89+0</f>
        <v>64.16</v>
      </c>
      <c r="P93" s="30">
        <f>K87+K88+K89+0</f>
        <v>3615.27</v>
      </c>
    </row>
    <row r="94" spans="1:29" hidden="1" x14ac:dyDescent="0.2">
      <c r="N94"/>
    </row>
    <row r="95" spans="1:29" ht="28.5" hidden="1" x14ac:dyDescent="0.2">
      <c r="A95" s="19">
        <v>7</v>
      </c>
      <c r="B95" s="19" t="str">
        <f>Source!F40</f>
        <v>6.67-7-1</v>
      </c>
      <c r="C95" s="19" t="s">
        <v>53</v>
      </c>
      <c r="D95" s="21" t="str">
        <f>Source!H40</f>
        <v>100 шт.</v>
      </c>
      <c r="E95" s="20">
        <f>Source!I40</f>
        <v>0.06</v>
      </c>
      <c r="F95" s="23"/>
      <c r="G95" s="22"/>
      <c r="H95" s="20"/>
      <c r="I95" s="23"/>
      <c r="J95" s="20"/>
      <c r="K95" s="23"/>
      <c r="N95"/>
      <c r="Q95">
        <f>Source!X40</f>
        <v>4.0999999999999996</v>
      </c>
      <c r="R95">
        <f>Source!X41</f>
        <v>230.76</v>
      </c>
      <c r="S95">
        <f>Source!Y40</f>
        <v>2.16</v>
      </c>
      <c r="T95">
        <f>Source!Y41</f>
        <v>121.72</v>
      </c>
      <c r="U95">
        <f>ROUND((175/100)*ROUND(Source!R40, 2), 2)</f>
        <v>0</v>
      </c>
      <c r="V95">
        <f>ROUND((0/100)*ROUND(Source!R41, 2), 2)</f>
        <v>0</v>
      </c>
      <c r="AC95">
        <v>0</v>
      </c>
    </row>
    <row r="96" spans="1:29" hidden="1" x14ac:dyDescent="0.2">
      <c r="C96" s="32" t="str">
        <f>"Объем: "&amp;Source!I40&amp;"=6/"&amp;"100"</f>
        <v>Объем: 0,06=6/100</v>
      </c>
      <c r="N96"/>
    </row>
    <row r="97" spans="1:29" ht="14.25" hidden="1" x14ac:dyDescent="0.2">
      <c r="A97" s="19"/>
      <c r="B97" s="19"/>
      <c r="C97" s="19" t="s">
        <v>524</v>
      </c>
      <c r="D97" s="21"/>
      <c r="E97" s="20"/>
      <c r="F97" s="23">
        <f>Source!AO40</f>
        <v>59.68</v>
      </c>
      <c r="G97" s="22" t="s">
        <v>139</v>
      </c>
      <c r="H97" s="20">
        <f>Source!AV41</f>
        <v>1.0469999999999999</v>
      </c>
      <c r="I97" s="23">
        <f>Source!S40</f>
        <v>4.5</v>
      </c>
      <c r="J97" s="20">
        <f>IF(Source!BA41&lt;&gt; 0, Source!BA41, 1)</f>
        <v>56.35</v>
      </c>
      <c r="K97" s="23">
        <f>Source!S41</f>
        <v>253.58</v>
      </c>
      <c r="N97"/>
    </row>
    <row r="98" spans="1:29" ht="14.25" hidden="1" x14ac:dyDescent="0.2">
      <c r="A98" s="19"/>
      <c r="B98" s="19"/>
      <c r="C98" s="19" t="s">
        <v>526</v>
      </c>
      <c r="D98" s="21" t="s">
        <v>527</v>
      </c>
      <c r="E98" s="20">
        <f>Source!BZ41</f>
        <v>91</v>
      </c>
      <c r="F98" s="23"/>
      <c r="G98" s="22"/>
      <c r="H98" s="20"/>
      <c r="I98" s="23">
        <f>SUM(Q95:Q97)</f>
        <v>4.0999999999999996</v>
      </c>
      <c r="J98" s="20">
        <f>Source!AT41</f>
        <v>91</v>
      </c>
      <c r="K98" s="23">
        <f>SUM(R95:R97)</f>
        <v>230.76</v>
      </c>
      <c r="N98"/>
    </row>
    <row r="99" spans="1:29" ht="14.25" hidden="1" x14ac:dyDescent="0.2">
      <c r="A99" s="19"/>
      <c r="B99" s="19"/>
      <c r="C99" s="19" t="s">
        <v>528</v>
      </c>
      <c r="D99" s="21" t="s">
        <v>527</v>
      </c>
      <c r="E99" s="20">
        <f>Source!CA41</f>
        <v>48</v>
      </c>
      <c r="F99" s="23"/>
      <c r="G99" s="22"/>
      <c r="H99" s="20"/>
      <c r="I99" s="23">
        <f>SUM(S95:S98)</f>
        <v>2.16</v>
      </c>
      <c r="J99" s="20">
        <f>Source!AU41</f>
        <v>48</v>
      </c>
      <c r="K99" s="23">
        <f>SUM(T95:T98)</f>
        <v>121.72</v>
      </c>
      <c r="N99"/>
    </row>
    <row r="100" spans="1:29" ht="14.25" hidden="1" x14ac:dyDescent="0.2">
      <c r="A100" s="24"/>
      <c r="B100" s="24"/>
      <c r="C100" s="24" t="s">
        <v>529</v>
      </c>
      <c r="D100" s="25" t="s">
        <v>530</v>
      </c>
      <c r="E100" s="26">
        <f>Source!AQ40</f>
        <v>5.84</v>
      </c>
      <c r="F100" s="27"/>
      <c r="G100" s="28" t="s">
        <v>139</v>
      </c>
      <c r="H100" s="26">
        <f>Source!AV41</f>
        <v>1.0469999999999999</v>
      </c>
      <c r="I100" s="27">
        <f>Source!U40</f>
        <v>0.44024256</v>
      </c>
      <c r="J100" s="26"/>
      <c r="K100" s="27"/>
      <c r="N100"/>
    </row>
    <row r="101" spans="1:29" ht="15" hidden="1" x14ac:dyDescent="0.2">
      <c r="C101" s="29" t="s">
        <v>531</v>
      </c>
      <c r="H101" s="45">
        <f>I97+I98+I99+0-0-0</f>
        <v>10.76</v>
      </c>
      <c r="I101" s="45"/>
      <c r="J101" s="45">
        <f>K97+K98+K99+0-0-0</f>
        <v>606.06000000000006</v>
      </c>
      <c r="K101" s="45"/>
      <c r="N101"/>
    </row>
    <row r="102" spans="1:29" ht="15" hidden="1" x14ac:dyDescent="0.2">
      <c r="C102" s="29" t="s">
        <v>532</v>
      </c>
      <c r="H102" s="43">
        <f>0+0</f>
        <v>0</v>
      </c>
      <c r="I102" s="43"/>
      <c r="J102" s="43">
        <f>0+0</f>
        <v>0</v>
      </c>
      <c r="K102" s="43"/>
      <c r="N102"/>
    </row>
    <row r="103" spans="1:29" ht="15" hidden="1" x14ac:dyDescent="0.2">
      <c r="C103" s="29" t="s">
        <v>533</v>
      </c>
      <c r="H103" s="43">
        <f>I97+I98+I99+0</f>
        <v>10.76</v>
      </c>
      <c r="I103" s="43"/>
      <c r="J103" s="43">
        <f>K97+K98+K99+0</f>
        <v>606.06000000000006</v>
      </c>
      <c r="K103" s="43"/>
      <c r="N103"/>
      <c r="O103" s="30">
        <f>I97+I98+I99+0</f>
        <v>10.76</v>
      </c>
      <c r="P103" s="30">
        <f>K97+K98+K99+0</f>
        <v>606.06000000000006</v>
      </c>
    </row>
    <row r="104" spans="1:29" hidden="1" x14ac:dyDescent="0.2">
      <c r="N104"/>
    </row>
    <row r="105" spans="1:29" ht="14.25" hidden="1" x14ac:dyDescent="0.2">
      <c r="A105" s="19">
        <v>8</v>
      </c>
      <c r="B105" s="19" t="str">
        <f>Source!F42</f>
        <v>6.67-6-1</v>
      </c>
      <c r="C105" s="19" t="s">
        <v>64</v>
      </c>
      <c r="D105" s="21" t="str">
        <f>Source!H42</f>
        <v>100 м</v>
      </c>
      <c r="E105" s="20">
        <f>Source!I42</f>
        <v>3.9</v>
      </c>
      <c r="F105" s="23"/>
      <c r="G105" s="22"/>
      <c r="H105" s="20"/>
      <c r="I105" s="23"/>
      <c r="J105" s="20"/>
      <c r="K105" s="23"/>
      <c r="N105"/>
      <c r="Q105">
        <f>Source!X42</f>
        <v>439.29</v>
      </c>
      <c r="R105">
        <f>Source!X43</f>
        <v>24754.18</v>
      </c>
      <c r="S105">
        <f>Source!Y42</f>
        <v>231.72</v>
      </c>
      <c r="T105">
        <f>Source!Y43</f>
        <v>13057.15</v>
      </c>
      <c r="U105">
        <f>ROUND((175/100)*ROUND(Source!R42, 2), 2)</f>
        <v>0</v>
      </c>
      <c r="V105">
        <f>ROUND((0/100)*ROUND(Source!R43, 2), 2)</f>
        <v>0</v>
      </c>
      <c r="AC105">
        <v>0</v>
      </c>
    </row>
    <row r="106" spans="1:29" hidden="1" x14ac:dyDescent="0.2">
      <c r="C106" s="32" t="str">
        <f>"Объем: "&amp;Source!I42&amp;"=(80+"&amp;"300+"&amp;"10)/"&amp;"100"</f>
        <v>Объем: 3,9=(80+300+10)/100</v>
      </c>
      <c r="N106"/>
    </row>
    <row r="107" spans="1:29" ht="14.25" hidden="1" x14ac:dyDescent="0.2">
      <c r="A107" s="19"/>
      <c r="B107" s="19"/>
      <c r="C107" s="19" t="s">
        <v>524</v>
      </c>
      <c r="D107" s="21"/>
      <c r="E107" s="20"/>
      <c r="F107" s="23">
        <f>Source!AO42</f>
        <v>98.52</v>
      </c>
      <c r="G107" s="22" t="s">
        <v>139</v>
      </c>
      <c r="H107" s="20">
        <f>Source!AV43</f>
        <v>1.0469999999999999</v>
      </c>
      <c r="I107" s="23">
        <f>Source!S42</f>
        <v>482.74</v>
      </c>
      <c r="J107" s="20">
        <f>IF(Source!BA43&lt;&gt; 0, Source!BA43, 1)</f>
        <v>56.35</v>
      </c>
      <c r="K107" s="23">
        <f>Source!S43</f>
        <v>27202.400000000001</v>
      </c>
      <c r="N107"/>
    </row>
    <row r="108" spans="1:29" ht="14.25" hidden="1" x14ac:dyDescent="0.2">
      <c r="A108" s="19"/>
      <c r="B108" s="19"/>
      <c r="C108" s="19" t="s">
        <v>526</v>
      </c>
      <c r="D108" s="21" t="s">
        <v>527</v>
      </c>
      <c r="E108" s="20">
        <f>Source!BZ43</f>
        <v>91</v>
      </c>
      <c r="F108" s="23"/>
      <c r="G108" s="22"/>
      <c r="H108" s="20"/>
      <c r="I108" s="23">
        <f>SUM(Q105:Q107)</f>
        <v>439.29</v>
      </c>
      <c r="J108" s="20">
        <f>Source!AT43</f>
        <v>91</v>
      </c>
      <c r="K108" s="23">
        <f>SUM(R105:R107)</f>
        <v>24754.18</v>
      </c>
      <c r="N108"/>
    </row>
    <row r="109" spans="1:29" ht="14.25" hidden="1" x14ac:dyDescent="0.2">
      <c r="A109" s="19"/>
      <c r="B109" s="19"/>
      <c r="C109" s="19" t="s">
        <v>528</v>
      </c>
      <c r="D109" s="21" t="s">
        <v>527</v>
      </c>
      <c r="E109" s="20">
        <f>Source!CA43</f>
        <v>48</v>
      </c>
      <c r="F109" s="23"/>
      <c r="G109" s="22"/>
      <c r="H109" s="20"/>
      <c r="I109" s="23">
        <f>SUM(S105:S108)</f>
        <v>231.72</v>
      </c>
      <c r="J109" s="20">
        <f>Source!AU43</f>
        <v>48</v>
      </c>
      <c r="K109" s="23">
        <f>SUM(T105:T108)</f>
        <v>13057.15</v>
      </c>
      <c r="N109"/>
    </row>
    <row r="110" spans="1:29" ht="14.25" hidden="1" x14ac:dyDescent="0.2">
      <c r="A110" s="24"/>
      <c r="B110" s="24"/>
      <c r="C110" s="24" t="s">
        <v>529</v>
      </c>
      <c r="D110" s="25" t="s">
        <v>530</v>
      </c>
      <c r="E110" s="26">
        <f>Source!AQ42</f>
        <v>9.64</v>
      </c>
      <c r="F110" s="27"/>
      <c r="G110" s="28" t="s">
        <v>139</v>
      </c>
      <c r="H110" s="26">
        <f>Source!AV43</f>
        <v>1.0469999999999999</v>
      </c>
      <c r="I110" s="27">
        <f>Source!U42</f>
        <v>47.235614399999996</v>
      </c>
      <c r="J110" s="26"/>
      <c r="K110" s="27"/>
      <c r="N110"/>
    </row>
    <row r="111" spans="1:29" ht="15" hidden="1" x14ac:dyDescent="0.2">
      <c r="C111" s="29" t="s">
        <v>531</v>
      </c>
      <c r="H111" s="45">
        <f>I107+I108+I109+0-0-0</f>
        <v>1153.75</v>
      </c>
      <c r="I111" s="45"/>
      <c r="J111" s="45">
        <f>K107+K108+K109+0-0-0</f>
        <v>65013.73</v>
      </c>
      <c r="K111" s="45"/>
      <c r="N111"/>
    </row>
    <row r="112" spans="1:29" ht="15" hidden="1" x14ac:dyDescent="0.2">
      <c r="C112" s="29" t="s">
        <v>532</v>
      </c>
      <c r="H112" s="43">
        <f>0+0</f>
        <v>0</v>
      </c>
      <c r="I112" s="43"/>
      <c r="J112" s="43">
        <f>0+0</f>
        <v>0</v>
      </c>
      <c r="K112" s="43"/>
      <c r="N112"/>
    </row>
    <row r="113" spans="1:29" ht="15" hidden="1" x14ac:dyDescent="0.2">
      <c r="C113" s="29" t="s">
        <v>533</v>
      </c>
      <c r="H113" s="43">
        <f>I107+I108+I109+0</f>
        <v>1153.75</v>
      </c>
      <c r="I113" s="43"/>
      <c r="J113" s="43">
        <f>K107+K108+K109+0</f>
        <v>65013.73</v>
      </c>
      <c r="K113" s="43"/>
      <c r="N113"/>
      <c r="O113" s="30">
        <f>I107+I108+I109+0</f>
        <v>1153.75</v>
      </c>
      <c r="P113" s="30">
        <f>K107+K108+K109+0</f>
        <v>65013.73</v>
      </c>
    </row>
    <row r="114" spans="1:29" hidden="1" x14ac:dyDescent="0.2">
      <c r="N114"/>
    </row>
    <row r="115" spans="1:29" ht="28.5" hidden="1" x14ac:dyDescent="0.2">
      <c r="A115" s="19">
        <v>9</v>
      </c>
      <c r="B115" s="19" t="str">
        <f>Source!F44</f>
        <v>6.67-5-12</v>
      </c>
      <c r="C115" s="19" t="s">
        <v>69</v>
      </c>
      <c r="D115" s="21" t="str">
        <f>Source!H44</f>
        <v>100 м</v>
      </c>
      <c r="E115" s="20">
        <f>Source!I44</f>
        <v>2</v>
      </c>
      <c r="F115" s="23"/>
      <c r="G115" s="22"/>
      <c r="H115" s="20"/>
      <c r="I115" s="23"/>
      <c r="J115" s="20"/>
      <c r="K115" s="23"/>
      <c r="N115"/>
      <c r="Q115">
        <f>Source!X44</f>
        <v>732.25</v>
      </c>
      <c r="R115">
        <f>Source!X45</f>
        <v>41262.269999999997</v>
      </c>
      <c r="S115">
        <f>Source!Y44</f>
        <v>386.24</v>
      </c>
      <c r="T115">
        <f>Source!Y45</f>
        <v>21764.71</v>
      </c>
      <c r="U115">
        <f>ROUND((175/100)*ROUND(Source!R44, 2), 2)</f>
        <v>0</v>
      </c>
      <c r="V115">
        <f>ROUND((0/100)*ROUND(Source!R45, 2), 2)</f>
        <v>0</v>
      </c>
      <c r="AC115">
        <v>0</v>
      </c>
    </row>
    <row r="116" spans="1:29" hidden="1" x14ac:dyDescent="0.2">
      <c r="C116" s="32" t="str">
        <f>"Объем: "&amp;Source!I44&amp;"=200/"&amp;"100"</f>
        <v>Объем: 2=200/100</v>
      </c>
      <c r="N116"/>
    </row>
    <row r="117" spans="1:29" ht="14.25" hidden="1" x14ac:dyDescent="0.2">
      <c r="A117" s="19"/>
      <c r="B117" s="19"/>
      <c r="C117" s="19" t="s">
        <v>524</v>
      </c>
      <c r="D117" s="21"/>
      <c r="E117" s="20"/>
      <c r="F117" s="23">
        <f>Source!AO44</f>
        <v>320.23</v>
      </c>
      <c r="G117" s="22" t="s">
        <v>139</v>
      </c>
      <c r="H117" s="20">
        <f>Source!AV45</f>
        <v>1.0469999999999999</v>
      </c>
      <c r="I117" s="23">
        <f>Source!S44</f>
        <v>804.67</v>
      </c>
      <c r="J117" s="20">
        <f>IF(Source!BA45&lt;&gt; 0, Source!BA45, 1)</f>
        <v>56.35</v>
      </c>
      <c r="K117" s="23">
        <f>Source!S45</f>
        <v>45343.15</v>
      </c>
      <c r="N117"/>
    </row>
    <row r="118" spans="1:29" ht="14.25" hidden="1" x14ac:dyDescent="0.2">
      <c r="A118" s="19"/>
      <c r="B118" s="19"/>
      <c r="C118" s="19" t="s">
        <v>526</v>
      </c>
      <c r="D118" s="21" t="s">
        <v>527</v>
      </c>
      <c r="E118" s="20">
        <f>Source!BZ45</f>
        <v>91</v>
      </c>
      <c r="F118" s="23"/>
      <c r="G118" s="22"/>
      <c r="H118" s="20"/>
      <c r="I118" s="23">
        <f>SUM(Q115:Q117)</f>
        <v>732.25</v>
      </c>
      <c r="J118" s="20">
        <f>Source!AT45</f>
        <v>91</v>
      </c>
      <c r="K118" s="23">
        <f>SUM(R115:R117)</f>
        <v>41262.269999999997</v>
      </c>
      <c r="N118"/>
    </row>
    <row r="119" spans="1:29" ht="14.25" hidden="1" x14ac:dyDescent="0.2">
      <c r="A119" s="19"/>
      <c r="B119" s="19"/>
      <c r="C119" s="19" t="s">
        <v>528</v>
      </c>
      <c r="D119" s="21" t="s">
        <v>527</v>
      </c>
      <c r="E119" s="20">
        <f>Source!CA45</f>
        <v>48</v>
      </c>
      <c r="F119" s="23"/>
      <c r="G119" s="22"/>
      <c r="H119" s="20"/>
      <c r="I119" s="23">
        <f>SUM(S115:S118)</f>
        <v>386.24</v>
      </c>
      <c r="J119" s="20">
        <f>Source!AU45</f>
        <v>48</v>
      </c>
      <c r="K119" s="23">
        <f>SUM(T115:T118)</f>
        <v>21764.71</v>
      </c>
      <c r="N119"/>
    </row>
    <row r="120" spans="1:29" ht="14.25" hidden="1" x14ac:dyDescent="0.2">
      <c r="A120" s="24"/>
      <c r="B120" s="24"/>
      <c r="C120" s="24" t="s">
        <v>529</v>
      </c>
      <c r="D120" s="25" t="s">
        <v>530</v>
      </c>
      <c r="E120" s="26">
        <f>Source!AQ44</f>
        <v>30.44</v>
      </c>
      <c r="F120" s="27"/>
      <c r="G120" s="28" t="s">
        <v>139</v>
      </c>
      <c r="H120" s="26">
        <f>Source!AV45</f>
        <v>1.0469999999999999</v>
      </c>
      <c r="I120" s="27">
        <f>Source!U44</f>
        <v>76.489631999999986</v>
      </c>
      <c r="J120" s="26"/>
      <c r="K120" s="27"/>
      <c r="N120"/>
    </row>
    <row r="121" spans="1:29" ht="15" hidden="1" x14ac:dyDescent="0.2">
      <c r="C121" s="29" t="s">
        <v>531</v>
      </c>
      <c r="H121" s="45">
        <f>I117+I118+I119+0-0-0</f>
        <v>1923.16</v>
      </c>
      <c r="I121" s="45"/>
      <c r="J121" s="45">
        <f>K117+K118+K119+0-0-0</f>
        <v>108370.13</v>
      </c>
      <c r="K121" s="45"/>
      <c r="N121"/>
    </row>
    <row r="122" spans="1:29" ht="15" hidden="1" x14ac:dyDescent="0.2">
      <c r="C122" s="29" t="s">
        <v>532</v>
      </c>
      <c r="H122" s="43">
        <f>0+0</f>
        <v>0</v>
      </c>
      <c r="I122" s="43"/>
      <c r="J122" s="43">
        <f>0+0</f>
        <v>0</v>
      </c>
      <c r="K122" s="43"/>
      <c r="N122"/>
    </row>
    <row r="123" spans="1:29" ht="15" hidden="1" x14ac:dyDescent="0.2">
      <c r="C123" s="29" t="s">
        <v>533</v>
      </c>
      <c r="H123" s="43">
        <f>I117+I118+I119+0</f>
        <v>1923.16</v>
      </c>
      <c r="I123" s="43"/>
      <c r="J123" s="43">
        <f>K117+K118+K119+0</f>
        <v>108370.13</v>
      </c>
      <c r="K123" s="43"/>
      <c r="N123"/>
      <c r="O123" s="30">
        <f>I117+I118+I119+0</f>
        <v>1923.16</v>
      </c>
      <c r="P123" s="30">
        <f>K117+K118+K119+0</f>
        <v>108370.13</v>
      </c>
    </row>
    <row r="124" spans="1:29" hidden="1" x14ac:dyDescent="0.2">
      <c r="N124"/>
    </row>
    <row r="125" spans="1:29" ht="42.75" hidden="1" x14ac:dyDescent="0.2">
      <c r="A125" s="19">
        <v>10</v>
      </c>
      <c r="B125" s="19" t="str">
        <f>Source!F46</f>
        <v>4.8-174-1</v>
      </c>
      <c r="C125" s="19" t="s">
        <v>73</v>
      </c>
      <c r="D125" s="21" t="str">
        <f>Source!H46</f>
        <v>100 м</v>
      </c>
      <c r="E125" s="20">
        <f>Source!I46</f>
        <v>0.1</v>
      </c>
      <c r="F125" s="23"/>
      <c r="G125" s="22"/>
      <c r="H125" s="20"/>
      <c r="I125" s="23"/>
      <c r="J125" s="20"/>
      <c r="K125" s="23"/>
      <c r="N125"/>
      <c r="Q125">
        <f>Source!X46</f>
        <v>13.55</v>
      </c>
      <c r="R125">
        <f>Source!X47</f>
        <v>763.59</v>
      </c>
      <c r="S125">
        <f>Source!Y46</f>
        <v>7.12</v>
      </c>
      <c r="T125">
        <f>Source!Y47</f>
        <v>401.48</v>
      </c>
      <c r="U125">
        <f>ROUND((175/100)*ROUND(Source!R46, 2), 2)</f>
        <v>0.16</v>
      </c>
      <c r="V125">
        <f>ROUND((0/100)*ROUND(Source!R47, 2), 2)</f>
        <v>0</v>
      </c>
      <c r="AC125">
        <v>0</v>
      </c>
    </row>
    <row r="126" spans="1:29" hidden="1" x14ac:dyDescent="0.2">
      <c r="C126" s="32" t="str">
        <f>"Объем: "&amp;Source!I46&amp;"=10/"&amp;"100"</f>
        <v>Объем: 0,1=10/100</v>
      </c>
      <c r="N126"/>
    </row>
    <row r="127" spans="1:29" ht="14.25" hidden="1" x14ac:dyDescent="0.2">
      <c r="A127" s="19"/>
      <c r="B127" s="19"/>
      <c r="C127" s="19" t="s">
        <v>524</v>
      </c>
      <c r="D127" s="21"/>
      <c r="E127" s="20"/>
      <c r="F127" s="23">
        <f>Source!AO46</f>
        <v>368.37</v>
      </c>
      <c r="G127" s="22" t="s">
        <v>525</v>
      </c>
      <c r="H127" s="20">
        <f>Source!AV47</f>
        <v>1.0469999999999999</v>
      </c>
      <c r="I127" s="23">
        <f>Source!S46</f>
        <v>13.88</v>
      </c>
      <c r="J127" s="20">
        <f>IF(Source!BA47&lt;&gt; 0, Source!BA47, 1)</f>
        <v>56.35</v>
      </c>
      <c r="K127" s="23">
        <f>Source!S47</f>
        <v>782.14</v>
      </c>
      <c r="N127"/>
    </row>
    <row r="128" spans="1:29" ht="14.25" hidden="1" x14ac:dyDescent="0.2">
      <c r="A128" s="19"/>
      <c r="B128" s="19"/>
      <c r="C128" s="19" t="s">
        <v>534</v>
      </c>
      <c r="D128" s="21"/>
      <c r="E128" s="20"/>
      <c r="F128" s="23">
        <f>Source!AM46</f>
        <v>129.06</v>
      </c>
      <c r="G128" s="22" t="s">
        <v>525</v>
      </c>
      <c r="H128" s="20">
        <f>Source!AV47</f>
        <v>1.0469999999999999</v>
      </c>
      <c r="I128" s="23">
        <f>Source!Q46</f>
        <v>4.8600000000000003</v>
      </c>
      <c r="J128" s="20">
        <f>IF(Source!BB47&lt;&gt; 0, Source!BB47, 1)</f>
        <v>13.84</v>
      </c>
      <c r="K128" s="23">
        <f>Source!Q47</f>
        <v>67.260000000000005</v>
      </c>
      <c r="N128"/>
    </row>
    <row r="129" spans="1:29" ht="14.25" hidden="1" x14ac:dyDescent="0.2">
      <c r="A129" s="19"/>
      <c r="B129" s="19"/>
      <c r="C129" s="19" t="s">
        <v>535</v>
      </c>
      <c r="D129" s="21"/>
      <c r="E129" s="20"/>
      <c r="F129" s="23">
        <f>Source!AN46</f>
        <v>2.52</v>
      </c>
      <c r="G129" s="22" t="s">
        <v>525</v>
      </c>
      <c r="H129" s="20">
        <f>Source!AV47</f>
        <v>1.0469999999999999</v>
      </c>
      <c r="I129" s="31">
        <f>Source!R46</f>
        <v>0.09</v>
      </c>
      <c r="J129" s="20">
        <f>IF(Source!BS47&lt;&gt; 0, Source!BS47, 1)</f>
        <v>56.35</v>
      </c>
      <c r="K129" s="31">
        <f>Source!R47</f>
        <v>5.07</v>
      </c>
      <c r="N129"/>
    </row>
    <row r="130" spans="1:29" ht="14.25" hidden="1" x14ac:dyDescent="0.2">
      <c r="A130" s="19"/>
      <c r="B130" s="19"/>
      <c r="C130" s="19" t="s">
        <v>526</v>
      </c>
      <c r="D130" s="21" t="s">
        <v>527</v>
      </c>
      <c r="E130" s="20">
        <f>Source!BZ47</f>
        <v>97</v>
      </c>
      <c r="F130" s="23"/>
      <c r="G130" s="22"/>
      <c r="H130" s="20"/>
      <c r="I130" s="23">
        <f>SUM(Q125:Q129)</f>
        <v>13.55</v>
      </c>
      <c r="J130" s="20">
        <f>Source!AT47</f>
        <v>97</v>
      </c>
      <c r="K130" s="23">
        <f>SUM(R125:R129)</f>
        <v>763.59</v>
      </c>
      <c r="N130"/>
    </row>
    <row r="131" spans="1:29" ht="14.25" hidden="1" x14ac:dyDescent="0.2">
      <c r="A131" s="19"/>
      <c r="B131" s="19"/>
      <c r="C131" s="19" t="s">
        <v>528</v>
      </c>
      <c r="D131" s="21" t="s">
        <v>527</v>
      </c>
      <c r="E131" s="20">
        <f>Source!CA47</f>
        <v>51</v>
      </c>
      <c r="F131" s="23"/>
      <c r="G131" s="22"/>
      <c r="H131" s="20"/>
      <c r="I131" s="23">
        <f>SUM(S125:S130)</f>
        <v>7.12</v>
      </c>
      <c r="J131" s="20">
        <f>Source!AU47</f>
        <v>51</v>
      </c>
      <c r="K131" s="23">
        <f>SUM(T125:T130)</f>
        <v>401.48</v>
      </c>
      <c r="N131"/>
    </row>
    <row r="132" spans="1:29" ht="14.25" hidden="1" x14ac:dyDescent="0.2">
      <c r="A132" s="24"/>
      <c r="B132" s="24"/>
      <c r="C132" s="24" t="s">
        <v>529</v>
      </c>
      <c r="D132" s="25" t="s">
        <v>530</v>
      </c>
      <c r="E132" s="26">
        <f>Source!AQ46</f>
        <v>29.9</v>
      </c>
      <c r="F132" s="27"/>
      <c r="G132" s="28" t="s">
        <v>525</v>
      </c>
      <c r="H132" s="26">
        <f>Source!AV47</f>
        <v>1.0469999999999999</v>
      </c>
      <c r="I132" s="27">
        <f>Source!U46</f>
        <v>1.1269907999999997</v>
      </c>
      <c r="J132" s="26"/>
      <c r="K132" s="27"/>
      <c r="N132"/>
    </row>
    <row r="133" spans="1:29" ht="15" hidden="1" x14ac:dyDescent="0.2">
      <c r="C133" s="29" t="s">
        <v>531</v>
      </c>
      <c r="H133" s="45">
        <f>I127+I128+I130+I131+0-0-0</f>
        <v>39.410000000000004</v>
      </c>
      <c r="I133" s="45"/>
      <c r="J133" s="45">
        <f>K127+K128+K130+K131+0-0-0</f>
        <v>2014.47</v>
      </c>
      <c r="K133" s="45"/>
      <c r="N133"/>
    </row>
    <row r="134" spans="1:29" ht="15" hidden="1" x14ac:dyDescent="0.2">
      <c r="C134" s="29" t="s">
        <v>532</v>
      </c>
      <c r="H134" s="43">
        <f>0+0</f>
        <v>0</v>
      </c>
      <c r="I134" s="43"/>
      <c r="J134" s="43">
        <f>0+0</f>
        <v>0</v>
      </c>
      <c r="K134" s="43"/>
      <c r="N134"/>
    </row>
    <row r="135" spans="1:29" ht="15" hidden="1" x14ac:dyDescent="0.2">
      <c r="C135" s="29" t="s">
        <v>533</v>
      </c>
      <c r="H135" s="43">
        <f>I127+I128+I130+I131+0</f>
        <v>39.410000000000004</v>
      </c>
      <c r="I135" s="43"/>
      <c r="J135" s="43">
        <f>K127+K128+K130+K131+0</f>
        <v>2014.47</v>
      </c>
      <c r="K135" s="43"/>
      <c r="N135"/>
      <c r="O135" s="30">
        <f>I127+I128+I130+I131+0</f>
        <v>39.410000000000004</v>
      </c>
      <c r="P135" s="30">
        <f>K127+K128+K130+K131+0</f>
        <v>2014.47</v>
      </c>
    </row>
    <row r="136" spans="1:29" hidden="1" x14ac:dyDescent="0.2">
      <c r="N136"/>
    </row>
    <row r="137" spans="1:29" hidden="1" x14ac:dyDescent="0.2">
      <c r="N137"/>
    </row>
    <row r="138" spans="1:29" ht="15" hidden="1" x14ac:dyDescent="0.25">
      <c r="A138" s="42" t="str">
        <f>CONCATENATE("Итого по разделу: ",IF(Source!G49&lt;&gt;"Новый раздел", Source!G49, ""))</f>
        <v>Итого по разделу: Демонтаж</v>
      </c>
      <c r="B138" s="42"/>
      <c r="C138" s="42"/>
      <c r="D138" s="42"/>
      <c r="E138" s="42"/>
      <c r="F138" s="42"/>
      <c r="G138" s="42"/>
      <c r="H138" s="43">
        <f>SUM(O38:O137)</f>
        <v>3358.71</v>
      </c>
      <c r="I138" s="44"/>
      <c r="J138" s="43">
        <f>SUM(P38:P137)</f>
        <v>188817.21</v>
      </c>
      <c r="K138" s="44"/>
      <c r="N138"/>
    </row>
    <row r="139" spans="1:29" hidden="1" x14ac:dyDescent="0.2">
      <c r="A139" t="s">
        <v>536</v>
      </c>
      <c r="I139">
        <f>SUM(W38:W138)</f>
        <v>0</v>
      </c>
      <c r="J139">
        <f>SUM(X38:X138)</f>
        <v>0</v>
      </c>
      <c r="N139"/>
    </row>
    <row r="140" spans="1:29" hidden="1" x14ac:dyDescent="0.2">
      <c r="A140" t="s">
        <v>537</v>
      </c>
      <c r="I140">
        <f>SUM(Y38:Y139)</f>
        <v>0</v>
      </c>
      <c r="J140">
        <f>SUM(Z38:Z139)</f>
        <v>0</v>
      </c>
      <c r="N140"/>
    </row>
    <row r="141" spans="1:29" hidden="1" x14ac:dyDescent="0.2">
      <c r="N141"/>
    </row>
    <row r="142" spans="1:29" ht="16.5" hidden="1" x14ac:dyDescent="0.2">
      <c r="A142" s="46" t="str">
        <f>CONCATENATE("Раздел: ",IF(Source!G79&lt;&gt;"Новый раздел", Source!G79, ""))</f>
        <v>Раздел: Комплект основного оборудования</v>
      </c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N142"/>
    </row>
    <row r="143" spans="1:29" ht="42.75" hidden="1" x14ac:dyDescent="0.2">
      <c r="A143" s="19">
        <v>11</v>
      </c>
      <c r="B143" s="19" t="str">
        <f>Source!F83</f>
        <v>4.10-134-4</v>
      </c>
      <c r="C143" s="19" t="s">
        <v>131</v>
      </c>
      <c r="D143" s="21" t="str">
        <f>Source!H83</f>
        <v>1 антенна</v>
      </c>
      <c r="E143" s="20">
        <f>Source!I83</f>
        <v>1</v>
      </c>
      <c r="F143" s="23"/>
      <c r="G143" s="22"/>
      <c r="H143" s="20"/>
      <c r="I143" s="23"/>
      <c r="J143" s="20"/>
      <c r="K143" s="23"/>
      <c r="N143"/>
      <c r="Q143">
        <f>Source!X83</f>
        <v>94.36</v>
      </c>
      <c r="R143">
        <f>Source!X84</f>
        <v>5317.39</v>
      </c>
      <c r="S143">
        <f>Source!Y83</f>
        <v>52.64</v>
      </c>
      <c r="T143">
        <f>Source!Y84</f>
        <v>2966.54</v>
      </c>
      <c r="U143">
        <f>ROUND((175/100)*ROUND(Source!R83, 2), 2)</f>
        <v>0</v>
      </c>
      <c r="V143">
        <f>ROUND((0/100)*ROUND(Source!R84, 2), 2)</f>
        <v>0</v>
      </c>
      <c r="AC143">
        <v>0</v>
      </c>
    </row>
    <row r="144" spans="1:29" ht="14.25" hidden="1" x14ac:dyDescent="0.2">
      <c r="A144" s="19"/>
      <c r="B144" s="19"/>
      <c r="C144" s="19" t="s">
        <v>524</v>
      </c>
      <c r="D144" s="21"/>
      <c r="E144" s="20"/>
      <c r="F144" s="23">
        <f>Source!AO83</f>
        <v>76.150000000000006</v>
      </c>
      <c r="G144" s="22" t="s">
        <v>139</v>
      </c>
      <c r="H144" s="20">
        <f>Source!AV84</f>
        <v>1.087</v>
      </c>
      <c r="I144" s="23">
        <f>Source!S83</f>
        <v>99.33</v>
      </c>
      <c r="J144" s="20">
        <f>IF(Source!BA84&lt;&gt; 0, Source!BA84, 1)</f>
        <v>56.35</v>
      </c>
      <c r="K144" s="23">
        <f>Source!S84</f>
        <v>5597.25</v>
      </c>
      <c r="N144"/>
    </row>
    <row r="145" spans="1:29" ht="14.25" hidden="1" x14ac:dyDescent="0.2">
      <c r="A145" s="19"/>
      <c r="B145" s="19"/>
      <c r="C145" s="19" t="s">
        <v>538</v>
      </c>
      <c r="D145" s="21"/>
      <c r="E145" s="20"/>
      <c r="F145" s="23">
        <f>Source!AL83</f>
        <v>0.37</v>
      </c>
      <c r="G145" s="22"/>
      <c r="H145" s="20">
        <f>Source!AW84</f>
        <v>1</v>
      </c>
      <c r="I145" s="23">
        <f>Source!P83</f>
        <v>0.37</v>
      </c>
      <c r="J145" s="20">
        <f>IF(Source!BC84&lt;&gt; 0, Source!BC84, 1)</f>
        <v>5.46</v>
      </c>
      <c r="K145" s="23">
        <f>Source!P84</f>
        <v>2.02</v>
      </c>
      <c r="N145"/>
    </row>
    <row r="146" spans="1:29" ht="14.25" hidden="1" x14ac:dyDescent="0.2">
      <c r="A146" s="19"/>
      <c r="B146" s="19"/>
      <c r="C146" s="19" t="s">
        <v>526</v>
      </c>
      <c r="D146" s="21" t="s">
        <v>527</v>
      </c>
      <c r="E146" s="20">
        <f>Source!BZ84</f>
        <v>95</v>
      </c>
      <c r="F146" s="23"/>
      <c r="G146" s="22"/>
      <c r="H146" s="20"/>
      <c r="I146" s="23">
        <f>SUM(Q143:Q145)</f>
        <v>94.36</v>
      </c>
      <c r="J146" s="20">
        <f>Source!AT84</f>
        <v>95</v>
      </c>
      <c r="K146" s="23">
        <f>SUM(R143:R145)</f>
        <v>5317.39</v>
      </c>
      <c r="N146"/>
    </row>
    <row r="147" spans="1:29" ht="14.25" hidden="1" x14ac:dyDescent="0.2">
      <c r="A147" s="19"/>
      <c r="B147" s="19"/>
      <c r="C147" s="19" t="s">
        <v>528</v>
      </c>
      <c r="D147" s="21" t="s">
        <v>527</v>
      </c>
      <c r="E147" s="20">
        <f>Source!CA84</f>
        <v>53</v>
      </c>
      <c r="F147" s="23"/>
      <c r="G147" s="22"/>
      <c r="H147" s="20"/>
      <c r="I147" s="23">
        <f>SUM(S143:S146)</f>
        <v>52.64</v>
      </c>
      <c r="J147" s="20">
        <f>Source!AU84</f>
        <v>53</v>
      </c>
      <c r="K147" s="23">
        <f>SUM(T143:T146)</f>
        <v>2966.54</v>
      </c>
      <c r="N147"/>
    </row>
    <row r="148" spans="1:29" ht="14.25" hidden="1" x14ac:dyDescent="0.2">
      <c r="A148" s="24"/>
      <c r="B148" s="24"/>
      <c r="C148" s="24" t="s">
        <v>529</v>
      </c>
      <c r="D148" s="25" t="s">
        <v>530</v>
      </c>
      <c r="E148" s="26">
        <f>Source!AQ83</f>
        <v>5.37</v>
      </c>
      <c r="F148" s="27"/>
      <c r="G148" s="28" t="s">
        <v>139</v>
      </c>
      <c r="H148" s="26">
        <f>Source!AV84</f>
        <v>1.087</v>
      </c>
      <c r="I148" s="27">
        <f>Source!U83</f>
        <v>7.0046279999999994</v>
      </c>
      <c r="J148" s="26"/>
      <c r="K148" s="27"/>
      <c r="N148"/>
    </row>
    <row r="149" spans="1:29" ht="15" hidden="1" x14ac:dyDescent="0.2">
      <c r="C149" s="29" t="s">
        <v>531</v>
      </c>
      <c r="H149" s="45">
        <f>I144+I145+I146+I147+0-0-0</f>
        <v>246.7</v>
      </c>
      <c r="I149" s="45"/>
      <c r="J149" s="45">
        <f>K144+K145+K146+K147+0-0-0</f>
        <v>13883.2</v>
      </c>
      <c r="K149" s="45"/>
      <c r="N149"/>
    </row>
    <row r="150" spans="1:29" ht="15" hidden="1" x14ac:dyDescent="0.2">
      <c r="C150" s="29" t="s">
        <v>532</v>
      </c>
      <c r="H150" s="43">
        <f>0+0</f>
        <v>0</v>
      </c>
      <c r="I150" s="43"/>
      <c r="J150" s="43">
        <f>0+0</f>
        <v>0</v>
      </c>
      <c r="K150" s="43"/>
      <c r="N150"/>
    </row>
    <row r="151" spans="1:29" ht="15" hidden="1" x14ac:dyDescent="0.2">
      <c r="C151" s="29" t="s">
        <v>533</v>
      </c>
      <c r="H151" s="43">
        <f>I144+I145+I146+I147+0</f>
        <v>246.7</v>
      </c>
      <c r="I151" s="43"/>
      <c r="J151" s="43">
        <f>K144+K145+K146+K147+0</f>
        <v>13883.2</v>
      </c>
      <c r="K151" s="43"/>
      <c r="N151"/>
      <c r="O151" s="30">
        <f>I144+I145+I146+I147+0</f>
        <v>246.7</v>
      </c>
      <c r="P151" s="30">
        <f>K144+K145+K146+K147+0</f>
        <v>13883.2</v>
      </c>
    </row>
    <row r="152" spans="1:29" hidden="1" x14ac:dyDescent="0.2">
      <c r="N152"/>
    </row>
    <row r="153" spans="1:29" ht="68.25" x14ac:dyDescent="0.2">
      <c r="A153" s="75">
        <v>12</v>
      </c>
      <c r="B153" s="75" t="str">
        <f>Source!F85</f>
        <v>КА, п.1</v>
      </c>
      <c r="C153" s="75" t="s">
        <v>549</v>
      </c>
      <c r="D153" s="76" t="str">
        <f>Source!H85</f>
        <v>ШТ</v>
      </c>
      <c r="E153" s="77">
        <f>Source!I85</f>
        <v>1</v>
      </c>
      <c r="F153" s="78">
        <f>Source!AL85</f>
        <v>477.56</v>
      </c>
      <c r="G153" s="79"/>
      <c r="H153" s="77">
        <f>Source!AW86</f>
        <v>1</v>
      </c>
      <c r="I153" s="78">
        <f>Source!P85</f>
        <v>477.56</v>
      </c>
      <c r="J153" s="77">
        <f>IF(Source!BC86&lt;&gt; 0, Source!BC86, 1)</f>
        <v>9.84</v>
      </c>
      <c r="K153" s="78">
        <f>Source!P86</f>
        <v>4699.1899999999996</v>
      </c>
      <c r="L153" s="80" t="s">
        <v>550</v>
      </c>
      <c r="N153" s="81" t="s">
        <v>548</v>
      </c>
      <c r="Q153">
        <f>Source!X85</f>
        <v>0</v>
      </c>
      <c r="R153">
        <f>Source!X86</f>
        <v>0</v>
      </c>
      <c r="S153">
        <f>Source!Y85</f>
        <v>0</v>
      </c>
      <c r="T153">
        <f>Source!Y86</f>
        <v>0</v>
      </c>
      <c r="U153">
        <f>ROUND((175/100)*ROUND(Source!R85, 2), 2)</f>
        <v>0</v>
      </c>
      <c r="V153">
        <f>ROUND((0/100)*ROUND(Source!R86, 2), 2)</f>
        <v>0</v>
      </c>
      <c r="AC153">
        <v>5</v>
      </c>
    </row>
    <row r="154" spans="1:29" ht="15" hidden="1" x14ac:dyDescent="0.2">
      <c r="A154" s="33"/>
      <c r="B154" s="33"/>
      <c r="C154" s="34" t="s">
        <v>533</v>
      </c>
      <c r="D154" s="33"/>
      <c r="E154" s="33"/>
      <c r="F154" s="33"/>
      <c r="G154" s="33"/>
      <c r="H154" s="47">
        <f>I153+0</f>
        <v>477.56</v>
      </c>
      <c r="I154" s="47"/>
      <c r="J154" s="47">
        <f>K153+0</f>
        <v>4699.1899999999996</v>
      </c>
      <c r="K154" s="47"/>
      <c r="N154"/>
      <c r="O154" s="30">
        <f>I153+0</f>
        <v>477.56</v>
      </c>
      <c r="P154" s="30">
        <f>K153+0</f>
        <v>4699.1899999999996</v>
      </c>
    </row>
    <row r="155" spans="1:29" hidden="1" x14ac:dyDescent="0.2">
      <c r="N155"/>
    </row>
    <row r="156" spans="1:29" ht="57" hidden="1" x14ac:dyDescent="0.2">
      <c r="A156" s="19">
        <v>13</v>
      </c>
      <c r="B156" s="19" t="str">
        <f>Source!F87</f>
        <v>4.10-136-1</v>
      </c>
      <c r="C156" s="19" t="s">
        <v>141</v>
      </c>
      <c r="D156" s="21" t="str">
        <f>Source!H87</f>
        <v>1  ШТ.</v>
      </c>
      <c r="E156" s="20">
        <f>Source!I87</f>
        <v>1</v>
      </c>
      <c r="F156" s="23"/>
      <c r="G156" s="22"/>
      <c r="H156" s="20"/>
      <c r="I156" s="23"/>
      <c r="J156" s="20"/>
      <c r="K156" s="23"/>
      <c r="N156"/>
      <c r="Q156">
        <f>Source!X87</f>
        <v>13.65</v>
      </c>
      <c r="R156">
        <f>Source!X88</f>
        <v>769.26</v>
      </c>
      <c r="S156">
        <f>Source!Y87</f>
        <v>7.62</v>
      </c>
      <c r="T156">
        <f>Source!Y88</f>
        <v>429.17</v>
      </c>
      <c r="U156">
        <f>ROUND((175/100)*ROUND(Source!R87, 2), 2)</f>
        <v>0</v>
      </c>
      <c r="V156">
        <f>ROUND((0/100)*ROUND(Source!R88, 2), 2)</f>
        <v>0</v>
      </c>
      <c r="AC156">
        <v>0</v>
      </c>
    </row>
    <row r="157" spans="1:29" ht="14.25" hidden="1" x14ac:dyDescent="0.2">
      <c r="A157" s="19"/>
      <c r="B157" s="19"/>
      <c r="C157" s="19" t="s">
        <v>524</v>
      </c>
      <c r="D157" s="21"/>
      <c r="E157" s="20"/>
      <c r="F157" s="23">
        <f>Source!AO87</f>
        <v>11.02</v>
      </c>
      <c r="G157" s="22" t="s">
        <v>139</v>
      </c>
      <c r="H157" s="20">
        <f>Source!AV88</f>
        <v>1.087</v>
      </c>
      <c r="I157" s="23">
        <f>Source!S87</f>
        <v>14.37</v>
      </c>
      <c r="J157" s="20">
        <f>IF(Source!BA88&lt;&gt; 0, Source!BA88, 1)</f>
        <v>56.35</v>
      </c>
      <c r="K157" s="23">
        <f>Source!S88</f>
        <v>809.75</v>
      </c>
      <c r="N157"/>
    </row>
    <row r="158" spans="1:29" ht="14.25" hidden="1" x14ac:dyDescent="0.2">
      <c r="A158" s="19"/>
      <c r="B158" s="19"/>
      <c r="C158" s="19" t="s">
        <v>538</v>
      </c>
      <c r="D158" s="21"/>
      <c r="E158" s="20"/>
      <c r="F158" s="23">
        <f>Source!AL87</f>
        <v>0.3</v>
      </c>
      <c r="G158" s="22"/>
      <c r="H158" s="20">
        <f>Source!AW88</f>
        <v>1</v>
      </c>
      <c r="I158" s="23">
        <f>Source!P87</f>
        <v>0.3</v>
      </c>
      <c r="J158" s="20">
        <f>IF(Source!BC88&lt;&gt; 0, Source!BC88, 1)</f>
        <v>7.37</v>
      </c>
      <c r="K158" s="23">
        <f>Source!P88</f>
        <v>2.21</v>
      </c>
      <c r="N158"/>
    </row>
    <row r="159" spans="1:29" ht="14.25" hidden="1" x14ac:dyDescent="0.2">
      <c r="A159" s="19"/>
      <c r="B159" s="19"/>
      <c r="C159" s="19" t="s">
        <v>526</v>
      </c>
      <c r="D159" s="21" t="s">
        <v>527</v>
      </c>
      <c r="E159" s="20">
        <f>Source!BZ88</f>
        <v>95</v>
      </c>
      <c r="F159" s="23"/>
      <c r="G159" s="22"/>
      <c r="H159" s="20"/>
      <c r="I159" s="23">
        <f>SUM(Q156:Q158)</f>
        <v>13.65</v>
      </c>
      <c r="J159" s="20">
        <f>Source!AT88</f>
        <v>95</v>
      </c>
      <c r="K159" s="23">
        <f>SUM(R156:R158)</f>
        <v>769.26</v>
      </c>
      <c r="N159"/>
    </row>
    <row r="160" spans="1:29" ht="14.25" hidden="1" x14ac:dyDescent="0.2">
      <c r="A160" s="19"/>
      <c r="B160" s="19"/>
      <c r="C160" s="19" t="s">
        <v>528</v>
      </c>
      <c r="D160" s="21" t="s">
        <v>527</v>
      </c>
      <c r="E160" s="20">
        <f>Source!CA88</f>
        <v>53</v>
      </c>
      <c r="F160" s="23"/>
      <c r="G160" s="22"/>
      <c r="H160" s="20"/>
      <c r="I160" s="23">
        <f>SUM(S156:S159)</f>
        <v>7.62</v>
      </c>
      <c r="J160" s="20">
        <f>Source!AU88</f>
        <v>53</v>
      </c>
      <c r="K160" s="23">
        <f>SUM(T156:T159)</f>
        <v>429.17</v>
      </c>
      <c r="N160"/>
    </row>
    <row r="161" spans="1:29" ht="14.25" hidden="1" x14ac:dyDescent="0.2">
      <c r="A161" s="24"/>
      <c r="B161" s="24"/>
      <c r="C161" s="24" t="s">
        <v>529</v>
      </c>
      <c r="D161" s="25" t="s">
        <v>530</v>
      </c>
      <c r="E161" s="26">
        <f>Source!AQ87</f>
        <v>0.8</v>
      </c>
      <c r="F161" s="27"/>
      <c r="G161" s="28" t="s">
        <v>139</v>
      </c>
      <c r="H161" s="26">
        <f>Source!AV88</f>
        <v>1.087</v>
      </c>
      <c r="I161" s="27">
        <f>Source!U87</f>
        <v>1.04352</v>
      </c>
      <c r="J161" s="26"/>
      <c r="K161" s="27"/>
      <c r="N161"/>
    </row>
    <row r="162" spans="1:29" ht="15" hidden="1" x14ac:dyDescent="0.2">
      <c r="C162" s="29" t="s">
        <v>531</v>
      </c>
      <c r="H162" s="45">
        <f>I157+I158+I159+I160+0-0-0</f>
        <v>35.94</v>
      </c>
      <c r="I162" s="45"/>
      <c r="J162" s="45">
        <f>K157+K158+K159+K160+0-0-0</f>
        <v>2010.39</v>
      </c>
      <c r="K162" s="45"/>
      <c r="N162"/>
    </row>
    <row r="163" spans="1:29" ht="15" hidden="1" x14ac:dyDescent="0.2">
      <c r="C163" s="29" t="s">
        <v>532</v>
      </c>
      <c r="H163" s="43">
        <f>0+0</f>
        <v>0</v>
      </c>
      <c r="I163" s="43"/>
      <c r="J163" s="43">
        <f>0+0</f>
        <v>0</v>
      </c>
      <c r="K163" s="43"/>
      <c r="N163"/>
    </row>
    <row r="164" spans="1:29" ht="15" hidden="1" x14ac:dyDescent="0.2">
      <c r="C164" s="29" t="s">
        <v>533</v>
      </c>
      <c r="H164" s="43">
        <f>I157+I158+I159+I160+0</f>
        <v>35.94</v>
      </c>
      <c r="I164" s="43"/>
      <c r="J164" s="43">
        <f>K157+K158+K159+K160+0</f>
        <v>2010.39</v>
      </c>
      <c r="K164" s="43"/>
      <c r="N164"/>
      <c r="O164" s="30">
        <f>I157+I158+I159+I160+0</f>
        <v>35.94</v>
      </c>
      <c r="P164" s="30">
        <f>K157+K158+K159+K160+0</f>
        <v>2010.39</v>
      </c>
    </row>
    <row r="165" spans="1:29" hidden="1" x14ac:dyDescent="0.2">
      <c r="N165"/>
    </row>
    <row r="166" spans="1:29" ht="54" x14ac:dyDescent="0.2">
      <c r="A166" s="75">
        <v>14</v>
      </c>
      <c r="B166" s="75" t="str">
        <f>Source!F89</f>
        <v>КА, п.2</v>
      </c>
      <c r="C166" s="75" t="s">
        <v>551</v>
      </c>
      <c r="D166" s="76" t="str">
        <f>Source!H89</f>
        <v>ШТ</v>
      </c>
      <c r="E166" s="77">
        <f>Source!I89</f>
        <v>1</v>
      </c>
      <c r="F166" s="78">
        <f>Source!AL89</f>
        <v>527.14</v>
      </c>
      <c r="G166" s="79"/>
      <c r="H166" s="77">
        <f>Source!AW90</f>
        <v>1</v>
      </c>
      <c r="I166" s="78">
        <f>Source!P89</f>
        <v>527.14</v>
      </c>
      <c r="J166" s="77">
        <f>IF(Source!BC90&lt;&gt; 0, Source!BC90, 1)</f>
        <v>9.84</v>
      </c>
      <c r="K166" s="78">
        <f>Source!P90</f>
        <v>5187.0600000000004</v>
      </c>
      <c r="L166" s="80" t="s">
        <v>550</v>
      </c>
      <c r="N166" s="81" t="s">
        <v>548</v>
      </c>
      <c r="Q166">
        <f>Source!X89</f>
        <v>0</v>
      </c>
      <c r="R166">
        <f>Source!X90</f>
        <v>0</v>
      </c>
      <c r="S166">
        <f>Source!Y89</f>
        <v>0</v>
      </c>
      <c r="T166">
        <f>Source!Y90</f>
        <v>0</v>
      </c>
      <c r="U166">
        <f>ROUND((175/100)*ROUND(Source!R89, 2), 2)</f>
        <v>0</v>
      </c>
      <c r="V166">
        <f>ROUND((0/100)*ROUND(Source!R90, 2), 2)</f>
        <v>0</v>
      </c>
      <c r="AC166">
        <v>5</v>
      </c>
    </row>
    <row r="167" spans="1:29" ht="15" hidden="1" x14ac:dyDescent="0.2">
      <c r="A167" s="33"/>
      <c r="B167" s="33"/>
      <c r="C167" s="34" t="s">
        <v>533</v>
      </c>
      <c r="D167" s="33"/>
      <c r="E167" s="33"/>
      <c r="F167" s="33"/>
      <c r="G167" s="33"/>
      <c r="H167" s="47">
        <f>I166+0</f>
        <v>527.14</v>
      </c>
      <c r="I167" s="47"/>
      <c r="J167" s="47">
        <f>K166+0</f>
        <v>5187.0600000000004</v>
      </c>
      <c r="K167" s="47"/>
      <c r="N167"/>
      <c r="O167" s="30">
        <f>I166+0</f>
        <v>527.14</v>
      </c>
      <c r="P167" s="30">
        <f>K166+0</f>
        <v>5187.0600000000004</v>
      </c>
    </row>
    <row r="168" spans="1:29" hidden="1" x14ac:dyDescent="0.2">
      <c r="N168"/>
    </row>
    <row r="169" spans="1:29" ht="57" hidden="1" x14ac:dyDescent="0.2">
      <c r="A169" s="19">
        <v>15</v>
      </c>
      <c r="B169" s="19" t="str">
        <f>Source!F91</f>
        <v>4.8-240-4</v>
      </c>
      <c r="C169" s="19" t="s">
        <v>147</v>
      </c>
      <c r="D169" s="21" t="str">
        <f>Source!H91</f>
        <v>1  ШТ.</v>
      </c>
      <c r="E169" s="20">
        <f>Source!I91</f>
        <v>1</v>
      </c>
      <c r="F169" s="23"/>
      <c r="G169" s="22"/>
      <c r="H169" s="20"/>
      <c r="I169" s="23"/>
      <c r="J169" s="20"/>
      <c r="K169" s="23"/>
      <c r="N169"/>
      <c r="Q169">
        <f>Source!X91</f>
        <v>36.46</v>
      </c>
      <c r="R169">
        <f>Source!X92</f>
        <v>2054.65</v>
      </c>
      <c r="S169">
        <f>Source!Y91</f>
        <v>19.170000000000002</v>
      </c>
      <c r="T169">
        <f>Source!Y92</f>
        <v>1080.28</v>
      </c>
      <c r="U169">
        <f>ROUND((175/100)*ROUND(Source!R91, 2), 2)</f>
        <v>6.95</v>
      </c>
      <c r="V169">
        <f>ROUND((0/100)*ROUND(Source!R92, 2), 2)</f>
        <v>0</v>
      </c>
      <c r="AC169">
        <v>0</v>
      </c>
    </row>
    <row r="170" spans="1:29" ht="14.25" hidden="1" x14ac:dyDescent="0.2">
      <c r="A170" s="19"/>
      <c r="B170" s="19"/>
      <c r="C170" s="19" t="s">
        <v>524</v>
      </c>
      <c r="D170" s="21"/>
      <c r="E170" s="20"/>
      <c r="F170" s="23">
        <f>Source!AO91</f>
        <v>26.76</v>
      </c>
      <c r="G170" s="22" t="s">
        <v>139</v>
      </c>
      <c r="H170" s="20">
        <f>Source!AV92</f>
        <v>1.0469999999999999</v>
      </c>
      <c r="I170" s="23">
        <f>Source!S91</f>
        <v>33.619999999999997</v>
      </c>
      <c r="J170" s="20">
        <f>IF(Source!BA92&lt;&gt; 0, Source!BA92, 1)</f>
        <v>56.35</v>
      </c>
      <c r="K170" s="23">
        <f>Source!S92</f>
        <v>1894.49</v>
      </c>
      <c r="N170"/>
    </row>
    <row r="171" spans="1:29" ht="14.25" hidden="1" x14ac:dyDescent="0.2">
      <c r="A171" s="19"/>
      <c r="B171" s="19"/>
      <c r="C171" s="19" t="s">
        <v>534</v>
      </c>
      <c r="D171" s="21"/>
      <c r="E171" s="20"/>
      <c r="F171" s="23">
        <f>Source!AM91</f>
        <v>17.420000000000002</v>
      </c>
      <c r="G171" s="22" t="s">
        <v>139</v>
      </c>
      <c r="H171" s="20">
        <f>Source!AV92</f>
        <v>1.0469999999999999</v>
      </c>
      <c r="I171" s="23">
        <f>Source!Q91</f>
        <v>21.89</v>
      </c>
      <c r="J171" s="20">
        <f>IF(Source!BB92&lt;&gt; 0, Source!BB92, 1)</f>
        <v>19.89</v>
      </c>
      <c r="K171" s="23">
        <f>Source!Q92</f>
        <v>435.39</v>
      </c>
      <c r="N171"/>
    </row>
    <row r="172" spans="1:29" ht="14.25" hidden="1" x14ac:dyDescent="0.2">
      <c r="A172" s="19"/>
      <c r="B172" s="19"/>
      <c r="C172" s="19" t="s">
        <v>535</v>
      </c>
      <c r="D172" s="21"/>
      <c r="E172" s="20"/>
      <c r="F172" s="23">
        <f>Source!AN91</f>
        <v>3.16</v>
      </c>
      <c r="G172" s="22" t="s">
        <v>139</v>
      </c>
      <c r="H172" s="20">
        <f>Source!AV92</f>
        <v>1.0469999999999999</v>
      </c>
      <c r="I172" s="31">
        <f>Source!R91</f>
        <v>3.97</v>
      </c>
      <c r="J172" s="20">
        <f>IF(Source!BS92&lt;&gt; 0, Source!BS92, 1)</f>
        <v>56.35</v>
      </c>
      <c r="K172" s="31">
        <f>Source!R92</f>
        <v>223.71</v>
      </c>
      <c r="N172"/>
    </row>
    <row r="173" spans="1:29" ht="14.25" hidden="1" x14ac:dyDescent="0.2">
      <c r="A173" s="19"/>
      <c r="B173" s="19"/>
      <c r="C173" s="19" t="s">
        <v>538</v>
      </c>
      <c r="D173" s="21"/>
      <c r="E173" s="20"/>
      <c r="F173" s="23">
        <f>Source!AL91</f>
        <v>1.46</v>
      </c>
      <c r="G173" s="22"/>
      <c r="H173" s="20">
        <f>Source!AW92</f>
        <v>1</v>
      </c>
      <c r="I173" s="23">
        <f>Source!P91</f>
        <v>1.46</v>
      </c>
      <c r="J173" s="20">
        <f>IF(Source!BC92&lt;&gt; 0, Source!BC92, 1)</f>
        <v>11.05</v>
      </c>
      <c r="K173" s="23">
        <f>Source!P92</f>
        <v>16.13</v>
      </c>
      <c r="N173"/>
    </row>
    <row r="174" spans="1:29" ht="57" hidden="1" x14ac:dyDescent="0.2">
      <c r="A174" s="19" t="s">
        <v>148</v>
      </c>
      <c r="B174" s="19" t="str">
        <f>Source!F93</f>
        <v>1.1-1-8146</v>
      </c>
      <c r="C174" s="19" t="s">
        <v>150</v>
      </c>
      <c r="D174" s="21" t="str">
        <f>Source!H93</f>
        <v>кг</v>
      </c>
      <c r="E174" s="20">
        <f>Source!I93</f>
        <v>0.1</v>
      </c>
      <c r="F174" s="23">
        <f>Source!AK93</f>
        <v>31.08</v>
      </c>
      <c r="G174" s="35" t="s">
        <v>3</v>
      </c>
      <c r="H174" s="20">
        <f>Source!AW94</f>
        <v>1</v>
      </c>
      <c r="I174" s="23">
        <f>Source!O93</f>
        <v>3.11</v>
      </c>
      <c r="J174" s="20">
        <f>IF(Source!BC94&lt;&gt; 0, Source!BC94, 1)</f>
        <v>3.59</v>
      </c>
      <c r="K174" s="23">
        <f>Source!O94</f>
        <v>11.16</v>
      </c>
      <c r="N174"/>
      <c r="Q174">
        <f>Source!X93</f>
        <v>0</v>
      </c>
      <c r="R174">
        <f>Source!X94</f>
        <v>0</v>
      </c>
      <c r="S174">
        <f>Source!Y93</f>
        <v>0</v>
      </c>
      <c r="T174">
        <f>Source!Y94</f>
        <v>0</v>
      </c>
      <c r="U174">
        <f>ROUND((175/100)*ROUND(Source!R93, 2), 2)</f>
        <v>0</v>
      </c>
      <c r="V174">
        <f>ROUND((0/100)*ROUND(Source!R94, 2), 2)</f>
        <v>0</v>
      </c>
      <c r="AC174">
        <v>3</v>
      </c>
    </row>
    <row r="175" spans="1:29" ht="57" hidden="1" x14ac:dyDescent="0.2">
      <c r="A175" s="19" t="s">
        <v>153</v>
      </c>
      <c r="B175" s="19" t="str">
        <f>Source!F95</f>
        <v>1.21-1-65</v>
      </c>
      <c r="C175" s="19" t="s">
        <v>155</v>
      </c>
      <c r="D175" s="21" t="str">
        <f>Source!H95</f>
        <v>шт.</v>
      </c>
      <c r="E175" s="20">
        <f>Source!I95</f>
        <v>1</v>
      </c>
      <c r="F175" s="23">
        <f>Source!AK95</f>
        <v>2017.95</v>
      </c>
      <c r="G175" s="35" t="s">
        <v>3</v>
      </c>
      <c r="H175" s="20">
        <f>Source!AW96</f>
        <v>1</v>
      </c>
      <c r="I175" s="23">
        <f>Source!O95</f>
        <v>2017.95</v>
      </c>
      <c r="J175" s="20">
        <f>IF(Source!BC96&lt;&gt; 0, Source!BC96, 1)</f>
        <v>3.98</v>
      </c>
      <c r="K175" s="23">
        <f>Source!O96</f>
        <v>8031.44</v>
      </c>
      <c r="N175"/>
      <c r="Q175">
        <f>Source!X95</f>
        <v>0</v>
      </c>
      <c r="R175">
        <f>Source!X96</f>
        <v>0</v>
      </c>
      <c r="S175">
        <f>Source!Y95</f>
        <v>0</v>
      </c>
      <c r="T175">
        <f>Source!Y96</f>
        <v>0</v>
      </c>
      <c r="U175">
        <f>ROUND((175/100)*ROUND(Source!R95, 2), 2)</f>
        <v>0</v>
      </c>
      <c r="V175">
        <f>ROUND((0/100)*ROUND(Source!R96, 2), 2)</f>
        <v>0</v>
      </c>
      <c r="AC175">
        <v>3</v>
      </c>
    </row>
    <row r="176" spans="1:29" ht="14.25" hidden="1" x14ac:dyDescent="0.2">
      <c r="A176" s="19"/>
      <c r="B176" s="19"/>
      <c r="C176" s="19" t="s">
        <v>526</v>
      </c>
      <c r="D176" s="21" t="s">
        <v>527</v>
      </c>
      <c r="E176" s="20">
        <f>Source!BZ92</f>
        <v>97</v>
      </c>
      <c r="F176" s="23"/>
      <c r="G176" s="22"/>
      <c r="H176" s="20"/>
      <c r="I176" s="23">
        <f>SUM(Q169:Q175)</f>
        <v>36.46</v>
      </c>
      <c r="J176" s="20">
        <f>Source!AT92</f>
        <v>97</v>
      </c>
      <c r="K176" s="23">
        <f>SUM(R169:R175)</f>
        <v>2054.65</v>
      </c>
      <c r="N176"/>
    </row>
    <row r="177" spans="1:29" ht="14.25" hidden="1" x14ac:dyDescent="0.2">
      <c r="A177" s="19"/>
      <c r="B177" s="19"/>
      <c r="C177" s="19" t="s">
        <v>528</v>
      </c>
      <c r="D177" s="21" t="s">
        <v>527</v>
      </c>
      <c r="E177" s="20">
        <f>Source!CA92</f>
        <v>51</v>
      </c>
      <c r="F177" s="23"/>
      <c r="G177" s="22"/>
      <c r="H177" s="20"/>
      <c r="I177" s="23">
        <f>SUM(S169:S176)</f>
        <v>19.170000000000002</v>
      </c>
      <c r="J177" s="20">
        <f>Source!AU92</f>
        <v>51</v>
      </c>
      <c r="K177" s="23">
        <f>SUM(T169:T176)</f>
        <v>1080.28</v>
      </c>
      <c r="N177"/>
    </row>
    <row r="178" spans="1:29" ht="14.25" hidden="1" x14ac:dyDescent="0.2">
      <c r="A178" s="24"/>
      <c r="B178" s="24"/>
      <c r="C178" s="24" t="s">
        <v>529</v>
      </c>
      <c r="D178" s="25" t="s">
        <v>530</v>
      </c>
      <c r="E178" s="26">
        <f>Source!AQ91</f>
        <v>2.06</v>
      </c>
      <c r="F178" s="27"/>
      <c r="G178" s="28" t="s">
        <v>139</v>
      </c>
      <c r="H178" s="26">
        <f>Source!AV92</f>
        <v>1.0469999999999999</v>
      </c>
      <c r="I178" s="27">
        <f>Source!U91</f>
        <v>2.5881839999999996</v>
      </c>
      <c r="J178" s="26"/>
      <c r="K178" s="27"/>
      <c r="N178"/>
    </row>
    <row r="179" spans="1:29" ht="15" hidden="1" x14ac:dyDescent="0.2">
      <c r="C179" s="29" t="s">
        <v>531</v>
      </c>
      <c r="H179" s="45">
        <f>I170+I171+I173+I176+I177+SUM(I174:I175)-SUMIF(AC174:AC175, 5, I174:I175)-SUMIF(AC174:AC175, 6, I174:I175)</f>
        <v>2133.66</v>
      </c>
      <c r="I179" s="45"/>
      <c r="J179" s="45">
        <f>K170+K171+K173+K176+K177+SUM(K174:K175)-SUMIF(AC174:AC175, 5, K174:K175)-SUMIF(AC174:AC175, 6, K174:K175)</f>
        <v>13523.539999999999</v>
      </c>
      <c r="K179" s="45"/>
      <c r="N179"/>
    </row>
    <row r="180" spans="1:29" ht="15" hidden="1" x14ac:dyDescent="0.2">
      <c r="C180" s="29" t="s">
        <v>532</v>
      </c>
      <c r="H180" s="43">
        <f>SUMIF(AC174:AC175, 5, I174:I175)+SUMIF(AC174:AC175, 6, I174:I175)</f>
        <v>0</v>
      </c>
      <c r="I180" s="43"/>
      <c r="J180" s="43">
        <f>SUMIF(AC174:AC175, 5, K174:K175)+SUMIF(AC174:AC175, 6, K174:K175)</f>
        <v>0</v>
      </c>
      <c r="K180" s="43"/>
      <c r="N180"/>
    </row>
    <row r="181" spans="1:29" ht="15" hidden="1" x14ac:dyDescent="0.2">
      <c r="C181" s="29" t="s">
        <v>533</v>
      </c>
      <c r="H181" s="43">
        <f>I170+I171+I173+I176+I177+SUM(I174:I175)</f>
        <v>2133.66</v>
      </c>
      <c r="I181" s="43"/>
      <c r="J181" s="43">
        <f>K170+K171+K173+K176+K177+SUM(K174:K175)</f>
        <v>13523.539999999999</v>
      </c>
      <c r="K181" s="43"/>
      <c r="N181"/>
      <c r="O181" s="30">
        <f>I170+I171+I173+I176+I177+SUM(I174:I175)</f>
        <v>2133.66</v>
      </c>
      <c r="P181" s="30">
        <f>K170+K171+K173+K176+K177+SUM(K174:K175)</f>
        <v>13523.539999999999</v>
      </c>
    </row>
    <row r="182" spans="1:29" hidden="1" x14ac:dyDescent="0.2">
      <c r="N182"/>
    </row>
    <row r="183" spans="1:29" ht="28.5" hidden="1" x14ac:dyDescent="0.2">
      <c r="A183" s="19">
        <v>16</v>
      </c>
      <c r="B183" s="19" t="str">
        <f>Source!F97</f>
        <v>4.10-136-5</v>
      </c>
      <c r="C183" s="19" t="s">
        <v>160</v>
      </c>
      <c r="D183" s="21" t="str">
        <f>Source!H97</f>
        <v>1  ШТ.</v>
      </c>
      <c r="E183" s="20">
        <f>Source!I97</f>
        <v>1</v>
      </c>
      <c r="F183" s="23"/>
      <c r="G183" s="22"/>
      <c r="H183" s="20"/>
      <c r="I183" s="23"/>
      <c r="J183" s="20"/>
      <c r="K183" s="23"/>
      <c r="N183"/>
      <c r="Q183">
        <f>Source!X97</f>
        <v>138.4</v>
      </c>
      <c r="R183">
        <f>Source!X98</f>
        <v>7798.62</v>
      </c>
      <c r="S183">
        <f>Source!Y97</f>
        <v>77.209999999999994</v>
      </c>
      <c r="T183">
        <f>Source!Y98</f>
        <v>4350.8100000000004</v>
      </c>
      <c r="U183">
        <f>ROUND((175/100)*ROUND(Source!R97, 2), 2)</f>
        <v>0</v>
      </c>
      <c r="V183">
        <f>ROUND((0/100)*ROUND(Source!R98, 2), 2)</f>
        <v>0</v>
      </c>
      <c r="AC183">
        <v>0</v>
      </c>
    </row>
    <row r="184" spans="1:29" ht="14.25" hidden="1" x14ac:dyDescent="0.2">
      <c r="A184" s="19"/>
      <c r="B184" s="19"/>
      <c r="C184" s="19" t="s">
        <v>524</v>
      </c>
      <c r="D184" s="21"/>
      <c r="E184" s="20"/>
      <c r="F184" s="23">
        <f>Source!AO97</f>
        <v>111.68</v>
      </c>
      <c r="G184" s="22" t="s">
        <v>139</v>
      </c>
      <c r="H184" s="20">
        <f>Source!AV98</f>
        <v>1.087</v>
      </c>
      <c r="I184" s="23">
        <f>Source!S97</f>
        <v>145.68</v>
      </c>
      <c r="J184" s="20">
        <f>IF(Source!BA98&lt;&gt; 0, Source!BA98, 1)</f>
        <v>56.35</v>
      </c>
      <c r="K184" s="23">
        <f>Source!S98</f>
        <v>8209.07</v>
      </c>
      <c r="N184"/>
    </row>
    <row r="185" spans="1:29" ht="14.25" hidden="1" x14ac:dyDescent="0.2">
      <c r="A185" s="19"/>
      <c r="B185" s="19"/>
      <c r="C185" s="19" t="s">
        <v>538</v>
      </c>
      <c r="D185" s="21"/>
      <c r="E185" s="20"/>
      <c r="F185" s="23">
        <f>Source!AL97</f>
        <v>0.3</v>
      </c>
      <c r="G185" s="22"/>
      <c r="H185" s="20">
        <f>Source!AW98</f>
        <v>1</v>
      </c>
      <c r="I185" s="23">
        <f>Source!P97</f>
        <v>0.3</v>
      </c>
      <c r="J185" s="20">
        <f>IF(Source!BC98&lt;&gt; 0, Source!BC98, 1)</f>
        <v>7.37</v>
      </c>
      <c r="K185" s="23">
        <f>Source!P98</f>
        <v>2.21</v>
      </c>
      <c r="N185"/>
    </row>
    <row r="186" spans="1:29" ht="14.25" hidden="1" x14ac:dyDescent="0.2">
      <c r="A186" s="19"/>
      <c r="B186" s="19"/>
      <c r="C186" s="19" t="s">
        <v>526</v>
      </c>
      <c r="D186" s="21" t="s">
        <v>527</v>
      </c>
      <c r="E186" s="20">
        <f>Source!BZ98</f>
        <v>95</v>
      </c>
      <c r="F186" s="23"/>
      <c r="G186" s="22"/>
      <c r="H186" s="20"/>
      <c r="I186" s="23">
        <f>SUM(Q183:Q185)</f>
        <v>138.4</v>
      </c>
      <c r="J186" s="20">
        <f>Source!AT98</f>
        <v>95</v>
      </c>
      <c r="K186" s="23">
        <f>SUM(R183:R185)</f>
        <v>7798.62</v>
      </c>
      <c r="N186"/>
    </row>
    <row r="187" spans="1:29" ht="14.25" hidden="1" x14ac:dyDescent="0.2">
      <c r="A187" s="19"/>
      <c r="B187" s="19"/>
      <c r="C187" s="19" t="s">
        <v>528</v>
      </c>
      <c r="D187" s="21" t="s">
        <v>527</v>
      </c>
      <c r="E187" s="20">
        <f>Source!CA98</f>
        <v>53</v>
      </c>
      <c r="F187" s="23"/>
      <c r="G187" s="22"/>
      <c r="H187" s="20"/>
      <c r="I187" s="23">
        <f>SUM(S183:S186)</f>
        <v>77.209999999999994</v>
      </c>
      <c r="J187" s="20">
        <f>Source!AU98</f>
        <v>53</v>
      </c>
      <c r="K187" s="23">
        <f>SUM(T183:T186)</f>
        <v>4350.8100000000004</v>
      </c>
      <c r="N187"/>
    </row>
    <row r="188" spans="1:29" ht="14.25" hidden="1" x14ac:dyDescent="0.2">
      <c r="A188" s="24"/>
      <c r="B188" s="24"/>
      <c r="C188" s="24" t="s">
        <v>529</v>
      </c>
      <c r="D188" s="25" t="s">
        <v>530</v>
      </c>
      <c r="E188" s="26">
        <f>Source!AQ97</f>
        <v>8</v>
      </c>
      <c r="F188" s="27"/>
      <c r="G188" s="28" t="s">
        <v>139</v>
      </c>
      <c r="H188" s="26">
        <f>Source!AV98</f>
        <v>1.087</v>
      </c>
      <c r="I188" s="27">
        <f>Source!U97</f>
        <v>10.4352</v>
      </c>
      <c r="J188" s="26"/>
      <c r="K188" s="27"/>
      <c r="N188"/>
    </row>
    <row r="189" spans="1:29" ht="15" hidden="1" x14ac:dyDescent="0.2">
      <c r="C189" s="29" t="s">
        <v>531</v>
      </c>
      <c r="H189" s="45">
        <f>I184+I185+I186+I187+0-0-0</f>
        <v>361.59</v>
      </c>
      <c r="I189" s="45"/>
      <c r="J189" s="45">
        <f>K184+K185+K186+K187+0-0-0</f>
        <v>20360.71</v>
      </c>
      <c r="K189" s="45"/>
      <c r="N189"/>
    </row>
    <row r="190" spans="1:29" ht="15" hidden="1" x14ac:dyDescent="0.2">
      <c r="C190" s="29" t="s">
        <v>532</v>
      </c>
      <c r="H190" s="43">
        <f>0+0</f>
        <v>0</v>
      </c>
      <c r="I190" s="43"/>
      <c r="J190" s="43">
        <f>0+0</f>
        <v>0</v>
      </c>
      <c r="K190" s="43"/>
      <c r="N190"/>
    </row>
    <row r="191" spans="1:29" ht="15" hidden="1" x14ac:dyDescent="0.2">
      <c r="C191" s="29" t="s">
        <v>533</v>
      </c>
      <c r="H191" s="43">
        <f>I184+I185+I186+I187+0</f>
        <v>361.59</v>
      </c>
      <c r="I191" s="43"/>
      <c r="J191" s="43">
        <f>K184+K185+K186+K187+0</f>
        <v>20360.71</v>
      </c>
      <c r="K191" s="43"/>
      <c r="N191"/>
      <c r="O191" s="30">
        <f>I184+I185+I186+I187+0</f>
        <v>361.59</v>
      </c>
      <c r="P191" s="30">
        <f>K184+K185+K186+K187+0</f>
        <v>20360.71</v>
      </c>
    </row>
    <row r="192" spans="1:29" hidden="1" x14ac:dyDescent="0.2">
      <c r="N192"/>
    </row>
    <row r="193" spans="1:29" ht="54" x14ac:dyDescent="0.2">
      <c r="A193" s="75">
        <v>17</v>
      </c>
      <c r="B193" s="75" t="str">
        <f>Source!F99</f>
        <v>КА, п.3</v>
      </c>
      <c r="C193" s="75" t="s">
        <v>552</v>
      </c>
      <c r="D193" s="76" t="str">
        <f>Source!H99</f>
        <v>ШТ</v>
      </c>
      <c r="E193" s="77">
        <f>Source!I99</f>
        <v>1</v>
      </c>
      <c r="F193" s="78">
        <f>Source!AL99</f>
        <v>7200.1200000000008</v>
      </c>
      <c r="G193" s="79"/>
      <c r="H193" s="77">
        <f>Source!AW100</f>
        <v>1</v>
      </c>
      <c r="I193" s="78">
        <f>Source!P99</f>
        <v>7200.12</v>
      </c>
      <c r="J193" s="77">
        <f>IF(Source!BC100&lt;&gt; 0, Source!BC100, 1)</f>
        <v>9.84</v>
      </c>
      <c r="K193" s="78">
        <f>Source!P100</f>
        <v>70849.179999999993</v>
      </c>
      <c r="L193" s="80" t="s">
        <v>550</v>
      </c>
      <c r="N193" s="81" t="s">
        <v>548</v>
      </c>
      <c r="Q193">
        <f>Source!X99</f>
        <v>0</v>
      </c>
      <c r="R193">
        <f>Source!X100</f>
        <v>0</v>
      </c>
      <c r="S193">
        <f>Source!Y99</f>
        <v>0</v>
      </c>
      <c r="T193">
        <f>Source!Y100</f>
        <v>0</v>
      </c>
      <c r="U193">
        <f>ROUND((175/100)*ROUND(Source!R99, 2), 2)</f>
        <v>0</v>
      </c>
      <c r="V193">
        <f>ROUND((0/100)*ROUND(Source!R100, 2), 2)</f>
        <v>0</v>
      </c>
      <c r="AC193">
        <v>5</v>
      </c>
    </row>
    <row r="194" spans="1:29" ht="15" hidden="1" x14ac:dyDescent="0.2">
      <c r="A194" s="33"/>
      <c r="B194" s="33"/>
      <c r="C194" s="34" t="s">
        <v>533</v>
      </c>
      <c r="D194" s="33"/>
      <c r="E194" s="33"/>
      <c r="F194" s="33"/>
      <c r="G194" s="33"/>
      <c r="H194" s="47">
        <f>I193+0</f>
        <v>7200.12</v>
      </c>
      <c r="I194" s="47"/>
      <c r="J194" s="47">
        <f>K193+0</f>
        <v>70849.179999999993</v>
      </c>
      <c r="K194" s="47"/>
      <c r="N194"/>
      <c r="O194" s="30">
        <f>I193+0</f>
        <v>7200.12</v>
      </c>
      <c r="P194" s="30">
        <f>K193+0</f>
        <v>70849.179999999993</v>
      </c>
    </row>
    <row r="195" spans="1:29" hidden="1" x14ac:dyDescent="0.2">
      <c r="N195"/>
    </row>
    <row r="196" spans="1:29" ht="42.75" hidden="1" x14ac:dyDescent="0.2">
      <c r="A196" s="19">
        <v>18</v>
      </c>
      <c r="B196" s="19" t="str">
        <f>Source!F101</f>
        <v>4.10-136-3</v>
      </c>
      <c r="C196" s="19" t="s">
        <v>167</v>
      </c>
      <c r="D196" s="21" t="str">
        <f>Source!H101</f>
        <v>1  ШТ.</v>
      </c>
      <c r="E196" s="20">
        <f>Source!I101</f>
        <v>1</v>
      </c>
      <c r="F196" s="23"/>
      <c r="G196" s="22"/>
      <c r="H196" s="20"/>
      <c r="I196" s="23"/>
      <c r="J196" s="20"/>
      <c r="K196" s="23"/>
      <c r="N196"/>
      <c r="Q196">
        <f>Source!X101</f>
        <v>31.95</v>
      </c>
      <c r="R196">
        <f>Source!X102</f>
        <v>1800.3</v>
      </c>
      <c r="S196">
        <f>Source!Y101</f>
        <v>17.82</v>
      </c>
      <c r="T196">
        <f>Source!Y102</f>
        <v>1004.38</v>
      </c>
      <c r="U196">
        <f>ROUND((175/100)*ROUND(Source!R101, 2), 2)</f>
        <v>0</v>
      </c>
      <c r="V196">
        <f>ROUND((0/100)*ROUND(Source!R102, 2), 2)</f>
        <v>0</v>
      </c>
      <c r="AC196">
        <v>0</v>
      </c>
    </row>
    <row r="197" spans="1:29" ht="14.25" hidden="1" x14ac:dyDescent="0.2">
      <c r="A197" s="19"/>
      <c r="B197" s="19"/>
      <c r="C197" s="19" t="s">
        <v>524</v>
      </c>
      <c r="D197" s="21"/>
      <c r="E197" s="20"/>
      <c r="F197" s="23">
        <f>Source!AO101</f>
        <v>25.78</v>
      </c>
      <c r="G197" s="22" t="s">
        <v>139</v>
      </c>
      <c r="H197" s="20">
        <f>Source!AV102</f>
        <v>1.087</v>
      </c>
      <c r="I197" s="23">
        <f>Source!S101</f>
        <v>33.630000000000003</v>
      </c>
      <c r="J197" s="20">
        <f>IF(Source!BA102&lt;&gt; 0, Source!BA102, 1)</f>
        <v>56.35</v>
      </c>
      <c r="K197" s="23">
        <f>Source!S102</f>
        <v>1895.05</v>
      </c>
      <c r="N197"/>
    </row>
    <row r="198" spans="1:29" ht="14.25" hidden="1" x14ac:dyDescent="0.2">
      <c r="A198" s="19"/>
      <c r="B198" s="19"/>
      <c r="C198" s="19" t="s">
        <v>538</v>
      </c>
      <c r="D198" s="21"/>
      <c r="E198" s="20"/>
      <c r="F198" s="23">
        <f>Source!AL101</f>
        <v>0.18</v>
      </c>
      <c r="G198" s="22"/>
      <c r="H198" s="20">
        <f>Source!AW102</f>
        <v>1</v>
      </c>
      <c r="I198" s="23">
        <f>Source!P101</f>
        <v>0.18</v>
      </c>
      <c r="J198" s="20">
        <f>IF(Source!BC102&lt;&gt; 0, Source!BC102, 1)</f>
        <v>5.61</v>
      </c>
      <c r="K198" s="23">
        <f>Source!P102</f>
        <v>1.01</v>
      </c>
      <c r="N198"/>
    </row>
    <row r="199" spans="1:29" ht="14.25" hidden="1" x14ac:dyDescent="0.2">
      <c r="A199" s="19"/>
      <c r="B199" s="19"/>
      <c r="C199" s="19" t="s">
        <v>526</v>
      </c>
      <c r="D199" s="21" t="s">
        <v>527</v>
      </c>
      <c r="E199" s="20">
        <f>Source!BZ102</f>
        <v>95</v>
      </c>
      <c r="F199" s="23"/>
      <c r="G199" s="22"/>
      <c r="H199" s="20"/>
      <c r="I199" s="23">
        <f>SUM(Q196:Q198)</f>
        <v>31.95</v>
      </c>
      <c r="J199" s="20">
        <f>Source!AT102</f>
        <v>95</v>
      </c>
      <c r="K199" s="23">
        <f>SUM(R196:R198)</f>
        <v>1800.3</v>
      </c>
      <c r="N199"/>
    </row>
    <row r="200" spans="1:29" ht="14.25" hidden="1" x14ac:dyDescent="0.2">
      <c r="A200" s="19"/>
      <c r="B200" s="19"/>
      <c r="C200" s="19" t="s">
        <v>528</v>
      </c>
      <c r="D200" s="21" t="s">
        <v>527</v>
      </c>
      <c r="E200" s="20">
        <f>Source!CA102</f>
        <v>53</v>
      </c>
      <c r="F200" s="23"/>
      <c r="G200" s="22"/>
      <c r="H200" s="20"/>
      <c r="I200" s="23">
        <f>SUM(S196:S199)</f>
        <v>17.82</v>
      </c>
      <c r="J200" s="20">
        <f>Source!AU102</f>
        <v>53</v>
      </c>
      <c r="K200" s="23">
        <f>SUM(T196:T199)</f>
        <v>1004.38</v>
      </c>
      <c r="N200"/>
    </row>
    <row r="201" spans="1:29" ht="14.25" hidden="1" x14ac:dyDescent="0.2">
      <c r="A201" s="24"/>
      <c r="B201" s="24"/>
      <c r="C201" s="24" t="s">
        <v>529</v>
      </c>
      <c r="D201" s="25" t="s">
        <v>530</v>
      </c>
      <c r="E201" s="26">
        <f>Source!AQ101</f>
        <v>1.9</v>
      </c>
      <c r="F201" s="27"/>
      <c r="G201" s="28" t="s">
        <v>139</v>
      </c>
      <c r="H201" s="26">
        <f>Source!AV102</f>
        <v>1.087</v>
      </c>
      <c r="I201" s="27">
        <f>Source!U101</f>
        <v>2.4783599999999999</v>
      </c>
      <c r="J201" s="26"/>
      <c r="K201" s="27"/>
      <c r="N201"/>
    </row>
    <row r="202" spans="1:29" ht="15" hidden="1" x14ac:dyDescent="0.2">
      <c r="C202" s="29" t="s">
        <v>531</v>
      </c>
      <c r="H202" s="45">
        <f>I197+I198+I199+I200+0-0-0</f>
        <v>83.580000000000013</v>
      </c>
      <c r="I202" s="45"/>
      <c r="J202" s="45">
        <f>K197+K198+K199+K200+0-0-0</f>
        <v>4700.74</v>
      </c>
      <c r="K202" s="45"/>
      <c r="N202"/>
    </row>
    <row r="203" spans="1:29" ht="15" hidden="1" x14ac:dyDescent="0.2">
      <c r="C203" s="29" t="s">
        <v>532</v>
      </c>
      <c r="H203" s="43">
        <f>0+0</f>
        <v>0</v>
      </c>
      <c r="I203" s="43"/>
      <c r="J203" s="43">
        <f>0+0</f>
        <v>0</v>
      </c>
      <c r="K203" s="43"/>
      <c r="N203"/>
    </row>
    <row r="204" spans="1:29" ht="15" hidden="1" x14ac:dyDescent="0.2">
      <c r="C204" s="29" t="s">
        <v>533</v>
      </c>
      <c r="H204" s="43">
        <f>I197+I198+I199+I200+0</f>
        <v>83.580000000000013</v>
      </c>
      <c r="I204" s="43"/>
      <c r="J204" s="43">
        <f>K197+K198+K199+K200+0</f>
        <v>4700.74</v>
      </c>
      <c r="K204" s="43"/>
      <c r="N204"/>
      <c r="O204" s="30">
        <f>I197+I198+I199+I200+0</f>
        <v>83.580000000000013</v>
      </c>
      <c r="P204" s="30">
        <f>K197+K198+K199+K200+0</f>
        <v>4700.74</v>
      </c>
    </row>
    <row r="205" spans="1:29" hidden="1" x14ac:dyDescent="0.2">
      <c r="N205"/>
    </row>
    <row r="206" spans="1:29" ht="68.25" x14ac:dyDescent="0.2">
      <c r="A206" s="75">
        <v>19</v>
      </c>
      <c r="B206" s="75" t="str">
        <f>Source!F103</f>
        <v>КА, п.4</v>
      </c>
      <c r="C206" s="75" t="s">
        <v>553</v>
      </c>
      <c r="D206" s="76" t="str">
        <f>Source!H103</f>
        <v>ШТ</v>
      </c>
      <c r="E206" s="77">
        <f>Source!I103</f>
        <v>1</v>
      </c>
      <c r="F206" s="78">
        <f>Source!AL103</f>
        <v>120.7</v>
      </c>
      <c r="G206" s="79"/>
      <c r="H206" s="77">
        <f>Source!AW104</f>
        <v>1</v>
      </c>
      <c r="I206" s="78">
        <f>Source!P103</f>
        <v>120.7</v>
      </c>
      <c r="J206" s="77">
        <f>IF(Source!BC104&lt;&gt; 0, Source!BC104, 1)</f>
        <v>9.84</v>
      </c>
      <c r="K206" s="78">
        <f>Source!P104</f>
        <v>1187.69</v>
      </c>
      <c r="L206" s="80" t="s">
        <v>550</v>
      </c>
      <c r="N206" s="81" t="s">
        <v>548</v>
      </c>
      <c r="Q206">
        <f>Source!X103</f>
        <v>0</v>
      </c>
      <c r="R206">
        <f>Source!X104</f>
        <v>0</v>
      </c>
      <c r="S206">
        <f>Source!Y103</f>
        <v>0</v>
      </c>
      <c r="T206">
        <f>Source!Y104</f>
        <v>0</v>
      </c>
      <c r="U206">
        <f>ROUND((175/100)*ROUND(Source!R103, 2), 2)</f>
        <v>0</v>
      </c>
      <c r="V206">
        <f>ROUND((0/100)*ROUND(Source!R104, 2), 2)</f>
        <v>0</v>
      </c>
      <c r="AC206">
        <v>5</v>
      </c>
    </row>
    <row r="207" spans="1:29" ht="15" hidden="1" x14ac:dyDescent="0.2">
      <c r="A207" s="33"/>
      <c r="B207" s="33"/>
      <c r="C207" s="34" t="s">
        <v>533</v>
      </c>
      <c r="D207" s="33"/>
      <c r="E207" s="33"/>
      <c r="F207" s="33"/>
      <c r="G207" s="33"/>
      <c r="H207" s="47">
        <f>I206+0</f>
        <v>120.7</v>
      </c>
      <c r="I207" s="47"/>
      <c r="J207" s="47">
        <f>K206+0</f>
        <v>1187.69</v>
      </c>
      <c r="K207" s="47"/>
      <c r="N207"/>
      <c r="O207" s="30">
        <f>I206+0</f>
        <v>120.7</v>
      </c>
      <c r="P207" s="30">
        <f>K206+0</f>
        <v>1187.69</v>
      </c>
    </row>
    <row r="208" spans="1:29" hidden="1" x14ac:dyDescent="0.2">
      <c r="N208"/>
    </row>
    <row r="209" spans="1:29" ht="28.5" hidden="1" x14ac:dyDescent="0.2">
      <c r="A209" s="19">
        <v>20</v>
      </c>
      <c r="B209" s="19" t="str">
        <f>Source!F105</f>
        <v>4.10-136-4</v>
      </c>
      <c r="C209" s="19" t="s">
        <v>173</v>
      </c>
      <c r="D209" s="21" t="str">
        <f>Source!H105</f>
        <v>1  ШТ.</v>
      </c>
      <c r="E209" s="20">
        <f>Source!I105</f>
        <v>1</v>
      </c>
      <c r="F209" s="23"/>
      <c r="G209" s="22"/>
      <c r="H209" s="20"/>
      <c r="I209" s="23"/>
      <c r="J209" s="20"/>
      <c r="K209" s="23"/>
      <c r="N209"/>
      <c r="Q209">
        <f>Source!X105</f>
        <v>31.27</v>
      </c>
      <c r="R209">
        <f>Source!X106</f>
        <v>1762.29</v>
      </c>
      <c r="S209">
        <f>Source!Y105</f>
        <v>17.45</v>
      </c>
      <c r="T209">
        <f>Source!Y106</f>
        <v>983.17</v>
      </c>
      <c r="U209">
        <f>ROUND((175/100)*ROUND(Source!R105, 2), 2)</f>
        <v>0</v>
      </c>
      <c r="V209">
        <f>ROUND((0/100)*ROUND(Source!R106, 2), 2)</f>
        <v>0</v>
      </c>
      <c r="AC209">
        <v>0</v>
      </c>
    </row>
    <row r="210" spans="1:29" ht="14.25" hidden="1" x14ac:dyDescent="0.2">
      <c r="A210" s="19"/>
      <c r="B210" s="19"/>
      <c r="C210" s="19" t="s">
        <v>524</v>
      </c>
      <c r="D210" s="21"/>
      <c r="E210" s="20"/>
      <c r="F210" s="23">
        <f>Source!AO105</f>
        <v>25.24</v>
      </c>
      <c r="G210" s="22" t="s">
        <v>139</v>
      </c>
      <c r="H210" s="20">
        <f>Source!AV106</f>
        <v>1.087</v>
      </c>
      <c r="I210" s="23">
        <f>Source!S105</f>
        <v>32.92</v>
      </c>
      <c r="J210" s="20">
        <f>IF(Source!BA106&lt;&gt; 0, Source!BA106, 1)</f>
        <v>56.35</v>
      </c>
      <c r="K210" s="23">
        <f>Source!S106</f>
        <v>1855.04</v>
      </c>
      <c r="N210"/>
    </row>
    <row r="211" spans="1:29" ht="14.25" hidden="1" x14ac:dyDescent="0.2">
      <c r="A211" s="19"/>
      <c r="B211" s="19"/>
      <c r="C211" s="19" t="s">
        <v>538</v>
      </c>
      <c r="D211" s="21"/>
      <c r="E211" s="20"/>
      <c r="F211" s="23">
        <f>Source!AL105</f>
        <v>0.3</v>
      </c>
      <c r="G211" s="22"/>
      <c r="H211" s="20">
        <f>Source!AW106</f>
        <v>1</v>
      </c>
      <c r="I211" s="23">
        <f>Source!P105</f>
        <v>0.3</v>
      </c>
      <c r="J211" s="20">
        <f>IF(Source!BC106&lt;&gt; 0, Source!BC106, 1)</f>
        <v>7.37</v>
      </c>
      <c r="K211" s="23">
        <f>Source!P106</f>
        <v>2.21</v>
      </c>
      <c r="N211"/>
    </row>
    <row r="212" spans="1:29" ht="14.25" hidden="1" x14ac:dyDescent="0.2">
      <c r="A212" s="19"/>
      <c r="B212" s="19"/>
      <c r="C212" s="19" t="s">
        <v>526</v>
      </c>
      <c r="D212" s="21" t="s">
        <v>527</v>
      </c>
      <c r="E212" s="20">
        <f>Source!BZ106</f>
        <v>95</v>
      </c>
      <c r="F212" s="23"/>
      <c r="G212" s="22"/>
      <c r="H212" s="20"/>
      <c r="I212" s="23">
        <f>SUM(Q209:Q211)</f>
        <v>31.27</v>
      </c>
      <c r="J212" s="20">
        <f>Source!AT106</f>
        <v>95</v>
      </c>
      <c r="K212" s="23">
        <f>SUM(R209:R211)</f>
        <v>1762.29</v>
      </c>
      <c r="N212"/>
    </row>
    <row r="213" spans="1:29" ht="14.25" hidden="1" x14ac:dyDescent="0.2">
      <c r="A213" s="19"/>
      <c r="B213" s="19"/>
      <c r="C213" s="19" t="s">
        <v>528</v>
      </c>
      <c r="D213" s="21" t="s">
        <v>527</v>
      </c>
      <c r="E213" s="20">
        <f>Source!CA106</f>
        <v>53</v>
      </c>
      <c r="F213" s="23"/>
      <c r="G213" s="22"/>
      <c r="H213" s="20"/>
      <c r="I213" s="23">
        <f>SUM(S209:S212)</f>
        <v>17.45</v>
      </c>
      <c r="J213" s="20">
        <f>Source!AU106</f>
        <v>53</v>
      </c>
      <c r="K213" s="23">
        <f>SUM(T209:T212)</f>
        <v>983.17</v>
      </c>
      <c r="N213"/>
    </row>
    <row r="214" spans="1:29" ht="14.25" hidden="1" x14ac:dyDescent="0.2">
      <c r="A214" s="24"/>
      <c r="B214" s="24"/>
      <c r="C214" s="24" t="s">
        <v>529</v>
      </c>
      <c r="D214" s="25" t="s">
        <v>530</v>
      </c>
      <c r="E214" s="26">
        <f>Source!AQ105</f>
        <v>2</v>
      </c>
      <c r="F214" s="27"/>
      <c r="G214" s="28" t="s">
        <v>139</v>
      </c>
      <c r="H214" s="26">
        <f>Source!AV106</f>
        <v>1.087</v>
      </c>
      <c r="I214" s="27">
        <f>Source!U105</f>
        <v>2.6088</v>
      </c>
      <c r="J214" s="26"/>
      <c r="K214" s="27"/>
      <c r="N214"/>
    </row>
    <row r="215" spans="1:29" ht="15" hidden="1" x14ac:dyDescent="0.2">
      <c r="C215" s="29" t="s">
        <v>531</v>
      </c>
      <c r="H215" s="45">
        <f>I210+I211+I212+I213+0-0-0</f>
        <v>81.94</v>
      </c>
      <c r="I215" s="45"/>
      <c r="J215" s="45">
        <f>K210+K211+K212+K213+0-0-0</f>
        <v>4602.71</v>
      </c>
      <c r="K215" s="45"/>
      <c r="N215"/>
    </row>
    <row r="216" spans="1:29" ht="15" hidden="1" x14ac:dyDescent="0.2">
      <c r="C216" s="29" t="s">
        <v>532</v>
      </c>
      <c r="H216" s="43">
        <f>0+0</f>
        <v>0</v>
      </c>
      <c r="I216" s="43"/>
      <c r="J216" s="43">
        <f>0+0</f>
        <v>0</v>
      </c>
      <c r="K216" s="43"/>
      <c r="N216"/>
    </row>
    <row r="217" spans="1:29" ht="15" hidden="1" x14ac:dyDescent="0.2">
      <c r="C217" s="29" t="s">
        <v>533</v>
      </c>
      <c r="H217" s="43">
        <f>I210+I211+I212+I213+0</f>
        <v>81.94</v>
      </c>
      <c r="I217" s="43"/>
      <c r="J217" s="43">
        <f>K210+K211+K212+K213+0</f>
        <v>4602.71</v>
      </c>
      <c r="K217" s="43"/>
      <c r="N217"/>
      <c r="O217" s="30">
        <f>I210+I211+I212+I213+0</f>
        <v>81.94</v>
      </c>
      <c r="P217" s="30">
        <f>K210+K211+K212+K213+0</f>
        <v>4602.71</v>
      </c>
    </row>
    <row r="218" spans="1:29" hidden="1" x14ac:dyDescent="0.2">
      <c r="N218"/>
    </row>
    <row r="219" spans="1:29" ht="54" x14ac:dyDescent="0.2">
      <c r="A219" s="75">
        <v>21</v>
      </c>
      <c r="B219" s="75" t="str">
        <f>Source!F107</f>
        <v>КА, п.5</v>
      </c>
      <c r="C219" s="75" t="s">
        <v>554</v>
      </c>
      <c r="D219" s="76" t="str">
        <f>Source!H107</f>
        <v>ШТ</v>
      </c>
      <c r="E219" s="77">
        <f>Source!I107</f>
        <v>1</v>
      </c>
      <c r="F219" s="78">
        <f>Source!AL107</f>
        <v>156.29000000000002</v>
      </c>
      <c r="G219" s="79"/>
      <c r="H219" s="77">
        <f>Source!AW108</f>
        <v>1</v>
      </c>
      <c r="I219" s="78">
        <f>Source!P107</f>
        <v>156.29</v>
      </c>
      <c r="J219" s="77">
        <f>IF(Source!BC108&lt;&gt; 0, Source!BC108, 1)</f>
        <v>9.84</v>
      </c>
      <c r="K219" s="78">
        <f>Source!P108</f>
        <v>1537.89</v>
      </c>
      <c r="L219" s="80" t="s">
        <v>550</v>
      </c>
      <c r="N219" s="81" t="s">
        <v>548</v>
      </c>
      <c r="Q219">
        <f>Source!X107</f>
        <v>0</v>
      </c>
      <c r="R219">
        <f>Source!X108</f>
        <v>0</v>
      </c>
      <c r="S219">
        <f>Source!Y107</f>
        <v>0</v>
      </c>
      <c r="T219">
        <f>Source!Y108</f>
        <v>0</v>
      </c>
      <c r="U219">
        <f>ROUND((175/100)*ROUND(Source!R107, 2), 2)</f>
        <v>0</v>
      </c>
      <c r="V219">
        <f>ROUND((0/100)*ROUND(Source!R108, 2), 2)</f>
        <v>0</v>
      </c>
      <c r="AC219">
        <v>5</v>
      </c>
    </row>
    <row r="220" spans="1:29" ht="15" hidden="1" x14ac:dyDescent="0.2">
      <c r="A220" s="33"/>
      <c r="B220" s="33"/>
      <c r="C220" s="34" t="s">
        <v>533</v>
      </c>
      <c r="D220" s="33"/>
      <c r="E220" s="33"/>
      <c r="F220" s="33"/>
      <c r="G220" s="33"/>
      <c r="H220" s="47">
        <f>I219+0</f>
        <v>156.29</v>
      </c>
      <c r="I220" s="47"/>
      <c r="J220" s="47">
        <f>K219+0</f>
        <v>1537.89</v>
      </c>
      <c r="K220" s="47"/>
      <c r="N220"/>
      <c r="O220" s="30">
        <f>I219+0</f>
        <v>156.29</v>
      </c>
      <c r="P220" s="30">
        <f>K219+0</f>
        <v>1537.89</v>
      </c>
    </row>
    <row r="221" spans="1:29" hidden="1" x14ac:dyDescent="0.2">
      <c r="N221"/>
    </row>
    <row r="222" spans="1:29" hidden="1" x14ac:dyDescent="0.2">
      <c r="N222"/>
    </row>
    <row r="223" spans="1:29" ht="15" hidden="1" x14ac:dyDescent="0.25">
      <c r="A223" s="42" t="str">
        <f>CONCATENATE("Итого по разделу: ",IF(Source!G110&lt;&gt;"Новый раздел", Source!G110, ""))</f>
        <v>Итого по разделу: Комплект основного оборудования</v>
      </c>
      <c r="B223" s="42"/>
      <c r="C223" s="42"/>
      <c r="D223" s="42"/>
      <c r="E223" s="42"/>
      <c r="F223" s="42"/>
      <c r="G223" s="42"/>
      <c r="H223" s="43">
        <f>SUM(O142:O222)</f>
        <v>11425.220000000001</v>
      </c>
      <c r="I223" s="44"/>
      <c r="J223" s="43">
        <f>SUM(P142:P222)</f>
        <v>142542.29999999999</v>
      </c>
      <c r="K223" s="44"/>
      <c r="N223"/>
    </row>
    <row r="224" spans="1:29" hidden="1" x14ac:dyDescent="0.2">
      <c r="A224" t="s">
        <v>536</v>
      </c>
      <c r="I224">
        <f>SUM(W142:W223)</f>
        <v>0</v>
      </c>
      <c r="J224">
        <f>SUM(X142:X223)</f>
        <v>0</v>
      </c>
      <c r="N224"/>
    </row>
    <row r="225" spans="1:29" hidden="1" x14ac:dyDescent="0.2">
      <c r="A225" t="s">
        <v>537</v>
      </c>
      <c r="I225">
        <f>SUM(Y142:Y224)</f>
        <v>0</v>
      </c>
      <c r="J225">
        <f>SUM(Z142:Z224)</f>
        <v>0</v>
      </c>
      <c r="N225"/>
    </row>
    <row r="226" spans="1:29" hidden="1" x14ac:dyDescent="0.2">
      <c r="N226"/>
    </row>
    <row r="227" spans="1:29" ht="16.5" hidden="1" x14ac:dyDescent="0.2">
      <c r="A227" s="46" t="str">
        <f>CONCATENATE("Раздел: ",IF(Source!G140&lt;&gt;"Новый раздел", Source!G140, ""))</f>
        <v>Раздел: Оборудование устанавливаемое по месту</v>
      </c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N227"/>
    </row>
    <row r="228" spans="1:29" ht="57" hidden="1" x14ac:dyDescent="0.2">
      <c r="A228" s="19">
        <v>22</v>
      </c>
      <c r="B228" s="19" t="str">
        <f>Source!F144</f>
        <v>4.10-136-1</v>
      </c>
      <c r="C228" s="19" t="s">
        <v>141</v>
      </c>
      <c r="D228" s="21" t="str">
        <f>Source!H144</f>
        <v>1  ШТ.</v>
      </c>
      <c r="E228" s="20">
        <f>Source!I144</f>
        <v>6</v>
      </c>
      <c r="F228" s="23"/>
      <c r="G228" s="22"/>
      <c r="H228" s="20"/>
      <c r="I228" s="23"/>
      <c r="J228" s="20"/>
      <c r="K228" s="23"/>
      <c r="N228"/>
      <c r="Q228">
        <f>Source!X144</f>
        <v>81.94</v>
      </c>
      <c r="R228">
        <f>Source!X145</f>
        <v>4617.18</v>
      </c>
      <c r="S228">
        <f>Source!Y144</f>
        <v>45.71</v>
      </c>
      <c r="T228">
        <f>Source!Y145</f>
        <v>2575.9</v>
      </c>
      <c r="U228">
        <f>ROUND((175/100)*ROUND(Source!R144, 2), 2)</f>
        <v>0</v>
      </c>
      <c r="V228">
        <f>ROUND((0/100)*ROUND(Source!R145, 2), 2)</f>
        <v>0</v>
      </c>
      <c r="AC228">
        <v>0</v>
      </c>
    </row>
    <row r="229" spans="1:29" ht="14.25" hidden="1" x14ac:dyDescent="0.2">
      <c r="A229" s="19"/>
      <c r="B229" s="19"/>
      <c r="C229" s="19" t="s">
        <v>524</v>
      </c>
      <c r="D229" s="21"/>
      <c r="E229" s="20"/>
      <c r="F229" s="23">
        <f>Source!AO144</f>
        <v>11.02</v>
      </c>
      <c r="G229" s="22" t="s">
        <v>139</v>
      </c>
      <c r="H229" s="20">
        <f>Source!AV145</f>
        <v>1.087</v>
      </c>
      <c r="I229" s="23">
        <f>Source!S144</f>
        <v>86.25</v>
      </c>
      <c r="J229" s="20">
        <f>IF(Source!BA145&lt;&gt; 0, Source!BA145, 1)</f>
        <v>56.35</v>
      </c>
      <c r="K229" s="23">
        <f>Source!S145</f>
        <v>4860.1899999999996</v>
      </c>
      <c r="N229"/>
    </row>
    <row r="230" spans="1:29" ht="14.25" hidden="1" x14ac:dyDescent="0.2">
      <c r="A230" s="19"/>
      <c r="B230" s="19"/>
      <c r="C230" s="19" t="s">
        <v>538</v>
      </c>
      <c r="D230" s="21"/>
      <c r="E230" s="20"/>
      <c r="F230" s="23">
        <f>Source!AL144</f>
        <v>0.3</v>
      </c>
      <c r="G230" s="22"/>
      <c r="H230" s="20">
        <f>Source!AW145</f>
        <v>1</v>
      </c>
      <c r="I230" s="23">
        <f>Source!P144</f>
        <v>1.8</v>
      </c>
      <c r="J230" s="20">
        <f>IF(Source!BC145&lt;&gt; 0, Source!BC145, 1)</f>
        <v>7.37</v>
      </c>
      <c r="K230" s="23">
        <f>Source!P145</f>
        <v>13.27</v>
      </c>
      <c r="N230"/>
    </row>
    <row r="231" spans="1:29" ht="14.25" hidden="1" x14ac:dyDescent="0.2">
      <c r="A231" s="19"/>
      <c r="B231" s="19"/>
      <c r="C231" s="19" t="s">
        <v>526</v>
      </c>
      <c r="D231" s="21" t="s">
        <v>527</v>
      </c>
      <c r="E231" s="20">
        <f>Source!BZ145</f>
        <v>95</v>
      </c>
      <c r="F231" s="23"/>
      <c r="G231" s="22"/>
      <c r="H231" s="20"/>
      <c r="I231" s="23">
        <f>SUM(Q228:Q230)</f>
        <v>81.94</v>
      </c>
      <c r="J231" s="20">
        <f>Source!AT145</f>
        <v>95</v>
      </c>
      <c r="K231" s="23">
        <f>SUM(R228:R230)</f>
        <v>4617.18</v>
      </c>
      <c r="N231"/>
    </row>
    <row r="232" spans="1:29" ht="14.25" hidden="1" x14ac:dyDescent="0.2">
      <c r="A232" s="19"/>
      <c r="B232" s="19"/>
      <c r="C232" s="19" t="s">
        <v>528</v>
      </c>
      <c r="D232" s="21" t="s">
        <v>527</v>
      </c>
      <c r="E232" s="20">
        <f>Source!CA145</f>
        <v>53</v>
      </c>
      <c r="F232" s="23"/>
      <c r="G232" s="22"/>
      <c r="H232" s="20"/>
      <c r="I232" s="23">
        <f>SUM(S228:S231)</f>
        <v>45.71</v>
      </c>
      <c r="J232" s="20">
        <f>Source!AU145</f>
        <v>53</v>
      </c>
      <c r="K232" s="23">
        <f>SUM(T228:T231)</f>
        <v>2575.9</v>
      </c>
      <c r="N232"/>
    </row>
    <row r="233" spans="1:29" ht="14.25" hidden="1" x14ac:dyDescent="0.2">
      <c r="A233" s="24"/>
      <c r="B233" s="24"/>
      <c r="C233" s="24" t="s">
        <v>529</v>
      </c>
      <c r="D233" s="25" t="s">
        <v>530</v>
      </c>
      <c r="E233" s="26">
        <f>Source!AQ144</f>
        <v>0.8</v>
      </c>
      <c r="F233" s="27"/>
      <c r="G233" s="28" t="s">
        <v>139</v>
      </c>
      <c r="H233" s="26">
        <f>Source!AV145</f>
        <v>1.087</v>
      </c>
      <c r="I233" s="27">
        <f>Source!U144</f>
        <v>6.26112</v>
      </c>
      <c r="J233" s="26"/>
      <c r="K233" s="27"/>
      <c r="N233"/>
    </row>
    <row r="234" spans="1:29" ht="15" hidden="1" x14ac:dyDescent="0.2">
      <c r="C234" s="29" t="s">
        <v>531</v>
      </c>
      <c r="H234" s="45">
        <f>I229+I230+I231+I232+0-0-0</f>
        <v>215.70000000000002</v>
      </c>
      <c r="I234" s="45"/>
      <c r="J234" s="45">
        <f>K229+K230+K231+K232+0-0-0</f>
        <v>12066.539999999999</v>
      </c>
      <c r="K234" s="45"/>
      <c r="N234"/>
    </row>
    <row r="235" spans="1:29" ht="15" hidden="1" x14ac:dyDescent="0.2">
      <c r="C235" s="29" t="s">
        <v>532</v>
      </c>
      <c r="H235" s="43">
        <f>0+0</f>
        <v>0</v>
      </c>
      <c r="I235" s="43"/>
      <c r="J235" s="43">
        <f>0+0</f>
        <v>0</v>
      </c>
      <c r="K235" s="43"/>
      <c r="N235"/>
    </row>
    <row r="236" spans="1:29" ht="15" hidden="1" x14ac:dyDescent="0.2">
      <c r="C236" s="29" t="s">
        <v>533</v>
      </c>
      <c r="H236" s="43">
        <f>I229+I230+I231+I232+0</f>
        <v>215.70000000000002</v>
      </c>
      <c r="I236" s="43"/>
      <c r="J236" s="43">
        <f>K229+K230+K231+K232+0</f>
        <v>12066.539999999999</v>
      </c>
      <c r="K236" s="43"/>
      <c r="N236"/>
      <c r="O236" s="30">
        <f>I229+I230+I231+I232+0</f>
        <v>215.70000000000002</v>
      </c>
      <c r="P236" s="30">
        <f>K229+K230+K231+K232+0</f>
        <v>12066.539999999999</v>
      </c>
    </row>
    <row r="237" spans="1:29" hidden="1" x14ac:dyDescent="0.2">
      <c r="N237"/>
    </row>
    <row r="238" spans="1:29" ht="42.75" hidden="1" x14ac:dyDescent="0.2">
      <c r="A238" s="24">
        <v>23</v>
      </c>
      <c r="B238" s="24" t="str">
        <f>Source!F146</f>
        <v>1.14-1-249</v>
      </c>
      <c r="C238" s="24" t="s">
        <v>182</v>
      </c>
      <c r="D238" s="25" t="str">
        <f>Source!H146</f>
        <v>шт.</v>
      </c>
      <c r="E238" s="26">
        <f>Source!I146</f>
        <v>6</v>
      </c>
      <c r="F238" s="27">
        <f>Source!AL146</f>
        <v>330.92</v>
      </c>
      <c r="G238" s="28"/>
      <c r="H238" s="26">
        <f>Source!AW147</f>
        <v>1</v>
      </c>
      <c r="I238" s="27">
        <f>Source!P146</f>
        <v>1985.52</v>
      </c>
      <c r="J238" s="26">
        <f>IF(Source!BC147&lt;&gt; 0, Source!BC147, 1)</f>
        <v>0.63</v>
      </c>
      <c r="K238" s="27">
        <f>Source!P147</f>
        <v>1250.8800000000001</v>
      </c>
      <c r="N238"/>
      <c r="Q238">
        <f>Source!X146</f>
        <v>0</v>
      </c>
      <c r="R238">
        <f>Source!X147</f>
        <v>0</v>
      </c>
      <c r="S238">
        <f>Source!Y146</f>
        <v>0</v>
      </c>
      <c r="T238">
        <f>Source!Y147</f>
        <v>0</v>
      </c>
      <c r="U238">
        <f>ROUND((175/100)*ROUND(Source!R146, 2), 2)</f>
        <v>0</v>
      </c>
      <c r="V238">
        <f>ROUND((0/100)*ROUND(Source!R147, 2), 2)</f>
        <v>0</v>
      </c>
      <c r="AC238">
        <v>3</v>
      </c>
    </row>
    <row r="239" spans="1:29" ht="15" hidden="1" x14ac:dyDescent="0.2">
      <c r="C239" s="29" t="s">
        <v>533</v>
      </c>
      <c r="H239" s="45">
        <f>I238+0</f>
        <v>1985.52</v>
      </c>
      <c r="I239" s="45"/>
      <c r="J239" s="45">
        <f>K238+0</f>
        <v>1250.8800000000001</v>
      </c>
      <c r="K239" s="45"/>
      <c r="N239"/>
      <c r="O239" s="30">
        <f>I238+0</f>
        <v>1985.52</v>
      </c>
      <c r="P239" s="30">
        <f>K238+0</f>
        <v>1250.8800000000001</v>
      </c>
    </row>
    <row r="240" spans="1:29" hidden="1" x14ac:dyDescent="0.2">
      <c r="N240"/>
    </row>
    <row r="241" spans="1:29" ht="28.5" hidden="1" x14ac:dyDescent="0.2">
      <c r="A241" s="19">
        <v>24</v>
      </c>
      <c r="B241" s="19" t="str">
        <f>Source!F148</f>
        <v>4.8-333-7</v>
      </c>
      <c r="C241" s="19" t="s">
        <v>189</v>
      </c>
      <c r="D241" s="21" t="str">
        <f>Source!H148</f>
        <v>100 шт.</v>
      </c>
      <c r="E241" s="20">
        <f>Source!I148</f>
        <v>0.06</v>
      </c>
      <c r="F241" s="23"/>
      <c r="G241" s="22"/>
      <c r="H241" s="20"/>
      <c r="I241" s="23"/>
      <c r="J241" s="20"/>
      <c r="K241" s="23"/>
      <c r="N241"/>
      <c r="Q241">
        <f>Source!X148</f>
        <v>15.4</v>
      </c>
      <c r="R241">
        <f>Source!X149</f>
        <v>867.99</v>
      </c>
      <c r="S241">
        <f>Source!Y148</f>
        <v>8.1</v>
      </c>
      <c r="T241">
        <f>Source!Y149</f>
        <v>456.36</v>
      </c>
      <c r="U241">
        <f>ROUND((175/100)*ROUND(Source!R148, 2), 2)</f>
        <v>0.02</v>
      </c>
      <c r="V241">
        <f>ROUND((0/100)*ROUND(Source!R149, 2), 2)</f>
        <v>0</v>
      </c>
      <c r="AC241">
        <v>0</v>
      </c>
    </row>
    <row r="242" spans="1:29" hidden="1" x14ac:dyDescent="0.2">
      <c r="C242" s="32" t="str">
        <f>"Объем: "&amp;Source!I148&amp;"=6/"&amp;"100"</f>
        <v>Объем: 0,06=6/100</v>
      </c>
      <c r="N242"/>
    </row>
    <row r="243" spans="1:29" ht="14.25" hidden="1" x14ac:dyDescent="0.2">
      <c r="A243" s="19"/>
      <c r="B243" s="19"/>
      <c r="C243" s="19" t="s">
        <v>524</v>
      </c>
      <c r="D243" s="21"/>
      <c r="E243" s="20"/>
      <c r="F243" s="23">
        <f>Source!AO148</f>
        <v>210.57</v>
      </c>
      <c r="G243" s="22" t="s">
        <v>139</v>
      </c>
      <c r="H243" s="20">
        <f>Source!AV149</f>
        <v>1.0469999999999999</v>
      </c>
      <c r="I243" s="23">
        <f>Source!S148</f>
        <v>15.87</v>
      </c>
      <c r="J243" s="20">
        <f>IF(Source!BA149&lt;&gt; 0, Source!BA149, 1)</f>
        <v>56.35</v>
      </c>
      <c r="K243" s="23">
        <f>Source!S149</f>
        <v>894.27</v>
      </c>
      <c r="N243"/>
    </row>
    <row r="244" spans="1:29" ht="14.25" hidden="1" x14ac:dyDescent="0.2">
      <c r="A244" s="19"/>
      <c r="B244" s="19"/>
      <c r="C244" s="19" t="s">
        <v>534</v>
      </c>
      <c r="D244" s="21"/>
      <c r="E244" s="20"/>
      <c r="F244" s="23">
        <f>Source!AM148</f>
        <v>0.83</v>
      </c>
      <c r="G244" s="22" t="s">
        <v>139</v>
      </c>
      <c r="H244" s="20">
        <f>Source!AV149</f>
        <v>1.0469999999999999</v>
      </c>
      <c r="I244" s="23">
        <f>Source!Q148</f>
        <v>0.06</v>
      </c>
      <c r="J244" s="20">
        <f>IF(Source!BB149&lt;&gt; 0, Source!BB149, 1)</f>
        <v>17.100000000000001</v>
      </c>
      <c r="K244" s="23">
        <f>Source!Q149</f>
        <v>1.03</v>
      </c>
      <c r="N244"/>
    </row>
    <row r="245" spans="1:29" ht="14.25" hidden="1" x14ac:dyDescent="0.2">
      <c r="A245" s="19"/>
      <c r="B245" s="19"/>
      <c r="C245" s="19" t="s">
        <v>535</v>
      </c>
      <c r="D245" s="21"/>
      <c r="E245" s="20"/>
      <c r="F245" s="23">
        <f>Source!AN148</f>
        <v>0.13</v>
      </c>
      <c r="G245" s="22" t="s">
        <v>139</v>
      </c>
      <c r="H245" s="20">
        <f>Source!AV149</f>
        <v>1.0469999999999999</v>
      </c>
      <c r="I245" s="31">
        <f>Source!R148</f>
        <v>0.01</v>
      </c>
      <c r="J245" s="20">
        <f>IF(Source!BS149&lt;&gt; 0, Source!BS149, 1)</f>
        <v>56.35</v>
      </c>
      <c r="K245" s="31">
        <f>Source!R149</f>
        <v>0.56000000000000005</v>
      </c>
      <c r="N245"/>
    </row>
    <row r="246" spans="1:29" ht="199.5" hidden="1" x14ac:dyDescent="0.2">
      <c r="A246" s="19" t="s">
        <v>191</v>
      </c>
      <c r="B246" s="19" t="str">
        <f>Source!F150</f>
        <v>1.14-1-199</v>
      </c>
      <c r="C246" s="19" t="s">
        <v>493</v>
      </c>
      <c r="D246" s="21" t="str">
        <f>Source!H150</f>
        <v>шт.</v>
      </c>
      <c r="E246" s="20">
        <f>Source!I150</f>
        <v>6.12</v>
      </c>
      <c r="F246" s="23">
        <f>Source!AK150</f>
        <v>133.05000000000001</v>
      </c>
      <c r="G246" s="35" t="s">
        <v>3</v>
      </c>
      <c r="H246" s="20">
        <f>Source!AW151</f>
        <v>1</v>
      </c>
      <c r="I246" s="23">
        <f>Source!O150</f>
        <v>814.27</v>
      </c>
      <c r="J246" s="20">
        <f>IF(Source!BC151&lt;&gt; 0, Source!BC151, 1)</f>
        <v>9.34</v>
      </c>
      <c r="K246" s="23">
        <f>Source!O151</f>
        <v>7605.28</v>
      </c>
      <c r="N246"/>
      <c r="Q246">
        <f>Source!X150</f>
        <v>0</v>
      </c>
      <c r="R246">
        <f>Source!X151</f>
        <v>0</v>
      </c>
      <c r="S246">
        <f>Source!Y150</f>
        <v>0</v>
      </c>
      <c r="T246">
        <f>Source!Y151</f>
        <v>0</v>
      </c>
      <c r="U246">
        <f>ROUND((175/100)*ROUND(Source!R150, 2), 2)</f>
        <v>0</v>
      </c>
      <c r="V246">
        <f>ROUND((0/100)*ROUND(Source!R151, 2), 2)</f>
        <v>0</v>
      </c>
      <c r="AC246">
        <v>3</v>
      </c>
    </row>
    <row r="247" spans="1:29" ht="14.25" hidden="1" x14ac:dyDescent="0.2">
      <c r="A247" s="19"/>
      <c r="B247" s="19"/>
      <c r="C247" s="19" t="s">
        <v>526</v>
      </c>
      <c r="D247" s="21" t="s">
        <v>527</v>
      </c>
      <c r="E247" s="20">
        <f>Source!BZ149</f>
        <v>97</v>
      </c>
      <c r="F247" s="23"/>
      <c r="G247" s="22"/>
      <c r="H247" s="20"/>
      <c r="I247" s="23">
        <f>SUM(Q241:Q246)</f>
        <v>15.4</v>
      </c>
      <c r="J247" s="20">
        <f>Source!AT149</f>
        <v>97</v>
      </c>
      <c r="K247" s="23">
        <f>SUM(R241:R246)</f>
        <v>867.99</v>
      </c>
      <c r="N247"/>
    </row>
    <row r="248" spans="1:29" ht="14.25" hidden="1" x14ac:dyDescent="0.2">
      <c r="A248" s="19"/>
      <c r="B248" s="19"/>
      <c r="C248" s="19" t="s">
        <v>528</v>
      </c>
      <c r="D248" s="21" t="s">
        <v>527</v>
      </c>
      <c r="E248" s="20">
        <f>Source!CA149</f>
        <v>51</v>
      </c>
      <c r="F248" s="23"/>
      <c r="G248" s="22"/>
      <c r="H248" s="20"/>
      <c r="I248" s="23">
        <f>SUM(S241:S247)</f>
        <v>8.1</v>
      </c>
      <c r="J248" s="20">
        <f>Source!AU149</f>
        <v>51</v>
      </c>
      <c r="K248" s="23">
        <f>SUM(T241:T247)</f>
        <v>456.36</v>
      </c>
      <c r="N248"/>
    </row>
    <row r="249" spans="1:29" ht="14.25" hidden="1" x14ac:dyDescent="0.2">
      <c r="A249" s="24"/>
      <c r="B249" s="24"/>
      <c r="C249" s="24" t="s">
        <v>529</v>
      </c>
      <c r="D249" s="25" t="s">
        <v>530</v>
      </c>
      <c r="E249" s="26">
        <f>Source!AQ148</f>
        <v>18.84</v>
      </c>
      <c r="F249" s="27"/>
      <c r="G249" s="28" t="s">
        <v>139</v>
      </c>
      <c r="H249" s="26">
        <f>Source!AV149</f>
        <v>1.0469999999999999</v>
      </c>
      <c r="I249" s="27">
        <f>Source!U148</f>
        <v>1.4202345599999999</v>
      </c>
      <c r="J249" s="26"/>
      <c r="K249" s="27"/>
      <c r="N249"/>
    </row>
    <row r="250" spans="1:29" ht="15" hidden="1" x14ac:dyDescent="0.2">
      <c r="C250" s="29" t="s">
        <v>531</v>
      </c>
      <c r="H250" s="45">
        <f>I243+I244+I247+I248+SUM(I246:I246)-SUMIF(AC246:AC246, 5, I246:I246)-SUMIF(AC246:AC246, 6, I246:I246)</f>
        <v>853.69999999999993</v>
      </c>
      <c r="I250" s="45"/>
      <c r="J250" s="45">
        <f>K243+K244+K247+K248+SUM(K246:K246)-SUMIF(AC246:AC246, 5, K246:K246)-SUMIF(AC246:AC246, 6, K246:K246)</f>
        <v>9824.93</v>
      </c>
      <c r="K250" s="45"/>
      <c r="N250"/>
    </row>
    <row r="251" spans="1:29" ht="15" hidden="1" x14ac:dyDescent="0.2">
      <c r="C251" s="29" t="s">
        <v>532</v>
      </c>
      <c r="H251" s="43">
        <f>SUMIF(AC246:AC246, 5, I246:I246)+SUMIF(AC246:AC246, 6, I246:I246)</f>
        <v>0</v>
      </c>
      <c r="I251" s="43"/>
      <c r="J251" s="43">
        <f>SUMIF(AC246:AC246, 5, K246:K246)+SUMIF(AC246:AC246, 6, K246:K246)</f>
        <v>0</v>
      </c>
      <c r="K251" s="43"/>
      <c r="N251"/>
    </row>
    <row r="252" spans="1:29" ht="15" hidden="1" x14ac:dyDescent="0.2">
      <c r="C252" s="29" t="s">
        <v>533</v>
      </c>
      <c r="H252" s="43">
        <f>I243+I244+I247+I248+SUM(I246:I246)</f>
        <v>853.69999999999993</v>
      </c>
      <c r="I252" s="43"/>
      <c r="J252" s="43">
        <f>K243+K244+K247+K248+SUM(K246:K246)</f>
        <v>9824.93</v>
      </c>
      <c r="K252" s="43"/>
      <c r="N252"/>
      <c r="O252" s="30">
        <f>I243+I244+I247+I248+SUM(I246:I246)</f>
        <v>853.69999999999993</v>
      </c>
      <c r="P252" s="30">
        <f>K243+K244+K247+K248+SUM(K246:K246)</f>
        <v>9824.93</v>
      </c>
    </row>
    <row r="253" spans="1:29" hidden="1" x14ac:dyDescent="0.2">
      <c r="N253"/>
    </row>
    <row r="254" spans="1:29" ht="42.75" hidden="1" x14ac:dyDescent="0.2">
      <c r="A254" s="24">
        <v>25</v>
      </c>
      <c r="B254" s="24" t="str">
        <f>Source!F152</f>
        <v>1.14-1-312</v>
      </c>
      <c r="C254" s="24" t="s">
        <v>196</v>
      </c>
      <c r="D254" s="25" t="str">
        <f>Source!H152</f>
        <v>шт.</v>
      </c>
      <c r="E254" s="26">
        <f>Source!I152</f>
        <v>6</v>
      </c>
      <c r="F254" s="27">
        <f>Source!AL152</f>
        <v>40.64</v>
      </c>
      <c r="G254" s="28"/>
      <c r="H254" s="26">
        <f>Source!AW153</f>
        <v>1</v>
      </c>
      <c r="I254" s="27">
        <f>Source!P152</f>
        <v>243.84</v>
      </c>
      <c r="J254" s="26">
        <f>IF(Source!BC153&lt;&gt; 0, Source!BC153, 1)</f>
        <v>6.8</v>
      </c>
      <c r="K254" s="27">
        <f>Source!P153</f>
        <v>1658.11</v>
      </c>
      <c r="N254"/>
      <c r="Q254">
        <f>Source!X152</f>
        <v>0</v>
      </c>
      <c r="R254">
        <f>Source!X153</f>
        <v>0</v>
      </c>
      <c r="S254">
        <f>Source!Y152</f>
        <v>0</v>
      </c>
      <c r="T254">
        <f>Source!Y153</f>
        <v>0</v>
      </c>
      <c r="U254">
        <f>ROUND((175/100)*ROUND(Source!R152, 2), 2)</f>
        <v>0</v>
      </c>
      <c r="V254">
        <f>ROUND((0/100)*ROUND(Source!R153, 2), 2)</f>
        <v>0</v>
      </c>
      <c r="AC254">
        <v>3</v>
      </c>
    </row>
    <row r="255" spans="1:29" ht="15" hidden="1" x14ac:dyDescent="0.2">
      <c r="C255" s="29" t="s">
        <v>533</v>
      </c>
      <c r="H255" s="45">
        <f>I254+0</f>
        <v>243.84</v>
      </c>
      <c r="I255" s="45"/>
      <c r="J255" s="45">
        <f>K254+0</f>
        <v>1658.11</v>
      </c>
      <c r="K255" s="45"/>
      <c r="N255"/>
      <c r="O255" s="30">
        <f>I254+0</f>
        <v>243.84</v>
      </c>
      <c r="P255" s="30">
        <f>K254+0</f>
        <v>1658.11</v>
      </c>
    </row>
    <row r="256" spans="1:29" hidden="1" x14ac:dyDescent="0.2">
      <c r="N256"/>
    </row>
    <row r="257" spans="1:29" hidden="1" x14ac:dyDescent="0.2">
      <c r="N257"/>
    </row>
    <row r="258" spans="1:29" ht="15" hidden="1" x14ac:dyDescent="0.25">
      <c r="A258" s="42" t="str">
        <f>CONCATENATE("Итого по разделу: ",IF(Source!G155&lt;&gt;"Новый раздел", Source!G155, ""))</f>
        <v>Итого по разделу: Оборудование устанавливаемое по месту</v>
      </c>
      <c r="B258" s="42"/>
      <c r="C258" s="42"/>
      <c r="D258" s="42"/>
      <c r="E258" s="42"/>
      <c r="F258" s="42"/>
      <c r="G258" s="42"/>
      <c r="H258" s="43">
        <f>SUM(O227:O257)</f>
        <v>3298.7599999999998</v>
      </c>
      <c r="I258" s="44"/>
      <c r="J258" s="43">
        <f>SUM(P227:P257)</f>
        <v>24800.46</v>
      </c>
      <c r="K258" s="44"/>
      <c r="N258"/>
    </row>
    <row r="259" spans="1:29" hidden="1" x14ac:dyDescent="0.2">
      <c r="A259" t="s">
        <v>536</v>
      </c>
      <c r="I259">
        <f>SUM(W227:W258)</f>
        <v>0</v>
      </c>
      <c r="J259">
        <f>SUM(X227:X258)</f>
        <v>0</v>
      </c>
      <c r="N259"/>
    </row>
    <row r="260" spans="1:29" hidden="1" x14ac:dyDescent="0.2">
      <c r="A260" t="s">
        <v>537</v>
      </c>
      <c r="I260">
        <f>SUM(Y227:Y259)</f>
        <v>0</v>
      </c>
      <c r="J260">
        <f>SUM(Z227:Z259)</f>
        <v>0</v>
      </c>
      <c r="N260"/>
    </row>
    <row r="261" spans="1:29" hidden="1" x14ac:dyDescent="0.2">
      <c r="N261"/>
    </row>
    <row r="262" spans="1:29" ht="16.5" hidden="1" x14ac:dyDescent="0.2">
      <c r="A262" s="46" t="str">
        <f>CONCATENATE("Раздел: ",IF(Source!G185&lt;&gt;"Новый раздел", Source!G185, ""))</f>
        <v>Раздел: Кабели и провода</v>
      </c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N262"/>
    </row>
    <row r="263" spans="1:29" ht="71.25" hidden="1" x14ac:dyDescent="0.2">
      <c r="A263" s="19">
        <v>26</v>
      </c>
      <c r="B263" s="19" t="str">
        <f>Source!F189</f>
        <v>4.8-175-1</v>
      </c>
      <c r="C263" s="19" t="s">
        <v>201</v>
      </c>
      <c r="D263" s="21" t="str">
        <f>Source!H189</f>
        <v>100 м</v>
      </c>
      <c r="E263" s="20">
        <f>Source!I189</f>
        <v>2.1</v>
      </c>
      <c r="F263" s="23"/>
      <c r="G263" s="22"/>
      <c r="H263" s="20"/>
      <c r="I263" s="23"/>
      <c r="J263" s="20"/>
      <c r="K263" s="23"/>
      <c r="N263"/>
      <c r="Q263">
        <f>Source!X189</f>
        <v>142.11000000000001</v>
      </c>
      <c r="R263">
        <f>Source!X190</f>
        <v>8008.16</v>
      </c>
      <c r="S263">
        <f>Source!Y189</f>
        <v>74.72</v>
      </c>
      <c r="T263">
        <f>Source!Y190</f>
        <v>4210.4799999999996</v>
      </c>
      <c r="U263">
        <f>ROUND((175/100)*ROUND(Source!R189, 2), 2)</f>
        <v>1.38</v>
      </c>
      <c r="V263">
        <f>ROUND((0/100)*ROUND(Source!R190, 2), 2)</f>
        <v>0</v>
      </c>
      <c r="AC263">
        <v>0</v>
      </c>
    </row>
    <row r="264" spans="1:29" hidden="1" x14ac:dyDescent="0.2">
      <c r="C264" s="32" t="str">
        <f>"Объем: "&amp;Source!I189&amp;"=(200+"&amp;"10)/"&amp;"100"</f>
        <v>Объем: 2,1=(200+10)/100</v>
      </c>
      <c r="N264"/>
    </row>
    <row r="265" spans="1:29" ht="14.25" hidden="1" x14ac:dyDescent="0.2">
      <c r="A265" s="19"/>
      <c r="B265" s="19"/>
      <c r="C265" s="19" t="s">
        <v>524</v>
      </c>
      <c r="D265" s="21"/>
      <c r="E265" s="20"/>
      <c r="F265" s="23">
        <f>Source!AO189</f>
        <v>55.23</v>
      </c>
      <c r="G265" s="22" t="s">
        <v>139</v>
      </c>
      <c r="H265" s="20">
        <f>Source!AV190</f>
        <v>1.0469999999999999</v>
      </c>
      <c r="I265" s="23">
        <f>Source!S189</f>
        <v>145.72</v>
      </c>
      <c r="J265" s="20">
        <f>IF(Source!BA190&lt;&gt; 0, Source!BA190, 1)</f>
        <v>56.35</v>
      </c>
      <c r="K265" s="23">
        <f>Source!S190</f>
        <v>8211.32</v>
      </c>
      <c r="N265"/>
    </row>
    <row r="266" spans="1:29" ht="14.25" hidden="1" x14ac:dyDescent="0.2">
      <c r="A266" s="19"/>
      <c r="B266" s="19"/>
      <c r="C266" s="19" t="s">
        <v>534</v>
      </c>
      <c r="D266" s="21"/>
      <c r="E266" s="20"/>
      <c r="F266" s="23">
        <f>Source!AM189</f>
        <v>2.62</v>
      </c>
      <c r="G266" s="22" t="s">
        <v>139</v>
      </c>
      <c r="H266" s="20">
        <f>Source!AV190</f>
        <v>1.0469999999999999</v>
      </c>
      <c r="I266" s="23">
        <f>Source!Q189</f>
        <v>6.91</v>
      </c>
      <c r="J266" s="20">
        <f>IF(Source!BB190&lt;&gt; 0, Source!BB190, 1)</f>
        <v>15.28</v>
      </c>
      <c r="K266" s="23">
        <f>Source!Q190</f>
        <v>105.58</v>
      </c>
      <c r="N266"/>
    </row>
    <row r="267" spans="1:29" ht="14.25" hidden="1" x14ac:dyDescent="0.2">
      <c r="A267" s="19"/>
      <c r="B267" s="19"/>
      <c r="C267" s="19" t="s">
        <v>535</v>
      </c>
      <c r="D267" s="21"/>
      <c r="E267" s="20"/>
      <c r="F267" s="23">
        <f>Source!AN189</f>
        <v>0.3</v>
      </c>
      <c r="G267" s="22" t="s">
        <v>139</v>
      </c>
      <c r="H267" s="20">
        <f>Source!AV190</f>
        <v>1.0469999999999999</v>
      </c>
      <c r="I267" s="31">
        <f>Source!R189</f>
        <v>0.79</v>
      </c>
      <c r="J267" s="20">
        <f>IF(Source!BS190&lt;&gt; 0, Source!BS190, 1)</f>
        <v>56.35</v>
      </c>
      <c r="K267" s="31">
        <f>Source!R190</f>
        <v>44.52</v>
      </c>
      <c r="N267"/>
    </row>
    <row r="268" spans="1:29" ht="14.25" hidden="1" x14ac:dyDescent="0.2">
      <c r="A268" s="19"/>
      <c r="B268" s="19"/>
      <c r="C268" s="19" t="s">
        <v>538</v>
      </c>
      <c r="D268" s="21"/>
      <c r="E268" s="20"/>
      <c r="F268" s="23">
        <f>Source!AL189</f>
        <v>58.15</v>
      </c>
      <c r="G268" s="22"/>
      <c r="H268" s="20">
        <f>Source!AW190</f>
        <v>1</v>
      </c>
      <c r="I268" s="23">
        <f>Source!P189</f>
        <v>122.12</v>
      </c>
      <c r="J268" s="20">
        <f>IF(Source!BC190&lt;&gt; 0, Source!BC190, 1)</f>
        <v>3.71</v>
      </c>
      <c r="K268" s="23">
        <f>Source!P190</f>
        <v>453.07</v>
      </c>
      <c r="N268"/>
    </row>
    <row r="269" spans="1:29" ht="14.25" hidden="1" x14ac:dyDescent="0.2">
      <c r="A269" s="19"/>
      <c r="B269" s="19"/>
      <c r="C269" s="19" t="s">
        <v>526</v>
      </c>
      <c r="D269" s="21" t="s">
        <v>527</v>
      </c>
      <c r="E269" s="20">
        <f>Source!BZ190</f>
        <v>97</v>
      </c>
      <c r="F269" s="23"/>
      <c r="G269" s="22"/>
      <c r="H269" s="20"/>
      <c r="I269" s="23">
        <f>SUM(Q263:Q268)</f>
        <v>142.11000000000001</v>
      </c>
      <c r="J269" s="20">
        <f>Source!AT190</f>
        <v>97</v>
      </c>
      <c r="K269" s="23">
        <f>SUM(R263:R268)</f>
        <v>8008.16</v>
      </c>
      <c r="N269"/>
    </row>
    <row r="270" spans="1:29" ht="14.25" hidden="1" x14ac:dyDescent="0.2">
      <c r="A270" s="19"/>
      <c r="B270" s="19"/>
      <c r="C270" s="19" t="s">
        <v>528</v>
      </c>
      <c r="D270" s="21" t="s">
        <v>527</v>
      </c>
      <c r="E270" s="20">
        <f>Source!CA190</f>
        <v>51</v>
      </c>
      <c r="F270" s="23"/>
      <c r="G270" s="22"/>
      <c r="H270" s="20"/>
      <c r="I270" s="23">
        <f>SUM(S263:S269)</f>
        <v>74.72</v>
      </c>
      <c r="J270" s="20">
        <f>Source!AU190</f>
        <v>51</v>
      </c>
      <c r="K270" s="23">
        <f>SUM(T263:T269)</f>
        <v>4210.4799999999996</v>
      </c>
      <c r="N270"/>
    </row>
    <row r="271" spans="1:29" ht="14.25" hidden="1" x14ac:dyDescent="0.2">
      <c r="A271" s="24"/>
      <c r="B271" s="24"/>
      <c r="C271" s="24" t="s">
        <v>529</v>
      </c>
      <c r="D271" s="25" t="s">
        <v>530</v>
      </c>
      <c r="E271" s="26">
        <f>Source!AQ189</f>
        <v>4.49</v>
      </c>
      <c r="F271" s="27"/>
      <c r="G271" s="28" t="s">
        <v>139</v>
      </c>
      <c r="H271" s="26">
        <f>Source!AV190</f>
        <v>1.0469999999999999</v>
      </c>
      <c r="I271" s="27">
        <f>Source!U189</f>
        <v>11.846595599999999</v>
      </c>
      <c r="J271" s="26"/>
      <c r="K271" s="27"/>
      <c r="N271"/>
    </row>
    <row r="272" spans="1:29" ht="15" hidden="1" x14ac:dyDescent="0.2">
      <c r="C272" s="29" t="s">
        <v>531</v>
      </c>
      <c r="H272" s="45">
        <f>I265+I266+I268+I269+I270+0-0-0</f>
        <v>491.58000000000004</v>
      </c>
      <c r="I272" s="45"/>
      <c r="J272" s="45">
        <f>K265+K266+K268+K269+K270+0-0-0</f>
        <v>20988.609999999997</v>
      </c>
      <c r="K272" s="45"/>
      <c r="N272"/>
    </row>
    <row r="273" spans="1:29" ht="15" hidden="1" x14ac:dyDescent="0.2">
      <c r="C273" s="29" t="s">
        <v>532</v>
      </c>
      <c r="H273" s="43">
        <f>0+0</f>
        <v>0</v>
      </c>
      <c r="I273" s="43"/>
      <c r="J273" s="43">
        <f>0+0</f>
        <v>0</v>
      </c>
      <c r="K273" s="43"/>
      <c r="N273"/>
    </row>
    <row r="274" spans="1:29" ht="15" hidden="1" x14ac:dyDescent="0.2">
      <c r="C274" s="29" t="s">
        <v>533</v>
      </c>
      <c r="H274" s="43">
        <f>I265+I266+I268+I269+I270+0</f>
        <v>491.58000000000004</v>
      </c>
      <c r="I274" s="43"/>
      <c r="J274" s="43">
        <f>K265+K266+K268+K269+K270+0</f>
        <v>20988.609999999997</v>
      </c>
      <c r="K274" s="43"/>
      <c r="N274"/>
      <c r="O274" s="30">
        <f>I265+I266+I268+I269+I270+0</f>
        <v>491.58000000000004</v>
      </c>
      <c r="P274" s="30">
        <f>K265+K266+K268+K269+K270+0</f>
        <v>20988.609999999997</v>
      </c>
    </row>
    <row r="275" spans="1:29" hidden="1" x14ac:dyDescent="0.2">
      <c r="N275"/>
    </row>
    <row r="276" spans="1:29" ht="41.25" x14ac:dyDescent="0.2">
      <c r="A276" s="82">
        <v>27</v>
      </c>
      <c r="B276" s="82" t="str">
        <f>Source!F191</f>
        <v>КА, п.6</v>
      </c>
      <c r="C276" s="82" t="s">
        <v>539</v>
      </c>
      <c r="D276" s="83" t="str">
        <f>Source!H191</f>
        <v>м</v>
      </c>
      <c r="E276" s="84">
        <f>Source!I191</f>
        <v>206</v>
      </c>
      <c r="F276" s="85">
        <f>Source!AL191</f>
        <v>19.100000000000001</v>
      </c>
      <c r="G276" s="86"/>
      <c r="H276" s="84">
        <f>Source!AW192</f>
        <v>1</v>
      </c>
      <c r="I276" s="85">
        <f>Source!P191</f>
        <v>3934.6</v>
      </c>
      <c r="J276" s="84">
        <f>IF(Source!BC192&lt;&gt; 0, Source!BC192, 1)</f>
        <v>7.57</v>
      </c>
      <c r="K276" s="85">
        <f>Source!P192</f>
        <v>29784.92</v>
      </c>
      <c r="N276" s="81" t="s">
        <v>555</v>
      </c>
      <c r="Q276">
        <f>Source!X191</f>
        <v>0</v>
      </c>
      <c r="R276">
        <f>Source!X192</f>
        <v>0</v>
      </c>
      <c r="S276">
        <f>Source!Y191</f>
        <v>0</v>
      </c>
      <c r="T276">
        <f>Source!Y192</f>
        <v>0</v>
      </c>
      <c r="U276">
        <f>ROUND((175/100)*ROUND(Source!R191, 2), 2)</f>
        <v>0</v>
      </c>
      <c r="V276">
        <f>ROUND((0/100)*ROUND(Source!R192, 2), 2)</f>
        <v>0</v>
      </c>
      <c r="AC276">
        <v>3</v>
      </c>
    </row>
    <row r="277" spans="1:29" hidden="1" x14ac:dyDescent="0.2">
      <c r="A277" s="36"/>
      <c r="B277" s="36"/>
      <c r="C277" s="37" t="str">
        <f>"Объем: "&amp;Source!I191&amp;"=200*"&amp;"1,03"</f>
        <v>Объем: 206=200*1,03</v>
      </c>
      <c r="D277" s="36"/>
      <c r="E277" s="36"/>
      <c r="F277" s="36"/>
      <c r="G277" s="36"/>
      <c r="H277" s="36"/>
      <c r="I277" s="36"/>
      <c r="J277" s="36"/>
      <c r="K277" s="36"/>
      <c r="N277"/>
    </row>
    <row r="278" spans="1:29" ht="15" hidden="1" x14ac:dyDescent="0.2">
      <c r="C278" s="29" t="s">
        <v>533</v>
      </c>
      <c r="H278" s="45">
        <f>I276+0</f>
        <v>3934.6</v>
      </c>
      <c r="I278" s="45"/>
      <c r="J278" s="45">
        <f>K276+0</f>
        <v>29784.92</v>
      </c>
      <c r="K278" s="45"/>
      <c r="N278"/>
      <c r="O278" s="30">
        <f>I276+0</f>
        <v>3934.6</v>
      </c>
      <c r="P278" s="30">
        <f>K276+0</f>
        <v>29784.92</v>
      </c>
    </row>
    <row r="279" spans="1:29" hidden="1" x14ac:dyDescent="0.2">
      <c r="N279"/>
    </row>
    <row r="280" spans="1:29" ht="98.25" x14ac:dyDescent="0.2">
      <c r="A280" s="82">
        <v>28</v>
      </c>
      <c r="B280" s="82" t="str">
        <f>Source!F193</f>
        <v>КА, п.7</v>
      </c>
      <c r="C280" s="82" t="s">
        <v>540</v>
      </c>
      <c r="D280" s="83" t="str">
        <f>Source!H193</f>
        <v>м</v>
      </c>
      <c r="E280" s="84">
        <f>Source!I193</f>
        <v>10.3</v>
      </c>
      <c r="F280" s="85">
        <f>Source!AL193</f>
        <v>10.870000000000001</v>
      </c>
      <c r="G280" s="86"/>
      <c r="H280" s="84">
        <f>Source!AW194</f>
        <v>1</v>
      </c>
      <c r="I280" s="85">
        <f>Source!P193</f>
        <v>111.96</v>
      </c>
      <c r="J280" s="84">
        <f>IF(Source!BC194&lt;&gt; 0, Source!BC194, 1)</f>
        <v>7.57</v>
      </c>
      <c r="K280" s="85">
        <f>Source!P194</f>
        <v>847.54</v>
      </c>
      <c r="N280" s="81" t="s">
        <v>555</v>
      </c>
      <c r="Q280">
        <f>Source!X193</f>
        <v>0</v>
      </c>
      <c r="R280">
        <f>Source!X194</f>
        <v>0</v>
      </c>
      <c r="S280">
        <f>Source!Y193</f>
        <v>0</v>
      </c>
      <c r="T280">
        <f>Source!Y194</f>
        <v>0</v>
      </c>
      <c r="U280">
        <f>ROUND((175/100)*ROUND(Source!R193, 2), 2)</f>
        <v>0</v>
      </c>
      <c r="V280">
        <f>ROUND((0/100)*ROUND(Source!R194, 2), 2)</f>
        <v>0</v>
      </c>
      <c r="AC280">
        <v>3</v>
      </c>
    </row>
    <row r="281" spans="1:29" hidden="1" x14ac:dyDescent="0.2">
      <c r="A281" s="36"/>
      <c r="B281" s="36"/>
      <c r="C281" s="37" t="str">
        <f>"Объем: "&amp;Source!I193&amp;"=10*"&amp;"1,03"</f>
        <v>Объем: 10,3=10*1,03</v>
      </c>
      <c r="D281" s="36"/>
      <c r="E281" s="36"/>
      <c r="F281" s="36"/>
      <c r="G281" s="36"/>
      <c r="H281" s="36"/>
      <c r="I281" s="36"/>
      <c r="J281" s="36"/>
      <c r="K281" s="36"/>
      <c r="N281"/>
    </row>
    <row r="282" spans="1:29" ht="15" hidden="1" x14ac:dyDescent="0.2">
      <c r="C282" s="29" t="s">
        <v>533</v>
      </c>
      <c r="H282" s="45">
        <f>I280+0</f>
        <v>111.96</v>
      </c>
      <c r="I282" s="45"/>
      <c r="J282" s="45">
        <f>K280+0</f>
        <v>847.54</v>
      </c>
      <c r="K282" s="45"/>
      <c r="N282"/>
      <c r="O282" s="30">
        <f>I280+0</f>
        <v>111.96</v>
      </c>
      <c r="P282" s="30">
        <f>K280+0</f>
        <v>847.54</v>
      </c>
    </row>
    <row r="283" spans="1:29" hidden="1" x14ac:dyDescent="0.2">
      <c r="N283"/>
    </row>
    <row r="284" spans="1:29" ht="42.75" hidden="1" x14ac:dyDescent="0.2">
      <c r="A284" s="19">
        <v>29</v>
      </c>
      <c r="B284" s="19" t="str">
        <f>Source!F195</f>
        <v>4.8-168-1</v>
      </c>
      <c r="C284" s="19" t="s">
        <v>217</v>
      </c>
      <c r="D284" s="21" t="str">
        <f>Source!H195</f>
        <v>100 М ТРАССЫ</v>
      </c>
      <c r="E284" s="20">
        <f>Source!I195</f>
        <v>1.8</v>
      </c>
      <c r="F284" s="23"/>
      <c r="G284" s="22"/>
      <c r="H284" s="20"/>
      <c r="I284" s="23"/>
      <c r="J284" s="20"/>
      <c r="K284" s="23"/>
      <c r="N284"/>
      <c r="Q284">
        <f>Source!X195</f>
        <v>898.22</v>
      </c>
      <c r="R284">
        <f>Source!X196</f>
        <v>50614.7</v>
      </c>
      <c r="S284">
        <f>Source!Y195</f>
        <v>472.26</v>
      </c>
      <c r="T284">
        <f>Source!Y196</f>
        <v>26611.85</v>
      </c>
      <c r="U284">
        <f>ROUND((175/100)*ROUND(Source!R195, 2), 2)</f>
        <v>11.48</v>
      </c>
      <c r="V284">
        <f>ROUND((0/100)*ROUND(Source!R196, 2), 2)</f>
        <v>0</v>
      </c>
      <c r="AC284">
        <v>0</v>
      </c>
    </row>
    <row r="285" spans="1:29" hidden="1" x14ac:dyDescent="0.2">
      <c r="C285" s="32" t="str">
        <f>"Объем: "&amp;Source!I195&amp;"=(300-"&amp;"200+"&amp;"80)/"&amp;"100"</f>
        <v>Объем: 1,8=(300-200+80)/100</v>
      </c>
      <c r="N285"/>
    </row>
    <row r="286" spans="1:29" ht="14.25" hidden="1" x14ac:dyDescent="0.2">
      <c r="A286" s="19"/>
      <c r="B286" s="19"/>
      <c r="C286" s="19" t="s">
        <v>524</v>
      </c>
      <c r="D286" s="21"/>
      <c r="E286" s="20"/>
      <c r="F286" s="23">
        <f>Source!AO195</f>
        <v>406.56</v>
      </c>
      <c r="G286" s="22" t="s">
        <v>139</v>
      </c>
      <c r="H286" s="20">
        <f>Source!AV196</f>
        <v>1.0469999999999999</v>
      </c>
      <c r="I286" s="23">
        <f>Source!S195</f>
        <v>919.44</v>
      </c>
      <c r="J286" s="20">
        <f>IF(Source!BA196&lt;&gt; 0, Source!BA196, 1)</f>
        <v>56.35</v>
      </c>
      <c r="K286" s="23">
        <f>Source!S196</f>
        <v>51810.44</v>
      </c>
      <c r="N286"/>
    </row>
    <row r="287" spans="1:29" ht="14.25" hidden="1" x14ac:dyDescent="0.2">
      <c r="A287" s="19"/>
      <c r="B287" s="19"/>
      <c r="C287" s="19" t="s">
        <v>534</v>
      </c>
      <c r="D287" s="21"/>
      <c r="E287" s="20"/>
      <c r="F287" s="23">
        <f>Source!AM195</f>
        <v>61.23</v>
      </c>
      <c r="G287" s="22" t="s">
        <v>139</v>
      </c>
      <c r="H287" s="20">
        <f>Source!AV196</f>
        <v>1.0469999999999999</v>
      </c>
      <c r="I287" s="23">
        <f>Source!Q195</f>
        <v>138.47</v>
      </c>
      <c r="J287" s="20">
        <f>IF(Source!BB196&lt;&gt; 0, Source!BB196, 1)</f>
        <v>14.31</v>
      </c>
      <c r="K287" s="23">
        <f>Source!Q196</f>
        <v>1981.51</v>
      </c>
      <c r="N287"/>
    </row>
    <row r="288" spans="1:29" ht="14.25" hidden="1" x14ac:dyDescent="0.2">
      <c r="A288" s="19"/>
      <c r="B288" s="19"/>
      <c r="C288" s="19" t="s">
        <v>535</v>
      </c>
      <c r="D288" s="21"/>
      <c r="E288" s="20"/>
      <c r="F288" s="23">
        <f>Source!AN195</f>
        <v>2.9</v>
      </c>
      <c r="G288" s="22" t="s">
        <v>139</v>
      </c>
      <c r="H288" s="20">
        <f>Source!AV196</f>
        <v>1.0469999999999999</v>
      </c>
      <c r="I288" s="31">
        <f>Source!R195</f>
        <v>6.56</v>
      </c>
      <c r="J288" s="20">
        <f>IF(Source!BS196&lt;&gt; 0, Source!BS196, 1)</f>
        <v>56.35</v>
      </c>
      <c r="K288" s="31">
        <f>Source!R196</f>
        <v>369.66</v>
      </c>
      <c r="N288"/>
    </row>
    <row r="289" spans="1:29" ht="14.25" hidden="1" x14ac:dyDescent="0.2">
      <c r="A289" s="19"/>
      <c r="B289" s="19"/>
      <c r="C289" s="19" t="s">
        <v>538</v>
      </c>
      <c r="D289" s="21"/>
      <c r="E289" s="20"/>
      <c r="F289" s="23">
        <f>Source!AL195</f>
        <v>786.8</v>
      </c>
      <c r="G289" s="22"/>
      <c r="H289" s="20">
        <f>Source!AW196</f>
        <v>1</v>
      </c>
      <c r="I289" s="23">
        <f>Source!P195</f>
        <v>1416.24</v>
      </c>
      <c r="J289" s="20">
        <f>IF(Source!BC196&lt;&gt; 0, Source!BC196, 1)</f>
        <v>7.28</v>
      </c>
      <c r="K289" s="23">
        <f>Source!P196</f>
        <v>10310.23</v>
      </c>
      <c r="N289"/>
    </row>
    <row r="290" spans="1:29" ht="57" hidden="1" x14ac:dyDescent="0.2">
      <c r="A290" s="19" t="s">
        <v>220</v>
      </c>
      <c r="B290" s="19" t="str">
        <f>Source!F197</f>
        <v>1.14-1-555</v>
      </c>
      <c r="C290" s="19" t="s">
        <v>222</v>
      </c>
      <c r="D290" s="21" t="str">
        <f>Source!H197</f>
        <v>100 шт.</v>
      </c>
      <c r="E290" s="20">
        <f>Source!I197</f>
        <v>3.9599999999999995</v>
      </c>
      <c r="F290" s="23">
        <f>Source!AK197</f>
        <v>46.63</v>
      </c>
      <c r="G290" s="35" t="s">
        <v>3</v>
      </c>
      <c r="H290" s="20">
        <f>Source!AW198</f>
        <v>1</v>
      </c>
      <c r="I290" s="23">
        <f>Source!O197</f>
        <v>184.65</v>
      </c>
      <c r="J290" s="20">
        <f>IF(Source!BC198&lt;&gt; 0, Source!BC198, 1)</f>
        <v>1.0900000000000001</v>
      </c>
      <c r="K290" s="23">
        <f>Source!O198</f>
        <v>201.27</v>
      </c>
      <c r="N290"/>
      <c r="Q290">
        <f>Source!X197</f>
        <v>0</v>
      </c>
      <c r="R290">
        <f>Source!X198</f>
        <v>0</v>
      </c>
      <c r="S290">
        <f>Source!Y197</f>
        <v>0</v>
      </c>
      <c r="T290">
        <f>Source!Y198</f>
        <v>0</v>
      </c>
      <c r="U290">
        <f>ROUND((175/100)*ROUND(Source!R197, 2), 2)</f>
        <v>0</v>
      </c>
      <c r="V290">
        <f>ROUND((0/100)*ROUND(Source!R198, 2), 2)</f>
        <v>0</v>
      </c>
      <c r="AC290">
        <v>3</v>
      </c>
    </row>
    <row r="291" spans="1:29" ht="14.25" hidden="1" x14ac:dyDescent="0.2">
      <c r="A291" s="19"/>
      <c r="B291" s="19"/>
      <c r="C291" s="19" t="s">
        <v>526</v>
      </c>
      <c r="D291" s="21" t="s">
        <v>527</v>
      </c>
      <c r="E291" s="20">
        <f>Source!BZ196</f>
        <v>97</v>
      </c>
      <c r="F291" s="23"/>
      <c r="G291" s="22"/>
      <c r="H291" s="20"/>
      <c r="I291" s="23">
        <f>SUM(Q284:Q290)</f>
        <v>898.22</v>
      </c>
      <c r="J291" s="20">
        <f>Source!AT196</f>
        <v>97</v>
      </c>
      <c r="K291" s="23">
        <f>SUM(R284:R290)</f>
        <v>50614.7</v>
      </c>
      <c r="N291"/>
    </row>
    <row r="292" spans="1:29" ht="14.25" hidden="1" x14ac:dyDescent="0.2">
      <c r="A292" s="19"/>
      <c r="B292" s="19"/>
      <c r="C292" s="19" t="s">
        <v>528</v>
      </c>
      <c r="D292" s="21" t="s">
        <v>527</v>
      </c>
      <c r="E292" s="20">
        <f>Source!CA196</f>
        <v>51</v>
      </c>
      <c r="F292" s="23"/>
      <c r="G292" s="22"/>
      <c r="H292" s="20"/>
      <c r="I292" s="23">
        <f>SUM(S284:S291)</f>
        <v>472.26</v>
      </c>
      <c r="J292" s="20">
        <f>Source!AU196</f>
        <v>51</v>
      </c>
      <c r="K292" s="23">
        <f>SUM(T284:T291)</f>
        <v>26611.85</v>
      </c>
      <c r="N292"/>
    </row>
    <row r="293" spans="1:29" ht="14.25" hidden="1" x14ac:dyDescent="0.2">
      <c r="A293" s="24"/>
      <c r="B293" s="24"/>
      <c r="C293" s="24" t="s">
        <v>529</v>
      </c>
      <c r="D293" s="25" t="s">
        <v>530</v>
      </c>
      <c r="E293" s="26">
        <f>Source!AQ195</f>
        <v>33</v>
      </c>
      <c r="F293" s="27"/>
      <c r="G293" s="28" t="s">
        <v>139</v>
      </c>
      <c r="H293" s="26">
        <f>Source!AV196</f>
        <v>1.0469999999999999</v>
      </c>
      <c r="I293" s="27">
        <f>Source!U195</f>
        <v>74.630160000000004</v>
      </c>
      <c r="J293" s="26"/>
      <c r="K293" s="27"/>
      <c r="N293"/>
    </row>
    <row r="294" spans="1:29" ht="15" hidden="1" x14ac:dyDescent="0.2">
      <c r="C294" s="29" t="s">
        <v>531</v>
      </c>
      <c r="H294" s="45">
        <f>I286+I287+I289+I291+I292+SUM(I290:I290)-SUMIF(AC290:AC290, 5, I290:I290)-SUMIF(AC290:AC290, 6, I290:I290)</f>
        <v>4029.28</v>
      </c>
      <c r="I294" s="45"/>
      <c r="J294" s="45">
        <f>K286+K287+K289+K291+K292+SUM(K290:K290)-SUMIF(AC290:AC290, 5, K290:K290)-SUMIF(AC290:AC290, 6, K290:K290)</f>
        <v>141530</v>
      </c>
      <c r="K294" s="45"/>
      <c r="N294"/>
    </row>
    <row r="295" spans="1:29" ht="15" hidden="1" x14ac:dyDescent="0.2">
      <c r="C295" s="29" t="s">
        <v>532</v>
      </c>
      <c r="H295" s="43">
        <f>SUMIF(AC290:AC290, 5, I290:I290)+SUMIF(AC290:AC290, 6, I290:I290)</f>
        <v>0</v>
      </c>
      <c r="I295" s="43"/>
      <c r="J295" s="43">
        <f>SUMIF(AC290:AC290, 5, K290:K290)+SUMIF(AC290:AC290, 6, K290:K290)</f>
        <v>0</v>
      </c>
      <c r="K295" s="43"/>
      <c r="N295"/>
    </row>
    <row r="296" spans="1:29" ht="15" hidden="1" x14ac:dyDescent="0.2">
      <c r="C296" s="29" t="s">
        <v>533</v>
      </c>
      <c r="H296" s="43">
        <f>I286+I287+I289+I291+I292+SUM(I290:I290)</f>
        <v>4029.28</v>
      </c>
      <c r="I296" s="43"/>
      <c r="J296" s="43">
        <f>K286+K287+K289+K291+K292+SUM(K290:K290)</f>
        <v>141530</v>
      </c>
      <c r="K296" s="43"/>
      <c r="N296"/>
      <c r="O296" s="30">
        <f>I286+I287+I289+I291+I292+SUM(I290:I290)</f>
        <v>4029.28</v>
      </c>
      <c r="P296" s="30">
        <f>K286+K287+K289+K291+K292+SUM(K290:K290)</f>
        <v>141530</v>
      </c>
    </row>
    <row r="297" spans="1:29" hidden="1" x14ac:dyDescent="0.2">
      <c r="N297"/>
    </row>
    <row r="298" spans="1:29" ht="41.25" x14ac:dyDescent="0.2">
      <c r="A298" s="82">
        <v>30</v>
      </c>
      <c r="B298" s="82" t="str">
        <f>Source!F199</f>
        <v>КА, п.6</v>
      </c>
      <c r="C298" s="82" t="s">
        <v>539</v>
      </c>
      <c r="D298" s="83" t="str">
        <f>Source!H199</f>
        <v>м</v>
      </c>
      <c r="E298" s="84">
        <f>Source!I199</f>
        <v>102</v>
      </c>
      <c r="F298" s="85">
        <f>Source!AL199</f>
        <v>19.100000000000001</v>
      </c>
      <c r="G298" s="86"/>
      <c r="H298" s="84">
        <f>Source!AW200</f>
        <v>1</v>
      </c>
      <c r="I298" s="85">
        <f>Source!P199</f>
        <v>1948.2</v>
      </c>
      <c r="J298" s="84">
        <f>IF(Source!BC200&lt;&gt; 0, Source!BC200, 1)</f>
        <v>7.57</v>
      </c>
      <c r="K298" s="85">
        <f>Source!P200</f>
        <v>14747.87</v>
      </c>
      <c r="N298" s="81" t="s">
        <v>555</v>
      </c>
      <c r="Q298">
        <f>Source!X199</f>
        <v>0</v>
      </c>
      <c r="R298">
        <f>Source!X200</f>
        <v>0</v>
      </c>
      <c r="S298">
        <f>Source!Y199</f>
        <v>0</v>
      </c>
      <c r="T298">
        <f>Source!Y200</f>
        <v>0</v>
      </c>
      <c r="U298">
        <f>ROUND((175/100)*ROUND(Source!R199, 2), 2)</f>
        <v>0</v>
      </c>
      <c r="V298">
        <f>ROUND((0/100)*ROUND(Source!R200, 2), 2)</f>
        <v>0</v>
      </c>
      <c r="AC298">
        <v>3</v>
      </c>
    </row>
    <row r="299" spans="1:29" hidden="1" x14ac:dyDescent="0.2">
      <c r="A299" s="36"/>
      <c r="B299" s="36"/>
      <c r="C299" s="37" t="str">
        <f>"Объем: "&amp;Source!I199&amp;"=100*"&amp;"1,02"</f>
        <v>Объем: 102=100*1,02</v>
      </c>
      <c r="D299" s="36"/>
      <c r="E299" s="36"/>
      <c r="F299" s="36"/>
      <c r="G299" s="36"/>
      <c r="H299" s="36"/>
      <c r="I299" s="36"/>
      <c r="J299" s="36"/>
      <c r="K299" s="36"/>
      <c r="N299"/>
    </row>
    <row r="300" spans="1:29" ht="15" hidden="1" x14ac:dyDescent="0.2">
      <c r="C300" s="29" t="s">
        <v>533</v>
      </c>
      <c r="H300" s="45">
        <f>I298+0</f>
        <v>1948.2</v>
      </c>
      <c r="I300" s="45"/>
      <c r="J300" s="45">
        <f>K298+0</f>
        <v>14747.87</v>
      </c>
      <c r="K300" s="45"/>
      <c r="N300"/>
      <c r="O300" s="30">
        <f>I298+0</f>
        <v>1948.2</v>
      </c>
      <c r="P300" s="30">
        <f>K298+0</f>
        <v>14747.87</v>
      </c>
    </row>
    <row r="301" spans="1:29" hidden="1" x14ac:dyDescent="0.2">
      <c r="N301"/>
    </row>
    <row r="302" spans="1:29" ht="41.25" x14ac:dyDescent="0.2">
      <c r="A302" s="82">
        <v>31</v>
      </c>
      <c r="B302" s="82" t="str">
        <f>Source!F201</f>
        <v>КА, п.8</v>
      </c>
      <c r="C302" s="82" t="s">
        <v>541</v>
      </c>
      <c r="D302" s="83" t="str">
        <f>Source!H201</f>
        <v>м</v>
      </c>
      <c r="E302" s="84">
        <f>Source!I201</f>
        <v>81.599999999999994</v>
      </c>
      <c r="F302" s="85">
        <f>Source!AL201</f>
        <v>30.810000000000002</v>
      </c>
      <c r="G302" s="86"/>
      <c r="H302" s="84">
        <f>Source!AW202</f>
        <v>1</v>
      </c>
      <c r="I302" s="85">
        <f>Source!P201</f>
        <v>2514.1</v>
      </c>
      <c r="J302" s="84">
        <f>IF(Source!BC202&lt;&gt; 0, Source!BC202, 1)</f>
        <v>7.57</v>
      </c>
      <c r="K302" s="85">
        <f>Source!P202</f>
        <v>19031.740000000002</v>
      </c>
      <c r="N302" s="81" t="s">
        <v>555</v>
      </c>
      <c r="Q302">
        <f>Source!X201</f>
        <v>0</v>
      </c>
      <c r="R302">
        <f>Source!X202</f>
        <v>0</v>
      </c>
      <c r="S302">
        <f>Source!Y201</f>
        <v>0</v>
      </c>
      <c r="T302">
        <f>Source!Y202</f>
        <v>0</v>
      </c>
      <c r="U302">
        <f>ROUND((175/100)*ROUND(Source!R201, 2), 2)</f>
        <v>0</v>
      </c>
      <c r="V302">
        <f>ROUND((0/100)*ROUND(Source!R202, 2), 2)</f>
        <v>0</v>
      </c>
      <c r="AC302">
        <v>3</v>
      </c>
    </row>
    <row r="303" spans="1:29" hidden="1" x14ac:dyDescent="0.2">
      <c r="A303" s="36"/>
      <c r="B303" s="36"/>
      <c r="C303" s="37" t="str">
        <f>"Объем: "&amp;Source!I201&amp;"=80*"&amp;"1,02"</f>
        <v>Объем: 81,6=80*1,02</v>
      </c>
      <c r="D303" s="36"/>
      <c r="E303" s="36"/>
      <c r="F303" s="36"/>
      <c r="G303" s="36"/>
      <c r="H303" s="36"/>
      <c r="I303" s="36"/>
      <c r="J303" s="36"/>
      <c r="K303" s="36"/>
      <c r="N303"/>
    </row>
    <row r="304" spans="1:29" ht="15" hidden="1" x14ac:dyDescent="0.2">
      <c r="C304" s="29" t="s">
        <v>533</v>
      </c>
      <c r="H304" s="45">
        <f>I302+0</f>
        <v>2514.1</v>
      </c>
      <c r="I304" s="45"/>
      <c r="J304" s="45">
        <f>K302+0</f>
        <v>19031.740000000002</v>
      </c>
      <c r="K304" s="45"/>
      <c r="N304"/>
      <c r="O304" s="30">
        <f>I302+0</f>
        <v>2514.1</v>
      </c>
      <c r="P304" s="30">
        <f>K302+0</f>
        <v>19031.740000000002</v>
      </c>
    </row>
    <row r="305" spans="1:29" hidden="1" x14ac:dyDescent="0.2">
      <c r="N305"/>
    </row>
    <row r="306" spans="1:29" hidden="1" x14ac:dyDescent="0.2">
      <c r="N306"/>
    </row>
    <row r="307" spans="1:29" ht="15" hidden="1" x14ac:dyDescent="0.25">
      <c r="A307" s="42" t="str">
        <f>CONCATENATE("Итого по разделу: ",IF(Source!G204&lt;&gt;"Новый раздел", Source!G204, ""))</f>
        <v>Итого по разделу: Кабели и провода</v>
      </c>
      <c r="B307" s="42"/>
      <c r="C307" s="42"/>
      <c r="D307" s="42"/>
      <c r="E307" s="42"/>
      <c r="F307" s="42"/>
      <c r="G307" s="42"/>
      <c r="H307" s="43">
        <f>SUM(O262:O306)</f>
        <v>13029.720000000001</v>
      </c>
      <c r="I307" s="44"/>
      <c r="J307" s="43">
        <f>SUM(P262:P306)</f>
        <v>226930.68</v>
      </c>
      <c r="K307" s="44"/>
      <c r="N307"/>
    </row>
    <row r="308" spans="1:29" hidden="1" x14ac:dyDescent="0.2">
      <c r="A308" t="s">
        <v>536</v>
      </c>
      <c r="I308">
        <f>SUM(W262:W307)</f>
        <v>0</v>
      </c>
      <c r="J308">
        <f>SUM(X262:X307)</f>
        <v>0</v>
      </c>
      <c r="N308"/>
    </row>
    <row r="309" spans="1:29" hidden="1" x14ac:dyDescent="0.2">
      <c r="A309" t="s">
        <v>537</v>
      </c>
      <c r="I309">
        <f>SUM(Y262:Y308)</f>
        <v>0</v>
      </c>
      <c r="J309">
        <f>SUM(Z262:Z308)</f>
        <v>0</v>
      </c>
      <c r="N309"/>
    </row>
    <row r="310" spans="1:29" hidden="1" x14ac:dyDescent="0.2">
      <c r="N310"/>
    </row>
    <row r="311" spans="1:29" ht="16.5" hidden="1" x14ac:dyDescent="0.2">
      <c r="A311" s="46" t="str">
        <f>CONCATENATE("Раздел: ",IF(Source!G234&lt;&gt;"Новый раздел", Source!G234, ""))</f>
        <v>Раздел: Материалы</v>
      </c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N311"/>
    </row>
    <row r="312" spans="1:29" ht="57" hidden="1" x14ac:dyDescent="0.2">
      <c r="A312" s="19">
        <v>32</v>
      </c>
      <c r="B312" s="19" t="str">
        <f>Source!F238</f>
        <v>4.8-170-1</v>
      </c>
      <c r="C312" s="19" t="s">
        <v>232</v>
      </c>
      <c r="D312" s="21" t="str">
        <f>Source!H238</f>
        <v>100 м</v>
      </c>
      <c r="E312" s="20">
        <f>Source!I238</f>
        <v>2</v>
      </c>
      <c r="F312" s="23"/>
      <c r="G312" s="22"/>
      <c r="H312" s="20"/>
      <c r="I312" s="23"/>
      <c r="J312" s="20"/>
      <c r="K312" s="23"/>
      <c r="N312"/>
      <c r="Q312">
        <f>Source!X238</f>
        <v>1356.33</v>
      </c>
      <c r="R312">
        <f>Source!X239</f>
        <v>76429.289999999994</v>
      </c>
      <c r="S312">
        <f>Source!Y238</f>
        <v>713.12</v>
      </c>
      <c r="T312">
        <f>Source!Y239</f>
        <v>40184.47</v>
      </c>
      <c r="U312">
        <f>ROUND((175/100)*ROUND(Source!R238, 2), 2)</f>
        <v>995.05</v>
      </c>
      <c r="V312">
        <f>ROUND((0/100)*ROUND(Source!R239, 2), 2)</f>
        <v>0</v>
      </c>
      <c r="AC312">
        <v>0</v>
      </c>
    </row>
    <row r="313" spans="1:29" hidden="1" x14ac:dyDescent="0.2">
      <c r="C313" s="32" t="str">
        <f>"Объем: "&amp;Source!I238&amp;"=(200)/"&amp;"100"</f>
        <v>Объем: 2=(200)/100</v>
      </c>
      <c r="N313"/>
    </row>
    <row r="314" spans="1:29" ht="14.25" hidden="1" x14ac:dyDescent="0.2">
      <c r="A314" s="19"/>
      <c r="B314" s="19"/>
      <c r="C314" s="19" t="s">
        <v>524</v>
      </c>
      <c r="D314" s="21"/>
      <c r="E314" s="20"/>
      <c r="F314" s="23">
        <f>Source!AO238</f>
        <v>330.18</v>
      </c>
      <c r="G314" s="22" t="s">
        <v>139</v>
      </c>
      <c r="H314" s="20">
        <f>Source!AV239</f>
        <v>1.0469999999999999</v>
      </c>
      <c r="I314" s="23">
        <f>Source!S238</f>
        <v>829.68</v>
      </c>
      <c r="J314" s="20">
        <f>IF(Source!BA239&lt;&gt; 0, Source!BA239, 1)</f>
        <v>56.35</v>
      </c>
      <c r="K314" s="23">
        <f>Source!S239</f>
        <v>46752.47</v>
      </c>
      <c r="N314"/>
    </row>
    <row r="315" spans="1:29" ht="14.25" hidden="1" x14ac:dyDescent="0.2">
      <c r="A315" s="19"/>
      <c r="B315" s="19"/>
      <c r="C315" s="19" t="s">
        <v>534</v>
      </c>
      <c r="D315" s="21"/>
      <c r="E315" s="20"/>
      <c r="F315" s="23">
        <f>Source!AM238</f>
        <v>526.80999999999995</v>
      </c>
      <c r="G315" s="22" t="s">
        <v>139</v>
      </c>
      <c r="H315" s="20">
        <f>Source!AV239</f>
        <v>1.0469999999999999</v>
      </c>
      <c r="I315" s="23">
        <f>Source!Q238</f>
        <v>1323.77</v>
      </c>
      <c r="J315" s="20">
        <f>IF(Source!BB239&lt;&gt; 0, Source!BB239, 1)</f>
        <v>31.04</v>
      </c>
      <c r="K315" s="23">
        <f>Source!Q239</f>
        <v>41089.82</v>
      </c>
      <c r="N315"/>
    </row>
    <row r="316" spans="1:29" ht="14.25" hidden="1" x14ac:dyDescent="0.2">
      <c r="A316" s="19"/>
      <c r="B316" s="19"/>
      <c r="C316" s="19" t="s">
        <v>535</v>
      </c>
      <c r="D316" s="21"/>
      <c r="E316" s="20"/>
      <c r="F316" s="23">
        <f>Source!AN238</f>
        <v>226.28</v>
      </c>
      <c r="G316" s="22" t="s">
        <v>139</v>
      </c>
      <c r="H316" s="20">
        <f>Source!AV239</f>
        <v>1.0469999999999999</v>
      </c>
      <c r="I316" s="31">
        <f>Source!R238</f>
        <v>568.6</v>
      </c>
      <c r="J316" s="20">
        <f>IF(Source!BS239&lt;&gt; 0, Source!BS239, 1)</f>
        <v>56.35</v>
      </c>
      <c r="K316" s="31">
        <f>Source!R239</f>
        <v>32040.61</v>
      </c>
      <c r="N316"/>
    </row>
    <row r="317" spans="1:29" ht="14.25" hidden="1" x14ac:dyDescent="0.2">
      <c r="A317" s="19"/>
      <c r="B317" s="19"/>
      <c r="C317" s="19" t="s">
        <v>538</v>
      </c>
      <c r="D317" s="21"/>
      <c r="E317" s="20"/>
      <c r="F317" s="23">
        <f>Source!AL238</f>
        <v>288.57</v>
      </c>
      <c r="G317" s="22"/>
      <c r="H317" s="20">
        <f>Source!AW239</f>
        <v>1</v>
      </c>
      <c r="I317" s="23">
        <f>Source!P238</f>
        <v>577.14</v>
      </c>
      <c r="J317" s="20">
        <f>IF(Source!BC239&lt;&gt; 0, Source!BC239, 1)</f>
        <v>5.42</v>
      </c>
      <c r="K317" s="23">
        <f>Source!P239</f>
        <v>3128.1</v>
      </c>
      <c r="N317"/>
    </row>
    <row r="318" spans="1:29" ht="69.75" x14ac:dyDescent="0.2">
      <c r="A318" s="82" t="s">
        <v>234</v>
      </c>
      <c r="B318" s="82" t="str">
        <f>Source!F240</f>
        <v>КА, п.9</v>
      </c>
      <c r="C318" s="82" t="s">
        <v>542</v>
      </c>
      <c r="D318" s="83" t="str">
        <f>Source!H240</f>
        <v>м</v>
      </c>
      <c r="E318" s="84">
        <f>Source!I240</f>
        <v>206</v>
      </c>
      <c r="F318" s="85">
        <f>Source!AK240</f>
        <v>14.729999999999999</v>
      </c>
      <c r="G318" s="87" t="s">
        <v>3</v>
      </c>
      <c r="H318" s="84">
        <f>Source!AW241</f>
        <v>1</v>
      </c>
      <c r="I318" s="85">
        <f>Source!O240</f>
        <v>3034.38</v>
      </c>
      <c r="J318" s="84">
        <f>IF(Source!BC241&lt;&gt; 0, Source!BC241, 1)</f>
        <v>7.57</v>
      </c>
      <c r="K318" s="85">
        <f>Source!O241</f>
        <v>22970.26</v>
      </c>
      <c r="N318" s="81" t="s">
        <v>555</v>
      </c>
      <c r="Q318">
        <f>Source!X240</f>
        <v>0</v>
      </c>
      <c r="R318">
        <f>Source!X241</f>
        <v>0</v>
      </c>
      <c r="S318">
        <f>Source!Y240</f>
        <v>0</v>
      </c>
      <c r="T318">
        <f>Source!Y241</f>
        <v>0</v>
      </c>
      <c r="U318">
        <f>ROUND((175/100)*ROUND(Source!R240, 2), 2)</f>
        <v>0</v>
      </c>
      <c r="V318">
        <f>ROUND((0/100)*ROUND(Source!R241, 2), 2)</f>
        <v>0</v>
      </c>
      <c r="AC318">
        <v>3</v>
      </c>
    </row>
    <row r="319" spans="1:29" ht="42.75" hidden="1" x14ac:dyDescent="0.2">
      <c r="A319" s="19" t="s">
        <v>238</v>
      </c>
      <c r="B319" s="19" t="str">
        <f>Source!F242</f>
        <v>1.21-5-1136</v>
      </c>
      <c r="C319" s="19" t="s">
        <v>240</v>
      </c>
      <c r="D319" s="21" t="str">
        <f>Source!H242</f>
        <v>100 шт.</v>
      </c>
      <c r="E319" s="20">
        <f>Source!I242</f>
        <v>400</v>
      </c>
      <c r="F319" s="23">
        <f>Source!AK242</f>
        <v>146.88999999999999</v>
      </c>
      <c r="G319" s="35" t="s">
        <v>3</v>
      </c>
      <c r="H319" s="20">
        <f>Source!AW243</f>
        <v>1</v>
      </c>
      <c r="I319" s="23">
        <f>Source!O242</f>
        <v>58756</v>
      </c>
      <c r="J319" s="20">
        <f>IF(Source!BC243&lt;&gt; 0, Source!BC243, 1)</f>
        <v>1.74</v>
      </c>
      <c r="K319" s="23">
        <f>Source!O243</f>
        <v>102235.44</v>
      </c>
      <c r="N319"/>
      <c r="Q319">
        <f>Source!X242</f>
        <v>0</v>
      </c>
      <c r="R319">
        <f>Source!X243</f>
        <v>0</v>
      </c>
      <c r="S319">
        <f>Source!Y242</f>
        <v>0</v>
      </c>
      <c r="T319">
        <f>Source!Y243</f>
        <v>0</v>
      </c>
      <c r="U319">
        <f>ROUND((175/100)*ROUND(Source!R242, 2), 2)</f>
        <v>0</v>
      </c>
      <c r="V319">
        <f>ROUND((0/100)*ROUND(Source!R243, 2), 2)</f>
        <v>0</v>
      </c>
      <c r="AC319">
        <v>3</v>
      </c>
    </row>
    <row r="320" spans="1:29" ht="28.5" hidden="1" x14ac:dyDescent="0.2">
      <c r="A320" s="19" t="s">
        <v>242</v>
      </c>
      <c r="B320" s="19" t="str">
        <f>Source!F244</f>
        <v>1.14-1-281</v>
      </c>
      <c r="C320" s="19" t="s">
        <v>244</v>
      </c>
      <c r="D320" s="21" t="str">
        <f>Source!H244</f>
        <v>шт.</v>
      </c>
      <c r="E320" s="20">
        <f>Source!I244</f>
        <v>18</v>
      </c>
      <c r="F320" s="23">
        <f>Source!AK244</f>
        <v>30.69</v>
      </c>
      <c r="G320" s="35" t="s">
        <v>3</v>
      </c>
      <c r="H320" s="20">
        <f>Source!AW245</f>
        <v>1</v>
      </c>
      <c r="I320" s="23">
        <f>Source!O244</f>
        <v>552.41999999999996</v>
      </c>
      <c r="J320" s="20">
        <f>IF(Source!BC245&lt;&gt; 0, Source!BC245, 1)</f>
        <v>5.76</v>
      </c>
      <c r="K320" s="23">
        <f>Source!O245</f>
        <v>3181.94</v>
      </c>
      <c r="N320"/>
      <c r="Q320">
        <f>Source!X244</f>
        <v>0</v>
      </c>
      <c r="R320">
        <f>Source!X245</f>
        <v>0</v>
      </c>
      <c r="S320">
        <f>Source!Y244</f>
        <v>0</v>
      </c>
      <c r="T320">
        <f>Source!Y245</f>
        <v>0</v>
      </c>
      <c r="U320">
        <f>ROUND((175/100)*ROUND(Source!R244, 2), 2)</f>
        <v>0</v>
      </c>
      <c r="V320">
        <f>ROUND((0/100)*ROUND(Source!R245, 2), 2)</f>
        <v>0</v>
      </c>
      <c r="AC320">
        <v>3</v>
      </c>
    </row>
    <row r="321" spans="1:29" ht="28.5" hidden="1" x14ac:dyDescent="0.2">
      <c r="A321" s="19" t="s">
        <v>246</v>
      </c>
      <c r="B321" s="19" t="str">
        <f>Source!F246</f>
        <v>1.14-1-280</v>
      </c>
      <c r="C321" s="19" t="s">
        <v>248</v>
      </c>
      <c r="D321" s="21" t="str">
        <f>Source!H246</f>
        <v>шт.</v>
      </c>
      <c r="E321" s="20">
        <f>Source!I246</f>
        <v>6</v>
      </c>
      <c r="F321" s="23">
        <f>Source!AK246</f>
        <v>9.1199999999999992</v>
      </c>
      <c r="G321" s="35" t="s">
        <v>3</v>
      </c>
      <c r="H321" s="20">
        <f>Source!AW247</f>
        <v>1</v>
      </c>
      <c r="I321" s="23">
        <f>Source!O246</f>
        <v>54.72</v>
      </c>
      <c r="J321" s="20">
        <f>IF(Source!BC247&lt;&gt; 0, Source!BC247, 1)</f>
        <v>2.74</v>
      </c>
      <c r="K321" s="23">
        <f>Source!O247</f>
        <v>149.93</v>
      </c>
      <c r="N321"/>
      <c r="Q321">
        <f>Source!X246</f>
        <v>0</v>
      </c>
      <c r="R321">
        <f>Source!X247</f>
        <v>0</v>
      </c>
      <c r="S321">
        <f>Source!Y246</f>
        <v>0</v>
      </c>
      <c r="T321">
        <f>Source!Y247</f>
        <v>0</v>
      </c>
      <c r="U321">
        <f>ROUND((175/100)*ROUND(Source!R246, 2), 2)</f>
        <v>0</v>
      </c>
      <c r="V321">
        <f>ROUND((0/100)*ROUND(Source!R247, 2), 2)</f>
        <v>0</v>
      </c>
      <c r="AC321">
        <v>3</v>
      </c>
    </row>
    <row r="322" spans="1:29" ht="57" hidden="1" x14ac:dyDescent="0.2">
      <c r="A322" s="19" t="s">
        <v>250</v>
      </c>
      <c r="B322" s="19" t="str">
        <f>Source!F248</f>
        <v>1.14-1-219</v>
      </c>
      <c r="C322" s="19" t="s">
        <v>252</v>
      </c>
      <c r="D322" s="21" t="str">
        <f>Source!H248</f>
        <v>шт.</v>
      </c>
      <c r="E322" s="20">
        <f>Source!I248</f>
        <v>19</v>
      </c>
      <c r="F322" s="23">
        <f>Source!AK248</f>
        <v>15.9</v>
      </c>
      <c r="G322" s="35" t="s">
        <v>3</v>
      </c>
      <c r="H322" s="20">
        <f>Source!AW249</f>
        <v>1</v>
      </c>
      <c r="I322" s="23">
        <f>Source!O248</f>
        <v>302.10000000000002</v>
      </c>
      <c r="J322" s="20">
        <f>IF(Source!BC249&lt;&gt; 0, Source!BC249, 1)</f>
        <v>3.69</v>
      </c>
      <c r="K322" s="23">
        <f>Source!O249</f>
        <v>1114.75</v>
      </c>
      <c r="N322"/>
      <c r="Q322">
        <f>Source!X248</f>
        <v>0</v>
      </c>
      <c r="R322">
        <f>Source!X249</f>
        <v>0</v>
      </c>
      <c r="S322">
        <f>Source!Y248</f>
        <v>0</v>
      </c>
      <c r="T322">
        <f>Source!Y249</f>
        <v>0</v>
      </c>
      <c r="U322">
        <f>ROUND((175/100)*ROUND(Source!R248, 2), 2)</f>
        <v>0</v>
      </c>
      <c r="V322">
        <f>ROUND((0/100)*ROUND(Source!R249, 2), 2)</f>
        <v>0</v>
      </c>
      <c r="AC322">
        <v>3</v>
      </c>
    </row>
    <row r="323" spans="1:29" ht="14.25" hidden="1" x14ac:dyDescent="0.2">
      <c r="A323" s="19"/>
      <c r="B323" s="19"/>
      <c r="C323" s="19" t="s">
        <v>526</v>
      </c>
      <c r="D323" s="21" t="s">
        <v>527</v>
      </c>
      <c r="E323" s="20">
        <f>Source!BZ239</f>
        <v>97</v>
      </c>
      <c r="F323" s="23"/>
      <c r="G323" s="22"/>
      <c r="H323" s="20"/>
      <c r="I323" s="23">
        <f>SUM(Q312:Q322)</f>
        <v>1356.33</v>
      </c>
      <c r="J323" s="20">
        <f>Source!AT239</f>
        <v>97</v>
      </c>
      <c r="K323" s="23">
        <f>SUM(R312:R322)</f>
        <v>76429.289999999994</v>
      </c>
      <c r="N323"/>
    </row>
    <row r="324" spans="1:29" ht="14.25" hidden="1" x14ac:dyDescent="0.2">
      <c r="A324" s="19"/>
      <c r="B324" s="19"/>
      <c r="C324" s="19" t="s">
        <v>528</v>
      </c>
      <c r="D324" s="21" t="s">
        <v>527</v>
      </c>
      <c r="E324" s="20">
        <f>Source!CA239</f>
        <v>51</v>
      </c>
      <c r="F324" s="23"/>
      <c r="G324" s="22"/>
      <c r="H324" s="20"/>
      <c r="I324" s="23">
        <f>SUM(S312:S323)</f>
        <v>713.12</v>
      </c>
      <c r="J324" s="20">
        <f>Source!AU239</f>
        <v>51</v>
      </c>
      <c r="K324" s="23">
        <f>SUM(T312:T323)</f>
        <v>40184.47</v>
      </c>
      <c r="N324"/>
    </row>
    <row r="325" spans="1:29" ht="14.25" hidden="1" x14ac:dyDescent="0.2">
      <c r="A325" s="24"/>
      <c r="B325" s="24"/>
      <c r="C325" s="24" t="s">
        <v>529</v>
      </c>
      <c r="D325" s="25" t="s">
        <v>530</v>
      </c>
      <c r="E325" s="26">
        <f>Source!AQ238</f>
        <v>26.8</v>
      </c>
      <c r="F325" s="27"/>
      <c r="G325" s="28" t="s">
        <v>139</v>
      </c>
      <c r="H325" s="26">
        <f>Source!AV239</f>
        <v>1.0469999999999999</v>
      </c>
      <c r="I325" s="27">
        <f>Source!U238</f>
        <v>67.343039999999988</v>
      </c>
      <c r="J325" s="26"/>
      <c r="K325" s="27"/>
      <c r="N325"/>
    </row>
    <row r="326" spans="1:29" ht="15" hidden="1" x14ac:dyDescent="0.2">
      <c r="C326" s="29" t="s">
        <v>531</v>
      </c>
      <c r="H326" s="45">
        <f>I314+I315+I317+I323+I324+SUM(I318:I322)-SUMIF(AC318:AC322, 5, I318:I322)-SUMIF(AC318:AC322, 6, I318:I322)</f>
        <v>67499.659999999989</v>
      </c>
      <c r="I326" s="45"/>
      <c r="J326" s="45">
        <f>K314+K315+K317+K323+K324+SUM(K318:K322)-SUMIF(AC318:AC322, 5, K318:K322)-SUMIF(AC318:AC322, 6, K318:K322)</f>
        <v>337236.47</v>
      </c>
      <c r="K326" s="45"/>
      <c r="N326"/>
    </row>
    <row r="327" spans="1:29" ht="15" hidden="1" x14ac:dyDescent="0.2">
      <c r="C327" s="29" t="s">
        <v>532</v>
      </c>
      <c r="H327" s="43">
        <f>SUMIF(AC318:AC322, 5, I318:I322)+SUMIF(AC318:AC322, 6, I318:I322)</f>
        <v>0</v>
      </c>
      <c r="I327" s="43"/>
      <c r="J327" s="43">
        <f>SUMIF(AC318:AC322, 5, K318:K322)+SUMIF(AC318:AC322, 6, K318:K322)</f>
        <v>0</v>
      </c>
      <c r="K327" s="43"/>
      <c r="N327"/>
    </row>
    <row r="328" spans="1:29" ht="15" hidden="1" x14ac:dyDescent="0.2">
      <c r="C328" s="29" t="s">
        <v>533</v>
      </c>
      <c r="H328" s="43">
        <f>I314+I315+I317+I323+I324+SUM(I318:I322)</f>
        <v>67499.659999999989</v>
      </c>
      <c r="I328" s="43"/>
      <c r="J328" s="43">
        <f>K314+K315+K317+K323+K324+SUM(K318:K322)</f>
        <v>337236.47</v>
      </c>
      <c r="K328" s="43"/>
      <c r="N328"/>
      <c r="O328" s="30">
        <f>I314+I315+I317+I323+I324+SUM(I318:I322)</f>
        <v>67499.659999999989</v>
      </c>
      <c r="P328" s="30">
        <f>K314+K315+K317+K323+K324+SUM(K318:K322)</f>
        <v>337236.47</v>
      </c>
    </row>
    <row r="329" spans="1:29" hidden="1" x14ac:dyDescent="0.2">
      <c r="N329"/>
    </row>
    <row r="330" spans="1:29" ht="28.5" hidden="1" x14ac:dyDescent="0.2">
      <c r="A330" s="19">
        <v>33</v>
      </c>
      <c r="B330" s="19" t="str">
        <f>Source!F250</f>
        <v>4.8-174-1</v>
      </c>
      <c r="C330" s="19" t="s">
        <v>255</v>
      </c>
      <c r="D330" s="21" t="str">
        <f>Source!H250</f>
        <v>100 м</v>
      </c>
      <c r="E330" s="20">
        <f>Source!I250</f>
        <v>0.1</v>
      </c>
      <c r="F330" s="23"/>
      <c r="G330" s="22"/>
      <c r="H330" s="20"/>
      <c r="I330" s="23"/>
      <c r="J330" s="20"/>
      <c r="K330" s="23"/>
      <c r="N330"/>
      <c r="Q330">
        <f>Source!X250</f>
        <v>45.2</v>
      </c>
      <c r="R330">
        <f>Source!X251</f>
        <v>2547.13</v>
      </c>
      <c r="S330">
        <f>Source!Y250</f>
        <v>23.77</v>
      </c>
      <c r="T330">
        <f>Source!Y251</f>
        <v>1339.21</v>
      </c>
      <c r="U330">
        <f>ROUND((175/100)*ROUND(Source!R250, 2), 2)</f>
        <v>0.56000000000000005</v>
      </c>
      <c r="V330">
        <f>ROUND((0/100)*ROUND(Source!R251, 2), 2)</f>
        <v>0</v>
      </c>
      <c r="AC330">
        <v>0</v>
      </c>
    </row>
    <row r="331" spans="1:29" hidden="1" x14ac:dyDescent="0.2">
      <c r="C331" s="32" t="str">
        <f>"Объем: "&amp;Source!I250&amp;"=10/"&amp;"100"</f>
        <v>Объем: 0,1=10/100</v>
      </c>
      <c r="N331"/>
    </row>
    <row r="332" spans="1:29" ht="14.25" hidden="1" x14ac:dyDescent="0.2">
      <c r="A332" s="19"/>
      <c r="B332" s="19"/>
      <c r="C332" s="19" t="s">
        <v>524</v>
      </c>
      <c r="D332" s="21"/>
      <c r="E332" s="20"/>
      <c r="F332" s="23">
        <f>Source!AO250</f>
        <v>368.37</v>
      </c>
      <c r="G332" s="22" t="s">
        <v>139</v>
      </c>
      <c r="H332" s="20">
        <f>Source!AV251</f>
        <v>1.0469999999999999</v>
      </c>
      <c r="I332" s="23">
        <f>Source!S250</f>
        <v>46.28</v>
      </c>
      <c r="J332" s="20">
        <f>IF(Source!BA251&lt;&gt; 0, Source!BA251, 1)</f>
        <v>56.35</v>
      </c>
      <c r="K332" s="23">
        <f>Source!S251</f>
        <v>2607.88</v>
      </c>
      <c r="N332"/>
    </row>
    <row r="333" spans="1:29" ht="14.25" hidden="1" x14ac:dyDescent="0.2">
      <c r="A333" s="19"/>
      <c r="B333" s="19"/>
      <c r="C333" s="19" t="s">
        <v>534</v>
      </c>
      <c r="D333" s="21"/>
      <c r="E333" s="20"/>
      <c r="F333" s="23">
        <f>Source!AM250</f>
        <v>129.06</v>
      </c>
      <c r="G333" s="22" t="s">
        <v>139</v>
      </c>
      <c r="H333" s="20">
        <f>Source!AV251</f>
        <v>1.0469999999999999</v>
      </c>
      <c r="I333" s="23">
        <f>Source!Q250</f>
        <v>16.22</v>
      </c>
      <c r="J333" s="20">
        <f>IF(Source!BB251&lt;&gt; 0, Source!BB251, 1)</f>
        <v>13.84</v>
      </c>
      <c r="K333" s="23">
        <f>Source!Q251</f>
        <v>224.48</v>
      </c>
      <c r="N333"/>
    </row>
    <row r="334" spans="1:29" ht="14.25" hidden="1" x14ac:dyDescent="0.2">
      <c r="A334" s="19"/>
      <c r="B334" s="19"/>
      <c r="C334" s="19" t="s">
        <v>535</v>
      </c>
      <c r="D334" s="21"/>
      <c r="E334" s="20"/>
      <c r="F334" s="23">
        <f>Source!AN250</f>
        <v>2.52</v>
      </c>
      <c r="G334" s="22" t="s">
        <v>139</v>
      </c>
      <c r="H334" s="20">
        <f>Source!AV251</f>
        <v>1.0469999999999999</v>
      </c>
      <c r="I334" s="31">
        <f>Source!R250</f>
        <v>0.32</v>
      </c>
      <c r="J334" s="20">
        <f>IF(Source!BS251&lt;&gt; 0, Source!BS251, 1)</f>
        <v>56.35</v>
      </c>
      <c r="K334" s="31">
        <f>Source!R251</f>
        <v>18.03</v>
      </c>
      <c r="N334"/>
    </row>
    <row r="335" spans="1:29" ht="14.25" hidden="1" x14ac:dyDescent="0.2">
      <c r="A335" s="19"/>
      <c r="B335" s="19"/>
      <c r="C335" s="19" t="s">
        <v>538</v>
      </c>
      <c r="D335" s="21"/>
      <c r="E335" s="20"/>
      <c r="F335" s="23">
        <f>Source!AL250</f>
        <v>1763.74</v>
      </c>
      <c r="G335" s="22"/>
      <c r="H335" s="20">
        <f>Source!AW251</f>
        <v>1</v>
      </c>
      <c r="I335" s="23">
        <f>Source!P250</f>
        <v>176.37</v>
      </c>
      <c r="J335" s="20">
        <f>IF(Source!BC251&lt;&gt; 0, Source!BC251, 1)</f>
        <v>4.04</v>
      </c>
      <c r="K335" s="23">
        <f>Source!P251</f>
        <v>712.53</v>
      </c>
      <c r="N335"/>
    </row>
    <row r="336" spans="1:29" ht="71.25" hidden="1" x14ac:dyDescent="0.2">
      <c r="A336" s="19" t="s">
        <v>256</v>
      </c>
      <c r="B336" s="19" t="str">
        <f>Source!F252</f>
        <v>1.21-5-435</v>
      </c>
      <c r="C336" s="19" t="s">
        <v>258</v>
      </c>
      <c r="D336" s="21" t="str">
        <f>Source!H252</f>
        <v>м</v>
      </c>
      <c r="E336" s="20">
        <f>Source!I252</f>
        <v>10.3</v>
      </c>
      <c r="F336" s="23">
        <f>Source!AK252</f>
        <v>12.83</v>
      </c>
      <c r="G336" s="35" t="s">
        <v>3</v>
      </c>
      <c r="H336" s="20">
        <f>Source!AW253</f>
        <v>1</v>
      </c>
      <c r="I336" s="23">
        <f>Source!O252</f>
        <v>132.15</v>
      </c>
      <c r="J336" s="20">
        <f>IF(Source!BC253&lt;&gt; 0, Source!BC253, 1)</f>
        <v>3.67</v>
      </c>
      <c r="K336" s="23">
        <f>Source!O253</f>
        <v>484.99</v>
      </c>
      <c r="N336"/>
      <c r="Q336">
        <f>Source!X252</f>
        <v>0</v>
      </c>
      <c r="R336">
        <f>Source!X253</f>
        <v>0</v>
      </c>
      <c r="S336">
        <f>Source!Y252</f>
        <v>0</v>
      </c>
      <c r="T336">
        <f>Source!Y253</f>
        <v>0</v>
      </c>
      <c r="U336">
        <f>ROUND((175/100)*ROUND(Source!R252, 2), 2)</f>
        <v>0</v>
      </c>
      <c r="V336">
        <f>ROUND((0/100)*ROUND(Source!R253, 2), 2)</f>
        <v>0</v>
      </c>
      <c r="AC336">
        <v>3</v>
      </c>
    </row>
    <row r="337" spans="1:16" ht="14.25" hidden="1" x14ac:dyDescent="0.2">
      <c r="A337" s="19"/>
      <c r="B337" s="19"/>
      <c r="C337" s="19" t="s">
        <v>526</v>
      </c>
      <c r="D337" s="21" t="s">
        <v>527</v>
      </c>
      <c r="E337" s="20">
        <f>Source!BZ251</f>
        <v>97</v>
      </c>
      <c r="F337" s="23"/>
      <c r="G337" s="22"/>
      <c r="H337" s="20"/>
      <c r="I337" s="23">
        <f>SUM(Q330:Q336)</f>
        <v>45.2</v>
      </c>
      <c r="J337" s="20">
        <f>Source!AT251</f>
        <v>97</v>
      </c>
      <c r="K337" s="23">
        <f>SUM(R330:R336)</f>
        <v>2547.13</v>
      </c>
      <c r="N337"/>
    </row>
    <row r="338" spans="1:16" ht="14.25" hidden="1" x14ac:dyDescent="0.2">
      <c r="A338" s="19"/>
      <c r="B338" s="19"/>
      <c r="C338" s="19" t="s">
        <v>528</v>
      </c>
      <c r="D338" s="21" t="s">
        <v>527</v>
      </c>
      <c r="E338" s="20">
        <f>Source!CA251</f>
        <v>51</v>
      </c>
      <c r="F338" s="23"/>
      <c r="G338" s="22"/>
      <c r="H338" s="20"/>
      <c r="I338" s="23">
        <f>SUM(S330:S337)</f>
        <v>23.77</v>
      </c>
      <c r="J338" s="20">
        <f>Source!AU251</f>
        <v>51</v>
      </c>
      <c r="K338" s="23">
        <f>SUM(T330:T337)</f>
        <v>1339.21</v>
      </c>
      <c r="N338"/>
    </row>
    <row r="339" spans="1:16" ht="14.25" hidden="1" x14ac:dyDescent="0.2">
      <c r="A339" s="24"/>
      <c r="B339" s="24"/>
      <c r="C339" s="24" t="s">
        <v>529</v>
      </c>
      <c r="D339" s="25" t="s">
        <v>530</v>
      </c>
      <c r="E339" s="26">
        <f>Source!AQ250</f>
        <v>29.9</v>
      </c>
      <c r="F339" s="27"/>
      <c r="G339" s="28" t="s">
        <v>139</v>
      </c>
      <c r="H339" s="26">
        <f>Source!AV251</f>
        <v>1.0469999999999999</v>
      </c>
      <c r="I339" s="27">
        <f>Source!U250</f>
        <v>3.7566359999999999</v>
      </c>
      <c r="J339" s="26"/>
      <c r="K339" s="27"/>
      <c r="N339"/>
    </row>
    <row r="340" spans="1:16" ht="15" hidden="1" x14ac:dyDescent="0.2">
      <c r="C340" s="29" t="s">
        <v>531</v>
      </c>
      <c r="H340" s="45">
        <f>I332+I333+I335+I337+I338+SUM(I336:I336)-SUMIF(AC336:AC336, 5, I336:I336)-SUMIF(AC336:AC336, 6, I336:I336)</f>
        <v>439.99</v>
      </c>
      <c r="I340" s="45"/>
      <c r="J340" s="45">
        <f>K332+K333+K335+K337+K338+SUM(K336:K336)-SUMIF(AC336:AC336, 5, K336:K336)-SUMIF(AC336:AC336, 6, K336:K336)</f>
        <v>7916.22</v>
      </c>
      <c r="K340" s="45"/>
      <c r="N340"/>
    </row>
    <row r="341" spans="1:16" ht="15" hidden="1" x14ac:dyDescent="0.2">
      <c r="C341" s="29" t="s">
        <v>532</v>
      </c>
      <c r="H341" s="43">
        <f>SUMIF(AC336:AC336, 5, I336:I336)+SUMIF(AC336:AC336, 6, I336:I336)</f>
        <v>0</v>
      </c>
      <c r="I341" s="43"/>
      <c r="J341" s="43">
        <f>SUMIF(AC336:AC336, 5, K336:K336)+SUMIF(AC336:AC336, 6, K336:K336)</f>
        <v>0</v>
      </c>
      <c r="K341" s="43"/>
      <c r="N341"/>
    </row>
    <row r="342" spans="1:16" ht="15" hidden="1" x14ac:dyDescent="0.2">
      <c r="C342" s="29" t="s">
        <v>533</v>
      </c>
      <c r="H342" s="43">
        <f>I332+I333+I335+I337+I338+SUM(I336:I336)</f>
        <v>439.99</v>
      </c>
      <c r="I342" s="43"/>
      <c r="J342" s="43">
        <f>K332+K333+K335+K337+K338+SUM(K336:K336)</f>
        <v>7916.22</v>
      </c>
      <c r="K342" s="43"/>
      <c r="N342"/>
      <c r="O342" s="30">
        <f>I332+I333+I335+I337+I338+SUM(I336:I336)</f>
        <v>439.99</v>
      </c>
      <c r="P342" s="30">
        <f>K332+K333+K335+K337+K338+SUM(K336:K336)</f>
        <v>7916.22</v>
      </c>
    </row>
    <row r="343" spans="1:16" hidden="1" x14ac:dyDescent="0.2">
      <c r="N343"/>
    </row>
    <row r="344" spans="1:16" hidden="1" x14ac:dyDescent="0.2">
      <c r="N344"/>
    </row>
    <row r="345" spans="1:16" ht="15" hidden="1" x14ac:dyDescent="0.25">
      <c r="A345" s="42" t="str">
        <f>CONCATENATE("Итого по разделу: ",IF(Source!G255&lt;&gt;"Новый раздел", Source!G255, ""))</f>
        <v>Итого по разделу: Материалы</v>
      </c>
      <c r="B345" s="42"/>
      <c r="C345" s="42"/>
      <c r="D345" s="42"/>
      <c r="E345" s="42"/>
      <c r="F345" s="42"/>
      <c r="G345" s="42"/>
      <c r="H345" s="43">
        <f>SUM(O311:O344)</f>
        <v>67939.649999999994</v>
      </c>
      <c r="I345" s="44"/>
      <c r="J345" s="43">
        <f>SUM(P311:P344)</f>
        <v>345152.68999999994</v>
      </c>
      <c r="K345" s="44"/>
      <c r="N345"/>
    </row>
    <row r="346" spans="1:16" hidden="1" x14ac:dyDescent="0.2">
      <c r="A346" t="s">
        <v>536</v>
      </c>
      <c r="I346">
        <f>SUM(W311:W345)</f>
        <v>0</v>
      </c>
      <c r="J346">
        <f>SUM(X311:X345)</f>
        <v>0</v>
      </c>
      <c r="N346"/>
    </row>
    <row r="347" spans="1:16" hidden="1" x14ac:dyDescent="0.2">
      <c r="A347" t="s">
        <v>537</v>
      </c>
      <c r="I347">
        <f>SUM(Y311:Y346)</f>
        <v>0</v>
      </c>
      <c r="J347">
        <f>SUM(Z311:Z346)</f>
        <v>0</v>
      </c>
      <c r="N347"/>
    </row>
    <row r="348" spans="1:16" hidden="1" x14ac:dyDescent="0.2">
      <c r="N348"/>
    </row>
    <row r="349" spans="1:16" ht="15" hidden="1" x14ac:dyDescent="0.25">
      <c r="A349" s="42" t="str">
        <f>CONCATENATE("Итого по локальной смете: ",IF(Source!G285&lt;&gt;"Новая локальная смета", Source!G285, ""))</f>
        <v>Итого по локальной смете: Система кабельного телевидения</v>
      </c>
      <c r="B349" s="42"/>
      <c r="C349" s="42"/>
      <c r="D349" s="42"/>
      <c r="E349" s="42"/>
      <c r="F349" s="42"/>
      <c r="G349" s="42"/>
      <c r="H349" s="43">
        <f>SUM(O36:O348)</f>
        <v>99052.06</v>
      </c>
      <c r="I349" s="44"/>
      <c r="J349" s="43">
        <f>SUM(P36:P348)</f>
        <v>928243.33999999985</v>
      </c>
      <c r="K349" s="44"/>
      <c r="N349"/>
    </row>
    <row r="350" spans="1:16" hidden="1" x14ac:dyDescent="0.2">
      <c r="A350" t="s">
        <v>536</v>
      </c>
      <c r="I350">
        <f>SUM(W36:W349)</f>
        <v>0</v>
      </c>
      <c r="J350">
        <f>SUM(X36:X349)</f>
        <v>0</v>
      </c>
      <c r="N350"/>
    </row>
    <row r="351" spans="1:16" hidden="1" x14ac:dyDescent="0.2">
      <c r="A351" t="s">
        <v>537</v>
      </c>
      <c r="I351">
        <f>SUM(Y36:Y350)</f>
        <v>0</v>
      </c>
      <c r="J351">
        <f>SUM(Z36:Z350)</f>
        <v>0</v>
      </c>
      <c r="N351"/>
    </row>
    <row r="352" spans="1:16" hidden="1" x14ac:dyDescent="0.2">
      <c r="N352"/>
    </row>
    <row r="353" spans="1:11" customFormat="1" ht="15" hidden="1" x14ac:dyDescent="0.25">
      <c r="A353" s="42" t="str">
        <f>CONCATENATE("Итого по смете: ",IF(Source!G315&lt;&gt;"Новый объект", Source!G315, ""))</f>
        <v>Итого по смете: 02-01-12 СКТ</v>
      </c>
      <c r="B353" s="42"/>
      <c r="C353" s="42"/>
      <c r="D353" s="42"/>
      <c r="E353" s="42"/>
      <c r="F353" s="42"/>
      <c r="G353" s="42"/>
      <c r="H353" s="43">
        <f>SUM(O1:O352)</f>
        <v>99052.06</v>
      </c>
      <c r="I353" s="44"/>
      <c r="J353" s="43">
        <f>SUM(P1:P352)</f>
        <v>928243.33999999985</v>
      </c>
      <c r="K353" s="44"/>
    </row>
    <row r="354" spans="1:11" customFormat="1" hidden="1" x14ac:dyDescent="0.2">
      <c r="A354" t="s">
        <v>536</v>
      </c>
      <c r="I354">
        <f>SUM(W1:W353)</f>
        <v>0</v>
      </c>
      <c r="J354">
        <f>SUM(X1:X353)</f>
        <v>0</v>
      </c>
    </row>
    <row r="355" spans="1:11" customFormat="1" hidden="1" x14ac:dyDescent="0.2">
      <c r="A355" t="s">
        <v>537</v>
      </c>
      <c r="I355">
        <f>SUM(Y1:Y354)</f>
        <v>0</v>
      </c>
      <c r="J355">
        <f>SUM(Z1:Z354)</f>
        <v>0</v>
      </c>
    </row>
    <row r="356" spans="1:11" customFormat="1" hidden="1" x14ac:dyDescent="0.2"/>
    <row r="357" spans="1:11" customFormat="1" hidden="1" x14ac:dyDescent="0.2"/>
    <row r="358" spans="1:11" customFormat="1" ht="14.25" hidden="1" x14ac:dyDescent="0.2">
      <c r="A358" s="39" t="s">
        <v>544</v>
      </c>
      <c r="B358" s="39"/>
      <c r="C358" s="38" t="str">
        <f>IF(Source!AC12&lt;&gt;"", Source!AC12," ")</f>
        <v xml:space="preserve"> </v>
      </c>
      <c r="D358" s="38"/>
      <c r="E358" s="38"/>
      <c r="F358" s="38"/>
      <c r="G358" s="38"/>
      <c r="H358" s="40" t="str">
        <f>IF(Source!AB12&lt;&gt;"", Source!AB12," ")</f>
        <v xml:space="preserve"> </v>
      </c>
      <c r="I358" s="40"/>
      <c r="J358" s="40"/>
      <c r="K358" s="40"/>
    </row>
    <row r="359" spans="1:11" customFormat="1" ht="14.25" hidden="1" x14ac:dyDescent="0.2">
      <c r="A359" s="16"/>
      <c r="B359" s="16"/>
      <c r="C359" s="41" t="s">
        <v>545</v>
      </c>
      <c r="D359" s="41"/>
      <c r="E359" s="41"/>
      <c r="F359" s="41"/>
      <c r="G359" s="41"/>
      <c r="H359" s="16"/>
      <c r="I359" s="16"/>
      <c r="J359" s="16"/>
      <c r="K359" s="16"/>
    </row>
    <row r="360" spans="1:11" customFormat="1" ht="14.25" hidden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</row>
    <row r="361" spans="1:11" customFormat="1" ht="14.25" hidden="1" x14ac:dyDescent="0.2">
      <c r="A361" s="39" t="s">
        <v>546</v>
      </c>
      <c r="B361" s="39"/>
      <c r="C361" s="38" t="str">
        <f>IF(Source!AE12&lt;&gt;"", Source!AE12," ")</f>
        <v xml:space="preserve"> </v>
      </c>
      <c r="D361" s="38"/>
      <c r="E361" s="38"/>
      <c r="F361" s="38"/>
      <c r="G361" s="38"/>
      <c r="H361" s="40" t="str">
        <f>IF(Source!AD12&lt;&gt;"", Source!AD12," ")</f>
        <v xml:space="preserve"> </v>
      </c>
      <c r="I361" s="40"/>
      <c r="J361" s="40"/>
      <c r="K361" s="40"/>
    </row>
    <row r="362" spans="1:11" customFormat="1" ht="14.25" hidden="1" x14ac:dyDescent="0.2">
      <c r="A362" s="16"/>
      <c r="B362" s="16"/>
      <c r="C362" s="41" t="s">
        <v>545</v>
      </c>
      <c r="D362" s="41"/>
      <c r="E362" s="41"/>
      <c r="F362" s="41"/>
      <c r="G362" s="41"/>
      <c r="H362" s="16"/>
      <c r="I362" s="16"/>
      <c r="J362" s="16"/>
      <c r="K362" s="16"/>
    </row>
  </sheetData>
  <autoFilter ref="A1:AU362" xr:uid="{FF62EC49-6273-4753-A3CD-81E034E483D9}">
    <filterColumn colId="10">
      <colorFilter dxfId="0"/>
    </filterColumn>
  </autoFilter>
  <mergeCells count="212">
    <mergeCell ref="A15:K15"/>
    <mergeCell ref="A16:K16"/>
    <mergeCell ref="A18:K18"/>
    <mergeCell ref="E21:H21"/>
    <mergeCell ref="E22:H22"/>
    <mergeCell ref="E23:H23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  <mergeCell ref="A32:K32"/>
    <mergeCell ref="A36:K36"/>
    <mergeCell ref="A38:K38"/>
    <mergeCell ref="H44:I44"/>
    <mergeCell ref="J44:K44"/>
    <mergeCell ref="H45:I45"/>
    <mergeCell ref="J45:K45"/>
    <mergeCell ref="E24:H24"/>
    <mergeCell ref="E25:H25"/>
    <mergeCell ref="E26:H26"/>
    <mergeCell ref="E27:H27"/>
    <mergeCell ref="E28:H28"/>
    <mergeCell ref="E29:H29"/>
    <mergeCell ref="H55:I55"/>
    <mergeCell ref="J55:K55"/>
    <mergeCell ref="H64:I64"/>
    <mergeCell ref="J64:K64"/>
    <mergeCell ref="H65:I65"/>
    <mergeCell ref="J65:K65"/>
    <mergeCell ref="H46:I46"/>
    <mergeCell ref="J46:K46"/>
    <mergeCell ref="H53:I53"/>
    <mergeCell ref="J53:K53"/>
    <mergeCell ref="H54:I54"/>
    <mergeCell ref="J54:K54"/>
    <mergeCell ref="H75:I75"/>
    <mergeCell ref="J75:K75"/>
    <mergeCell ref="H82:I82"/>
    <mergeCell ref="J82:K82"/>
    <mergeCell ref="H83:I83"/>
    <mergeCell ref="J83:K83"/>
    <mergeCell ref="H66:I66"/>
    <mergeCell ref="J66:K66"/>
    <mergeCell ref="H73:I73"/>
    <mergeCell ref="J73:K73"/>
    <mergeCell ref="H74:I74"/>
    <mergeCell ref="J74:K74"/>
    <mergeCell ref="H93:I93"/>
    <mergeCell ref="J93:K93"/>
    <mergeCell ref="H101:I101"/>
    <mergeCell ref="J101:K101"/>
    <mergeCell ref="H102:I102"/>
    <mergeCell ref="J102:K102"/>
    <mergeCell ref="H84:I84"/>
    <mergeCell ref="J84:K84"/>
    <mergeCell ref="H91:I91"/>
    <mergeCell ref="J91:K91"/>
    <mergeCell ref="H92:I92"/>
    <mergeCell ref="J92:K92"/>
    <mergeCell ref="H113:I113"/>
    <mergeCell ref="J113:K113"/>
    <mergeCell ref="H121:I121"/>
    <mergeCell ref="J121:K121"/>
    <mergeCell ref="H122:I122"/>
    <mergeCell ref="J122:K122"/>
    <mergeCell ref="H103:I103"/>
    <mergeCell ref="J103:K103"/>
    <mergeCell ref="H111:I111"/>
    <mergeCell ref="J111:K111"/>
    <mergeCell ref="H112:I112"/>
    <mergeCell ref="J112:K112"/>
    <mergeCell ref="H135:I135"/>
    <mergeCell ref="J135:K135"/>
    <mergeCell ref="J138:K138"/>
    <mergeCell ref="H138:I138"/>
    <mergeCell ref="A138:G138"/>
    <mergeCell ref="A142:K142"/>
    <mergeCell ref="H123:I123"/>
    <mergeCell ref="J123:K123"/>
    <mergeCell ref="H133:I133"/>
    <mergeCell ref="J133:K133"/>
    <mergeCell ref="H134:I134"/>
    <mergeCell ref="J134:K134"/>
    <mergeCell ref="H154:I154"/>
    <mergeCell ref="J154:K154"/>
    <mergeCell ref="H162:I162"/>
    <mergeCell ref="J162:K162"/>
    <mergeCell ref="H163:I163"/>
    <mergeCell ref="J163:K163"/>
    <mergeCell ref="H149:I149"/>
    <mergeCell ref="J149:K149"/>
    <mergeCell ref="H150:I150"/>
    <mergeCell ref="J150:K150"/>
    <mergeCell ref="H151:I151"/>
    <mergeCell ref="J151:K151"/>
    <mergeCell ref="H180:I180"/>
    <mergeCell ref="J180:K180"/>
    <mergeCell ref="H181:I181"/>
    <mergeCell ref="J181:K181"/>
    <mergeCell ref="H189:I189"/>
    <mergeCell ref="J189:K189"/>
    <mergeCell ref="H164:I164"/>
    <mergeCell ref="J164:K164"/>
    <mergeCell ref="H167:I167"/>
    <mergeCell ref="J167:K167"/>
    <mergeCell ref="H179:I179"/>
    <mergeCell ref="J179:K179"/>
    <mergeCell ref="H202:I202"/>
    <mergeCell ref="J202:K202"/>
    <mergeCell ref="H203:I203"/>
    <mergeCell ref="J203:K203"/>
    <mergeCell ref="H204:I204"/>
    <mergeCell ref="J204:K204"/>
    <mergeCell ref="H190:I190"/>
    <mergeCell ref="J190:K190"/>
    <mergeCell ref="H191:I191"/>
    <mergeCell ref="J191:K191"/>
    <mergeCell ref="H194:I194"/>
    <mergeCell ref="J194:K194"/>
    <mergeCell ref="H217:I217"/>
    <mergeCell ref="J217:K217"/>
    <mergeCell ref="H220:I220"/>
    <mergeCell ref="J220:K220"/>
    <mergeCell ref="J223:K223"/>
    <mergeCell ref="H223:I223"/>
    <mergeCell ref="H207:I207"/>
    <mergeCell ref="J207:K207"/>
    <mergeCell ref="H215:I215"/>
    <mergeCell ref="J215:K215"/>
    <mergeCell ref="H216:I216"/>
    <mergeCell ref="J216:K216"/>
    <mergeCell ref="H236:I236"/>
    <mergeCell ref="J236:K236"/>
    <mergeCell ref="H239:I239"/>
    <mergeCell ref="J239:K239"/>
    <mergeCell ref="H250:I250"/>
    <mergeCell ref="J250:K250"/>
    <mergeCell ref="A223:G223"/>
    <mergeCell ref="A227:K227"/>
    <mergeCell ref="H234:I234"/>
    <mergeCell ref="J234:K234"/>
    <mergeCell ref="H235:I235"/>
    <mergeCell ref="J235:K235"/>
    <mergeCell ref="J258:K258"/>
    <mergeCell ref="H258:I258"/>
    <mergeCell ref="A258:G258"/>
    <mergeCell ref="A262:K262"/>
    <mergeCell ref="H272:I272"/>
    <mergeCell ref="J272:K272"/>
    <mergeCell ref="H251:I251"/>
    <mergeCell ref="J251:K251"/>
    <mergeCell ref="H252:I252"/>
    <mergeCell ref="J252:K252"/>
    <mergeCell ref="H255:I255"/>
    <mergeCell ref="J255:K255"/>
    <mergeCell ref="H282:I282"/>
    <mergeCell ref="J282:K282"/>
    <mergeCell ref="H294:I294"/>
    <mergeCell ref="J294:K294"/>
    <mergeCell ref="H295:I295"/>
    <mergeCell ref="J295:K295"/>
    <mergeCell ref="H273:I273"/>
    <mergeCell ref="J273:K273"/>
    <mergeCell ref="H274:I274"/>
    <mergeCell ref="J274:K274"/>
    <mergeCell ref="H278:I278"/>
    <mergeCell ref="J278:K278"/>
    <mergeCell ref="J307:K307"/>
    <mergeCell ref="H307:I307"/>
    <mergeCell ref="A307:G307"/>
    <mergeCell ref="A311:K311"/>
    <mergeCell ref="H326:I326"/>
    <mergeCell ref="J326:K326"/>
    <mergeCell ref="H296:I296"/>
    <mergeCell ref="J296:K296"/>
    <mergeCell ref="H300:I300"/>
    <mergeCell ref="J300:K300"/>
    <mergeCell ref="H304:I304"/>
    <mergeCell ref="J304:K304"/>
    <mergeCell ref="H341:I341"/>
    <mergeCell ref="J341:K341"/>
    <mergeCell ref="H342:I342"/>
    <mergeCell ref="J342:K342"/>
    <mergeCell ref="J345:K345"/>
    <mergeCell ref="H345:I345"/>
    <mergeCell ref="H327:I327"/>
    <mergeCell ref="J327:K327"/>
    <mergeCell ref="H328:I328"/>
    <mergeCell ref="J328:K328"/>
    <mergeCell ref="H340:I340"/>
    <mergeCell ref="J340:K340"/>
    <mergeCell ref="A358:B358"/>
    <mergeCell ref="H358:K358"/>
    <mergeCell ref="C359:G359"/>
    <mergeCell ref="A361:B361"/>
    <mergeCell ref="H361:K361"/>
    <mergeCell ref="C362:G362"/>
    <mergeCell ref="A345:G345"/>
    <mergeCell ref="J349:K349"/>
    <mergeCell ref="H349:I349"/>
    <mergeCell ref="A349:G349"/>
    <mergeCell ref="J353:K353"/>
    <mergeCell ref="H353:I353"/>
    <mergeCell ref="A353:G353"/>
  </mergeCells>
  <pageMargins left="0.4" right="0.2" top="0.2" bottom="0.4" header="0.2" footer="0.2"/>
  <pageSetup paperSize="9" scale="74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362"/>
  <sheetViews>
    <sheetView workbookViewId="0">
      <selection activeCell="A358" sqref="A358:AX358"/>
    </sheetView>
  </sheetViews>
  <sheetFormatPr defaultColWidth="9.140625" defaultRowHeight="12.75" x14ac:dyDescent="0.2"/>
  <cols>
    <col min="1" max="256" width="9.140625" style="3" customWidth="1"/>
    <col min="257" max="16384" width="9.140625" style="3"/>
  </cols>
  <sheetData>
    <row r="1" spans="1:133" x14ac:dyDescent="0.2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1</v>
      </c>
    </row>
    <row r="4" spans="1:133" x14ac:dyDescent="0.2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x14ac:dyDescent="0.2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x14ac:dyDescent="0.2">
      <c r="A12" s="10">
        <v>1</v>
      </c>
      <c r="B12" s="10">
        <v>354</v>
      </c>
      <c r="C12" s="10">
        <v>0</v>
      </c>
      <c r="D12" s="10">
        <f>ROW(A315)</f>
        <v>315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0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3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10</v>
      </c>
      <c r="BZ12" s="10" t="s">
        <v>11</v>
      </c>
      <c r="CA12" s="10" t="s">
        <v>12</v>
      </c>
      <c r="CB12" s="10" t="s">
        <v>12</v>
      </c>
      <c r="CC12" s="10" t="s">
        <v>12</v>
      </c>
      <c r="CD12" s="10" t="s">
        <v>12</v>
      </c>
      <c r="CE12" s="10" t="s">
        <v>13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14</v>
      </c>
      <c r="CR12" s="10" t="s">
        <v>15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">
      <c r="A18" s="11">
        <v>52</v>
      </c>
      <c r="B18" s="11">
        <f t="shared" ref="B18:G18" si="0">B315</f>
        <v>354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02-01-12</v>
      </c>
      <c r="G18" s="11" t="str">
        <f t="shared" si="0"/>
        <v>02-01-12 СКТ</v>
      </c>
      <c r="H18" s="11"/>
      <c r="I18" s="11"/>
      <c r="J18" s="11"/>
      <c r="K18" s="11"/>
      <c r="L18" s="11"/>
      <c r="M18" s="11"/>
      <c r="N18" s="11"/>
      <c r="O18" s="11">
        <f t="shared" ref="O18:AT18" si="1">O315</f>
        <v>92685.73</v>
      </c>
      <c r="P18" s="11">
        <f t="shared" si="1"/>
        <v>87368.36</v>
      </c>
      <c r="Q18" s="11">
        <f t="shared" si="1"/>
        <v>1518.75</v>
      </c>
      <c r="R18" s="11">
        <f t="shared" si="1"/>
        <v>581.53</v>
      </c>
      <c r="S18" s="11">
        <f t="shared" si="1"/>
        <v>3798.62</v>
      </c>
      <c r="T18" s="11">
        <f t="shared" si="1"/>
        <v>0</v>
      </c>
      <c r="U18" s="11">
        <f t="shared" si="1"/>
        <v>323.30434151999998</v>
      </c>
      <c r="V18" s="11">
        <f t="shared" si="1"/>
        <v>0</v>
      </c>
      <c r="W18" s="11">
        <f t="shared" si="1"/>
        <v>0</v>
      </c>
      <c r="X18" s="11">
        <f t="shared" si="1"/>
        <v>4161.38</v>
      </c>
      <c r="Y18" s="11">
        <f t="shared" si="1"/>
        <v>2204.9499999999998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8481.81</v>
      </c>
      <c r="AQ18" s="11">
        <f t="shared" si="1"/>
        <v>0</v>
      </c>
      <c r="AR18" s="11">
        <f t="shared" si="1"/>
        <v>99052.06</v>
      </c>
      <c r="AS18" s="11">
        <f t="shared" si="1"/>
        <v>3087.67</v>
      </c>
      <c r="AT18" s="11">
        <f t="shared" si="1"/>
        <v>87482.58</v>
      </c>
      <c r="AU18" s="11">
        <f t="shared" ref="AU18:BZ18" si="2">AU315</f>
        <v>0</v>
      </c>
      <c r="AV18" s="11">
        <f t="shared" si="2"/>
        <v>87368.36</v>
      </c>
      <c r="AW18" s="11">
        <f t="shared" si="2"/>
        <v>78886.55</v>
      </c>
      <c r="AX18" s="11">
        <f t="shared" si="2"/>
        <v>0</v>
      </c>
      <c r="AY18" s="11">
        <f t="shared" si="2"/>
        <v>78886.55</v>
      </c>
      <c r="AZ18" s="11">
        <f t="shared" si="2"/>
        <v>8481.81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CA315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DG315</f>
        <v>569499.51</v>
      </c>
      <c r="DH18" s="12">
        <f t="shared" si="4"/>
        <v>311411.52</v>
      </c>
      <c r="DI18" s="12">
        <f t="shared" si="4"/>
        <v>44035.75</v>
      </c>
      <c r="DJ18" s="12">
        <f t="shared" si="4"/>
        <v>32769.22</v>
      </c>
      <c r="DK18" s="12">
        <f t="shared" si="4"/>
        <v>214052.24</v>
      </c>
      <c r="DL18" s="12">
        <f t="shared" si="4"/>
        <v>0</v>
      </c>
      <c r="DM18" s="12">
        <f t="shared" si="4"/>
        <v>323.30434151999998</v>
      </c>
      <c r="DN18" s="12">
        <f t="shared" si="4"/>
        <v>0</v>
      </c>
      <c r="DO18" s="12">
        <f t="shared" si="4"/>
        <v>0</v>
      </c>
      <c r="DP18" s="12">
        <f t="shared" si="4"/>
        <v>234494.24</v>
      </c>
      <c r="DQ18" s="12">
        <f t="shared" si="4"/>
        <v>124249.59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83461.009999999995</v>
      </c>
      <c r="EI18" s="12">
        <f t="shared" si="4"/>
        <v>0</v>
      </c>
      <c r="EJ18" s="12">
        <f t="shared" si="4"/>
        <v>928243.34</v>
      </c>
      <c r="EK18" s="12">
        <f t="shared" si="4"/>
        <v>173989.92</v>
      </c>
      <c r="EL18" s="12">
        <f t="shared" si="4"/>
        <v>670792.41</v>
      </c>
      <c r="EM18" s="12">
        <f t="shared" ref="EM18:FR18" si="5">EM315</f>
        <v>0</v>
      </c>
      <c r="EN18" s="12">
        <f t="shared" si="5"/>
        <v>311411.52</v>
      </c>
      <c r="EO18" s="12">
        <f t="shared" si="5"/>
        <v>227950.51</v>
      </c>
      <c r="EP18" s="12">
        <f t="shared" si="5"/>
        <v>0</v>
      </c>
      <c r="EQ18" s="12">
        <f t="shared" si="5"/>
        <v>227950.51</v>
      </c>
      <c r="ER18" s="12">
        <f t="shared" si="5"/>
        <v>83461.009999999995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FS315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">
      <c r="A20" s="10">
        <v>3</v>
      </c>
      <c r="B20" s="10">
        <v>1</v>
      </c>
      <c r="C20" s="10"/>
      <c r="D20" s="10">
        <f>ROW(A285)</f>
        <v>285</v>
      </c>
      <c r="E20" s="10"/>
      <c r="F20" s="10" t="s">
        <v>5</v>
      </c>
      <c r="G20" s="10" t="s">
        <v>16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0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">
      <c r="A22" s="11">
        <v>52</v>
      </c>
      <c r="B22" s="11">
        <f t="shared" ref="B22:G22" si="7">B285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02-01-12</v>
      </c>
      <c r="G22" s="11" t="str">
        <f t="shared" si="7"/>
        <v>Система кабельного телевидения</v>
      </c>
      <c r="H22" s="11"/>
      <c r="I22" s="11"/>
      <c r="J22" s="11"/>
      <c r="K22" s="11"/>
      <c r="L22" s="11"/>
      <c r="M22" s="11"/>
      <c r="N22" s="11"/>
      <c r="O22" s="11">
        <f t="shared" ref="O22:AT22" si="8">O285</f>
        <v>92685.73</v>
      </c>
      <c r="P22" s="11">
        <f t="shared" si="8"/>
        <v>87368.36</v>
      </c>
      <c r="Q22" s="11">
        <f t="shared" si="8"/>
        <v>1518.75</v>
      </c>
      <c r="R22" s="11">
        <f t="shared" si="8"/>
        <v>581.53</v>
      </c>
      <c r="S22" s="11">
        <f t="shared" si="8"/>
        <v>3798.62</v>
      </c>
      <c r="T22" s="11">
        <f t="shared" si="8"/>
        <v>0</v>
      </c>
      <c r="U22" s="11">
        <f t="shared" si="8"/>
        <v>323.30434151999998</v>
      </c>
      <c r="V22" s="11">
        <f t="shared" si="8"/>
        <v>0</v>
      </c>
      <c r="W22" s="11">
        <f t="shared" si="8"/>
        <v>0</v>
      </c>
      <c r="X22" s="11">
        <f t="shared" si="8"/>
        <v>4161.38</v>
      </c>
      <c r="Y22" s="11">
        <f t="shared" si="8"/>
        <v>2204.9499999999998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8481.81</v>
      </c>
      <c r="AQ22" s="11">
        <f t="shared" si="8"/>
        <v>0</v>
      </c>
      <c r="AR22" s="11">
        <f t="shared" si="8"/>
        <v>99052.06</v>
      </c>
      <c r="AS22" s="11">
        <f t="shared" si="8"/>
        <v>3087.67</v>
      </c>
      <c r="AT22" s="11">
        <f t="shared" si="8"/>
        <v>87482.58</v>
      </c>
      <c r="AU22" s="11">
        <f t="shared" ref="AU22:BZ22" si="9">AU285</f>
        <v>0</v>
      </c>
      <c r="AV22" s="11">
        <f t="shared" si="9"/>
        <v>87368.36</v>
      </c>
      <c r="AW22" s="11">
        <f t="shared" si="9"/>
        <v>78886.55</v>
      </c>
      <c r="AX22" s="11">
        <f t="shared" si="9"/>
        <v>0</v>
      </c>
      <c r="AY22" s="11">
        <f t="shared" si="9"/>
        <v>78886.55</v>
      </c>
      <c r="AZ22" s="11">
        <f t="shared" si="9"/>
        <v>8481.81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CA285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DG285</f>
        <v>569499.51</v>
      </c>
      <c r="DH22" s="12">
        <f t="shared" si="11"/>
        <v>311411.52</v>
      </c>
      <c r="DI22" s="12">
        <f t="shared" si="11"/>
        <v>44035.75</v>
      </c>
      <c r="DJ22" s="12">
        <f t="shared" si="11"/>
        <v>32769.22</v>
      </c>
      <c r="DK22" s="12">
        <f t="shared" si="11"/>
        <v>214052.24</v>
      </c>
      <c r="DL22" s="12">
        <f t="shared" si="11"/>
        <v>0</v>
      </c>
      <c r="DM22" s="12">
        <f t="shared" si="11"/>
        <v>323.30434151999998</v>
      </c>
      <c r="DN22" s="12">
        <f t="shared" si="11"/>
        <v>0</v>
      </c>
      <c r="DO22" s="12">
        <f t="shared" si="11"/>
        <v>0</v>
      </c>
      <c r="DP22" s="12">
        <f t="shared" si="11"/>
        <v>234494.24</v>
      </c>
      <c r="DQ22" s="12">
        <f t="shared" si="11"/>
        <v>124249.59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83461.009999999995</v>
      </c>
      <c r="EI22" s="12">
        <f t="shared" si="11"/>
        <v>0</v>
      </c>
      <c r="EJ22" s="12">
        <f t="shared" si="11"/>
        <v>928243.34</v>
      </c>
      <c r="EK22" s="12">
        <f t="shared" si="11"/>
        <v>173989.92</v>
      </c>
      <c r="EL22" s="12">
        <f t="shared" si="11"/>
        <v>670792.41</v>
      </c>
      <c r="EM22" s="12">
        <f t="shared" ref="EM22:FR22" si="12">EM285</f>
        <v>0</v>
      </c>
      <c r="EN22" s="12">
        <f t="shared" si="12"/>
        <v>311411.52</v>
      </c>
      <c r="EO22" s="12">
        <f t="shared" si="12"/>
        <v>227950.51</v>
      </c>
      <c r="EP22" s="12">
        <f t="shared" si="12"/>
        <v>0</v>
      </c>
      <c r="EQ22" s="12">
        <f t="shared" si="12"/>
        <v>227950.51</v>
      </c>
      <c r="ER22" s="12">
        <f t="shared" si="12"/>
        <v>83461.009999999995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FS285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">
      <c r="A24" s="10">
        <v>4</v>
      </c>
      <c r="B24" s="10">
        <v>1</v>
      </c>
      <c r="C24" s="10"/>
      <c r="D24" s="10">
        <f>ROW(A49)</f>
        <v>49</v>
      </c>
      <c r="E24" s="10"/>
      <c r="F24" s="10" t="s">
        <v>17</v>
      </c>
      <c r="G24" s="10" t="s">
        <v>18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0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">
      <c r="A26" s="11">
        <v>52</v>
      </c>
      <c r="B26" s="11">
        <f t="shared" ref="B26:G26" si="14">B49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</v>
      </c>
      <c r="H26" s="11"/>
      <c r="I26" s="11"/>
      <c r="J26" s="11"/>
      <c r="K26" s="11"/>
      <c r="L26" s="11"/>
      <c r="M26" s="11"/>
      <c r="N26" s="11"/>
      <c r="O26" s="11">
        <f t="shared" ref="O26:AT26" si="15">O49</f>
        <v>1407.26</v>
      </c>
      <c r="P26" s="11">
        <f t="shared" si="15"/>
        <v>0</v>
      </c>
      <c r="Q26" s="11">
        <f t="shared" si="15"/>
        <v>11.43</v>
      </c>
      <c r="R26" s="11">
        <f t="shared" si="15"/>
        <v>1.28</v>
      </c>
      <c r="S26" s="11">
        <f t="shared" si="15"/>
        <v>1395.83</v>
      </c>
      <c r="T26" s="11">
        <f t="shared" si="15"/>
        <v>0</v>
      </c>
      <c r="U26" s="11">
        <f t="shared" si="15"/>
        <v>131.88786335999998</v>
      </c>
      <c r="V26" s="11">
        <f t="shared" si="15"/>
        <v>0</v>
      </c>
      <c r="W26" s="11">
        <f t="shared" si="15"/>
        <v>0</v>
      </c>
      <c r="X26" s="11">
        <f t="shared" si="15"/>
        <v>1276.0899999999999</v>
      </c>
      <c r="Y26" s="11">
        <f t="shared" si="15"/>
        <v>675.36</v>
      </c>
      <c r="Z26" s="11">
        <f t="shared" si="15"/>
        <v>0</v>
      </c>
      <c r="AA26" s="11">
        <f t="shared" si="15"/>
        <v>0</v>
      </c>
      <c r="AB26" s="11">
        <f t="shared" si="15"/>
        <v>1407.26</v>
      </c>
      <c r="AC26" s="11">
        <f t="shared" si="15"/>
        <v>0</v>
      </c>
      <c r="AD26" s="11">
        <f t="shared" si="15"/>
        <v>11.43</v>
      </c>
      <c r="AE26" s="11">
        <f t="shared" si="15"/>
        <v>1.28</v>
      </c>
      <c r="AF26" s="11">
        <f t="shared" si="15"/>
        <v>1395.83</v>
      </c>
      <c r="AG26" s="11">
        <f t="shared" si="15"/>
        <v>0</v>
      </c>
      <c r="AH26" s="11">
        <f t="shared" si="15"/>
        <v>131.88786335999998</v>
      </c>
      <c r="AI26" s="11">
        <f t="shared" si="15"/>
        <v>0</v>
      </c>
      <c r="AJ26" s="11">
        <f t="shared" si="15"/>
        <v>0</v>
      </c>
      <c r="AK26" s="11">
        <f t="shared" si="15"/>
        <v>1276.0899999999999</v>
      </c>
      <c r="AL26" s="11">
        <f t="shared" si="15"/>
        <v>675.36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3358.71</v>
      </c>
      <c r="AS26" s="11">
        <f t="shared" si="15"/>
        <v>3087.67</v>
      </c>
      <c r="AT26" s="11">
        <f t="shared" si="15"/>
        <v>271.04000000000002</v>
      </c>
      <c r="AU26" s="11">
        <f t="shared" ref="AU26:BZ26" si="16">AU49</f>
        <v>0</v>
      </c>
      <c r="AV26" s="11">
        <f t="shared" si="16"/>
        <v>0</v>
      </c>
      <c r="AW26" s="11">
        <f t="shared" si="16"/>
        <v>0</v>
      </c>
      <c r="AX26" s="11">
        <f t="shared" si="16"/>
        <v>0</v>
      </c>
      <c r="AY26" s="11">
        <f t="shared" si="16"/>
        <v>0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CA49</f>
        <v>3358.71</v>
      </c>
      <c r="CB26" s="11">
        <f t="shared" si="17"/>
        <v>3087.67</v>
      </c>
      <c r="CC26" s="11">
        <f t="shared" si="17"/>
        <v>271.04000000000002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DG49</f>
        <v>78852.960000000006</v>
      </c>
      <c r="DH26" s="12">
        <f t="shared" si="18"/>
        <v>0</v>
      </c>
      <c r="DI26" s="12">
        <f t="shared" si="18"/>
        <v>197.94</v>
      </c>
      <c r="DJ26" s="12">
        <f t="shared" si="18"/>
        <v>72.13</v>
      </c>
      <c r="DK26" s="12">
        <f t="shared" si="18"/>
        <v>78655.02</v>
      </c>
      <c r="DL26" s="12">
        <f t="shared" si="18"/>
        <v>0</v>
      </c>
      <c r="DM26" s="12">
        <f t="shared" si="18"/>
        <v>131.88786335999998</v>
      </c>
      <c r="DN26" s="12">
        <f t="shared" si="18"/>
        <v>0</v>
      </c>
      <c r="DO26" s="12">
        <f t="shared" si="18"/>
        <v>0</v>
      </c>
      <c r="DP26" s="12">
        <f t="shared" si="18"/>
        <v>71907.28</v>
      </c>
      <c r="DQ26" s="12">
        <f t="shared" si="18"/>
        <v>38056.97</v>
      </c>
      <c r="DR26" s="12">
        <f t="shared" si="18"/>
        <v>0</v>
      </c>
      <c r="DS26" s="12">
        <f t="shared" si="18"/>
        <v>0</v>
      </c>
      <c r="DT26" s="12">
        <f t="shared" si="18"/>
        <v>78852.960000000006</v>
      </c>
      <c r="DU26" s="12">
        <f t="shared" si="18"/>
        <v>0</v>
      </c>
      <c r="DV26" s="12">
        <f t="shared" si="18"/>
        <v>197.94</v>
      </c>
      <c r="DW26" s="12">
        <f t="shared" si="18"/>
        <v>72.13</v>
      </c>
      <c r="DX26" s="12">
        <f t="shared" si="18"/>
        <v>78655.02</v>
      </c>
      <c r="DY26" s="12">
        <f t="shared" si="18"/>
        <v>0</v>
      </c>
      <c r="DZ26" s="12">
        <f t="shared" si="18"/>
        <v>131.88786335999998</v>
      </c>
      <c r="EA26" s="12">
        <f t="shared" si="18"/>
        <v>0</v>
      </c>
      <c r="EB26" s="12">
        <f t="shared" si="18"/>
        <v>0</v>
      </c>
      <c r="EC26" s="12">
        <f t="shared" si="18"/>
        <v>71907.28</v>
      </c>
      <c r="ED26" s="12">
        <f t="shared" si="18"/>
        <v>38056.97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188817.21</v>
      </c>
      <c r="EK26" s="12">
        <f t="shared" si="18"/>
        <v>173989.92</v>
      </c>
      <c r="EL26" s="12">
        <f t="shared" si="18"/>
        <v>14827.29</v>
      </c>
      <c r="EM26" s="12">
        <f t="shared" ref="EM26:FR26" si="19">EM49</f>
        <v>0</v>
      </c>
      <c r="EN26" s="12">
        <f t="shared" si="19"/>
        <v>0</v>
      </c>
      <c r="EO26" s="12">
        <f t="shared" si="19"/>
        <v>0</v>
      </c>
      <c r="EP26" s="12">
        <f t="shared" si="19"/>
        <v>0</v>
      </c>
      <c r="EQ26" s="12">
        <f t="shared" si="19"/>
        <v>0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FS49</f>
        <v>188817.21</v>
      </c>
      <c r="FT26" s="12">
        <f t="shared" si="20"/>
        <v>173989.92</v>
      </c>
      <c r="FU26" s="12">
        <f t="shared" si="20"/>
        <v>14827.29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">
      <c r="A28" s="2">
        <v>17</v>
      </c>
      <c r="B28" s="2">
        <v>1</v>
      </c>
      <c r="C28" s="2">
        <f>ROW(SmtRes!A2)</f>
        <v>2</v>
      </c>
      <c r="D28" s="2">
        <f>ROW(EtalonRes!A2)</f>
        <v>2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47" si="21">ROUND(CP28,2)</f>
        <v>29.8</v>
      </c>
      <c r="P28" s="2">
        <f t="shared" ref="P28:P47" si="22">ROUND((ROUND((AC28*AW28*I28),2)*BC28),2)</f>
        <v>0</v>
      </c>
      <c r="Q28" s="2">
        <f t="shared" ref="Q28:Q39" si="23">(ROUND((ROUND(((((ET28*1.2)*0.3))*AV28*I28),2)*BB28),2)+ROUND((ROUND(((AE28-(((EU28*1.2)*0.3)))*AV28*I28),2)*BS28),2))</f>
        <v>0</v>
      </c>
      <c r="R28" s="2">
        <f t="shared" ref="R28:R39" si="24">(ROUND((ROUND(((((EU28*1.2)*0.3))*AV28*I28),2)*BS28),2)+ROUND((ROUND(((AE28-(((EU28*1.2)*0.3)))*AV28*I28),2)*BS28),2))</f>
        <v>0</v>
      </c>
      <c r="S28" s="2">
        <f t="shared" ref="S28:S47" si="25">ROUND((ROUND((AF28*AV28*I28),2)*BA28),2)</f>
        <v>29.8</v>
      </c>
      <c r="T28" s="2">
        <f t="shared" ref="T28:T47" si="26">ROUND(CU28*I28,2)</f>
        <v>0</v>
      </c>
      <c r="U28" s="2">
        <f t="shared" ref="U28:U47" si="27">CV28*I28</f>
        <v>2.1013883999999998</v>
      </c>
      <c r="V28" s="2">
        <f t="shared" ref="V28:V47" si="28">CW28*I28</f>
        <v>0</v>
      </c>
      <c r="W28" s="2">
        <f t="shared" ref="W28:W47" si="29">ROUND(CX28*I28,2)</f>
        <v>0</v>
      </c>
      <c r="X28" s="2">
        <f t="shared" ref="X28:X39" si="30">(ROUND((((S28+ROUND((ROUND(((((EU28*1.2)*0.3))*AV28*I28),2)*BS28),2))*AT28)/100),2)+ROUND(((ROUND((ROUND(((AE28-(((EU28*1.2)*0.3)))*AV28*I28),2)*BS28),2)*AT28)/100),2))</f>
        <v>28.31</v>
      </c>
      <c r="Y28" s="2">
        <f t="shared" ref="Y28:Y39" si="31">(ROUND((((S28+ROUND((ROUND(((((EU28*1.2)*0.3))*AV28*I28),2)*BS28),2))*AU28)/100),2)+ROUND(((ROUND((ROUND(((AE28-(((EU28*1.2)*0.3)))*AV28*I28),2)*BS28),2)*AU28)/100),2))</f>
        <v>15.79</v>
      </c>
      <c r="Z28" s="2"/>
      <c r="AA28" s="2">
        <v>55919547</v>
      </c>
      <c r="AB28" s="2">
        <f t="shared" ref="AB28:AB47" si="32">ROUND((AC28+AD28+AF28),6)</f>
        <v>27.414000000000001</v>
      </c>
      <c r="AC28" s="2">
        <f t="shared" ref="AC28:AC39" si="33">ROUND((((ES28*1)*0)),6)</f>
        <v>0</v>
      </c>
      <c r="AD28" s="2">
        <f t="shared" ref="AD28:AD39" si="34">ROUND((((((ET28*1.2)*0.3))-(((EU28*1.2)*0.3)))+AE28),6)</f>
        <v>0</v>
      </c>
      <c r="AE28" s="2">
        <f t="shared" ref="AE28:AE39" si="35">ROUND((((EU28*1.2)*0.3)),6)</f>
        <v>0</v>
      </c>
      <c r="AF28" s="2">
        <f t="shared" ref="AF28:AF39" si="36">ROUND((((EV28*1.2)*0.3)),6)</f>
        <v>27.414000000000001</v>
      </c>
      <c r="AG28" s="2">
        <f t="shared" ref="AG28:AG47" si="37">ROUND((AP28),6)</f>
        <v>0</v>
      </c>
      <c r="AH28" s="2">
        <f t="shared" ref="AH28:AH39" si="38">(((EW28*1.2)*0.3))</f>
        <v>1.9331999999999998</v>
      </c>
      <c r="AI28" s="2">
        <f t="shared" ref="AI28:AI39" si="39">(((EX28*1.2)*0.3))</f>
        <v>0</v>
      </c>
      <c r="AJ28" s="2">
        <f t="shared" ref="AJ28:AJ47" si="40">(AS28)</f>
        <v>0</v>
      </c>
      <c r="AK28" s="2">
        <v>76.52</v>
      </c>
      <c r="AL28" s="2">
        <v>0.37</v>
      </c>
      <c r="AM28" s="2">
        <v>0</v>
      </c>
      <c r="AN28" s="2">
        <v>0</v>
      </c>
      <c r="AO28" s="2">
        <v>76.150000000000006</v>
      </c>
      <c r="AP28" s="2">
        <v>0</v>
      </c>
      <c r="AQ28" s="2">
        <v>5.37</v>
      </c>
      <c r="AR28" s="2">
        <v>0</v>
      </c>
      <c r="AS28" s="2">
        <v>0</v>
      </c>
      <c r="AT28" s="2">
        <v>95</v>
      </c>
      <c r="AU28" s="2">
        <v>53</v>
      </c>
      <c r="AV28" s="2">
        <v>1.087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23</v>
      </c>
      <c r="BK28" s="2"/>
      <c r="BL28" s="2"/>
      <c r="BM28" s="2">
        <v>69</v>
      </c>
      <c r="BN28" s="2">
        <v>0</v>
      </c>
      <c r="BO28" s="2" t="s">
        <v>20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95</v>
      </c>
      <c r="CA28" s="2">
        <v>53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490</v>
      </c>
      <c r="CO28" s="2">
        <v>0</v>
      </c>
      <c r="CP28" s="2">
        <f t="shared" ref="CP28:CP47" si="41">(P28+Q28+S28)</f>
        <v>29.8</v>
      </c>
      <c r="CQ28" s="2">
        <f t="shared" ref="CQ28:CQ47" si="42">ROUND((ROUND((AC28*AW28*1),2)*BC28),2)</f>
        <v>0</v>
      </c>
      <c r="CR28" s="2">
        <f t="shared" ref="CR28:CR39" si="43">(ROUND((ROUND(((((ET28*1.2)*0.3))*AV28*1),2)*BB28),2)+ROUND((ROUND(((AE28-(((EU28*1.2)*0.3)))*AV28*1),2)*BS28),2))</f>
        <v>0</v>
      </c>
      <c r="CS28" s="2">
        <f t="shared" ref="CS28:CS39" si="44">(ROUND((ROUND(((((EU28*1.2)*0.3))*AV28*1),2)*BS28),2)+ROUND((ROUND(((AE28-(((EU28*1.2)*0.3)))*AV28*1),2)*BS28),2))</f>
        <v>0</v>
      </c>
      <c r="CT28" s="2">
        <f t="shared" ref="CT28:CT47" si="45">ROUND((ROUND((AF28*AV28*1),2)*BA28),2)</f>
        <v>29.8</v>
      </c>
      <c r="CU28" s="2">
        <f t="shared" ref="CU28:CU47" si="46">AG28</f>
        <v>0</v>
      </c>
      <c r="CV28" s="2">
        <f t="shared" ref="CV28:CV47" si="47">(AH28*AV28)</f>
        <v>2.1013883999999998</v>
      </c>
      <c r="CW28" s="2">
        <f t="shared" ref="CW28:CW47" si="48">AI28</f>
        <v>0</v>
      </c>
      <c r="CX28" s="2">
        <f t="shared" ref="CX28:CX47" si="49">AJ28</f>
        <v>0</v>
      </c>
      <c r="CY28" s="2">
        <f t="shared" ref="CY28:CY39" si="50">(ROUND((((S28+ROUND((ROUND(((((EU28*1.2)*0.3))*AV28*1),2)*BS28),2))*AT28)/100),2)+ROUND(((ROUND((ROUND(((AE28-(((EU28*1.2)*0.3)))*AV28*1),2)*BS28),2)*AT28)/100),2))</f>
        <v>28.31</v>
      </c>
      <c r="CZ28" s="2">
        <f t="shared" ref="CZ28:CZ39" si="51">(ROUND((((S28+ROUND((ROUND(((((EU28*1.2)*0.3))*AV28*1),2)*BS28),2))*AU28)/100),2)+ROUND(((ROUND((ROUND(((AE28-(((EU28*1.2)*0.3)))*AV28*1),2)*BS28),2)*AU28)/100),2))</f>
        <v>15.79</v>
      </c>
      <c r="DA28" s="2"/>
      <c r="DB28" s="2">
        <v>1</v>
      </c>
      <c r="DC28" s="2" t="s">
        <v>3</v>
      </c>
      <c r="DD28" s="2" t="s">
        <v>24</v>
      </c>
      <c r="DE28" s="2" t="s">
        <v>25</v>
      </c>
      <c r="DF28" s="2" t="s">
        <v>25</v>
      </c>
      <c r="DG28" s="2" t="s">
        <v>25</v>
      </c>
      <c r="DH28" s="2" t="s">
        <v>3</v>
      </c>
      <c r="DI28" s="2" t="s">
        <v>25</v>
      </c>
      <c r="DJ28" s="2" t="s">
        <v>25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22</v>
      </c>
      <c r="DW28" s="2" t="s">
        <v>22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55393701</v>
      </c>
      <c r="EF28" s="2">
        <v>40</v>
      </c>
      <c r="EG28" s="2" t="s">
        <v>26</v>
      </c>
      <c r="EH28" s="2">
        <v>0</v>
      </c>
      <c r="EI28" s="2" t="s">
        <v>3</v>
      </c>
      <c r="EJ28" s="2">
        <v>2</v>
      </c>
      <c r="EK28" s="2">
        <v>69</v>
      </c>
      <c r="EL28" s="2" t="s">
        <v>27</v>
      </c>
      <c r="EM28" s="2" t="s">
        <v>28</v>
      </c>
      <c r="EN28" s="2"/>
      <c r="EO28" s="2" t="s">
        <v>29</v>
      </c>
      <c r="EP28" s="2"/>
      <c r="EQ28" s="2">
        <v>0</v>
      </c>
      <c r="ER28" s="2">
        <v>76.52</v>
      </c>
      <c r="ES28" s="2">
        <v>0.37</v>
      </c>
      <c r="ET28" s="2">
        <v>0</v>
      </c>
      <c r="EU28" s="2">
        <v>0</v>
      </c>
      <c r="EV28" s="2">
        <v>76.150000000000006</v>
      </c>
      <c r="EW28" s="2">
        <v>5.37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95</v>
      </c>
      <c r="FY28" s="2">
        <v>53</v>
      </c>
      <c r="FZ28" s="2"/>
      <c r="GA28" s="2" t="s">
        <v>3</v>
      </c>
      <c r="GB28" s="2"/>
      <c r="GC28" s="2"/>
      <c r="GD28" s="2">
        <v>1</v>
      </c>
      <c r="GE28" s="2"/>
      <c r="GF28" s="2">
        <v>765739885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47" si="52">ROUND(IF(AND(BH28=3,BI28=3,FS28&lt;&gt;0),P28,0),2)</f>
        <v>0</v>
      </c>
      <c r="GM28" s="2">
        <f t="shared" ref="GM28:GM47" si="53">ROUND(O28+X28+Y28,2)+GX28</f>
        <v>73.900000000000006</v>
      </c>
      <c r="GN28" s="2">
        <f t="shared" ref="GN28:GN47" si="54">IF(OR(BI28=0,BI28=1),GM28-GX28,0)</f>
        <v>0</v>
      </c>
      <c r="GO28" s="2">
        <f t="shared" ref="GO28:GO47" si="55">IF(BI28=2,GM28-GX28,0)</f>
        <v>73.900000000000006</v>
      </c>
      <c r="GP28" s="2">
        <f t="shared" ref="GP28:GP47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47" si="57">ROUND((GT28),6)</f>
        <v>0</v>
      </c>
      <c r="GW28" s="2">
        <v>1</v>
      </c>
      <c r="GX28" s="2">
        <f t="shared" ref="GX28:GX47" si="58">ROUND(HC28*I28,2)</f>
        <v>0</v>
      </c>
      <c r="GY28" s="2"/>
      <c r="GZ28" s="2"/>
      <c r="HA28" s="2">
        <v>0</v>
      </c>
      <c r="HB28" s="2">
        <v>0</v>
      </c>
      <c r="HC28" s="2">
        <f t="shared" ref="HC28:HC47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3">
        <v>17</v>
      </c>
      <c r="B29" s="3">
        <v>1</v>
      </c>
      <c r="C29" s="3">
        <f>ROW(SmtRes!A4)</f>
        <v>4</v>
      </c>
      <c r="D29" s="3">
        <f>ROW(EtalonRes!A4)</f>
        <v>4</v>
      </c>
      <c r="E29" s="3" t="s">
        <v>19</v>
      </c>
      <c r="F29" s="3" t="s">
        <v>20</v>
      </c>
      <c r="G29" s="3" t="s">
        <v>21</v>
      </c>
      <c r="H29" s="3" t="s">
        <v>22</v>
      </c>
      <c r="I29" s="3">
        <v>1</v>
      </c>
      <c r="J29" s="3">
        <v>0</v>
      </c>
      <c r="K29" s="3">
        <v>1</v>
      </c>
      <c r="O29" s="3">
        <f t="shared" si="21"/>
        <v>1679.23</v>
      </c>
      <c r="P29" s="3">
        <f t="shared" si="22"/>
        <v>0</v>
      </c>
      <c r="Q29" s="3">
        <f t="shared" si="23"/>
        <v>0</v>
      </c>
      <c r="R29" s="3">
        <f t="shared" si="24"/>
        <v>0</v>
      </c>
      <c r="S29" s="3">
        <f t="shared" si="25"/>
        <v>1679.23</v>
      </c>
      <c r="T29" s="3">
        <f t="shared" si="26"/>
        <v>0</v>
      </c>
      <c r="U29" s="3">
        <f t="shared" si="27"/>
        <v>2.1013883999999998</v>
      </c>
      <c r="V29" s="3">
        <f t="shared" si="28"/>
        <v>0</v>
      </c>
      <c r="W29" s="3">
        <f t="shared" si="29"/>
        <v>0</v>
      </c>
      <c r="X29" s="3">
        <f t="shared" si="30"/>
        <v>1595.27</v>
      </c>
      <c r="Y29" s="3">
        <f t="shared" si="31"/>
        <v>889.99</v>
      </c>
      <c r="AA29" s="3">
        <v>55919549</v>
      </c>
      <c r="AB29" s="3">
        <f t="shared" si="32"/>
        <v>27.414000000000001</v>
      </c>
      <c r="AC29" s="3">
        <f t="shared" si="33"/>
        <v>0</v>
      </c>
      <c r="AD29" s="3">
        <f t="shared" si="34"/>
        <v>0</v>
      </c>
      <c r="AE29" s="3">
        <f t="shared" si="35"/>
        <v>0</v>
      </c>
      <c r="AF29" s="3">
        <f t="shared" si="36"/>
        <v>27.414000000000001</v>
      </c>
      <c r="AG29" s="3">
        <f t="shared" si="37"/>
        <v>0</v>
      </c>
      <c r="AH29" s="3">
        <f t="shared" si="38"/>
        <v>1.9331999999999998</v>
      </c>
      <c r="AI29" s="3">
        <f t="shared" si="39"/>
        <v>0</v>
      </c>
      <c r="AJ29" s="3">
        <f t="shared" si="40"/>
        <v>0</v>
      </c>
      <c r="AK29" s="3">
        <v>76.52</v>
      </c>
      <c r="AL29" s="3">
        <v>0.37</v>
      </c>
      <c r="AM29" s="3">
        <v>0</v>
      </c>
      <c r="AN29" s="3">
        <v>0</v>
      </c>
      <c r="AO29" s="3">
        <v>76.150000000000006</v>
      </c>
      <c r="AP29" s="3">
        <v>0</v>
      </c>
      <c r="AQ29" s="3">
        <v>5.37</v>
      </c>
      <c r="AR29" s="3">
        <v>0</v>
      </c>
      <c r="AS29" s="3">
        <v>0</v>
      </c>
      <c r="AT29" s="3">
        <v>95</v>
      </c>
      <c r="AU29" s="3">
        <v>53</v>
      </c>
      <c r="AV29" s="3">
        <v>1.087</v>
      </c>
      <c r="AW29" s="3">
        <v>1</v>
      </c>
      <c r="AZ29" s="3">
        <v>1</v>
      </c>
      <c r="BA29" s="3">
        <v>56.35</v>
      </c>
      <c r="BB29" s="3">
        <v>1</v>
      </c>
      <c r="BC29" s="3">
        <v>5.46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23</v>
      </c>
      <c r="BM29" s="3">
        <v>69</v>
      </c>
      <c r="BN29" s="3">
        <v>0</v>
      </c>
      <c r="BO29" s="3" t="s">
        <v>20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95</v>
      </c>
      <c r="CA29" s="3">
        <v>53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490</v>
      </c>
      <c r="CO29" s="3">
        <v>0</v>
      </c>
      <c r="CP29" s="3">
        <f t="shared" si="41"/>
        <v>1679.23</v>
      </c>
      <c r="CQ29" s="3">
        <f t="shared" si="42"/>
        <v>0</v>
      </c>
      <c r="CR29" s="3">
        <f t="shared" si="43"/>
        <v>0</v>
      </c>
      <c r="CS29" s="3">
        <f t="shared" si="44"/>
        <v>0</v>
      </c>
      <c r="CT29" s="3">
        <f t="shared" si="45"/>
        <v>1679.23</v>
      </c>
      <c r="CU29" s="3">
        <f t="shared" si="46"/>
        <v>0</v>
      </c>
      <c r="CV29" s="3">
        <f t="shared" si="47"/>
        <v>2.1013883999999998</v>
      </c>
      <c r="CW29" s="3">
        <f t="shared" si="48"/>
        <v>0</v>
      </c>
      <c r="CX29" s="3">
        <f t="shared" si="49"/>
        <v>0</v>
      </c>
      <c r="CY29" s="3">
        <f t="shared" si="50"/>
        <v>1595.27</v>
      </c>
      <c r="CZ29" s="3">
        <f t="shared" si="51"/>
        <v>889.99</v>
      </c>
      <c r="DB29" s="3">
        <v>3</v>
      </c>
      <c r="DC29" s="3" t="s">
        <v>3</v>
      </c>
      <c r="DD29" s="3" t="s">
        <v>24</v>
      </c>
      <c r="DE29" s="3" t="s">
        <v>25</v>
      </c>
      <c r="DF29" s="3" t="s">
        <v>25</v>
      </c>
      <c r="DG29" s="3" t="s">
        <v>25</v>
      </c>
      <c r="DH29" s="3" t="s">
        <v>3</v>
      </c>
      <c r="DI29" s="3" t="s">
        <v>25</v>
      </c>
      <c r="DJ29" s="3" t="s">
        <v>25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22</v>
      </c>
      <c r="DW29" s="3" t="s">
        <v>22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55393701</v>
      </c>
      <c r="EF29" s="3">
        <v>40</v>
      </c>
      <c r="EG29" s="3" t="s">
        <v>26</v>
      </c>
      <c r="EH29" s="3">
        <v>0</v>
      </c>
      <c r="EI29" s="3" t="s">
        <v>3</v>
      </c>
      <c r="EJ29" s="3">
        <v>2</v>
      </c>
      <c r="EK29" s="3">
        <v>69</v>
      </c>
      <c r="EL29" s="3" t="s">
        <v>27</v>
      </c>
      <c r="EM29" s="3" t="s">
        <v>28</v>
      </c>
      <c r="EO29" s="3" t="s">
        <v>29</v>
      </c>
      <c r="EQ29" s="3">
        <v>0</v>
      </c>
      <c r="ER29" s="3">
        <v>76.52</v>
      </c>
      <c r="ES29" s="3">
        <v>0.37</v>
      </c>
      <c r="ET29" s="3">
        <v>0</v>
      </c>
      <c r="EU29" s="3">
        <v>0</v>
      </c>
      <c r="EV29" s="3">
        <v>76.150000000000006</v>
      </c>
      <c r="EW29" s="3">
        <v>5.37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95</v>
      </c>
      <c r="FY29" s="3">
        <v>53</v>
      </c>
      <c r="GA29" s="3" t="s">
        <v>3</v>
      </c>
      <c r="GD29" s="3">
        <v>1</v>
      </c>
      <c r="GF29" s="3">
        <v>765739885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4164.49</v>
      </c>
      <c r="GN29" s="3">
        <f t="shared" si="54"/>
        <v>0</v>
      </c>
      <c r="GO29" s="3">
        <f t="shared" si="55"/>
        <v>4164.49</v>
      </c>
      <c r="GP29" s="3">
        <f t="shared" si="56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HA29" s="3">
        <v>0</v>
      </c>
      <c r="HB29" s="3">
        <v>0</v>
      </c>
      <c r="HC29" s="3">
        <f t="shared" si="59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">
      <c r="A30" s="2">
        <v>17</v>
      </c>
      <c r="B30" s="2">
        <v>1</v>
      </c>
      <c r="C30" s="2">
        <f>ROW(SmtRes!A6)</f>
        <v>6</v>
      </c>
      <c r="D30" s="2">
        <f>ROW(EtalonRes!A6)</f>
        <v>6</v>
      </c>
      <c r="E30" s="2" t="s">
        <v>30</v>
      </c>
      <c r="F30" s="2" t="s">
        <v>31</v>
      </c>
      <c r="G30" s="2" t="s">
        <v>32</v>
      </c>
      <c r="H30" s="2" t="s">
        <v>33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4.3099999999999996</v>
      </c>
      <c r="P30" s="2">
        <f t="shared" si="22"/>
        <v>0</v>
      </c>
      <c r="Q30" s="2">
        <f t="shared" si="23"/>
        <v>0</v>
      </c>
      <c r="R30" s="2">
        <f t="shared" si="24"/>
        <v>0</v>
      </c>
      <c r="S30" s="2">
        <f t="shared" si="25"/>
        <v>4.3099999999999996</v>
      </c>
      <c r="T30" s="2">
        <f t="shared" si="26"/>
        <v>0</v>
      </c>
      <c r="U30" s="2">
        <f t="shared" si="27"/>
        <v>0.31305599999999995</v>
      </c>
      <c r="V30" s="2">
        <f t="shared" si="28"/>
        <v>0</v>
      </c>
      <c r="W30" s="2">
        <f t="shared" si="29"/>
        <v>0</v>
      </c>
      <c r="X30" s="2">
        <f t="shared" si="30"/>
        <v>4.09</v>
      </c>
      <c r="Y30" s="2">
        <f t="shared" si="31"/>
        <v>2.2799999999999998</v>
      </c>
      <c r="Z30" s="2"/>
      <c r="AA30" s="2">
        <v>55919547</v>
      </c>
      <c r="AB30" s="2">
        <f t="shared" si="32"/>
        <v>3.9672000000000001</v>
      </c>
      <c r="AC30" s="2">
        <f t="shared" si="33"/>
        <v>0</v>
      </c>
      <c r="AD30" s="2">
        <f t="shared" si="34"/>
        <v>0</v>
      </c>
      <c r="AE30" s="2">
        <f t="shared" si="35"/>
        <v>0</v>
      </c>
      <c r="AF30" s="2">
        <f t="shared" si="36"/>
        <v>3.9672000000000001</v>
      </c>
      <c r="AG30" s="2">
        <f t="shared" si="37"/>
        <v>0</v>
      </c>
      <c r="AH30" s="2">
        <f t="shared" si="38"/>
        <v>0.28799999999999998</v>
      </c>
      <c r="AI30" s="2">
        <f t="shared" si="39"/>
        <v>0</v>
      </c>
      <c r="AJ30" s="2">
        <f t="shared" si="40"/>
        <v>0</v>
      </c>
      <c r="AK30" s="2">
        <v>11.32</v>
      </c>
      <c r="AL30" s="2">
        <v>0.3</v>
      </c>
      <c r="AM30" s="2">
        <v>0</v>
      </c>
      <c r="AN30" s="2">
        <v>0</v>
      </c>
      <c r="AO30" s="2">
        <v>11.02</v>
      </c>
      <c r="AP30" s="2">
        <v>0</v>
      </c>
      <c r="AQ30" s="2">
        <v>0.8</v>
      </c>
      <c r="AR30" s="2">
        <v>0</v>
      </c>
      <c r="AS30" s="2">
        <v>0</v>
      </c>
      <c r="AT30" s="2">
        <v>95</v>
      </c>
      <c r="AU30" s="2">
        <v>53</v>
      </c>
      <c r="AV30" s="2">
        <v>1.087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34</v>
      </c>
      <c r="BK30" s="2"/>
      <c r="BL30" s="2"/>
      <c r="BM30" s="2">
        <v>69</v>
      </c>
      <c r="BN30" s="2">
        <v>0</v>
      </c>
      <c r="BO30" s="2" t="s">
        <v>31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95</v>
      </c>
      <c r="CA30" s="2">
        <v>53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490</v>
      </c>
      <c r="CO30" s="2">
        <v>0</v>
      </c>
      <c r="CP30" s="2">
        <f t="shared" si="41"/>
        <v>4.3099999999999996</v>
      </c>
      <c r="CQ30" s="2">
        <f t="shared" si="42"/>
        <v>0</v>
      </c>
      <c r="CR30" s="2">
        <f t="shared" si="43"/>
        <v>0</v>
      </c>
      <c r="CS30" s="2">
        <f t="shared" si="44"/>
        <v>0</v>
      </c>
      <c r="CT30" s="2">
        <f t="shared" si="45"/>
        <v>4.3099999999999996</v>
      </c>
      <c r="CU30" s="2">
        <f t="shared" si="46"/>
        <v>0</v>
      </c>
      <c r="CV30" s="2">
        <f t="shared" si="47"/>
        <v>0.31305599999999995</v>
      </c>
      <c r="CW30" s="2">
        <f t="shared" si="48"/>
        <v>0</v>
      </c>
      <c r="CX30" s="2">
        <f t="shared" si="49"/>
        <v>0</v>
      </c>
      <c r="CY30" s="2">
        <f t="shared" si="50"/>
        <v>4.09</v>
      </c>
      <c r="CZ30" s="2">
        <f t="shared" si="51"/>
        <v>2.2799999999999998</v>
      </c>
      <c r="DA30" s="2"/>
      <c r="DB30" s="2">
        <v>5</v>
      </c>
      <c r="DC30" s="2" t="s">
        <v>3</v>
      </c>
      <c r="DD30" s="2" t="s">
        <v>24</v>
      </c>
      <c r="DE30" s="2" t="s">
        <v>25</v>
      </c>
      <c r="DF30" s="2" t="s">
        <v>25</v>
      </c>
      <c r="DG30" s="2" t="s">
        <v>25</v>
      </c>
      <c r="DH30" s="2" t="s">
        <v>3</v>
      </c>
      <c r="DI30" s="2" t="s">
        <v>25</v>
      </c>
      <c r="DJ30" s="2" t="s">
        <v>25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33</v>
      </c>
      <c r="DW30" s="2" t="s">
        <v>33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55393701</v>
      </c>
      <c r="EF30" s="2">
        <v>40</v>
      </c>
      <c r="EG30" s="2" t="s">
        <v>26</v>
      </c>
      <c r="EH30" s="2">
        <v>0</v>
      </c>
      <c r="EI30" s="2" t="s">
        <v>3</v>
      </c>
      <c r="EJ30" s="2">
        <v>2</v>
      </c>
      <c r="EK30" s="2">
        <v>69</v>
      </c>
      <c r="EL30" s="2" t="s">
        <v>27</v>
      </c>
      <c r="EM30" s="2" t="s">
        <v>28</v>
      </c>
      <c r="EN30" s="2"/>
      <c r="EO30" s="2" t="s">
        <v>29</v>
      </c>
      <c r="EP30" s="2"/>
      <c r="EQ30" s="2">
        <v>0</v>
      </c>
      <c r="ER30" s="2">
        <v>11.32</v>
      </c>
      <c r="ES30" s="2">
        <v>0.3</v>
      </c>
      <c r="ET30" s="2">
        <v>0</v>
      </c>
      <c r="EU30" s="2">
        <v>0</v>
      </c>
      <c r="EV30" s="2">
        <v>11.02</v>
      </c>
      <c r="EW30" s="2">
        <v>0.8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95</v>
      </c>
      <c r="FY30" s="2">
        <v>53</v>
      </c>
      <c r="FZ30" s="2"/>
      <c r="GA30" s="2" t="s">
        <v>3</v>
      </c>
      <c r="GB30" s="2"/>
      <c r="GC30" s="2"/>
      <c r="GD30" s="2">
        <v>1</v>
      </c>
      <c r="GE30" s="2"/>
      <c r="GF30" s="2">
        <v>-843285439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10.68</v>
      </c>
      <c r="GN30" s="2">
        <f t="shared" si="54"/>
        <v>0</v>
      </c>
      <c r="GO30" s="2">
        <f t="shared" si="55"/>
        <v>10.68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3">
        <v>17</v>
      </c>
      <c r="B31" s="3">
        <v>1</v>
      </c>
      <c r="C31" s="3">
        <f>ROW(SmtRes!A8)</f>
        <v>8</v>
      </c>
      <c r="D31" s="3">
        <f>ROW(EtalonRes!A8)</f>
        <v>8</v>
      </c>
      <c r="E31" s="3" t="s">
        <v>30</v>
      </c>
      <c r="F31" s="3" t="s">
        <v>31</v>
      </c>
      <c r="G31" s="3" t="s">
        <v>32</v>
      </c>
      <c r="H31" s="3" t="s">
        <v>33</v>
      </c>
      <c r="I31" s="3">
        <v>1</v>
      </c>
      <c r="J31" s="3">
        <v>0</v>
      </c>
      <c r="K31" s="3">
        <v>1</v>
      </c>
      <c r="O31" s="3">
        <f t="shared" si="21"/>
        <v>242.87</v>
      </c>
      <c r="P31" s="3">
        <f t="shared" si="22"/>
        <v>0</v>
      </c>
      <c r="Q31" s="3">
        <f t="shared" si="23"/>
        <v>0</v>
      </c>
      <c r="R31" s="3">
        <f t="shared" si="24"/>
        <v>0</v>
      </c>
      <c r="S31" s="3">
        <f t="shared" si="25"/>
        <v>242.87</v>
      </c>
      <c r="T31" s="3">
        <f t="shared" si="26"/>
        <v>0</v>
      </c>
      <c r="U31" s="3">
        <f t="shared" si="27"/>
        <v>0.31305599999999995</v>
      </c>
      <c r="V31" s="3">
        <f t="shared" si="28"/>
        <v>0</v>
      </c>
      <c r="W31" s="3">
        <f t="shared" si="29"/>
        <v>0</v>
      </c>
      <c r="X31" s="3">
        <f t="shared" si="30"/>
        <v>230.73</v>
      </c>
      <c r="Y31" s="3">
        <f t="shared" si="31"/>
        <v>128.72</v>
      </c>
      <c r="AA31" s="3">
        <v>55919549</v>
      </c>
      <c r="AB31" s="3">
        <f t="shared" si="32"/>
        <v>3.9672000000000001</v>
      </c>
      <c r="AC31" s="3">
        <f t="shared" si="33"/>
        <v>0</v>
      </c>
      <c r="AD31" s="3">
        <f t="shared" si="34"/>
        <v>0</v>
      </c>
      <c r="AE31" s="3">
        <f t="shared" si="35"/>
        <v>0</v>
      </c>
      <c r="AF31" s="3">
        <f t="shared" si="36"/>
        <v>3.9672000000000001</v>
      </c>
      <c r="AG31" s="3">
        <f t="shared" si="37"/>
        <v>0</v>
      </c>
      <c r="AH31" s="3">
        <f t="shared" si="38"/>
        <v>0.28799999999999998</v>
      </c>
      <c r="AI31" s="3">
        <f t="shared" si="39"/>
        <v>0</v>
      </c>
      <c r="AJ31" s="3">
        <f t="shared" si="40"/>
        <v>0</v>
      </c>
      <c r="AK31" s="3">
        <v>11.32</v>
      </c>
      <c r="AL31" s="3">
        <v>0.3</v>
      </c>
      <c r="AM31" s="3">
        <v>0</v>
      </c>
      <c r="AN31" s="3">
        <v>0</v>
      </c>
      <c r="AO31" s="3">
        <v>11.02</v>
      </c>
      <c r="AP31" s="3">
        <v>0</v>
      </c>
      <c r="AQ31" s="3">
        <v>0.8</v>
      </c>
      <c r="AR31" s="3">
        <v>0</v>
      </c>
      <c r="AS31" s="3">
        <v>0</v>
      </c>
      <c r="AT31" s="3">
        <v>95</v>
      </c>
      <c r="AU31" s="3">
        <v>53</v>
      </c>
      <c r="AV31" s="3">
        <v>1.087</v>
      </c>
      <c r="AW31" s="3">
        <v>1</v>
      </c>
      <c r="AZ31" s="3">
        <v>1</v>
      </c>
      <c r="BA31" s="3">
        <v>56.35</v>
      </c>
      <c r="BB31" s="3">
        <v>1</v>
      </c>
      <c r="BC31" s="3">
        <v>7.37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34</v>
      </c>
      <c r="BM31" s="3">
        <v>69</v>
      </c>
      <c r="BN31" s="3">
        <v>0</v>
      </c>
      <c r="BO31" s="3" t="s">
        <v>31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95</v>
      </c>
      <c r="CA31" s="3">
        <v>53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490</v>
      </c>
      <c r="CO31" s="3">
        <v>0</v>
      </c>
      <c r="CP31" s="3">
        <f t="shared" si="41"/>
        <v>242.87</v>
      </c>
      <c r="CQ31" s="3">
        <f t="shared" si="42"/>
        <v>0</v>
      </c>
      <c r="CR31" s="3">
        <f t="shared" si="43"/>
        <v>0</v>
      </c>
      <c r="CS31" s="3">
        <f t="shared" si="44"/>
        <v>0</v>
      </c>
      <c r="CT31" s="3">
        <f t="shared" si="45"/>
        <v>242.87</v>
      </c>
      <c r="CU31" s="3">
        <f t="shared" si="46"/>
        <v>0</v>
      </c>
      <c r="CV31" s="3">
        <f t="shared" si="47"/>
        <v>0.31305599999999995</v>
      </c>
      <c r="CW31" s="3">
        <f t="shared" si="48"/>
        <v>0</v>
      </c>
      <c r="CX31" s="3">
        <f t="shared" si="49"/>
        <v>0</v>
      </c>
      <c r="CY31" s="3">
        <f t="shared" si="50"/>
        <v>230.73</v>
      </c>
      <c r="CZ31" s="3">
        <f t="shared" si="51"/>
        <v>128.72</v>
      </c>
      <c r="DB31" s="3">
        <v>7</v>
      </c>
      <c r="DC31" s="3" t="s">
        <v>3</v>
      </c>
      <c r="DD31" s="3" t="s">
        <v>24</v>
      </c>
      <c r="DE31" s="3" t="s">
        <v>25</v>
      </c>
      <c r="DF31" s="3" t="s">
        <v>25</v>
      </c>
      <c r="DG31" s="3" t="s">
        <v>25</v>
      </c>
      <c r="DH31" s="3" t="s">
        <v>3</v>
      </c>
      <c r="DI31" s="3" t="s">
        <v>25</v>
      </c>
      <c r="DJ31" s="3" t="s">
        <v>25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33</v>
      </c>
      <c r="DW31" s="3" t="s">
        <v>33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55393701</v>
      </c>
      <c r="EF31" s="3">
        <v>40</v>
      </c>
      <c r="EG31" s="3" t="s">
        <v>26</v>
      </c>
      <c r="EH31" s="3">
        <v>0</v>
      </c>
      <c r="EI31" s="3" t="s">
        <v>3</v>
      </c>
      <c r="EJ31" s="3">
        <v>2</v>
      </c>
      <c r="EK31" s="3">
        <v>69</v>
      </c>
      <c r="EL31" s="3" t="s">
        <v>27</v>
      </c>
      <c r="EM31" s="3" t="s">
        <v>28</v>
      </c>
      <c r="EO31" s="3" t="s">
        <v>29</v>
      </c>
      <c r="EQ31" s="3">
        <v>0</v>
      </c>
      <c r="ER31" s="3">
        <v>11.32</v>
      </c>
      <c r="ES31" s="3">
        <v>0.3</v>
      </c>
      <c r="ET31" s="3">
        <v>0</v>
      </c>
      <c r="EU31" s="3">
        <v>0</v>
      </c>
      <c r="EV31" s="3">
        <v>11.02</v>
      </c>
      <c r="EW31" s="3">
        <v>0.8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95</v>
      </c>
      <c r="FY31" s="3">
        <v>53</v>
      </c>
      <c r="GA31" s="3" t="s">
        <v>3</v>
      </c>
      <c r="GD31" s="3">
        <v>1</v>
      </c>
      <c r="GF31" s="3">
        <v>-843285439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602.32000000000005</v>
      </c>
      <c r="GN31" s="3">
        <f t="shared" si="54"/>
        <v>0</v>
      </c>
      <c r="GO31" s="3">
        <f t="shared" si="55"/>
        <v>602.32000000000005</v>
      </c>
      <c r="GP31" s="3">
        <f t="shared" si="56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HA31" s="3">
        <v>0</v>
      </c>
      <c r="HB31" s="3">
        <v>0</v>
      </c>
      <c r="HC31" s="3">
        <f t="shared" si="59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">
      <c r="A32" s="2">
        <v>17</v>
      </c>
      <c r="B32" s="2">
        <v>1</v>
      </c>
      <c r="C32" s="2">
        <f>ROW(SmtRes!A15)</f>
        <v>15</v>
      </c>
      <c r="D32" s="2">
        <f>ROW(EtalonRes!A17)</f>
        <v>17</v>
      </c>
      <c r="E32" s="2" t="s">
        <v>35</v>
      </c>
      <c r="F32" s="2" t="s">
        <v>36</v>
      </c>
      <c r="G32" s="2" t="s">
        <v>37</v>
      </c>
      <c r="H32" s="2" t="s">
        <v>33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16.66</v>
      </c>
      <c r="P32" s="2">
        <f t="shared" si="22"/>
        <v>0</v>
      </c>
      <c r="Q32" s="2">
        <f t="shared" si="23"/>
        <v>6.57</v>
      </c>
      <c r="R32" s="2">
        <f t="shared" si="24"/>
        <v>1.19</v>
      </c>
      <c r="S32" s="2">
        <f t="shared" si="25"/>
        <v>10.09</v>
      </c>
      <c r="T32" s="2">
        <f t="shared" si="26"/>
        <v>0</v>
      </c>
      <c r="U32" s="2">
        <f t="shared" si="27"/>
        <v>0.7764551999999999</v>
      </c>
      <c r="V32" s="2">
        <f t="shared" si="28"/>
        <v>0</v>
      </c>
      <c r="W32" s="2">
        <f t="shared" si="29"/>
        <v>0</v>
      </c>
      <c r="X32" s="2">
        <f t="shared" si="30"/>
        <v>10.94</v>
      </c>
      <c r="Y32" s="2">
        <f t="shared" si="31"/>
        <v>5.75</v>
      </c>
      <c r="Z32" s="2"/>
      <c r="AA32" s="2">
        <v>55919547</v>
      </c>
      <c r="AB32" s="2">
        <f t="shared" si="32"/>
        <v>15.9048</v>
      </c>
      <c r="AC32" s="2">
        <f t="shared" si="33"/>
        <v>0</v>
      </c>
      <c r="AD32" s="2">
        <f t="shared" si="34"/>
        <v>6.2712000000000003</v>
      </c>
      <c r="AE32" s="2">
        <f t="shared" si="35"/>
        <v>1.1375999999999999</v>
      </c>
      <c r="AF32" s="2">
        <f t="shared" si="36"/>
        <v>9.6335999999999995</v>
      </c>
      <c r="AG32" s="2">
        <f t="shared" si="37"/>
        <v>0</v>
      </c>
      <c r="AH32" s="2">
        <f t="shared" si="38"/>
        <v>0.74159999999999993</v>
      </c>
      <c r="AI32" s="2">
        <f t="shared" si="39"/>
        <v>0</v>
      </c>
      <c r="AJ32" s="2">
        <f t="shared" si="40"/>
        <v>0</v>
      </c>
      <c r="AK32" s="2">
        <v>45.64</v>
      </c>
      <c r="AL32" s="2">
        <v>1.46</v>
      </c>
      <c r="AM32" s="2">
        <v>17.420000000000002</v>
      </c>
      <c r="AN32" s="2">
        <v>3.16</v>
      </c>
      <c r="AO32" s="2">
        <v>26.76</v>
      </c>
      <c r="AP32" s="2">
        <v>0</v>
      </c>
      <c r="AQ32" s="2">
        <v>2.06</v>
      </c>
      <c r="AR32" s="2">
        <v>0</v>
      </c>
      <c r="AS32" s="2">
        <v>0</v>
      </c>
      <c r="AT32" s="2">
        <v>97</v>
      </c>
      <c r="AU32" s="2">
        <v>51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38</v>
      </c>
      <c r="BK32" s="2"/>
      <c r="BL32" s="2"/>
      <c r="BM32" s="2">
        <v>67</v>
      </c>
      <c r="BN32" s="2">
        <v>0</v>
      </c>
      <c r="BO32" s="2" t="s">
        <v>36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97</v>
      </c>
      <c r="CA32" s="2">
        <v>51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490</v>
      </c>
      <c r="CO32" s="2">
        <v>0</v>
      </c>
      <c r="CP32" s="2">
        <f t="shared" si="41"/>
        <v>16.66</v>
      </c>
      <c r="CQ32" s="2">
        <f t="shared" si="42"/>
        <v>0</v>
      </c>
      <c r="CR32" s="2">
        <f t="shared" si="43"/>
        <v>6.57</v>
      </c>
      <c r="CS32" s="2">
        <f t="shared" si="44"/>
        <v>1.19</v>
      </c>
      <c r="CT32" s="2">
        <f t="shared" si="45"/>
        <v>10.09</v>
      </c>
      <c r="CU32" s="2">
        <f t="shared" si="46"/>
        <v>0</v>
      </c>
      <c r="CV32" s="2">
        <f t="shared" si="47"/>
        <v>0.7764551999999999</v>
      </c>
      <c r="CW32" s="2">
        <f t="shared" si="48"/>
        <v>0</v>
      </c>
      <c r="CX32" s="2">
        <f t="shared" si="49"/>
        <v>0</v>
      </c>
      <c r="CY32" s="2">
        <f t="shared" si="50"/>
        <v>10.94</v>
      </c>
      <c r="CZ32" s="2">
        <f t="shared" si="51"/>
        <v>5.75</v>
      </c>
      <c r="DA32" s="2"/>
      <c r="DB32" s="2">
        <v>9</v>
      </c>
      <c r="DC32" s="2" t="s">
        <v>3</v>
      </c>
      <c r="DD32" s="2" t="s">
        <v>24</v>
      </c>
      <c r="DE32" s="2" t="s">
        <v>25</v>
      </c>
      <c r="DF32" s="2" t="s">
        <v>25</v>
      </c>
      <c r="DG32" s="2" t="s">
        <v>25</v>
      </c>
      <c r="DH32" s="2" t="s">
        <v>3</v>
      </c>
      <c r="DI32" s="2" t="s">
        <v>25</v>
      </c>
      <c r="DJ32" s="2" t="s">
        <v>25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33</v>
      </c>
      <c r="DW32" s="2" t="s">
        <v>33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55393699</v>
      </c>
      <c r="EF32" s="2">
        <v>40</v>
      </c>
      <c r="EG32" s="2" t="s">
        <v>26</v>
      </c>
      <c r="EH32" s="2">
        <v>0</v>
      </c>
      <c r="EI32" s="2" t="s">
        <v>3</v>
      </c>
      <c r="EJ32" s="2">
        <v>2</v>
      </c>
      <c r="EK32" s="2">
        <v>67</v>
      </c>
      <c r="EL32" s="2" t="s">
        <v>39</v>
      </c>
      <c r="EM32" s="2" t="s">
        <v>40</v>
      </c>
      <c r="EN32" s="2"/>
      <c r="EO32" s="2" t="s">
        <v>29</v>
      </c>
      <c r="EP32" s="2"/>
      <c r="EQ32" s="2">
        <v>0</v>
      </c>
      <c r="ER32" s="2">
        <v>45.64</v>
      </c>
      <c r="ES32" s="2">
        <v>1.46</v>
      </c>
      <c r="ET32" s="2">
        <v>17.420000000000002</v>
      </c>
      <c r="EU32" s="2">
        <v>3.16</v>
      </c>
      <c r="EV32" s="2">
        <v>26.76</v>
      </c>
      <c r="EW32" s="2">
        <v>2.06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97</v>
      </c>
      <c r="FY32" s="2">
        <v>51</v>
      </c>
      <c r="FZ32" s="2"/>
      <c r="GA32" s="2" t="s">
        <v>3</v>
      </c>
      <c r="GB32" s="2"/>
      <c r="GC32" s="2"/>
      <c r="GD32" s="2">
        <v>1</v>
      </c>
      <c r="GE32" s="2"/>
      <c r="GF32" s="2">
        <v>1257402012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33.35</v>
      </c>
      <c r="GN32" s="2">
        <f t="shared" si="54"/>
        <v>0</v>
      </c>
      <c r="GO32" s="2">
        <f t="shared" si="55"/>
        <v>33.35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3">
        <v>17</v>
      </c>
      <c r="B33" s="3">
        <v>1</v>
      </c>
      <c r="C33" s="3">
        <f>ROW(SmtRes!A22)</f>
        <v>22</v>
      </c>
      <c r="D33" s="3">
        <f>ROW(EtalonRes!A26)</f>
        <v>26</v>
      </c>
      <c r="E33" s="3" t="s">
        <v>35</v>
      </c>
      <c r="F33" s="3" t="s">
        <v>36</v>
      </c>
      <c r="G33" s="3" t="s">
        <v>37</v>
      </c>
      <c r="H33" s="3" t="s">
        <v>33</v>
      </c>
      <c r="I33" s="3">
        <v>1</v>
      </c>
      <c r="J33" s="3">
        <v>0</v>
      </c>
      <c r="K33" s="3">
        <v>1</v>
      </c>
      <c r="O33" s="3">
        <f t="shared" si="21"/>
        <v>699.25</v>
      </c>
      <c r="P33" s="3">
        <f t="shared" si="22"/>
        <v>0</v>
      </c>
      <c r="Q33" s="3">
        <f t="shared" si="23"/>
        <v>130.68</v>
      </c>
      <c r="R33" s="3">
        <f t="shared" si="24"/>
        <v>67.06</v>
      </c>
      <c r="S33" s="3">
        <f t="shared" si="25"/>
        <v>568.57000000000005</v>
      </c>
      <c r="T33" s="3">
        <f t="shared" si="26"/>
        <v>0</v>
      </c>
      <c r="U33" s="3">
        <f t="shared" si="27"/>
        <v>0.7764551999999999</v>
      </c>
      <c r="V33" s="3">
        <f t="shared" si="28"/>
        <v>0</v>
      </c>
      <c r="W33" s="3">
        <f t="shared" si="29"/>
        <v>0</v>
      </c>
      <c r="X33" s="3">
        <f t="shared" si="30"/>
        <v>616.55999999999995</v>
      </c>
      <c r="Y33" s="3">
        <f t="shared" si="31"/>
        <v>324.17</v>
      </c>
      <c r="AA33" s="3">
        <v>55919549</v>
      </c>
      <c r="AB33" s="3">
        <f t="shared" si="32"/>
        <v>15.9048</v>
      </c>
      <c r="AC33" s="3">
        <f t="shared" si="33"/>
        <v>0</v>
      </c>
      <c r="AD33" s="3">
        <f t="shared" si="34"/>
        <v>6.2712000000000003</v>
      </c>
      <c r="AE33" s="3">
        <f t="shared" si="35"/>
        <v>1.1375999999999999</v>
      </c>
      <c r="AF33" s="3">
        <f t="shared" si="36"/>
        <v>9.6335999999999995</v>
      </c>
      <c r="AG33" s="3">
        <f t="shared" si="37"/>
        <v>0</v>
      </c>
      <c r="AH33" s="3">
        <f t="shared" si="38"/>
        <v>0.74159999999999993</v>
      </c>
      <c r="AI33" s="3">
        <f t="shared" si="39"/>
        <v>0</v>
      </c>
      <c r="AJ33" s="3">
        <f t="shared" si="40"/>
        <v>0</v>
      </c>
      <c r="AK33" s="3">
        <v>45.64</v>
      </c>
      <c r="AL33" s="3">
        <v>1.46</v>
      </c>
      <c r="AM33" s="3">
        <v>17.420000000000002</v>
      </c>
      <c r="AN33" s="3">
        <v>3.16</v>
      </c>
      <c r="AO33" s="3">
        <v>26.76</v>
      </c>
      <c r="AP33" s="3">
        <v>0</v>
      </c>
      <c r="AQ33" s="3">
        <v>2.06</v>
      </c>
      <c r="AR33" s="3">
        <v>0</v>
      </c>
      <c r="AS33" s="3">
        <v>0</v>
      </c>
      <c r="AT33" s="3">
        <v>97</v>
      </c>
      <c r="AU33" s="3">
        <v>51</v>
      </c>
      <c r="AV33" s="3">
        <v>1.0469999999999999</v>
      </c>
      <c r="AW33" s="3">
        <v>1</v>
      </c>
      <c r="AZ33" s="3">
        <v>1</v>
      </c>
      <c r="BA33" s="3">
        <v>56.35</v>
      </c>
      <c r="BB33" s="3">
        <v>19.89</v>
      </c>
      <c r="BC33" s="3">
        <v>11.05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38</v>
      </c>
      <c r="BM33" s="3">
        <v>67</v>
      </c>
      <c r="BN33" s="3">
        <v>0</v>
      </c>
      <c r="BO33" s="3" t="s">
        <v>36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97</v>
      </c>
      <c r="CA33" s="3">
        <v>51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490</v>
      </c>
      <c r="CO33" s="3">
        <v>0</v>
      </c>
      <c r="CP33" s="3">
        <f t="shared" si="41"/>
        <v>699.25</v>
      </c>
      <c r="CQ33" s="3">
        <f t="shared" si="42"/>
        <v>0</v>
      </c>
      <c r="CR33" s="3">
        <f t="shared" si="43"/>
        <v>130.68</v>
      </c>
      <c r="CS33" s="3">
        <f t="shared" si="44"/>
        <v>67.06</v>
      </c>
      <c r="CT33" s="3">
        <f t="shared" si="45"/>
        <v>568.57000000000005</v>
      </c>
      <c r="CU33" s="3">
        <f t="shared" si="46"/>
        <v>0</v>
      </c>
      <c r="CV33" s="3">
        <f t="shared" si="47"/>
        <v>0.7764551999999999</v>
      </c>
      <c r="CW33" s="3">
        <f t="shared" si="48"/>
        <v>0</v>
      </c>
      <c r="CX33" s="3">
        <f t="shared" si="49"/>
        <v>0</v>
      </c>
      <c r="CY33" s="3">
        <f t="shared" si="50"/>
        <v>616.55999999999995</v>
      </c>
      <c r="CZ33" s="3">
        <f t="shared" si="51"/>
        <v>324.17</v>
      </c>
      <c r="DB33" s="3">
        <v>11</v>
      </c>
      <c r="DC33" s="3" t="s">
        <v>3</v>
      </c>
      <c r="DD33" s="3" t="s">
        <v>24</v>
      </c>
      <c r="DE33" s="3" t="s">
        <v>25</v>
      </c>
      <c r="DF33" s="3" t="s">
        <v>25</v>
      </c>
      <c r="DG33" s="3" t="s">
        <v>25</v>
      </c>
      <c r="DH33" s="3" t="s">
        <v>3</v>
      </c>
      <c r="DI33" s="3" t="s">
        <v>25</v>
      </c>
      <c r="DJ33" s="3" t="s">
        <v>25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33</v>
      </c>
      <c r="DW33" s="3" t="s">
        <v>33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55393699</v>
      </c>
      <c r="EF33" s="3">
        <v>40</v>
      </c>
      <c r="EG33" s="3" t="s">
        <v>26</v>
      </c>
      <c r="EH33" s="3">
        <v>0</v>
      </c>
      <c r="EI33" s="3" t="s">
        <v>3</v>
      </c>
      <c r="EJ33" s="3">
        <v>2</v>
      </c>
      <c r="EK33" s="3">
        <v>67</v>
      </c>
      <c r="EL33" s="3" t="s">
        <v>39</v>
      </c>
      <c r="EM33" s="3" t="s">
        <v>40</v>
      </c>
      <c r="EO33" s="3" t="s">
        <v>29</v>
      </c>
      <c r="EQ33" s="3">
        <v>0</v>
      </c>
      <c r="ER33" s="3">
        <v>45.64</v>
      </c>
      <c r="ES33" s="3">
        <v>1.46</v>
      </c>
      <c r="ET33" s="3">
        <v>17.420000000000002</v>
      </c>
      <c r="EU33" s="3">
        <v>3.16</v>
      </c>
      <c r="EV33" s="3">
        <v>26.76</v>
      </c>
      <c r="EW33" s="3">
        <v>2.06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97</v>
      </c>
      <c r="FY33" s="3">
        <v>51</v>
      </c>
      <c r="GA33" s="3" t="s">
        <v>3</v>
      </c>
      <c r="GD33" s="3">
        <v>1</v>
      </c>
      <c r="GF33" s="3">
        <v>1257402012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1639.98</v>
      </c>
      <c r="GN33" s="3">
        <f t="shared" si="54"/>
        <v>0</v>
      </c>
      <c r="GO33" s="3">
        <f t="shared" si="55"/>
        <v>1639.98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">
      <c r="A34" s="2">
        <v>17</v>
      </c>
      <c r="B34" s="2">
        <v>1</v>
      </c>
      <c r="C34" s="2">
        <f>ROW(SmtRes!A24)</f>
        <v>24</v>
      </c>
      <c r="D34" s="2">
        <f>ROW(EtalonRes!A28)</f>
        <v>28</v>
      </c>
      <c r="E34" s="2" t="s">
        <v>41</v>
      </c>
      <c r="F34" s="2" t="s">
        <v>42</v>
      </c>
      <c r="G34" s="2" t="s">
        <v>43</v>
      </c>
      <c r="H34" s="2" t="s">
        <v>33</v>
      </c>
      <c r="I34" s="2">
        <v>1</v>
      </c>
      <c r="J34" s="2">
        <v>0</v>
      </c>
      <c r="K34" s="2">
        <v>1</v>
      </c>
      <c r="L34" s="2"/>
      <c r="M34" s="2"/>
      <c r="N34" s="2"/>
      <c r="O34" s="2">
        <f t="shared" si="21"/>
        <v>10.09</v>
      </c>
      <c r="P34" s="2">
        <f t="shared" si="22"/>
        <v>0</v>
      </c>
      <c r="Q34" s="2">
        <f t="shared" si="23"/>
        <v>0</v>
      </c>
      <c r="R34" s="2">
        <f t="shared" si="24"/>
        <v>0</v>
      </c>
      <c r="S34" s="2">
        <f t="shared" si="25"/>
        <v>10.09</v>
      </c>
      <c r="T34" s="2">
        <f t="shared" si="26"/>
        <v>0</v>
      </c>
      <c r="U34" s="2">
        <f t="shared" si="27"/>
        <v>0.74350799999999995</v>
      </c>
      <c r="V34" s="2">
        <f t="shared" si="28"/>
        <v>0</v>
      </c>
      <c r="W34" s="2">
        <f t="shared" si="29"/>
        <v>0</v>
      </c>
      <c r="X34" s="2">
        <f t="shared" si="30"/>
        <v>9.59</v>
      </c>
      <c r="Y34" s="2">
        <f t="shared" si="31"/>
        <v>5.35</v>
      </c>
      <c r="Z34" s="2"/>
      <c r="AA34" s="2">
        <v>55919547</v>
      </c>
      <c r="AB34" s="2">
        <f t="shared" si="32"/>
        <v>9.2807999999999993</v>
      </c>
      <c r="AC34" s="2">
        <f t="shared" si="33"/>
        <v>0</v>
      </c>
      <c r="AD34" s="2">
        <f t="shared" si="34"/>
        <v>0</v>
      </c>
      <c r="AE34" s="2">
        <f t="shared" si="35"/>
        <v>0</v>
      </c>
      <c r="AF34" s="2">
        <f t="shared" si="36"/>
        <v>9.2807999999999993</v>
      </c>
      <c r="AG34" s="2">
        <f t="shared" si="37"/>
        <v>0</v>
      </c>
      <c r="AH34" s="2">
        <f t="shared" si="38"/>
        <v>0.68399999999999994</v>
      </c>
      <c r="AI34" s="2">
        <f t="shared" si="39"/>
        <v>0</v>
      </c>
      <c r="AJ34" s="2">
        <f t="shared" si="40"/>
        <v>0</v>
      </c>
      <c r="AK34" s="2">
        <v>25.96</v>
      </c>
      <c r="AL34" s="2">
        <v>0.18</v>
      </c>
      <c r="AM34" s="2">
        <v>0</v>
      </c>
      <c r="AN34" s="2">
        <v>0</v>
      </c>
      <c r="AO34" s="2">
        <v>25.78</v>
      </c>
      <c r="AP34" s="2">
        <v>0</v>
      </c>
      <c r="AQ34" s="2">
        <v>1.9</v>
      </c>
      <c r="AR34" s="2">
        <v>0</v>
      </c>
      <c r="AS34" s="2">
        <v>0</v>
      </c>
      <c r="AT34" s="2">
        <v>95</v>
      </c>
      <c r="AU34" s="2">
        <v>53</v>
      </c>
      <c r="AV34" s="2">
        <v>1.087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44</v>
      </c>
      <c r="BK34" s="2"/>
      <c r="BL34" s="2"/>
      <c r="BM34" s="2">
        <v>69</v>
      </c>
      <c r="BN34" s="2">
        <v>0</v>
      </c>
      <c r="BO34" s="2" t="s">
        <v>42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95</v>
      </c>
      <c r="CA34" s="2">
        <v>53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490</v>
      </c>
      <c r="CO34" s="2">
        <v>0</v>
      </c>
      <c r="CP34" s="2">
        <f t="shared" si="41"/>
        <v>10.09</v>
      </c>
      <c r="CQ34" s="2">
        <f t="shared" si="42"/>
        <v>0</v>
      </c>
      <c r="CR34" s="2">
        <f t="shared" si="43"/>
        <v>0</v>
      </c>
      <c r="CS34" s="2">
        <f t="shared" si="44"/>
        <v>0</v>
      </c>
      <c r="CT34" s="2">
        <f t="shared" si="45"/>
        <v>10.09</v>
      </c>
      <c r="CU34" s="2">
        <f t="shared" si="46"/>
        <v>0</v>
      </c>
      <c r="CV34" s="2">
        <f t="shared" si="47"/>
        <v>0.74350799999999995</v>
      </c>
      <c r="CW34" s="2">
        <f t="shared" si="48"/>
        <v>0</v>
      </c>
      <c r="CX34" s="2">
        <f t="shared" si="49"/>
        <v>0</v>
      </c>
      <c r="CY34" s="2">
        <f t="shared" si="50"/>
        <v>9.59</v>
      </c>
      <c r="CZ34" s="2">
        <f t="shared" si="51"/>
        <v>5.35</v>
      </c>
      <c r="DA34" s="2"/>
      <c r="DB34" s="2">
        <v>13</v>
      </c>
      <c r="DC34" s="2" t="s">
        <v>3</v>
      </c>
      <c r="DD34" s="2" t="s">
        <v>24</v>
      </c>
      <c r="DE34" s="2" t="s">
        <v>25</v>
      </c>
      <c r="DF34" s="2" t="s">
        <v>25</v>
      </c>
      <c r="DG34" s="2" t="s">
        <v>25</v>
      </c>
      <c r="DH34" s="2" t="s">
        <v>3</v>
      </c>
      <c r="DI34" s="2" t="s">
        <v>25</v>
      </c>
      <c r="DJ34" s="2" t="s">
        <v>25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33</v>
      </c>
      <c r="DW34" s="2" t="s">
        <v>33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55393701</v>
      </c>
      <c r="EF34" s="2">
        <v>40</v>
      </c>
      <c r="EG34" s="2" t="s">
        <v>26</v>
      </c>
      <c r="EH34" s="2">
        <v>0</v>
      </c>
      <c r="EI34" s="2" t="s">
        <v>3</v>
      </c>
      <c r="EJ34" s="2">
        <v>2</v>
      </c>
      <c r="EK34" s="2">
        <v>69</v>
      </c>
      <c r="EL34" s="2" t="s">
        <v>27</v>
      </c>
      <c r="EM34" s="2" t="s">
        <v>28</v>
      </c>
      <c r="EN34" s="2"/>
      <c r="EO34" s="2" t="s">
        <v>29</v>
      </c>
      <c r="EP34" s="2"/>
      <c r="EQ34" s="2">
        <v>0</v>
      </c>
      <c r="ER34" s="2">
        <v>25.96</v>
      </c>
      <c r="ES34" s="2">
        <v>0.18</v>
      </c>
      <c r="ET34" s="2">
        <v>0</v>
      </c>
      <c r="EU34" s="2">
        <v>0</v>
      </c>
      <c r="EV34" s="2">
        <v>25.78</v>
      </c>
      <c r="EW34" s="2">
        <v>1.9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95</v>
      </c>
      <c r="FY34" s="2">
        <v>53</v>
      </c>
      <c r="FZ34" s="2"/>
      <c r="GA34" s="2" t="s">
        <v>3</v>
      </c>
      <c r="GB34" s="2"/>
      <c r="GC34" s="2"/>
      <c r="GD34" s="2">
        <v>1</v>
      </c>
      <c r="GE34" s="2"/>
      <c r="GF34" s="2">
        <v>1660434457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25.03</v>
      </c>
      <c r="GN34" s="2">
        <f t="shared" si="54"/>
        <v>0</v>
      </c>
      <c r="GO34" s="2">
        <f t="shared" si="55"/>
        <v>25.03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3">
        <v>17</v>
      </c>
      <c r="B35" s="3">
        <v>1</v>
      </c>
      <c r="C35" s="3">
        <f>ROW(SmtRes!A26)</f>
        <v>26</v>
      </c>
      <c r="D35" s="3">
        <f>ROW(EtalonRes!A30)</f>
        <v>30</v>
      </c>
      <c r="E35" s="3" t="s">
        <v>41</v>
      </c>
      <c r="F35" s="3" t="s">
        <v>42</v>
      </c>
      <c r="G35" s="3" t="s">
        <v>43</v>
      </c>
      <c r="H35" s="3" t="s">
        <v>33</v>
      </c>
      <c r="I35" s="3">
        <v>1</v>
      </c>
      <c r="J35" s="3">
        <v>0</v>
      </c>
      <c r="K35" s="3">
        <v>1</v>
      </c>
      <c r="O35" s="3">
        <f t="shared" si="21"/>
        <v>568.57000000000005</v>
      </c>
      <c r="P35" s="3">
        <f t="shared" si="22"/>
        <v>0</v>
      </c>
      <c r="Q35" s="3">
        <f t="shared" si="23"/>
        <v>0</v>
      </c>
      <c r="R35" s="3">
        <f t="shared" si="24"/>
        <v>0</v>
      </c>
      <c r="S35" s="3">
        <f t="shared" si="25"/>
        <v>568.57000000000005</v>
      </c>
      <c r="T35" s="3">
        <f t="shared" si="26"/>
        <v>0</v>
      </c>
      <c r="U35" s="3">
        <f t="shared" si="27"/>
        <v>0.74350799999999995</v>
      </c>
      <c r="V35" s="3">
        <f t="shared" si="28"/>
        <v>0</v>
      </c>
      <c r="W35" s="3">
        <f t="shared" si="29"/>
        <v>0</v>
      </c>
      <c r="X35" s="3">
        <f t="shared" si="30"/>
        <v>540.14</v>
      </c>
      <c r="Y35" s="3">
        <f t="shared" si="31"/>
        <v>301.33999999999997</v>
      </c>
      <c r="AA35" s="3">
        <v>55919549</v>
      </c>
      <c r="AB35" s="3">
        <f t="shared" si="32"/>
        <v>9.2807999999999993</v>
      </c>
      <c r="AC35" s="3">
        <f t="shared" si="33"/>
        <v>0</v>
      </c>
      <c r="AD35" s="3">
        <f t="shared" si="34"/>
        <v>0</v>
      </c>
      <c r="AE35" s="3">
        <f t="shared" si="35"/>
        <v>0</v>
      </c>
      <c r="AF35" s="3">
        <f t="shared" si="36"/>
        <v>9.2807999999999993</v>
      </c>
      <c r="AG35" s="3">
        <f t="shared" si="37"/>
        <v>0</v>
      </c>
      <c r="AH35" s="3">
        <f t="shared" si="38"/>
        <v>0.68399999999999994</v>
      </c>
      <c r="AI35" s="3">
        <f t="shared" si="39"/>
        <v>0</v>
      </c>
      <c r="AJ35" s="3">
        <f t="shared" si="40"/>
        <v>0</v>
      </c>
      <c r="AK35" s="3">
        <v>25.96</v>
      </c>
      <c r="AL35" s="3">
        <v>0.18</v>
      </c>
      <c r="AM35" s="3">
        <v>0</v>
      </c>
      <c r="AN35" s="3">
        <v>0</v>
      </c>
      <c r="AO35" s="3">
        <v>25.78</v>
      </c>
      <c r="AP35" s="3">
        <v>0</v>
      </c>
      <c r="AQ35" s="3">
        <v>1.9</v>
      </c>
      <c r="AR35" s="3">
        <v>0</v>
      </c>
      <c r="AS35" s="3">
        <v>0</v>
      </c>
      <c r="AT35" s="3">
        <v>95</v>
      </c>
      <c r="AU35" s="3">
        <v>53</v>
      </c>
      <c r="AV35" s="3">
        <v>1.087</v>
      </c>
      <c r="AW35" s="3">
        <v>1</v>
      </c>
      <c r="AZ35" s="3">
        <v>1</v>
      </c>
      <c r="BA35" s="3">
        <v>56.35</v>
      </c>
      <c r="BB35" s="3">
        <v>1</v>
      </c>
      <c r="BC35" s="3">
        <v>5.61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44</v>
      </c>
      <c r="BM35" s="3">
        <v>69</v>
      </c>
      <c r="BN35" s="3">
        <v>0</v>
      </c>
      <c r="BO35" s="3" t="s">
        <v>42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95</v>
      </c>
      <c r="CA35" s="3">
        <v>53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490</v>
      </c>
      <c r="CO35" s="3">
        <v>0</v>
      </c>
      <c r="CP35" s="3">
        <f t="shared" si="41"/>
        <v>568.57000000000005</v>
      </c>
      <c r="CQ35" s="3">
        <f t="shared" si="42"/>
        <v>0</v>
      </c>
      <c r="CR35" s="3">
        <f t="shared" si="43"/>
        <v>0</v>
      </c>
      <c r="CS35" s="3">
        <f t="shared" si="44"/>
        <v>0</v>
      </c>
      <c r="CT35" s="3">
        <f t="shared" si="45"/>
        <v>568.57000000000005</v>
      </c>
      <c r="CU35" s="3">
        <f t="shared" si="46"/>
        <v>0</v>
      </c>
      <c r="CV35" s="3">
        <f t="shared" si="47"/>
        <v>0.74350799999999995</v>
      </c>
      <c r="CW35" s="3">
        <f t="shared" si="48"/>
        <v>0</v>
      </c>
      <c r="CX35" s="3">
        <f t="shared" si="49"/>
        <v>0</v>
      </c>
      <c r="CY35" s="3">
        <f t="shared" si="50"/>
        <v>540.14</v>
      </c>
      <c r="CZ35" s="3">
        <f t="shared" si="51"/>
        <v>301.33999999999997</v>
      </c>
      <c r="DB35" s="3">
        <v>15</v>
      </c>
      <c r="DC35" s="3" t="s">
        <v>3</v>
      </c>
      <c r="DD35" s="3" t="s">
        <v>24</v>
      </c>
      <c r="DE35" s="3" t="s">
        <v>25</v>
      </c>
      <c r="DF35" s="3" t="s">
        <v>25</v>
      </c>
      <c r="DG35" s="3" t="s">
        <v>25</v>
      </c>
      <c r="DH35" s="3" t="s">
        <v>3</v>
      </c>
      <c r="DI35" s="3" t="s">
        <v>25</v>
      </c>
      <c r="DJ35" s="3" t="s">
        <v>25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33</v>
      </c>
      <c r="DW35" s="3" t="s">
        <v>33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55393701</v>
      </c>
      <c r="EF35" s="3">
        <v>40</v>
      </c>
      <c r="EG35" s="3" t="s">
        <v>26</v>
      </c>
      <c r="EH35" s="3">
        <v>0</v>
      </c>
      <c r="EI35" s="3" t="s">
        <v>3</v>
      </c>
      <c r="EJ35" s="3">
        <v>2</v>
      </c>
      <c r="EK35" s="3">
        <v>69</v>
      </c>
      <c r="EL35" s="3" t="s">
        <v>27</v>
      </c>
      <c r="EM35" s="3" t="s">
        <v>28</v>
      </c>
      <c r="EO35" s="3" t="s">
        <v>29</v>
      </c>
      <c r="EQ35" s="3">
        <v>0</v>
      </c>
      <c r="ER35" s="3">
        <v>25.96</v>
      </c>
      <c r="ES35" s="3">
        <v>0.18</v>
      </c>
      <c r="ET35" s="3">
        <v>0</v>
      </c>
      <c r="EU35" s="3">
        <v>0</v>
      </c>
      <c r="EV35" s="3">
        <v>25.78</v>
      </c>
      <c r="EW35" s="3">
        <v>1.9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95</v>
      </c>
      <c r="FY35" s="3">
        <v>53</v>
      </c>
      <c r="GA35" s="3" t="s">
        <v>3</v>
      </c>
      <c r="GD35" s="3">
        <v>1</v>
      </c>
      <c r="GF35" s="3">
        <v>1660434457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1410.05</v>
      </c>
      <c r="GN35" s="3">
        <f t="shared" si="54"/>
        <v>0</v>
      </c>
      <c r="GO35" s="3">
        <f t="shared" si="55"/>
        <v>1410.05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">
      <c r="A36" s="2">
        <v>17</v>
      </c>
      <c r="B36" s="2">
        <v>1</v>
      </c>
      <c r="C36" s="2">
        <f>ROW(SmtRes!A28)</f>
        <v>28</v>
      </c>
      <c r="D36" s="2">
        <f>ROW(EtalonRes!A32)</f>
        <v>32</v>
      </c>
      <c r="E36" s="2" t="s">
        <v>45</v>
      </c>
      <c r="F36" s="2" t="s">
        <v>46</v>
      </c>
      <c r="G36" s="2" t="s">
        <v>47</v>
      </c>
      <c r="H36" s="2" t="s">
        <v>33</v>
      </c>
      <c r="I36" s="2">
        <v>1</v>
      </c>
      <c r="J36" s="2">
        <v>0</v>
      </c>
      <c r="K36" s="2">
        <v>1</v>
      </c>
      <c r="L36" s="2"/>
      <c r="M36" s="2"/>
      <c r="N36" s="2"/>
      <c r="O36" s="2">
        <f t="shared" si="21"/>
        <v>9.8800000000000008</v>
      </c>
      <c r="P36" s="2">
        <f t="shared" si="22"/>
        <v>0</v>
      </c>
      <c r="Q36" s="2">
        <f t="shared" si="23"/>
        <v>0</v>
      </c>
      <c r="R36" s="2">
        <f t="shared" si="24"/>
        <v>0</v>
      </c>
      <c r="S36" s="2">
        <f t="shared" si="25"/>
        <v>9.8800000000000008</v>
      </c>
      <c r="T36" s="2">
        <f t="shared" si="26"/>
        <v>0</v>
      </c>
      <c r="U36" s="2">
        <f t="shared" si="27"/>
        <v>0.78263999999999989</v>
      </c>
      <c r="V36" s="2">
        <f t="shared" si="28"/>
        <v>0</v>
      </c>
      <c r="W36" s="2">
        <f t="shared" si="29"/>
        <v>0</v>
      </c>
      <c r="X36" s="2">
        <f t="shared" si="30"/>
        <v>9.39</v>
      </c>
      <c r="Y36" s="2">
        <f t="shared" si="31"/>
        <v>5.24</v>
      </c>
      <c r="Z36" s="2"/>
      <c r="AA36" s="2">
        <v>55919547</v>
      </c>
      <c r="AB36" s="2">
        <f t="shared" si="32"/>
        <v>9.0863999999999994</v>
      </c>
      <c r="AC36" s="2">
        <f t="shared" si="33"/>
        <v>0</v>
      </c>
      <c r="AD36" s="2">
        <f t="shared" si="34"/>
        <v>0</v>
      </c>
      <c r="AE36" s="2">
        <f t="shared" si="35"/>
        <v>0</v>
      </c>
      <c r="AF36" s="2">
        <f t="shared" si="36"/>
        <v>9.0863999999999994</v>
      </c>
      <c r="AG36" s="2">
        <f t="shared" si="37"/>
        <v>0</v>
      </c>
      <c r="AH36" s="2">
        <f t="shared" si="38"/>
        <v>0.72</v>
      </c>
      <c r="AI36" s="2">
        <f t="shared" si="39"/>
        <v>0</v>
      </c>
      <c r="AJ36" s="2">
        <f t="shared" si="40"/>
        <v>0</v>
      </c>
      <c r="AK36" s="2">
        <v>25.54</v>
      </c>
      <c r="AL36" s="2">
        <v>0.3</v>
      </c>
      <c r="AM36" s="2">
        <v>0</v>
      </c>
      <c r="AN36" s="2">
        <v>0</v>
      </c>
      <c r="AO36" s="2">
        <v>25.24</v>
      </c>
      <c r="AP36" s="2">
        <v>0</v>
      </c>
      <c r="AQ36" s="2">
        <v>2</v>
      </c>
      <c r="AR36" s="2">
        <v>0</v>
      </c>
      <c r="AS36" s="2">
        <v>0</v>
      </c>
      <c r="AT36" s="2">
        <v>95</v>
      </c>
      <c r="AU36" s="2">
        <v>53</v>
      </c>
      <c r="AV36" s="2">
        <v>1.087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48</v>
      </c>
      <c r="BK36" s="2"/>
      <c r="BL36" s="2"/>
      <c r="BM36" s="2">
        <v>69</v>
      </c>
      <c r="BN36" s="2">
        <v>0</v>
      </c>
      <c r="BO36" s="2" t="s">
        <v>46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95</v>
      </c>
      <c r="CA36" s="2">
        <v>53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490</v>
      </c>
      <c r="CO36" s="2">
        <v>0</v>
      </c>
      <c r="CP36" s="2">
        <f t="shared" si="41"/>
        <v>9.8800000000000008</v>
      </c>
      <c r="CQ36" s="2">
        <f t="shared" si="42"/>
        <v>0</v>
      </c>
      <c r="CR36" s="2">
        <f t="shared" si="43"/>
        <v>0</v>
      </c>
      <c r="CS36" s="2">
        <f t="shared" si="44"/>
        <v>0</v>
      </c>
      <c r="CT36" s="2">
        <f t="shared" si="45"/>
        <v>9.8800000000000008</v>
      </c>
      <c r="CU36" s="2">
        <f t="shared" si="46"/>
        <v>0</v>
      </c>
      <c r="CV36" s="2">
        <f t="shared" si="47"/>
        <v>0.78263999999999989</v>
      </c>
      <c r="CW36" s="2">
        <f t="shared" si="48"/>
        <v>0</v>
      </c>
      <c r="CX36" s="2">
        <f t="shared" si="49"/>
        <v>0</v>
      </c>
      <c r="CY36" s="2">
        <f t="shared" si="50"/>
        <v>9.39</v>
      </c>
      <c r="CZ36" s="2">
        <f t="shared" si="51"/>
        <v>5.24</v>
      </c>
      <c r="DA36" s="2"/>
      <c r="DB36" s="2">
        <v>17</v>
      </c>
      <c r="DC36" s="2" t="s">
        <v>3</v>
      </c>
      <c r="DD36" s="2" t="s">
        <v>24</v>
      </c>
      <c r="DE36" s="2" t="s">
        <v>25</v>
      </c>
      <c r="DF36" s="2" t="s">
        <v>25</v>
      </c>
      <c r="DG36" s="2" t="s">
        <v>25</v>
      </c>
      <c r="DH36" s="2" t="s">
        <v>3</v>
      </c>
      <c r="DI36" s="2" t="s">
        <v>25</v>
      </c>
      <c r="DJ36" s="2" t="s">
        <v>25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33</v>
      </c>
      <c r="DW36" s="2" t="s">
        <v>33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55393701</v>
      </c>
      <c r="EF36" s="2">
        <v>40</v>
      </c>
      <c r="EG36" s="2" t="s">
        <v>26</v>
      </c>
      <c r="EH36" s="2">
        <v>0</v>
      </c>
      <c r="EI36" s="2" t="s">
        <v>3</v>
      </c>
      <c r="EJ36" s="2">
        <v>2</v>
      </c>
      <c r="EK36" s="2">
        <v>69</v>
      </c>
      <c r="EL36" s="2" t="s">
        <v>27</v>
      </c>
      <c r="EM36" s="2" t="s">
        <v>28</v>
      </c>
      <c r="EN36" s="2"/>
      <c r="EO36" s="2" t="s">
        <v>29</v>
      </c>
      <c r="EP36" s="2"/>
      <c r="EQ36" s="2">
        <v>0</v>
      </c>
      <c r="ER36" s="2">
        <v>25.54</v>
      </c>
      <c r="ES36" s="2">
        <v>0.3</v>
      </c>
      <c r="ET36" s="2">
        <v>0</v>
      </c>
      <c r="EU36" s="2">
        <v>0</v>
      </c>
      <c r="EV36" s="2">
        <v>25.24</v>
      </c>
      <c r="EW36" s="2">
        <v>2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95</v>
      </c>
      <c r="FY36" s="2">
        <v>53</v>
      </c>
      <c r="FZ36" s="2"/>
      <c r="GA36" s="2" t="s">
        <v>3</v>
      </c>
      <c r="GB36" s="2"/>
      <c r="GC36" s="2"/>
      <c r="GD36" s="2">
        <v>1</v>
      </c>
      <c r="GE36" s="2"/>
      <c r="GF36" s="2">
        <v>-405642349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24.51</v>
      </c>
      <c r="GN36" s="2">
        <f t="shared" si="54"/>
        <v>0</v>
      </c>
      <c r="GO36" s="2">
        <f t="shared" si="55"/>
        <v>24.51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 s="3">
        <v>17</v>
      </c>
      <c r="B37" s="3">
        <v>1</v>
      </c>
      <c r="C37" s="3">
        <f>ROW(SmtRes!A30)</f>
        <v>30</v>
      </c>
      <c r="D37" s="3">
        <f>ROW(EtalonRes!A34)</f>
        <v>34</v>
      </c>
      <c r="E37" s="3" t="s">
        <v>45</v>
      </c>
      <c r="F37" s="3" t="s">
        <v>46</v>
      </c>
      <c r="G37" s="3" t="s">
        <v>47</v>
      </c>
      <c r="H37" s="3" t="s">
        <v>33</v>
      </c>
      <c r="I37" s="3">
        <v>1</v>
      </c>
      <c r="J37" s="3">
        <v>0</v>
      </c>
      <c r="K37" s="3">
        <v>1</v>
      </c>
      <c r="O37" s="3">
        <f t="shared" si="21"/>
        <v>556.74</v>
      </c>
      <c r="P37" s="3">
        <f t="shared" si="22"/>
        <v>0</v>
      </c>
      <c r="Q37" s="3">
        <f t="shared" si="23"/>
        <v>0</v>
      </c>
      <c r="R37" s="3">
        <f t="shared" si="24"/>
        <v>0</v>
      </c>
      <c r="S37" s="3">
        <f t="shared" si="25"/>
        <v>556.74</v>
      </c>
      <c r="T37" s="3">
        <f t="shared" si="26"/>
        <v>0</v>
      </c>
      <c r="U37" s="3">
        <f t="shared" si="27"/>
        <v>0.78263999999999989</v>
      </c>
      <c r="V37" s="3">
        <f t="shared" si="28"/>
        <v>0</v>
      </c>
      <c r="W37" s="3">
        <f t="shared" si="29"/>
        <v>0</v>
      </c>
      <c r="X37" s="3">
        <f t="shared" si="30"/>
        <v>528.9</v>
      </c>
      <c r="Y37" s="3">
        <f t="shared" si="31"/>
        <v>295.07</v>
      </c>
      <c r="AA37" s="3">
        <v>55919549</v>
      </c>
      <c r="AB37" s="3">
        <f t="shared" si="32"/>
        <v>9.0863999999999994</v>
      </c>
      <c r="AC37" s="3">
        <f t="shared" si="33"/>
        <v>0</v>
      </c>
      <c r="AD37" s="3">
        <f t="shared" si="34"/>
        <v>0</v>
      </c>
      <c r="AE37" s="3">
        <f t="shared" si="35"/>
        <v>0</v>
      </c>
      <c r="AF37" s="3">
        <f t="shared" si="36"/>
        <v>9.0863999999999994</v>
      </c>
      <c r="AG37" s="3">
        <f t="shared" si="37"/>
        <v>0</v>
      </c>
      <c r="AH37" s="3">
        <f t="shared" si="38"/>
        <v>0.72</v>
      </c>
      <c r="AI37" s="3">
        <f t="shared" si="39"/>
        <v>0</v>
      </c>
      <c r="AJ37" s="3">
        <f t="shared" si="40"/>
        <v>0</v>
      </c>
      <c r="AK37" s="3">
        <v>25.54</v>
      </c>
      <c r="AL37" s="3">
        <v>0.3</v>
      </c>
      <c r="AM37" s="3">
        <v>0</v>
      </c>
      <c r="AN37" s="3">
        <v>0</v>
      </c>
      <c r="AO37" s="3">
        <v>25.24</v>
      </c>
      <c r="AP37" s="3">
        <v>0</v>
      </c>
      <c r="AQ37" s="3">
        <v>2</v>
      </c>
      <c r="AR37" s="3">
        <v>0</v>
      </c>
      <c r="AS37" s="3">
        <v>0</v>
      </c>
      <c r="AT37" s="3">
        <v>95</v>
      </c>
      <c r="AU37" s="3">
        <v>53</v>
      </c>
      <c r="AV37" s="3">
        <v>1.087</v>
      </c>
      <c r="AW37" s="3">
        <v>1</v>
      </c>
      <c r="AZ37" s="3">
        <v>1</v>
      </c>
      <c r="BA37" s="3">
        <v>56.35</v>
      </c>
      <c r="BB37" s="3">
        <v>1</v>
      </c>
      <c r="BC37" s="3">
        <v>7.37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48</v>
      </c>
      <c r="BM37" s="3">
        <v>69</v>
      </c>
      <c r="BN37" s="3">
        <v>0</v>
      </c>
      <c r="BO37" s="3" t="s">
        <v>46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95</v>
      </c>
      <c r="CA37" s="3">
        <v>53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490</v>
      </c>
      <c r="CO37" s="3">
        <v>0</v>
      </c>
      <c r="CP37" s="3">
        <f t="shared" si="41"/>
        <v>556.74</v>
      </c>
      <c r="CQ37" s="3">
        <f t="shared" si="42"/>
        <v>0</v>
      </c>
      <c r="CR37" s="3">
        <f t="shared" si="43"/>
        <v>0</v>
      </c>
      <c r="CS37" s="3">
        <f t="shared" si="44"/>
        <v>0</v>
      </c>
      <c r="CT37" s="3">
        <f t="shared" si="45"/>
        <v>556.74</v>
      </c>
      <c r="CU37" s="3">
        <f t="shared" si="46"/>
        <v>0</v>
      </c>
      <c r="CV37" s="3">
        <f t="shared" si="47"/>
        <v>0.78263999999999989</v>
      </c>
      <c r="CW37" s="3">
        <f t="shared" si="48"/>
        <v>0</v>
      </c>
      <c r="CX37" s="3">
        <f t="shared" si="49"/>
        <v>0</v>
      </c>
      <c r="CY37" s="3">
        <f t="shared" si="50"/>
        <v>528.9</v>
      </c>
      <c r="CZ37" s="3">
        <f t="shared" si="51"/>
        <v>295.07</v>
      </c>
      <c r="DB37" s="3">
        <v>19</v>
      </c>
      <c r="DC37" s="3" t="s">
        <v>3</v>
      </c>
      <c r="DD37" s="3" t="s">
        <v>24</v>
      </c>
      <c r="DE37" s="3" t="s">
        <v>25</v>
      </c>
      <c r="DF37" s="3" t="s">
        <v>25</v>
      </c>
      <c r="DG37" s="3" t="s">
        <v>25</v>
      </c>
      <c r="DH37" s="3" t="s">
        <v>3</v>
      </c>
      <c r="DI37" s="3" t="s">
        <v>25</v>
      </c>
      <c r="DJ37" s="3" t="s">
        <v>25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33</v>
      </c>
      <c r="DW37" s="3" t="s">
        <v>33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55393701</v>
      </c>
      <c r="EF37" s="3">
        <v>40</v>
      </c>
      <c r="EG37" s="3" t="s">
        <v>26</v>
      </c>
      <c r="EH37" s="3">
        <v>0</v>
      </c>
      <c r="EI37" s="3" t="s">
        <v>3</v>
      </c>
      <c r="EJ37" s="3">
        <v>2</v>
      </c>
      <c r="EK37" s="3">
        <v>69</v>
      </c>
      <c r="EL37" s="3" t="s">
        <v>27</v>
      </c>
      <c r="EM37" s="3" t="s">
        <v>28</v>
      </c>
      <c r="EO37" s="3" t="s">
        <v>29</v>
      </c>
      <c r="EQ37" s="3">
        <v>0</v>
      </c>
      <c r="ER37" s="3">
        <v>25.54</v>
      </c>
      <c r="ES37" s="3">
        <v>0.3</v>
      </c>
      <c r="ET37" s="3">
        <v>0</v>
      </c>
      <c r="EU37" s="3">
        <v>0</v>
      </c>
      <c r="EV37" s="3">
        <v>25.24</v>
      </c>
      <c r="EW37" s="3">
        <v>2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95</v>
      </c>
      <c r="FY37" s="3">
        <v>53</v>
      </c>
      <c r="GA37" s="3" t="s">
        <v>3</v>
      </c>
      <c r="GD37" s="3">
        <v>1</v>
      </c>
      <c r="GF37" s="3">
        <v>-405642349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1380.71</v>
      </c>
      <c r="GN37" s="3">
        <f t="shared" si="54"/>
        <v>0</v>
      </c>
      <c r="GO37" s="3">
        <f t="shared" si="55"/>
        <v>1380.71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">
      <c r="A38" s="2">
        <v>17</v>
      </c>
      <c r="B38" s="2">
        <v>1</v>
      </c>
      <c r="C38" s="2">
        <f>ROW(SmtRes!A32)</f>
        <v>32</v>
      </c>
      <c r="D38" s="2">
        <f>ROW(EtalonRes!A36)</f>
        <v>36</v>
      </c>
      <c r="E38" s="2" t="s">
        <v>49</v>
      </c>
      <c r="F38" s="2" t="s">
        <v>31</v>
      </c>
      <c r="G38" s="2" t="s">
        <v>50</v>
      </c>
      <c r="H38" s="2" t="s">
        <v>33</v>
      </c>
      <c r="I38" s="2">
        <v>6</v>
      </c>
      <c r="J38" s="2">
        <v>0</v>
      </c>
      <c r="K38" s="2">
        <v>6</v>
      </c>
      <c r="L38" s="2"/>
      <c r="M38" s="2"/>
      <c r="N38" s="2"/>
      <c r="O38" s="2">
        <f t="shared" si="21"/>
        <v>25.87</v>
      </c>
      <c r="P38" s="2">
        <f t="shared" si="22"/>
        <v>0</v>
      </c>
      <c r="Q38" s="2">
        <f t="shared" si="23"/>
        <v>0</v>
      </c>
      <c r="R38" s="2">
        <f t="shared" si="24"/>
        <v>0</v>
      </c>
      <c r="S38" s="2">
        <f t="shared" si="25"/>
        <v>25.87</v>
      </c>
      <c r="T38" s="2">
        <f t="shared" si="26"/>
        <v>0</v>
      </c>
      <c r="U38" s="2">
        <f t="shared" si="27"/>
        <v>1.8783359999999996</v>
      </c>
      <c r="V38" s="2">
        <f t="shared" si="28"/>
        <v>0</v>
      </c>
      <c r="W38" s="2">
        <f t="shared" si="29"/>
        <v>0</v>
      </c>
      <c r="X38" s="2">
        <f t="shared" si="30"/>
        <v>24.58</v>
      </c>
      <c r="Y38" s="2">
        <f t="shared" si="31"/>
        <v>13.71</v>
      </c>
      <c r="Z38" s="2"/>
      <c r="AA38" s="2">
        <v>55919547</v>
      </c>
      <c r="AB38" s="2">
        <f t="shared" si="32"/>
        <v>3.9672000000000001</v>
      </c>
      <c r="AC38" s="2">
        <f t="shared" si="33"/>
        <v>0</v>
      </c>
      <c r="AD38" s="2">
        <f t="shared" si="34"/>
        <v>0</v>
      </c>
      <c r="AE38" s="2">
        <f t="shared" si="35"/>
        <v>0</v>
      </c>
      <c r="AF38" s="2">
        <f t="shared" si="36"/>
        <v>3.9672000000000001</v>
      </c>
      <c r="AG38" s="2">
        <f t="shared" si="37"/>
        <v>0</v>
      </c>
      <c r="AH38" s="2">
        <f t="shared" si="38"/>
        <v>0.28799999999999998</v>
      </c>
      <c r="AI38" s="2">
        <f t="shared" si="39"/>
        <v>0</v>
      </c>
      <c r="AJ38" s="2">
        <f t="shared" si="40"/>
        <v>0</v>
      </c>
      <c r="AK38" s="2">
        <v>11.32</v>
      </c>
      <c r="AL38" s="2">
        <v>0.3</v>
      </c>
      <c r="AM38" s="2">
        <v>0</v>
      </c>
      <c r="AN38" s="2">
        <v>0</v>
      </c>
      <c r="AO38" s="2">
        <v>11.02</v>
      </c>
      <c r="AP38" s="2">
        <v>0</v>
      </c>
      <c r="AQ38" s="2">
        <v>0.8</v>
      </c>
      <c r="AR38" s="2">
        <v>0</v>
      </c>
      <c r="AS38" s="2">
        <v>0</v>
      </c>
      <c r="AT38" s="2">
        <v>95</v>
      </c>
      <c r="AU38" s="2">
        <v>53</v>
      </c>
      <c r="AV38" s="2">
        <v>1.087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34</v>
      </c>
      <c r="BK38" s="2"/>
      <c r="BL38" s="2"/>
      <c r="BM38" s="2">
        <v>69</v>
      </c>
      <c r="BN38" s="2">
        <v>0</v>
      </c>
      <c r="BO38" s="2" t="s">
        <v>31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95</v>
      </c>
      <c r="CA38" s="2">
        <v>53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490</v>
      </c>
      <c r="CO38" s="2">
        <v>0</v>
      </c>
      <c r="CP38" s="2">
        <f t="shared" si="41"/>
        <v>25.87</v>
      </c>
      <c r="CQ38" s="2">
        <f t="shared" si="42"/>
        <v>0</v>
      </c>
      <c r="CR38" s="2">
        <f t="shared" si="43"/>
        <v>0</v>
      </c>
      <c r="CS38" s="2">
        <f t="shared" si="44"/>
        <v>0</v>
      </c>
      <c r="CT38" s="2">
        <f t="shared" si="45"/>
        <v>4.3099999999999996</v>
      </c>
      <c r="CU38" s="2">
        <f t="shared" si="46"/>
        <v>0</v>
      </c>
      <c r="CV38" s="2">
        <f t="shared" si="47"/>
        <v>0.31305599999999995</v>
      </c>
      <c r="CW38" s="2">
        <f t="shared" si="48"/>
        <v>0</v>
      </c>
      <c r="CX38" s="2">
        <f t="shared" si="49"/>
        <v>0</v>
      </c>
      <c r="CY38" s="2">
        <f t="shared" si="50"/>
        <v>24.58</v>
      </c>
      <c r="CZ38" s="2">
        <f t="shared" si="51"/>
        <v>13.71</v>
      </c>
      <c r="DA38" s="2"/>
      <c r="DB38" s="2">
        <v>21</v>
      </c>
      <c r="DC38" s="2" t="s">
        <v>3</v>
      </c>
      <c r="DD38" s="2" t="s">
        <v>24</v>
      </c>
      <c r="DE38" s="2" t="s">
        <v>25</v>
      </c>
      <c r="DF38" s="2" t="s">
        <v>25</v>
      </c>
      <c r="DG38" s="2" t="s">
        <v>25</v>
      </c>
      <c r="DH38" s="2" t="s">
        <v>3</v>
      </c>
      <c r="DI38" s="2" t="s">
        <v>25</v>
      </c>
      <c r="DJ38" s="2" t="s">
        <v>25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33</v>
      </c>
      <c r="DW38" s="2" t="s">
        <v>33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55393701</v>
      </c>
      <c r="EF38" s="2">
        <v>40</v>
      </c>
      <c r="EG38" s="2" t="s">
        <v>26</v>
      </c>
      <c r="EH38" s="2">
        <v>0</v>
      </c>
      <c r="EI38" s="2" t="s">
        <v>3</v>
      </c>
      <c r="EJ38" s="2">
        <v>2</v>
      </c>
      <c r="EK38" s="2">
        <v>69</v>
      </c>
      <c r="EL38" s="2" t="s">
        <v>27</v>
      </c>
      <c r="EM38" s="2" t="s">
        <v>28</v>
      </c>
      <c r="EN38" s="2"/>
      <c r="EO38" s="2" t="s">
        <v>29</v>
      </c>
      <c r="EP38" s="2"/>
      <c r="EQ38" s="2">
        <v>0</v>
      </c>
      <c r="ER38" s="2">
        <v>11.32</v>
      </c>
      <c r="ES38" s="2">
        <v>0.3</v>
      </c>
      <c r="ET38" s="2">
        <v>0</v>
      </c>
      <c r="EU38" s="2">
        <v>0</v>
      </c>
      <c r="EV38" s="2">
        <v>11.02</v>
      </c>
      <c r="EW38" s="2">
        <v>0.8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95</v>
      </c>
      <c r="FY38" s="2">
        <v>53</v>
      </c>
      <c r="FZ38" s="2"/>
      <c r="GA38" s="2" t="s">
        <v>3</v>
      </c>
      <c r="GB38" s="2"/>
      <c r="GC38" s="2"/>
      <c r="GD38" s="2">
        <v>1</v>
      </c>
      <c r="GE38" s="2"/>
      <c r="GF38" s="2">
        <v>-1076361322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64.16</v>
      </c>
      <c r="GN38" s="2">
        <f t="shared" si="54"/>
        <v>0</v>
      </c>
      <c r="GO38" s="2">
        <f t="shared" si="55"/>
        <v>64.16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 s="3">
        <v>17</v>
      </c>
      <c r="B39" s="3">
        <v>1</v>
      </c>
      <c r="C39" s="3">
        <f>ROW(SmtRes!A34)</f>
        <v>34</v>
      </c>
      <c r="D39" s="3">
        <f>ROW(EtalonRes!A38)</f>
        <v>38</v>
      </c>
      <c r="E39" s="3" t="s">
        <v>49</v>
      </c>
      <c r="F39" s="3" t="s">
        <v>31</v>
      </c>
      <c r="G39" s="3" t="s">
        <v>50</v>
      </c>
      <c r="H39" s="3" t="s">
        <v>33</v>
      </c>
      <c r="I39" s="3">
        <v>6</v>
      </c>
      <c r="J39" s="3">
        <v>0</v>
      </c>
      <c r="K39" s="3">
        <v>6</v>
      </c>
      <c r="O39" s="3">
        <f t="shared" si="21"/>
        <v>1457.77</v>
      </c>
      <c r="P39" s="3">
        <f t="shared" si="22"/>
        <v>0</v>
      </c>
      <c r="Q39" s="3">
        <f t="shared" si="23"/>
        <v>0</v>
      </c>
      <c r="R39" s="3">
        <f t="shared" si="24"/>
        <v>0</v>
      </c>
      <c r="S39" s="3">
        <f t="shared" si="25"/>
        <v>1457.77</v>
      </c>
      <c r="T39" s="3">
        <f t="shared" si="26"/>
        <v>0</v>
      </c>
      <c r="U39" s="3">
        <f t="shared" si="27"/>
        <v>1.8783359999999996</v>
      </c>
      <c r="V39" s="3">
        <f t="shared" si="28"/>
        <v>0</v>
      </c>
      <c r="W39" s="3">
        <f t="shared" si="29"/>
        <v>0</v>
      </c>
      <c r="X39" s="3">
        <f t="shared" si="30"/>
        <v>1384.88</v>
      </c>
      <c r="Y39" s="3">
        <f t="shared" si="31"/>
        <v>772.62</v>
      </c>
      <c r="AA39" s="3">
        <v>55919549</v>
      </c>
      <c r="AB39" s="3">
        <f t="shared" si="32"/>
        <v>3.9672000000000001</v>
      </c>
      <c r="AC39" s="3">
        <f t="shared" si="33"/>
        <v>0</v>
      </c>
      <c r="AD39" s="3">
        <f t="shared" si="34"/>
        <v>0</v>
      </c>
      <c r="AE39" s="3">
        <f t="shared" si="35"/>
        <v>0</v>
      </c>
      <c r="AF39" s="3">
        <f t="shared" si="36"/>
        <v>3.9672000000000001</v>
      </c>
      <c r="AG39" s="3">
        <f t="shared" si="37"/>
        <v>0</v>
      </c>
      <c r="AH39" s="3">
        <f t="shared" si="38"/>
        <v>0.28799999999999998</v>
      </c>
      <c r="AI39" s="3">
        <f t="shared" si="39"/>
        <v>0</v>
      </c>
      <c r="AJ39" s="3">
        <f t="shared" si="40"/>
        <v>0</v>
      </c>
      <c r="AK39" s="3">
        <v>11.32</v>
      </c>
      <c r="AL39" s="3">
        <v>0.3</v>
      </c>
      <c r="AM39" s="3">
        <v>0</v>
      </c>
      <c r="AN39" s="3">
        <v>0</v>
      </c>
      <c r="AO39" s="3">
        <v>11.02</v>
      </c>
      <c r="AP39" s="3">
        <v>0</v>
      </c>
      <c r="AQ39" s="3">
        <v>0.8</v>
      </c>
      <c r="AR39" s="3">
        <v>0</v>
      </c>
      <c r="AS39" s="3">
        <v>0</v>
      </c>
      <c r="AT39" s="3">
        <v>95</v>
      </c>
      <c r="AU39" s="3">
        <v>53</v>
      </c>
      <c r="AV39" s="3">
        <v>1.087</v>
      </c>
      <c r="AW39" s="3">
        <v>1</v>
      </c>
      <c r="AZ39" s="3">
        <v>1</v>
      </c>
      <c r="BA39" s="3">
        <v>56.35</v>
      </c>
      <c r="BB39" s="3">
        <v>1</v>
      </c>
      <c r="BC39" s="3">
        <v>7.37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34</v>
      </c>
      <c r="BM39" s="3">
        <v>69</v>
      </c>
      <c r="BN39" s="3">
        <v>0</v>
      </c>
      <c r="BO39" s="3" t="s">
        <v>31</v>
      </c>
      <c r="BP39" s="3">
        <v>1</v>
      </c>
      <c r="BQ39" s="3">
        <v>40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95</v>
      </c>
      <c r="CA39" s="3">
        <v>53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490</v>
      </c>
      <c r="CO39" s="3">
        <v>0</v>
      </c>
      <c r="CP39" s="3">
        <f t="shared" si="41"/>
        <v>1457.77</v>
      </c>
      <c r="CQ39" s="3">
        <f t="shared" si="42"/>
        <v>0</v>
      </c>
      <c r="CR39" s="3">
        <f t="shared" si="43"/>
        <v>0</v>
      </c>
      <c r="CS39" s="3">
        <f t="shared" si="44"/>
        <v>0</v>
      </c>
      <c r="CT39" s="3">
        <f t="shared" si="45"/>
        <v>242.87</v>
      </c>
      <c r="CU39" s="3">
        <f t="shared" si="46"/>
        <v>0</v>
      </c>
      <c r="CV39" s="3">
        <f t="shared" si="47"/>
        <v>0.31305599999999995</v>
      </c>
      <c r="CW39" s="3">
        <f t="shared" si="48"/>
        <v>0</v>
      </c>
      <c r="CX39" s="3">
        <f t="shared" si="49"/>
        <v>0</v>
      </c>
      <c r="CY39" s="3">
        <f t="shared" si="50"/>
        <v>1384.88</v>
      </c>
      <c r="CZ39" s="3">
        <f t="shared" si="51"/>
        <v>772.62</v>
      </c>
      <c r="DB39" s="3">
        <v>23</v>
      </c>
      <c r="DC39" s="3" t="s">
        <v>3</v>
      </c>
      <c r="DD39" s="3" t="s">
        <v>24</v>
      </c>
      <c r="DE39" s="3" t="s">
        <v>25</v>
      </c>
      <c r="DF39" s="3" t="s">
        <v>25</v>
      </c>
      <c r="DG39" s="3" t="s">
        <v>25</v>
      </c>
      <c r="DH39" s="3" t="s">
        <v>3</v>
      </c>
      <c r="DI39" s="3" t="s">
        <v>25</v>
      </c>
      <c r="DJ39" s="3" t="s">
        <v>25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1013</v>
      </c>
      <c r="DV39" s="3" t="s">
        <v>33</v>
      </c>
      <c r="DW39" s="3" t="s">
        <v>33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55393701</v>
      </c>
      <c r="EF39" s="3">
        <v>40</v>
      </c>
      <c r="EG39" s="3" t="s">
        <v>26</v>
      </c>
      <c r="EH39" s="3">
        <v>0</v>
      </c>
      <c r="EI39" s="3" t="s">
        <v>3</v>
      </c>
      <c r="EJ39" s="3">
        <v>2</v>
      </c>
      <c r="EK39" s="3">
        <v>69</v>
      </c>
      <c r="EL39" s="3" t="s">
        <v>27</v>
      </c>
      <c r="EM39" s="3" t="s">
        <v>28</v>
      </c>
      <c r="EO39" s="3" t="s">
        <v>29</v>
      </c>
      <c r="EQ39" s="3">
        <v>0</v>
      </c>
      <c r="ER39" s="3">
        <v>11.32</v>
      </c>
      <c r="ES39" s="3">
        <v>0.3</v>
      </c>
      <c r="ET39" s="3">
        <v>0</v>
      </c>
      <c r="EU39" s="3">
        <v>0</v>
      </c>
      <c r="EV39" s="3">
        <v>11.02</v>
      </c>
      <c r="EW39" s="3">
        <v>0.8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95</v>
      </c>
      <c r="FY39" s="3">
        <v>53</v>
      </c>
      <c r="GA39" s="3" t="s">
        <v>3</v>
      </c>
      <c r="GD39" s="3">
        <v>1</v>
      </c>
      <c r="GF39" s="3">
        <v>-1076361322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3615.27</v>
      </c>
      <c r="GN39" s="3">
        <f t="shared" si="54"/>
        <v>0</v>
      </c>
      <c r="GO39" s="3">
        <f t="shared" si="55"/>
        <v>3615.27</v>
      </c>
      <c r="GP39" s="3">
        <f t="shared" si="56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">
      <c r="A40" s="2">
        <v>17</v>
      </c>
      <c r="B40" s="2">
        <v>1</v>
      </c>
      <c r="C40" s="2">
        <f>ROW(SmtRes!A35)</f>
        <v>35</v>
      </c>
      <c r="D40" s="2">
        <f>ROW(EtalonRes!A39)</f>
        <v>39</v>
      </c>
      <c r="E40" s="2" t="s">
        <v>51</v>
      </c>
      <c r="F40" s="2" t="s">
        <v>52</v>
      </c>
      <c r="G40" s="2" t="s">
        <v>53</v>
      </c>
      <c r="H40" s="2" t="s">
        <v>54</v>
      </c>
      <c r="I40" s="2">
        <f>ROUND(6/100,9)</f>
        <v>0.06</v>
      </c>
      <c r="J40" s="2">
        <v>0</v>
      </c>
      <c r="K40" s="2">
        <f>ROUND(6/100,9)</f>
        <v>0.06</v>
      </c>
      <c r="L40" s="2"/>
      <c r="M40" s="2"/>
      <c r="N40" s="2"/>
      <c r="O40" s="2">
        <f t="shared" si="21"/>
        <v>4.5</v>
      </c>
      <c r="P40" s="2">
        <f t="shared" si="22"/>
        <v>0</v>
      </c>
      <c r="Q40" s="2">
        <f t="shared" ref="Q40:Q45" si="60">(ROUND((ROUND((((ET40*1.2))*AV40*I40),2)*BB40),2)+ROUND((ROUND(((AE40-((EU40*1.2)))*AV40*I40),2)*BS40),2))</f>
        <v>0</v>
      </c>
      <c r="R40" s="2">
        <f t="shared" ref="R40:R45" si="61">(ROUND((ROUND((((EU40*1.2))*AV40*I40),2)*BS40),2)+ROUND((ROUND(((AE40-((EU40*1.2)))*AV40*I40),2)*BS40),2))</f>
        <v>0</v>
      </c>
      <c r="S40" s="2">
        <f t="shared" si="25"/>
        <v>4.5</v>
      </c>
      <c r="T40" s="2">
        <f t="shared" si="26"/>
        <v>0</v>
      </c>
      <c r="U40" s="2">
        <f t="shared" si="27"/>
        <v>0.44024256</v>
      </c>
      <c r="V40" s="2">
        <f t="shared" si="28"/>
        <v>0</v>
      </c>
      <c r="W40" s="2">
        <f t="shared" si="29"/>
        <v>0</v>
      </c>
      <c r="X40" s="2">
        <f t="shared" ref="X40:X45" si="62">(ROUND((((S40+ROUND((ROUND((((EU40*1.2))*AV40*I40),2)*BS40),2))*AT40)/100),2)+ROUND(((ROUND((ROUND(((AE40-((EU40*1.2)))*AV40*I40),2)*BS40),2)*AT40)/100),2))</f>
        <v>4.0999999999999996</v>
      </c>
      <c r="Y40" s="2">
        <f t="shared" ref="Y40:Y45" si="63">(ROUND((((S40+ROUND((ROUND((((EU40*1.2))*AV40*I40),2)*BS40),2))*AU40)/100),2)+ROUND(((ROUND((ROUND(((AE40-((EU40*1.2)))*AV40*I40),2)*BS40),2)*AU40)/100),2))</f>
        <v>2.16</v>
      </c>
      <c r="Z40" s="2"/>
      <c r="AA40" s="2">
        <v>55919547</v>
      </c>
      <c r="AB40" s="2">
        <f t="shared" si="32"/>
        <v>71.616</v>
      </c>
      <c r="AC40" s="2">
        <f t="shared" ref="AC40:AC45" si="64">ROUND(((ES40*1)),6)</f>
        <v>0</v>
      </c>
      <c r="AD40" s="2">
        <f t="shared" ref="AD40:AD45" si="65">ROUND(((((ET40*1.2))-((EU40*1.2)))+AE40),6)</f>
        <v>0</v>
      </c>
      <c r="AE40" s="2">
        <f t="shared" ref="AE40:AF45" si="66">ROUND(((EU40*1.2)),6)</f>
        <v>0</v>
      </c>
      <c r="AF40" s="2">
        <f t="shared" si="66"/>
        <v>71.616</v>
      </c>
      <c r="AG40" s="2">
        <f t="shared" si="37"/>
        <v>0</v>
      </c>
      <c r="AH40" s="2">
        <f t="shared" ref="AH40:AI45" si="67">((EW40*1.2))</f>
        <v>7.008</v>
      </c>
      <c r="AI40" s="2">
        <f t="shared" si="67"/>
        <v>0</v>
      </c>
      <c r="AJ40" s="2">
        <f t="shared" si="40"/>
        <v>0</v>
      </c>
      <c r="AK40" s="2">
        <v>59.68</v>
      </c>
      <c r="AL40" s="2">
        <v>0</v>
      </c>
      <c r="AM40" s="2">
        <v>0</v>
      </c>
      <c r="AN40" s="2">
        <v>0</v>
      </c>
      <c r="AO40" s="2">
        <v>59.68</v>
      </c>
      <c r="AP40" s="2">
        <v>0</v>
      </c>
      <c r="AQ40" s="2">
        <v>5.84</v>
      </c>
      <c r="AR40" s="2">
        <v>0</v>
      </c>
      <c r="AS40" s="2">
        <v>0</v>
      </c>
      <c r="AT40" s="2">
        <v>91</v>
      </c>
      <c r="AU40" s="2">
        <v>48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1</v>
      </c>
      <c r="BJ40" s="2" t="s">
        <v>55</v>
      </c>
      <c r="BK40" s="2"/>
      <c r="BL40" s="2"/>
      <c r="BM40" s="2">
        <v>106</v>
      </c>
      <c r="BN40" s="2">
        <v>0</v>
      </c>
      <c r="BO40" s="2" t="s">
        <v>52</v>
      </c>
      <c r="BP40" s="2">
        <v>1</v>
      </c>
      <c r="BQ40" s="2">
        <v>60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91</v>
      </c>
      <c r="CA40" s="2">
        <v>48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491</v>
      </c>
      <c r="CO40" s="2">
        <v>0</v>
      </c>
      <c r="CP40" s="2">
        <f t="shared" si="41"/>
        <v>4.5</v>
      </c>
      <c r="CQ40" s="2">
        <f t="shared" si="42"/>
        <v>0</v>
      </c>
      <c r="CR40" s="2">
        <f t="shared" ref="CR40:CR45" si="68">(ROUND((ROUND((((ET40*1.2))*AV40*1),2)*BB40),2)+ROUND((ROUND(((AE40-((EU40*1.2)))*AV40*1),2)*BS40),2))</f>
        <v>0</v>
      </c>
      <c r="CS40" s="2">
        <f t="shared" ref="CS40:CS45" si="69">(ROUND((ROUND((((EU40*1.2))*AV40*1),2)*BS40),2)+ROUND((ROUND(((AE40-((EU40*1.2)))*AV40*1),2)*BS40),2))</f>
        <v>0</v>
      </c>
      <c r="CT40" s="2">
        <f t="shared" si="45"/>
        <v>74.98</v>
      </c>
      <c r="CU40" s="2">
        <f t="shared" si="46"/>
        <v>0</v>
      </c>
      <c r="CV40" s="2">
        <f t="shared" si="47"/>
        <v>7.3373759999999999</v>
      </c>
      <c r="CW40" s="2">
        <f t="shared" si="48"/>
        <v>0</v>
      </c>
      <c r="CX40" s="2">
        <f t="shared" si="49"/>
        <v>0</v>
      </c>
      <c r="CY40" s="2">
        <f t="shared" ref="CY40:CY45" si="70">(ROUND((((S40+ROUND((ROUND((((EU40*1.2))*AV40*1),2)*BS40),2))*AT40)/100),2)+ROUND(((ROUND((ROUND(((AE40-((EU40*1.2)))*AV40*1),2)*BS40),2)*AT40)/100),2))</f>
        <v>4.0999999999999996</v>
      </c>
      <c r="CZ40" s="2">
        <f t="shared" ref="CZ40:CZ45" si="71">(ROUND((((S40+ROUND((ROUND((((EU40*1.2))*AV40*1),2)*BS40),2))*AU40)/100),2)+ROUND(((ROUND((ROUND(((AE40-((EU40*1.2)))*AV40*1),2)*BS40),2)*AU40)/100),2))</f>
        <v>2.16</v>
      </c>
      <c r="DA40" s="2"/>
      <c r="DB40" s="2">
        <v>25</v>
      </c>
      <c r="DC40" s="2" t="s">
        <v>3</v>
      </c>
      <c r="DD40" s="2" t="s">
        <v>56</v>
      </c>
      <c r="DE40" s="2" t="s">
        <v>57</v>
      </c>
      <c r="DF40" s="2" t="s">
        <v>57</v>
      </c>
      <c r="DG40" s="2" t="s">
        <v>57</v>
      </c>
      <c r="DH40" s="2" t="s">
        <v>3</v>
      </c>
      <c r="DI40" s="2" t="s">
        <v>57</v>
      </c>
      <c r="DJ40" s="2" t="s">
        <v>57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1010</v>
      </c>
      <c r="DV40" s="2" t="s">
        <v>54</v>
      </c>
      <c r="DW40" s="2" t="s">
        <v>54</v>
      </c>
      <c r="DX40" s="2">
        <v>100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55393738</v>
      </c>
      <c r="EF40" s="2">
        <v>60</v>
      </c>
      <c r="EG40" s="2" t="s">
        <v>58</v>
      </c>
      <c r="EH40" s="2">
        <v>0</v>
      </c>
      <c r="EI40" s="2" t="s">
        <v>3</v>
      </c>
      <c r="EJ40" s="2">
        <v>1</v>
      </c>
      <c r="EK40" s="2">
        <v>106</v>
      </c>
      <c r="EL40" s="2" t="s">
        <v>59</v>
      </c>
      <c r="EM40" s="2" t="s">
        <v>60</v>
      </c>
      <c r="EN40" s="2"/>
      <c r="EO40" s="2" t="s">
        <v>61</v>
      </c>
      <c r="EP40" s="2"/>
      <c r="EQ40" s="2">
        <v>0</v>
      </c>
      <c r="ER40" s="2">
        <v>59.68</v>
      </c>
      <c r="ES40" s="2">
        <v>0</v>
      </c>
      <c r="ET40" s="2">
        <v>0</v>
      </c>
      <c r="EU40" s="2">
        <v>0</v>
      </c>
      <c r="EV40" s="2">
        <v>59.68</v>
      </c>
      <c r="EW40" s="2">
        <v>5.84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91</v>
      </c>
      <c r="FY40" s="2">
        <v>48</v>
      </c>
      <c r="FZ40" s="2"/>
      <c r="GA40" s="2" t="s">
        <v>3</v>
      </c>
      <c r="GB40" s="2"/>
      <c r="GC40" s="2"/>
      <c r="GD40" s="2">
        <v>1</v>
      </c>
      <c r="GE40" s="2"/>
      <c r="GF40" s="2">
        <v>1478850760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10.76</v>
      </c>
      <c r="GN40" s="2">
        <f t="shared" si="54"/>
        <v>10.76</v>
      </c>
      <c r="GO40" s="2">
        <f t="shared" si="55"/>
        <v>0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 s="3">
        <v>17</v>
      </c>
      <c r="B41" s="3">
        <v>1</v>
      </c>
      <c r="C41" s="3">
        <f>ROW(SmtRes!A36)</f>
        <v>36</v>
      </c>
      <c r="D41" s="3">
        <f>ROW(EtalonRes!A40)</f>
        <v>40</v>
      </c>
      <c r="E41" s="3" t="s">
        <v>51</v>
      </c>
      <c r="F41" s="3" t="s">
        <v>52</v>
      </c>
      <c r="G41" s="3" t="s">
        <v>53</v>
      </c>
      <c r="H41" s="3" t="s">
        <v>54</v>
      </c>
      <c r="I41" s="3">
        <f>ROUND(6/100,9)</f>
        <v>0.06</v>
      </c>
      <c r="J41" s="3">
        <v>0</v>
      </c>
      <c r="K41" s="3">
        <f>ROUND(6/100,9)</f>
        <v>0.06</v>
      </c>
      <c r="O41" s="3">
        <f t="shared" si="21"/>
        <v>253.58</v>
      </c>
      <c r="P41" s="3">
        <f t="shared" si="22"/>
        <v>0</v>
      </c>
      <c r="Q41" s="3">
        <f t="shared" si="60"/>
        <v>0</v>
      </c>
      <c r="R41" s="3">
        <f t="shared" si="61"/>
        <v>0</v>
      </c>
      <c r="S41" s="3">
        <f t="shared" si="25"/>
        <v>253.58</v>
      </c>
      <c r="T41" s="3">
        <f t="shared" si="26"/>
        <v>0</v>
      </c>
      <c r="U41" s="3">
        <f t="shared" si="27"/>
        <v>0.44024256</v>
      </c>
      <c r="V41" s="3">
        <f t="shared" si="28"/>
        <v>0</v>
      </c>
      <c r="W41" s="3">
        <f t="shared" si="29"/>
        <v>0</v>
      </c>
      <c r="X41" s="3">
        <f t="shared" si="62"/>
        <v>230.76</v>
      </c>
      <c r="Y41" s="3">
        <f t="shared" si="63"/>
        <v>121.72</v>
      </c>
      <c r="AA41" s="3">
        <v>55919549</v>
      </c>
      <c r="AB41" s="3">
        <f t="shared" si="32"/>
        <v>71.616</v>
      </c>
      <c r="AC41" s="3">
        <f t="shared" si="64"/>
        <v>0</v>
      </c>
      <c r="AD41" s="3">
        <f t="shared" si="65"/>
        <v>0</v>
      </c>
      <c r="AE41" s="3">
        <f t="shared" si="66"/>
        <v>0</v>
      </c>
      <c r="AF41" s="3">
        <f t="shared" si="66"/>
        <v>71.616</v>
      </c>
      <c r="AG41" s="3">
        <f t="shared" si="37"/>
        <v>0</v>
      </c>
      <c r="AH41" s="3">
        <f t="shared" si="67"/>
        <v>7.008</v>
      </c>
      <c r="AI41" s="3">
        <f t="shared" si="67"/>
        <v>0</v>
      </c>
      <c r="AJ41" s="3">
        <f t="shared" si="40"/>
        <v>0</v>
      </c>
      <c r="AK41" s="3">
        <v>59.68</v>
      </c>
      <c r="AL41" s="3">
        <v>0</v>
      </c>
      <c r="AM41" s="3">
        <v>0</v>
      </c>
      <c r="AN41" s="3">
        <v>0</v>
      </c>
      <c r="AO41" s="3">
        <v>59.68</v>
      </c>
      <c r="AP41" s="3">
        <v>0</v>
      </c>
      <c r="AQ41" s="3">
        <v>5.84</v>
      </c>
      <c r="AR41" s="3">
        <v>0</v>
      </c>
      <c r="AS41" s="3">
        <v>0</v>
      </c>
      <c r="AT41" s="3">
        <v>91</v>
      </c>
      <c r="AU41" s="3">
        <v>48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</v>
      </c>
      <c r="BC41" s="3">
        <v>1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1</v>
      </c>
      <c r="BJ41" s="3" t="s">
        <v>55</v>
      </c>
      <c r="BM41" s="3">
        <v>106</v>
      </c>
      <c r="BN41" s="3">
        <v>0</v>
      </c>
      <c r="BO41" s="3" t="s">
        <v>52</v>
      </c>
      <c r="BP41" s="3">
        <v>1</v>
      </c>
      <c r="BQ41" s="3">
        <v>60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91</v>
      </c>
      <c r="CA41" s="3">
        <v>48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491</v>
      </c>
      <c r="CO41" s="3">
        <v>0</v>
      </c>
      <c r="CP41" s="3">
        <f t="shared" si="41"/>
        <v>253.58</v>
      </c>
      <c r="CQ41" s="3">
        <f t="shared" si="42"/>
        <v>0</v>
      </c>
      <c r="CR41" s="3">
        <f t="shared" si="68"/>
        <v>0</v>
      </c>
      <c r="CS41" s="3">
        <f t="shared" si="69"/>
        <v>0</v>
      </c>
      <c r="CT41" s="3">
        <f t="shared" si="45"/>
        <v>4225.12</v>
      </c>
      <c r="CU41" s="3">
        <f t="shared" si="46"/>
        <v>0</v>
      </c>
      <c r="CV41" s="3">
        <f t="shared" si="47"/>
        <v>7.3373759999999999</v>
      </c>
      <c r="CW41" s="3">
        <f t="shared" si="48"/>
        <v>0</v>
      </c>
      <c r="CX41" s="3">
        <f t="shared" si="49"/>
        <v>0</v>
      </c>
      <c r="CY41" s="3">
        <f t="shared" si="70"/>
        <v>230.76</v>
      </c>
      <c r="CZ41" s="3">
        <f t="shared" si="71"/>
        <v>121.72</v>
      </c>
      <c r="DB41" s="3">
        <v>26</v>
      </c>
      <c r="DC41" s="3" t="s">
        <v>3</v>
      </c>
      <c r="DD41" s="3" t="s">
        <v>56</v>
      </c>
      <c r="DE41" s="3" t="s">
        <v>57</v>
      </c>
      <c r="DF41" s="3" t="s">
        <v>57</v>
      </c>
      <c r="DG41" s="3" t="s">
        <v>57</v>
      </c>
      <c r="DH41" s="3" t="s">
        <v>3</v>
      </c>
      <c r="DI41" s="3" t="s">
        <v>57</v>
      </c>
      <c r="DJ41" s="3" t="s">
        <v>57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1010</v>
      </c>
      <c r="DV41" s="3" t="s">
        <v>54</v>
      </c>
      <c r="DW41" s="3" t="s">
        <v>54</v>
      </c>
      <c r="DX41" s="3">
        <v>100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55393738</v>
      </c>
      <c r="EF41" s="3">
        <v>60</v>
      </c>
      <c r="EG41" s="3" t="s">
        <v>58</v>
      </c>
      <c r="EH41" s="3">
        <v>0</v>
      </c>
      <c r="EI41" s="3" t="s">
        <v>3</v>
      </c>
      <c r="EJ41" s="3">
        <v>1</v>
      </c>
      <c r="EK41" s="3">
        <v>106</v>
      </c>
      <c r="EL41" s="3" t="s">
        <v>59</v>
      </c>
      <c r="EM41" s="3" t="s">
        <v>60</v>
      </c>
      <c r="EO41" s="3" t="s">
        <v>61</v>
      </c>
      <c r="EQ41" s="3">
        <v>0</v>
      </c>
      <c r="ER41" s="3">
        <v>59.68</v>
      </c>
      <c r="ES41" s="3">
        <v>0</v>
      </c>
      <c r="ET41" s="3">
        <v>0</v>
      </c>
      <c r="EU41" s="3">
        <v>0</v>
      </c>
      <c r="EV41" s="3">
        <v>59.68</v>
      </c>
      <c r="EW41" s="3">
        <v>5.84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91</v>
      </c>
      <c r="FY41" s="3">
        <v>48</v>
      </c>
      <c r="GA41" s="3" t="s">
        <v>3</v>
      </c>
      <c r="GD41" s="3">
        <v>1</v>
      </c>
      <c r="GF41" s="3">
        <v>1478850760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606.05999999999995</v>
      </c>
      <c r="GN41" s="3">
        <f t="shared" si="54"/>
        <v>606.05999999999995</v>
      </c>
      <c r="GO41" s="3">
        <f t="shared" si="55"/>
        <v>0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">
      <c r="A42" s="2">
        <v>17</v>
      </c>
      <c r="B42" s="2">
        <v>1</v>
      </c>
      <c r="C42" s="2">
        <f>ROW(SmtRes!A37)</f>
        <v>37</v>
      </c>
      <c r="D42" s="2">
        <f>ROW(EtalonRes!A41)</f>
        <v>41</v>
      </c>
      <c r="E42" s="2" t="s">
        <v>62</v>
      </c>
      <c r="F42" s="2" t="s">
        <v>63</v>
      </c>
      <c r="G42" s="2" t="s">
        <v>64</v>
      </c>
      <c r="H42" s="2" t="s">
        <v>65</v>
      </c>
      <c r="I42" s="2">
        <f>ROUND((80+300+10)/100,9)</f>
        <v>3.9</v>
      </c>
      <c r="J42" s="2">
        <v>0</v>
      </c>
      <c r="K42" s="2">
        <f>ROUND((80+300+10)/100,9)</f>
        <v>3.9</v>
      </c>
      <c r="L42" s="2"/>
      <c r="M42" s="2"/>
      <c r="N42" s="2"/>
      <c r="O42" s="2">
        <f t="shared" si="21"/>
        <v>482.74</v>
      </c>
      <c r="P42" s="2">
        <f t="shared" si="22"/>
        <v>0</v>
      </c>
      <c r="Q42" s="2">
        <f t="shared" si="60"/>
        <v>0</v>
      </c>
      <c r="R42" s="2">
        <f t="shared" si="61"/>
        <v>0</v>
      </c>
      <c r="S42" s="2">
        <f t="shared" si="25"/>
        <v>482.74</v>
      </c>
      <c r="T42" s="2">
        <f t="shared" si="26"/>
        <v>0</v>
      </c>
      <c r="U42" s="2">
        <f t="shared" si="27"/>
        <v>47.235614399999996</v>
      </c>
      <c r="V42" s="2">
        <f t="shared" si="28"/>
        <v>0</v>
      </c>
      <c r="W42" s="2">
        <f t="shared" si="29"/>
        <v>0</v>
      </c>
      <c r="X42" s="2">
        <f t="shared" si="62"/>
        <v>439.29</v>
      </c>
      <c r="Y42" s="2">
        <f t="shared" si="63"/>
        <v>231.72</v>
      </c>
      <c r="Z42" s="2"/>
      <c r="AA42" s="2">
        <v>55919547</v>
      </c>
      <c r="AB42" s="2">
        <f t="shared" si="32"/>
        <v>118.224</v>
      </c>
      <c r="AC42" s="2">
        <f t="shared" si="64"/>
        <v>0</v>
      </c>
      <c r="AD42" s="2">
        <f t="shared" si="65"/>
        <v>0</v>
      </c>
      <c r="AE42" s="2">
        <f t="shared" si="66"/>
        <v>0</v>
      </c>
      <c r="AF42" s="2">
        <f t="shared" si="66"/>
        <v>118.224</v>
      </c>
      <c r="AG42" s="2">
        <f t="shared" si="37"/>
        <v>0</v>
      </c>
      <c r="AH42" s="2">
        <f t="shared" si="67"/>
        <v>11.568</v>
      </c>
      <c r="AI42" s="2">
        <f t="shared" si="67"/>
        <v>0</v>
      </c>
      <c r="AJ42" s="2">
        <f t="shared" si="40"/>
        <v>0</v>
      </c>
      <c r="AK42" s="2">
        <v>98.52</v>
      </c>
      <c r="AL42" s="2">
        <v>0</v>
      </c>
      <c r="AM42" s="2">
        <v>0</v>
      </c>
      <c r="AN42" s="2">
        <v>0</v>
      </c>
      <c r="AO42" s="2">
        <v>98.52</v>
      </c>
      <c r="AP42" s="2">
        <v>0</v>
      </c>
      <c r="AQ42" s="2">
        <v>9.64</v>
      </c>
      <c r="AR42" s="2">
        <v>0</v>
      </c>
      <c r="AS42" s="2">
        <v>0</v>
      </c>
      <c r="AT42" s="2">
        <v>91</v>
      </c>
      <c r="AU42" s="2">
        <v>48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1</v>
      </c>
      <c r="BJ42" s="2" t="s">
        <v>66</v>
      </c>
      <c r="BK42" s="2"/>
      <c r="BL42" s="2"/>
      <c r="BM42" s="2">
        <v>106</v>
      </c>
      <c r="BN42" s="2">
        <v>0</v>
      </c>
      <c r="BO42" s="2" t="s">
        <v>63</v>
      </c>
      <c r="BP42" s="2">
        <v>1</v>
      </c>
      <c r="BQ42" s="2">
        <v>60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91</v>
      </c>
      <c r="CA42" s="2">
        <v>48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491</v>
      </c>
      <c r="CO42" s="2">
        <v>0</v>
      </c>
      <c r="CP42" s="2">
        <f t="shared" si="41"/>
        <v>482.74</v>
      </c>
      <c r="CQ42" s="2">
        <f t="shared" si="42"/>
        <v>0</v>
      </c>
      <c r="CR42" s="2">
        <f t="shared" si="68"/>
        <v>0</v>
      </c>
      <c r="CS42" s="2">
        <f t="shared" si="69"/>
        <v>0</v>
      </c>
      <c r="CT42" s="2">
        <f t="shared" si="45"/>
        <v>123.78</v>
      </c>
      <c r="CU42" s="2">
        <f t="shared" si="46"/>
        <v>0</v>
      </c>
      <c r="CV42" s="2">
        <f t="shared" si="47"/>
        <v>12.111695999999998</v>
      </c>
      <c r="CW42" s="2">
        <f t="shared" si="48"/>
        <v>0</v>
      </c>
      <c r="CX42" s="2">
        <f t="shared" si="49"/>
        <v>0</v>
      </c>
      <c r="CY42" s="2">
        <f t="shared" si="70"/>
        <v>439.29</v>
      </c>
      <c r="CZ42" s="2">
        <f t="shared" si="71"/>
        <v>231.72</v>
      </c>
      <c r="DA42" s="2"/>
      <c r="DB42" s="2">
        <v>27</v>
      </c>
      <c r="DC42" s="2" t="s">
        <v>3</v>
      </c>
      <c r="DD42" s="2" t="s">
        <v>56</v>
      </c>
      <c r="DE42" s="2" t="s">
        <v>57</v>
      </c>
      <c r="DF42" s="2" t="s">
        <v>57</v>
      </c>
      <c r="DG42" s="2" t="s">
        <v>57</v>
      </c>
      <c r="DH42" s="2" t="s">
        <v>3</v>
      </c>
      <c r="DI42" s="2" t="s">
        <v>57</v>
      </c>
      <c r="DJ42" s="2" t="s">
        <v>57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1003</v>
      </c>
      <c r="DV42" s="2" t="s">
        <v>65</v>
      </c>
      <c r="DW42" s="2" t="s">
        <v>65</v>
      </c>
      <c r="DX42" s="2">
        <v>100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55393738</v>
      </c>
      <c r="EF42" s="2">
        <v>60</v>
      </c>
      <c r="EG42" s="2" t="s">
        <v>58</v>
      </c>
      <c r="EH42" s="2">
        <v>0</v>
      </c>
      <c r="EI42" s="2" t="s">
        <v>3</v>
      </c>
      <c r="EJ42" s="2">
        <v>1</v>
      </c>
      <c r="EK42" s="2">
        <v>106</v>
      </c>
      <c r="EL42" s="2" t="s">
        <v>59</v>
      </c>
      <c r="EM42" s="2" t="s">
        <v>60</v>
      </c>
      <c r="EN42" s="2"/>
      <c r="EO42" s="2" t="s">
        <v>61</v>
      </c>
      <c r="EP42" s="2"/>
      <c r="EQ42" s="2">
        <v>0</v>
      </c>
      <c r="ER42" s="2">
        <v>98.52</v>
      </c>
      <c r="ES42" s="2">
        <v>0</v>
      </c>
      <c r="ET42" s="2">
        <v>0</v>
      </c>
      <c r="EU42" s="2">
        <v>0</v>
      </c>
      <c r="EV42" s="2">
        <v>98.52</v>
      </c>
      <c r="EW42" s="2">
        <v>9.64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91</v>
      </c>
      <c r="FY42" s="2">
        <v>48</v>
      </c>
      <c r="FZ42" s="2"/>
      <c r="GA42" s="2" t="s">
        <v>3</v>
      </c>
      <c r="GB42" s="2"/>
      <c r="GC42" s="2"/>
      <c r="GD42" s="2">
        <v>1</v>
      </c>
      <c r="GE42" s="2"/>
      <c r="GF42" s="2">
        <v>1114236003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1153.75</v>
      </c>
      <c r="GN42" s="2">
        <f t="shared" si="54"/>
        <v>1153.75</v>
      </c>
      <c r="GO42" s="2">
        <f t="shared" si="55"/>
        <v>0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 s="3">
        <v>17</v>
      </c>
      <c r="B43" s="3">
        <v>1</v>
      </c>
      <c r="C43" s="3">
        <f>ROW(SmtRes!A38)</f>
        <v>38</v>
      </c>
      <c r="D43" s="3">
        <f>ROW(EtalonRes!A42)</f>
        <v>42</v>
      </c>
      <c r="E43" s="3" t="s">
        <v>62</v>
      </c>
      <c r="F43" s="3" t="s">
        <v>63</v>
      </c>
      <c r="G43" s="3" t="s">
        <v>64</v>
      </c>
      <c r="H43" s="3" t="s">
        <v>65</v>
      </c>
      <c r="I43" s="3">
        <f>ROUND((80+300+10)/100,9)</f>
        <v>3.9</v>
      </c>
      <c r="J43" s="3">
        <v>0</v>
      </c>
      <c r="K43" s="3">
        <f>ROUND((80+300+10)/100,9)</f>
        <v>3.9</v>
      </c>
      <c r="O43" s="3">
        <f t="shared" si="21"/>
        <v>27202.400000000001</v>
      </c>
      <c r="P43" s="3">
        <f t="shared" si="22"/>
        <v>0</v>
      </c>
      <c r="Q43" s="3">
        <f t="shared" si="60"/>
        <v>0</v>
      </c>
      <c r="R43" s="3">
        <f t="shared" si="61"/>
        <v>0</v>
      </c>
      <c r="S43" s="3">
        <f t="shared" si="25"/>
        <v>27202.400000000001</v>
      </c>
      <c r="T43" s="3">
        <f t="shared" si="26"/>
        <v>0</v>
      </c>
      <c r="U43" s="3">
        <f t="shared" si="27"/>
        <v>47.235614399999996</v>
      </c>
      <c r="V43" s="3">
        <f t="shared" si="28"/>
        <v>0</v>
      </c>
      <c r="W43" s="3">
        <f t="shared" si="29"/>
        <v>0</v>
      </c>
      <c r="X43" s="3">
        <f t="shared" si="62"/>
        <v>24754.18</v>
      </c>
      <c r="Y43" s="3">
        <f t="shared" si="63"/>
        <v>13057.15</v>
      </c>
      <c r="AA43" s="3">
        <v>55919549</v>
      </c>
      <c r="AB43" s="3">
        <f t="shared" si="32"/>
        <v>118.224</v>
      </c>
      <c r="AC43" s="3">
        <f t="shared" si="64"/>
        <v>0</v>
      </c>
      <c r="AD43" s="3">
        <f t="shared" si="65"/>
        <v>0</v>
      </c>
      <c r="AE43" s="3">
        <f t="shared" si="66"/>
        <v>0</v>
      </c>
      <c r="AF43" s="3">
        <f t="shared" si="66"/>
        <v>118.224</v>
      </c>
      <c r="AG43" s="3">
        <f t="shared" si="37"/>
        <v>0</v>
      </c>
      <c r="AH43" s="3">
        <f t="shared" si="67"/>
        <v>11.568</v>
      </c>
      <c r="AI43" s="3">
        <f t="shared" si="67"/>
        <v>0</v>
      </c>
      <c r="AJ43" s="3">
        <f t="shared" si="40"/>
        <v>0</v>
      </c>
      <c r="AK43" s="3">
        <v>98.52</v>
      </c>
      <c r="AL43" s="3">
        <v>0</v>
      </c>
      <c r="AM43" s="3">
        <v>0</v>
      </c>
      <c r="AN43" s="3">
        <v>0</v>
      </c>
      <c r="AO43" s="3">
        <v>98.52</v>
      </c>
      <c r="AP43" s="3">
        <v>0</v>
      </c>
      <c r="AQ43" s="3">
        <v>9.64</v>
      </c>
      <c r="AR43" s="3">
        <v>0</v>
      </c>
      <c r="AS43" s="3">
        <v>0</v>
      </c>
      <c r="AT43" s="3">
        <v>91</v>
      </c>
      <c r="AU43" s="3">
        <v>48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</v>
      </c>
      <c r="BC43" s="3">
        <v>1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1</v>
      </c>
      <c r="BJ43" s="3" t="s">
        <v>66</v>
      </c>
      <c r="BM43" s="3">
        <v>106</v>
      </c>
      <c r="BN43" s="3">
        <v>0</v>
      </c>
      <c r="BO43" s="3" t="s">
        <v>63</v>
      </c>
      <c r="BP43" s="3">
        <v>1</v>
      </c>
      <c r="BQ43" s="3">
        <v>60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91</v>
      </c>
      <c r="CA43" s="3">
        <v>48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491</v>
      </c>
      <c r="CO43" s="3">
        <v>0</v>
      </c>
      <c r="CP43" s="3">
        <f t="shared" si="41"/>
        <v>27202.400000000001</v>
      </c>
      <c r="CQ43" s="3">
        <f t="shared" si="42"/>
        <v>0</v>
      </c>
      <c r="CR43" s="3">
        <f t="shared" si="68"/>
        <v>0</v>
      </c>
      <c r="CS43" s="3">
        <f t="shared" si="69"/>
        <v>0</v>
      </c>
      <c r="CT43" s="3">
        <f t="shared" si="45"/>
        <v>6975</v>
      </c>
      <c r="CU43" s="3">
        <f t="shared" si="46"/>
        <v>0</v>
      </c>
      <c r="CV43" s="3">
        <f t="shared" si="47"/>
        <v>12.111695999999998</v>
      </c>
      <c r="CW43" s="3">
        <f t="shared" si="48"/>
        <v>0</v>
      </c>
      <c r="CX43" s="3">
        <f t="shared" si="49"/>
        <v>0</v>
      </c>
      <c r="CY43" s="3">
        <f t="shared" si="70"/>
        <v>24754.18</v>
      </c>
      <c r="CZ43" s="3">
        <f t="shared" si="71"/>
        <v>13057.15</v>
      </c>
      <c r="DB43" s="3">
        <v>28</v>
      </c>
      <c r="DC43" s="3" t="s">
        <v>3</v>
      </c>
      <c r="DD43" s="3" t="s">
        <v>56</v>
      </c>
      <c r="DE43" s="3" t="s">
        <v>57</v>
      </c>
      <c r="DF43" s="3" t="s">
        <v>57</v>
      </c>
      <c r="DG43" s="3" t="s">
        <v>57</v>
      </c>
      <c r="DH43" s="3" t="s">
        <v>3</v>
      </c>
      <c r="DI43" s="3" t="s">
        <v>57</v>
      </c>
      <c r="DJ43" s="3" t="s">
        <v>57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1003</v>
      </c>
      <c r="DV43" s="3" t="s">
        <v>65</v>
      </c>
      <c r="DW43" s="3" t="s">
        <v>65</v>
      </c>
      <c r="DX43" s="3">
        <v>100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55393738</v>
      </c>
      <c r="EF43" s="3">
        <v>60</v>
      </c>
      <c r="EG43" s="3" t="s">
        <v>58</v>
      </c>
      <c r="EH43" s="3">
        <v>0</v>
      </c>
      <c r="EI43" s="3" t="s">
        <v>3</v>
      </c>
      <c r="EJ43" s="3">
        <v>1</v>
      </c>
      <c r="EK43" s="3">
        <v>106</v>
      </c>
      <c r="EL43" s="3" t="s">
        <v>59</v>
      </c>
      <c r="EM43" s="3" t="s">
        <v>60</v>
      </c>
      <c r="EO43" s="3" t="s">
        <v>61</v>
      </c>
      <c r="EQ43" s="3">
        <v>0</v>
      </c>
      <c r="ER43" s="3">
        <v>98.52</v>
      </c>
      <c r="ES43" s="3">
        <v>0</v>
      </c>
      <c r="ET43" s="3">
        <v>0</v>
      </c>
      <c r="EU43" s="3">
        <v>0</v>
      </c>
      <c r="EV43" s="3">
        <v>98.52</v>
      </c>
      <c r="EW43" s="3">
        <v>9.64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91</v>
      </c>
      <c r="FY43" s="3">
        <v>48</v>
      </c>
      <c r="GA43" s="3" t="s">
        <v>3</v>
      </c>
      <c r="GD43" s="3">
        <v>1</v>
      </c>
      <c r="GF43" s="3">
        <v>1114236003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65013.73</v>
      </c>
      <c r="GN43" s="3">
        <f t="shared" si="54"/>
        <v>65013.73</v>
      </c>
      <c r="GO43" s="3">
        <f t="shared" si="55"/>
        <v>0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">
      <c r="A44" s="2">
        <v>17</v>
      </c>
      <c r="B44" s="2">
        <v>1</v>
      </c>
      <c r="C44" s="2">
        <f>ROW(SmtRes!A40)</f>
        <v>40</v>
      </c>
      <c r="D44" s="2">
        <f>ROW(EtalonRes!A44)</f>
        <v>44</v>
      </c>
      <c r="E44" s="2" t="s">
        <v>67</v>
      </c>
      <c r="F44" s="2" t="s">
        <v>68</v>
      </c>
      <c r="G44" s="2" t="s">
        <v>69</v>
      </c>
      <c r="H44" s="2" t="s">
        <v>65</v>
      </c>
      <c r="I44" s="2">
        <f>ROUND(200/100,9)</f>
        <v>2</v>
      </c>
      <c r="J44" s="2">
        <v>0</v>
      </c>
      <c r="K44" s="2">
        <f>ROUND(200/100,9)</f>
        <v>2</v>
      </c>
      <c r="L44" s="2"/>
      <c r="M44" s="2"/>
      <c r="N44" s="2"/>
      <c r="O44" s="2">
        <f t="shared" si="21"/>
        <v>804.67</v>
      </c>
      <c r="P44" s="2">
        <f t="shared" si="22"/>
        <v>0</v>
      </c>
      <c r="Q44" s="2">
        <f t="shared" si="60"/>
        <v>0</v>
      </c>
      <c r="R44" s="2">
        <f t="shared" si="61"/>
        <v>0</v>
      </c>
      <c r="S44" s="2">
        <f t="shared" si="25"/>
        <v>804.67</v>
      </c>
      <c r="T44" s="2">
        <f t="shared" si="26"/>
        <v>0</v>
      </c>
      <c r="U44" s="2">
        <f t="shared" si="27"/>
        <v>76.489631999999986</v>
      </c>
      <c r="V44" s="2">
        <f t="shared" si="28"/>
        <v>0</v>
      </c>
      <c r="W44" s="2">
        <f t="shared" si="29"/>
        <v>0</v>
      </c>
      <c r="X44" s="2">
        <f t="shared" si="62"/>
        <v>732.25</v>
      </c>
      <c r="Y44" s="2">
        <f t="shared" si="63"/>
        <v>386.24</v>
      </c>
      <c r="Z44" s="2"/>
      <c r="AA44" s="2">
        <v>55919547</v>
      </c>
      <c r="AB44" s="2">
        <f t="shared" si="32"/>
        <v>384.27600000000001</v>
      </c>
      <c r="AC44" s="2">
        <f t="shared" si="64"/>
        <v>0</v>
      </c>
      <c r="AD44" s="2">
        <f t="shared" si="65"/>
        <v>0</v>
      </c>
      <c r="AE44" s="2">
        <f t="shared" si="66"/>
        <v>0</v>
      </c>
      <c r="AF44" s="2">
        <f t="shared" si="66"/>
        <v>384.27600000000001</v>
      </c>
      <c r="AG44" s="2">
        <f t="shared" si="37"/>
        <v>0</v>
      </c>
      <c r="AH44" s="2">
        <f t="shared" si="67"/>
        <v>36.527999999999999</v>
      </c>
      <c r="AI44" s="2">
        <f t="shared" si="67"/>
        <v>0</v>
      </c>
      <c r="AJ44" s="2">
        <f t="shared" si="40"/>
        <v>0</v>
      </c>
      <c r="AK44" s="2">
        <v>320.23</v>
      </c>
      <c r="AL44" s="2">
        <v>0</v>
      </c>
      <c r="AM44" s="2">
        <v>0</v>
      </c>
      <c r="AN44" s="2">
        <v>0</v>
      </c>
      <c r="AO44" s="2">
        <v>320.23</v>
      </c>
      <c r="AP44" s="2">
        <v>0</v>
      </c>
      <c r="AQ44" s="2">
        <v>30.44</v>
      </c>
      <c r="AR44" s="2">
        <v>0</v>
      </c>
      <c r="AS44" s="2">
        <v>0</v>
      </c>
      <c r="AT44" s="2">
        <v>91</v>
      </c>
      <c r="AU44" s="2">
        <v>48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70</v>
      </c>
      <c r="BK44" s="2"/>
      <c r="BL44" s="2"/>
      <c r="BM44" s="2">
        <v>106</v>
      </c>
      <c r="BN44" s="2">
        <v>0</v>
      </c>
      <c r="BO44" s="2" t="s">
        <v>68</v>
      </c>
      <c r="BP44" s="2">
        <v>1</v>
      </c>
      <c r="BQ44" s="2">
        <v>60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91</v>
      </c>
      <c r="CA44" s="2">
        <v>48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491</v>
      </c>
      <c r="CO44" s="2">
        <v>0</v>
      </c>
      <c r="CP44" s="2">
        <f t="shared" si="41"/>
        <v>804.67</v>
      </c>
      <c r="CQ44" s="2">
        <f t="shared" si="42"/>
        <v>0</v>
      </c>
      <c r="CR44" s="2">
        <f t="shared" si="68"/>
        <v>0</v>
      </c>
      <c r="CS44" s="2">
        <f t="shared" si="69"/>
        <v>0</v>
      </c>
      <c r="CT44" s="2">
        <f t="shared" si="45"/>
        <v>402.34</v>
      </c>
      <c r="CU44" s="2">
        <f t="shared" si="46"/>
        <v>0</v>
      </c>
      <c r="CV44" s="2">
        <f t="shared" si="47"/>
        <v>38.244815999999993</v>
      </c>
      <c r="CW44" s="2">
        <f t="shared" si="48"/>
        <v>0</v>
      </c>
      <c r="CX44" s="2">
        <f t="shared" si="49"/>
        <v>0</v>
      </c>
      <c r="CY44" s="2">
        <f t="shared" si="70"/>
        <v>732.25</v>
      </c>
      <c r="CZ44" s="2">
        <f t="shared" si="71"/>
        <v>386.24</v>
      </c>
      <c r="DA44" s="2"/>
      <c r="DB44" s="2">
        <v>29</v>
      </c>
      <c r="DC44" s="2" t="s">
        <v>3</v>
      </c>
      <c r="DD44" s="2" t="s">
        <v>56</v>
      </c>
      <c r="DE44" s="2" t="s">
        <v>57</v>
      </c>
      <c r="DF44" s="2" t="s">
        <v>57</v>
      </c>
      <c r="DG44" s="2" t="s">
        <v>57</v>
      </c>
      <c r="DH44" s="2" t="s">
        <v>3</v>
      </c>
      <c r="DI44" s="2" t="s">
        <v>57</v>
      </c>
      <c r="DJ44" s="2" t="s">
        <v>57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1003</v>
      </c>
      <c r="DV44" s="2" t="s">
        <v>65</v>
      </c>
      <c r="DW44" s="2" t="s">
        <v>65</v>
      </c>
      <c r="DX44" s="2">
        <v>100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55393738</v>
      </c>
      <c r="EF44" s="2">
        <v>60</v>
      </c>
      <c r="EG44" s="2" t="s">
        <v>58</v>
      </c>
      <c r="EH44" s="2">
        <v>0</v>
      </c>
      <c r="EI44" s="2" t="s">
        <v>3</v>
      </c>
      <c r="EJ44" s="2">
        <v>1</v>
      </c>
      <c r="EK44" s="2">
        <v>106</v>
      </c>
      <c r="EL44" s="2" t="s">
        <v>59</v>
      </c>
      <c r="EM44" s="2" t="s">
        <v>60</v>
      </c>
      <c r="EN44" s="2"/>
      <c r="EO44" s="2" t="s">
        <v>61</v>
      </c>
      <c r="EP44" s="2"/>
      <c r="EQ44" s="2">
        <v>0</v>
      </c>
      <c r="ER44" s="2">
        <v>320.23</v>
      </c>
      <c r="ES44" s="2">
        <v>0</v>
      </c>
      <c r="ET44" s="2">
        <v>0</v>
      </c>
      <c r="EU44" s="2">
        <v>0</v>
      </c>
      <c r="EV44" s="2">
        <v>320.23</v>
      </c>
      <c r="EW44" s="2">
        <v>30.44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91</v>
      </c>
      <c r="FY44" s="2">
        <v>48</v>
      </c>
      <c r="FZ44" s="2"/>
      <c r="GA44" s="2" t="s">
        <v>3</v>
      </c>
      <c r="GB44" s="2"/>
      <c r="GC44" s="2"/>
      <c r="GD44" s="2">
        <v>1</v>
      </c>
      <c r="GE44" s="2"/>
      <c r="GF44" s="2">
        <v>-1403822920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1923.16</v>
      </c>
      <c r="GN44" s="2">
        <f t="shared" si="54"/>
        <v>1923.16</v>
      </c>
      <c r="GO44" s="2">
        <f t="shared" si="55"/>
        <v>0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 s="3">
        <v>17</v>
      </c>
      <c r="B45" s="3">
        <v>1</v>
      </c>
      <c r="C45" s="3">
        <f>ROW(SmtRes!A42)</f>
        <v>42</v>
      </c>
      <c r="D45" s="3">
        <f>ROW(EtalonRes!A46)</f>
        <v>46</v>
      </c>
      <c r="E45" s="3" t="s">
        <v>67</v>
      </c>
      <c r="F45" s="3" t="s">
        <v>68</v>
      </c>
      <c r="G45" s="3" t="s">
        <v>69</v>
      </c>
      <c r="H45" s="3" t="s">
        <v>65</v>
      </c>
      <c r="I45" s="3">
        <f>ROUND(200/100,9)</f>
        <v>2</v>
      </c>
      <c r="J45" s="3">
        <v>0</v>
      </c>
      <c r="K45" s="3">
        <f>ROUND(200/100,9)</f>
        <v>2</v>
      </c>
      <c r="O45" s="3">
        <f t="shared" si="21"/>
        <v>45343.15</v>
      </c>
      <c r="P45" s="3">
        <f t="shared" si="22"/>
        <v>0</v>
      </c>
      <c r="Q45" s="3">
        <f t="shared" si="60"/>
        <v>0</v>
      </c>
      <c r="R45" s="3">
        <f t="shared" si="61"/>
        <v>0</v>
      </c>
      <c r="S45" s="3">
        <f t="shared" si="25"/>
        <v>45343.15</v>
      </c>
      <c r="T45" s="3">
        <f t="shared" si="26"/>
        <v>0</v>
      </c>
      <c r="U45" s="3">
        <f t="shared" si="27"/>
        <v>76.489631999999986</v>
      </c>
      <c r="V45" s="3">
        <f t="shared" si="28"/>
        <v>0</v>
      </c>
      <c r="W45" s="3">
        <f t="shared" si="29"/>
        <v>0</v>
      </c>
      <c r="X45" s="3">
        <f t="shared" si="62"/>
        <v>41262.269999999997</v>
      </c>
      <c r="Y45" s="3">
        <f t="shared" si="63"/>
        <v>21764.71</v>
      </c>
      <c r="AA45" s="3">
        <v>55919549</v>
      </c>
      <c r="AB45" s="3">
        <f t="shared" si="32"/>
        <v>384.27600000000001</v>
      </c>
      <c r="AC45" s="3">
        <f t="shared" si="64"/>
        <v>0</v>
      </c>
      <c r="AD45" s="3">
        <f t="shared" si="65"/>
        <v>0</v>
      </c>
      <c r="AE45" s="3">
        <f t="shared" si="66"/>
        <v>0</v>
      </c>
      <c r="AF45" s="3">
        <f t="shared" si="66"/>
        <v>384.27600000000001</v>
      </c>
      <c r="AG45" s="3">
        <f t="shared" si="37"/>
        <v>0</v>
      </c>
      <c r="AH45" s="3">
        <f t="shared" si="67"/>
        <v>36.527999999999999</v>
      </c>
      <c r="AI45" s="3">
        <f t="shared" si="67"/>
        <v>0</v>
      </c>
      <c r="AJ45" s="3">
        <f t="shared" si="40"/>
        <v>0</v>
      </c>
      <c r="AK45" s="3">
        <v>320.23</v>
      </c>
      <c r="AL45" s="3">
        <v>0</v>
      </c>
      <c r="AM45" s="3">
        <v>0</v>
      </c>
      <c r="AN45" s="3">
        <v>0</v>
      </c>
      <c r="AO45" s="3">
        <v>320.23</v>
      </c>
      <c r="AP45" s="3">
        <v>0</v>
      </c>
      <c r="AQ45" s="3">
        <v>30.44</v>
      </c>
      <c r="AR45" s="3">
        <v>0</v>
      </c>
      <c r="AS45" s="3">
        <v>0</v>
      </c>
      <c r="AT45" s="3">
        <v>91</v>
      </c>
      <c r="AU45" s="3">
        <v>48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</v>
      </c>
      <c r="BC45" s="3">
        <v>1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1</v>
      </c>
      <c r="BJ45" s="3" t="s">
        <v>70</v>
      </c>
      <c r="BM45" s="3">
        <v>106</v>
      </c>
      <c r="BN45" s="3">
        <v>0</v>
      </c>
      <c r="BO45" s="3" t="s">
        <v>68</v>
      </c>
      <c r="BP45" s="3">
        <v>1</v>
      </c>
      <c r="BQ45" s="3">
        <v>60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91</v>
      </c>
      <c r="CA45" s="3">
        <v>48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491</v>
      </c>
      <c r="CO45" s="3">
        <v>0</v>
      </c>
      <c r="CP45" s="3">
        <f t="shared" si="41"/>
        <v>45343.15</v>
      </c>
      <c r="CQ45" s="3">
        <f t="shared" si="42"/>
        <v>0</v>
      </c>
      <c r="CR45" s="3">
        <f t="shared" si="68"/>
        <v>0</v>
      </c>
      <c r="CS45" s="3">
        <f t="shared" si="69"/>
        <v>0</v>
      </c>
      <c r="CT45" s="3">
        <f t="shared" si="45"/>
        <v>22671.86</v>
      </c>
      <c r="CU45" s="3">
        <f t="shared" si="46"/>
        <v>0</v>
      </c>
      <c r="CV45" s="3">
        <f t="shared" si="47"/>
        <v>38.244815999999993</v>
      </c>
      <c r="CW45" s="3">
        <f t="shared" si="48"/>
        <v>0</v>
      </c>
      <c r="CX45" s="3">
        <f t="shared" si="49"/>
        <v>0</v>
      </c>
      <c r="CY45" s="3">
        <f t="shared" si="70"/>
        <v>41262.269999999997</v>
      </c>
      <c r="CZ45" s="3">
        <f t="shared" si="71"/>
        <v>21764.71</v>
      </c>
      <c r="DB45" s="3">
        <v>30</v>
      </c>
      <c r="DC45" s="3" t="s">
        <v>3</v>
      </c>
      <c r="DD45" s="3" t="s">
        <v>56</v>
      </c>
      <c r="DE45" s="3" t="s">
        <v>57</v>
      </c>
      <c r="DF45" s="3" t="s">
        <v>57</v>
      </c>
      <c r="DG45" s="3" t="s">
        <v>57</v>
      </c>
      <c r="DH45" s="3" t="s">
        <v>3</v>
      </c>
      <c r="DI45" s="3" t="s">
        <v>57</v>
      </c>
      <c r="DJ45" s="3" t="s">
        <v>57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1003</v>
      </c>
      <c r="DV45" s="3" t="s">
        <v>65</v>
      </c>
      <c r="DW45" s="3" t="s">
        <v>65</v>
      </c>
      <c r="DX45" s="3">
        <v>100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55393738</v>
      </c>
      <c r="EF45" s="3">
        <v>60</v>
      </c>
      <c r="EG45" s="3" t="s">
        <v>58</v>
      </c>
      <c r="EH45" s="3">
        <v>0</v>
      </c>
      <c r="EI45" s="3" t="s">
        <v>3</v>
      </c>
      <c r="EJ45" s="3">
        <v>1</v>
      </c>
      <c r="EK45" s="3">
        <v>106</v>
      </c>
      <c r="EL45" s="3" t="s">
        <v>59</v>
      </c>
      <c r="EM45" s="3" t="s">
        <v>60</v>
      </c>
      <c r="EO45" s="3" t="s">
        <v>61</v>
      </c>
      <c r="EQ45" s="3">
        <v>0</v>
      </c>
      <c r="ER45" s="3">
        <v>320.23</v>
      </c>
      <c r="ES45" s="3">
        <v>0</v>
      </c>
      <c r="ET45" s="3">
        <v>0</v>
      </c>
      <c r="EU45" s="3">
        <v>0</v>
      </c>
      <c r="EV45" s="3">
        <v>320.23</v>
      </c>
      <c r="EW45" s="3">
        <v>30.44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91</v>
      </c>
      <c r="FY45" s="3">
        <v>48</v>
      </c>
      <c r="GA45" s="3" t="s">
        <v>3</v>
      </c>
      <c r="GD45" s="3">
        <v>1</v>
      </c>
      <c r="GF45" s="3">
        <v>-1403822920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108370.13</v>
      </c>
      <c r="GN45" s="3">
        <f t="shared" si="54"/>
        <v>108370.13</v>
      </c>
      <c r="GO45" s="3">
        <f t="shared" si="55"/>
        <v>0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">
      <c r="A46" s="2">
        <v>17</v>
      </c>
      <c r="B46" s="2">
        <v>1</v>
      </c>
      <c r="C46" s="2">
        <f>ROW(SmtRes!A53)</f>
        <v>53</v>
      </c>
      <c r="D46" s="2">
        <f>ROW(EtalonRes!A62)</f>
        <v>62</v>
      </c>
      <c r="E46" s="2" t="s">
        <v>71</v>
      </c>
      <c r="F46" s="2" t="s">
        <v>72</v>
      </c>
      <c r="G46" s="2" t="s">
        <v>73</v>
      </c>
      <c r="H46" s="2" t="s">
        <v>65</v>
      </c>
      <c r="I46" s="2">
        <f>ROUND(10/100,9)</f>
        <v>0.1</v>
      </c>
      <c r="J46" s="2">
        <v>0</v>
      </c>
      <c r="K46" s="2">
        <f>ROUND(10/100,9)</f>
        <v>0.1</v>
      </c>
      <c r="L46" s="2"/>
      <c r="M46" s="2"/>
      <c r="N46" s="2"/>
      <c r="O46" s="2">
        <f t="shared" si="21"/>
        <v>18.739999999999998</v>
      </c>
      <c r="P46" s="2">
        <f t="shared" si="22"/>
        <v>0</v>
      </c>
      <c r="Q46" s="2">
        <f>(ROUND((ROUND(((((ET46*1.2)*0.3))*AV46*I46),2)*BB46),2)+ROUND((ROUND(((AE46-(((EU46*1.2)*0.3)))*AV46*I46),2)*BS46),2))</f>
        <v>4.8600000000000003</v>
      </c>
      <c r="R46" s="2">
        <f>(ROUND((ROUND(((((EU46*1.2)*0.3))*AV46*I46),2)*BS46),2)+ROUND((ROUND(((AE46-(((EU46*1.2)*0.3)))*AV46*I46),2)*BS46),2))</f>
        <v>0.09</v>
      </c>
      <c r="S46" s="2">
        <f t="shared" si="25"/>
        <v>13.88</v>
      </c>
      <c r="T46" s="2">
        <f t="shared" si="26"/>
        <v>0</v>
      </c>
      <c r="U46" s="2">
        <f t="shared" si="27"/>
        <v>1.1269907999999997</v>
      </c>
      <c r="V46" s="2">
        <f t="shared" si="28"/>
        <v>0</v>
      </c>
      <c r="W46" s="2">
        <f t="shared" si="29"/>
        <v>0</v>
      </c>
      <c r="X46" s="2">
        <f>(ROUND((((S46+ROUND((ROUND(((((EU46*1.2)*0.3))*AV46*I46),2)*BS46),2))*AT46)/100),2)+ROUND(((ROUND((ROUND(((AE46-(((EU46*1.2)*0.3)))*AV46*I46),2)*BS46),2)*AT46)/100),2))</f>
        <v>13.55</v>
      </c>
      <c r="Y46" s="2">
        <f>(ROUND((((S46+ROUND((ROUND(((((EU46*1.2)*0.3))*AV46*I46),2)*BS46),2))*AU46)/100),2)+ROUND(((ROUND((ROUND(((AE46-(((EU46*1.2)*0.3)))*AV46*I46),2)*BS46),2)*AU46)/100),2))</f>
        <v>7.12</v>
      </c>
      <c r="Z46" s="2"/>
      <c r="AA46" s="2">
        <v>55919547</v>
      </c>
      <c r="AB46" s="2">
        <f t="shared" si="32"/>
        <v>179.07480000000001</v>
      </c>
      <c r="AC46" s="2">
        <f>ROUND((((ES46*1)*0)),6)</f>
        <v>0</v>
      </c>
      <c r="AD46" s="2">
        <f>ROUND((((((ET46*1.2)*0.3))-(((EU46*1.2)*0.3)))+AE46),6)</f>
        <v>46.461599999999997</v>
      </c>
      <c r="AE46" s="2">
        <f>ROUND((((EU46*1.2)*0.3)),6)</f>
        <v>0.90720000000000001</v>
      </c>
      <c r="AF46" s="2">
        <f>ROUND((((EV46*1.2)*0.3)),6)</f>
        <v>132.61320000000001</v>
      </c>
      <c r="AG46" s="2">
        <f t="shared" si="37"/>
        <v>0</v>
      </c>
      <c r="AH46" s="2">
        <f>(((EW46*1.2)*0.3))</f>
        <v>10.763999999999998</v>
      </c>
      <c r="AI46" s="2">
        <f>(((EX46*1.2)*0.3))</f>
        <v>0</v>
      </c>
      <c r="AJ46" s="2">
        <f t="shared" si="40"/>
        <v>0</v>
      </c>
      <c r="AK46" s="2">
        <v>2261.17</v>
      </c>
      <c r="AL46" s="2">
        <v>1763.74</v>
      </c>
      <c r="AM46" s="2">
        <v>129.06</v>
      </c>
      <c r="AN46" s="2">
        <v>2.52</v>
      </c>
      <c r="AO46" s="2">
        <v>368.37</v>
      </c>
      <c r="AP46" s="2">
        <v>0</v>
      </c>
      <c r="AQ46" s="2">
        <v>29.9</v>
      </c>
      <c r="AR46" s="2">
        <v>0</v>
      </c>
      <c r="AS46" s="2">
        <v>0</v>
      </c>
      <c r="AT46" s="2">
        <v>97</v>
      </c>
      <c r="AU46" s="2">
        <v>51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74</v>
      </c>
      <c r="BK46" s="2"/>
      <c r="BL46" s="2"/>
      <c r="BM46" s="2">
        <v>67</v>
      </c>
      <c r="BN46" s="2">
        <v>0</v>
      </c>
      <c r="BO46" s="2" t="s">
        <v>72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97</v>
      </c>
      <c r="CA46" s="2">
        <v>51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490</v>
      </c>
      <c r="CO46" s="2">
        <v>0</v>
      </c>
      <c r="CP46" s="2">
        <f t="shared" si="41"/>
        <v>18.740000000000002</v>
      </c>
      <c r="CQ46" s="2">
        <f t="shared" si="42"/>
        <v>0</v>
      </c>
      <c r="CR46" s="2">
        <f>(ROUND((ROUND(((((ET46*1.2)*0.3))*AV46*1),2)*BB46),2)+ROUND((ROUND(((AE46-(((EU46*1.2)*0.3)))*AV46*1),2)*BS46),2))</f>
        <v>48.65</v>
      </c>
      <c r="CS46" s="2">
        <f>(ROUND((ROUND(((((EU46*1.2)*0.3))*AV46*1),2)*BS46),2)+ROUND((ROUND(((AE46-(((EU46*1.2)*0.3)))*AV46*1),2)*BS46),2))</f>
        <v>0.95</v>
      </c>
      <c r="CT46" s="2">
        <f t="shared" si="45"/>
        <v>138.85</v>
      </c>
      <c r="CU46" s="2">
        <f t="shared" si="46"/>
        <v>0</v>
      </c>
      <c r="CV46" s="2">
        <f t="shared" si="47"/>
        <v>11.269907999999997</v>
      </c>
      <c r="CW46" s="2">
        <f t="shared" si="48"/>
        <v>0</v>
      </c>
      <c r="CX46" s="2">
        <f t="shared" si="49"/>
        <v>0</v>
      </c>
      <c r="CY46" s="2">
        <f>(ROUND((((S46+ROUND((ROUND(((((EU46*1.2)*0.3))*AV46*1),2)*BS46),2))*AT46)/100),2)+ROUND(((ROUND((ROUND(((AE46-(((EU46*1.2)*0.3)))*AV46*1),2)*BS46),2)*AT46)/100),2))</f>
        <v>14.39</v>
      </c>
      <c r="CZ46" s="2">
        <f>(ROUND((((S46+ROUND((ROUND(((((EU46*1.2)*0.3))*AV46*1),2)*BS46),2))*AU46)/100),2)+ROUND(((ROUND((ROUND(((AE46-(((EU46*1.2)*0.3)))*AV46*1),2)*BS46),2)*AU46)/100),2))</f>
        <v>7.56</v>
      </c>
      <c r="DA46" s="2"/>
      <c r="DB46" s="2">
        <v>31</v>
      </c>
      <c r="DC46" s="2" t="s">
        <v>3</v>
      </c>
      <c r="DD46" s="2" t="s">
        <v>24</v>
      </c>
      <c r="DE46" s="2" t="s">
        <v>25</v>
      </c>
      <c r="DF46" s="2" t="s">
        <v>25</v>
      </c>
      <c r="DG46" s="2" t="s">
        <v>25</v>
      </c>
      <c r="DH46" s="2" t="s">
        <v>3</v>
      </c>
      <c r="DI46" s="2" t="s">
        <v>25</v>
      </c>
      <c r="DJ46" s="2" t="s">
        <v>25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1003</v>
      </c>
      <c r="DV46" s="2" t="s">
        <v>65</v>
      </c>
      <c r="DW46" s="2" t="s">
        <v>65</v>
      </c>
      <c r="DX46" s="2">
        <v>100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55393699</v>
      </c>
      <c r="EF46" s="2">
        <v>40</v>
      </c>
      <c r="EG46" s="2" t="s">
        <v>26</v>
      </c>
      <c r="EH46" s="2">
        <v>0</v>
      </c>
      <c r="EI46" s="2" t="s">
        <v>3</v>
      </c>
      <c r="EJ46" s="2">
        <v>2</v>
      </c>
      <c r="EK46" s="2">
        <v>67</v>
      </c>
      <c r="EL46" s="2" t="s">
        <v>39</v>
      </c>
      <c r="EM46" s="2" t="s">
        <v>40</v>
      </c>
      <c r="EN46" s="2"/>
      <c r="EO46" s="2" t="s">
        <v>29</v>
      </c>
      <c r="EP46" s="2"/>
      <c r="EQ46" s="2">
        <v>0</v>
      </c>
      <c r="ER46" s="2">
        <v>2261.17</v>
      </c>
      <c r="ES46" s="2">
        <v>1763.74</v>
      </c>
      <c r="ET46" s="2">
        <v>129.06</v>
      </c>
      <c r="EU46" s="2">
        <v>2.52</v>
      </c>
      <c r="EV46" s="2">
        <v>368.37</v>
      </c>
      <c r="EW46" s="2">
        <v>29.9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97</v>
      </c>
      <c r="FY46" s="2">
        <v>51</v>
      </c>
      <c r="FZ46" s="2"/>
      <c r="GA46" s="2" t="s">
        <v>3</v>
      </c>
      <c r="GB46" s="2"/>
      <c r="GC46" s="2"/>
      <c r="GD46" s="2">
        <v>1</v>
      </c>
      <c r="GE46" s="2"/>
      <c r="GF46" s="2">
        <v>303861211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39.409999999999997</v>
      </c>
      <c r="GN46" s="2">
        <f t="shared" si="54"/>
        <v>0</v>
      </c>
      <c r="GO46" s="2">
        <f t="shared" si="55"/>
        <v>39.409999999999997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 s="3">
        <v>17</v>
      </c>
      <c r="B47" s="3">
        <v>1</v>
      </c>
      <c r="C47" s="3">
        <f>ROW(SmtRes!A64)</f>
        <v>64</v>
      </c>
      <c r="D47" s="3">
        <f>ROW(EtalonRes!A78)</f>
        <v>78</v>
      </c>
      <c r="E47" s="3" t="s">
        <v>71</v>
      </c>
      <c r="F47" s="3" t="s">
        <v>72</v>
      </c>
      <c r="G47" s="3" t="s">
        <v>73</v>
      </c>
      <c r="H47" s="3" t="s">
        <v>65</v>
      </c>
      <c r="I47" s="3">
        <f>ROUND(10/100,9)</f>
        <v>0.1</v>
      </c>
      <c r="J47" s="3">
        <v>0</v>
      </c>
      <c r="K47" s="3">
        <f>ROUND(10/100,9)</f>
        <v>0.1</v>
      </c>
      <c r="O47" s="3">
        <f t="shared" si="21"/>
        <v>849.4</v>
      </c>
      <c r="P47" s="3">
        <f t="shared" si="22"/>
        <v>0</v>
      </c>
      <c r="Q47" s="3">
        <f>(ROUND((ROUND(((((ET47*1.2)*0.3))*AV47*I47),2)*BB47),2)+ROUND((ROUND(((AE47-(((EU47*1.2)*0.3)))*AV47*I47),2)*BS47),2))</f>
        <v>67.260000000000005</v>
      </c>
      <c r="R47" s="3">
        <f>(ROUND((ROUND(((((EU47*1.2)*0.3))*AV47*I47),2)*BS47),2)+ROUND((ROUND(((AE47-(((EU47*1.2)*0.3)))*AV47*I47),2)*BS47),2))</f>
        <v>5.07</v>
      </c>
      <c r="S47" s="3">
        <f t="shared" si="25"/>
        <v>782.14</v>
      </c>
      <c r="T47" s="3">
        <f t="shared" si="26"/>
        <v>0</v>
      </c>
      <c r="U47" s="3">
        <f t="shared" si="27"/>
        <v>1.1269907999999997</v>
      </c>
      <c r="V47" s="3">
        <f t="shared" si="28"/>
        <v>0</v>
      </c>
      <c r="W47" s="3">
        <f t="shared" si="29"/>
        <v>0</v>
      </c>
      <c r="X47" s="3">
        <f>(ROUND((((S47+ROUND((ROUND(((((EU47*1.2)*0.3))*AV47*I47),2)*BS47),2))*AT47)/100),2)+ROUND(((ROUND((ROUND(((AE47-(((EU47*1.2)*0.3)))*AV47*I47),2)*BS47),2)*AT47)/100),2))</f>
        <v>763.59</v>
      </c>
      <c r="Y47" s="3">
        <f>(ROUND((((S47+ROUND((ROUND(((((EU47*1.2)*0.3))*AV47*I47),2)*BS47),2))*AU47)/100),2)+ROUND(((ROUND((ROUND(((AE47-(((EU47*1.2)*0.3)))*AV47*I47),2)*BS47),2)*AU47)/100),2))</f>
        <v>401.48</v>
      </c>
      <c r="AA47" s="3">
        <v>55919549</v>
      </c>
      <c r="AB47" s="3">
        <f t="shared" si="32"/>
        <v>179.07480000000001</v>
      </c>
      <c r="AC47" s="3">
        <f>ROUND((((ES47*1)*0)),6)</f>
        <v>0</v>
      </c>
      <c r="AD47" s="3">
        <f>ROUND((((((ET47*1.2)*0.3))-(((EU47*1.2)*0.3)))+AE47),6)</f>
        <v>46.461599999999997</v>
      </c>
      <c r="AE47" s="3">
        <f>ROUND((((EU47*1.2)*0.3)),6)</f>
        <v>0.90720000000000001</v>
      </c>
      <c r="AF47" s="3">
        <f>ROUND((((EV47*1.2)*0.3)),6)</f>
        <v>132.61320000000001</v>
      </c>
      <c r="AG47" s="3">
        <f t="shared" si="37"/>
        <v>0</v>
      </c>
      <c r="AH47" s="3">
        <f>(((EW47*1.2)*0.3))</f>
        <v>10.763999999999998</v>
      </c>
      <c r="AI47" s="3">
        <f>(((EX47*1.2)*0.3))</f>
        <v>0</v>
      </c>
      <c r="AJ47" s="3">
        <f t="shared" si="40"/>
        <v>0</v>
      </c>
      <c r="AK47" s="3">
        <v>2261.17</v>
      </c>
      <c r="AL47" s="3">
        <v>1763.74</v>
      </c>
      <c r="AM47" s="3">
        <v>129.06</v>
      </c>
      <c r="AN47" s="3">
        <v>2.52</v>
      </c>
      <c r="AO47" s="3">
        <v>368.37</v>
      </c>
      <c r="AP47" s="3">
        <v>0</v>
      </c>
      <c r="AQ47" s="3">
        <v>29.9</v>
      </c>
      <c r="AR47" s="3">
        <v>0</v>
      </c>
      <c r="AS47" s="3">
        <v>0</v>
      </c>
      <c r="AT47" s="3">
        <v>97</v>
      </c>
      <c r="AU47" s="3">
        <v>51</v>
      </c>
      <c r="AV47" s="3">
        <v>1.0469999999999999</v>
      </c>
      <c r="AW47" s="3">
        <v>1</v>
      </c>
      <c r="AZ47" s="3">
        <v>1</v>
      </c>
      <c r="BA47" s="3">
        <v>56.35</v>
      </c>
      <c r="BB47" s="3">
        <v>13.84</v>
      </c>
      <c r="BC47" s="3">
        <v>4.04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2</v>
      </c>
      <c r="BJ47" s="3" t="s">
        <v>74</v>
      </c>
      <c r="BM47" s="3">
        <v>67</v>
      </c>
      <c r="BN47" s="3">
        <v>0</v>
      </c>
      <c r="BO47" s="3" t="s">
        <v>72</v>
      </c>
      <c r="BP47" s="3">
        <v>1</v>
      </c>
      <c r="BQ47" s="3">
        <v>40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97</v>
      </c>
      <c r="CA47" s="3">
        <v>51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490</v>
      </c>
      <c r="CO47" s="3">
        <v>0</v>
      </c>
      <c r="CP47" s="3">
        <f t="shared" si="41"/>
        <v>849.4</v>
      </c>
      <c r="CQ47" s="3">
        <f t="shared" si="42"/>
        <v>0</v>
      </c>
      <c r="CR47" s="3">
        <f>(ROUND((ROUND(((((ET47*1.2)*0.3))*AV47*1),2)*BB47),2)+ROUND((ROUND(((AE47-(((EU47*1.2)*0.3)))*AV47*1),2)*BS47),2))</f>
        <v>673.32</v>
      </c>
      <c r="CS47" s="3">
        <f>(ROUND((ROUND(((((EU47*1.2)*0.3))*AV47*1),2)*BS47),2)+ROUND((ROUND(((AE47-(((EU47*1.2)*0.3)))*AV47*1),2)*BS47),2))</f>
        <v>53.53</v>
      </c>
      <c r="CT47" s="3">
        <f t="shared" si="45"/>
        <v>7824.2</v>
      </c>
      <c r="CU47" s="3">
        <f t="shared" si="46"/>
        <v>0</v>
      </c>
      <c r="CV47" s="3">
        <f t="shared" si="47"/>
        <v>11.269907999999997</v>
      </c>
      <c r="CW47" s="3">
        <f t="shared" si="48"/>
        <v>0</v>
      </c>
      <c r="CX47" s="3">
        <f t="shared" si="49"/>
        <v>0</v>
      </c>
      <c r="CY47" s="3">
        <f>(ROUND((((S47+ROUND((ROUND(((((EU47*1.2)*0.3))*AV47*1),2)*BS47),2))*AT47)/100),2)+ROUND(((ROUND((ROUND(((AE47-(((EU47*1.2)*0.3)))*AV47*1),2)*BS47),2)*AT47)/100),2))</f>
        <v>810.6</v>
      </c>
      <c r="CZ47" s="3">
        <f>(ROUND((((S47+ROUND((ROUND(((((EU47*1.2)*0.3))*AV47*1),2)*BS47),2))*AU47)/100),2)+ROUND(((ROUND((ROUND(((AE47-(((EU47*1.2)*0.3)))*AV47*1),2)*BS47),2)*AU47)/100),2))</f>
        <v>426.19</v>
      </c>
      <c r="DB47" s="3">
        <v>33</v>
      </c>
      <c r="DC47" s="3" t="s">
        <v>3</v>
      </c>
      <c r="DD47" s="3" t="s">
        <v>24</v>
      </c>
      <c r="DE47" s="3" t="s">
        <v>25</v>
      </c>
      <c r="DF47" s="3" t="s">
        <v>25</v>
      </c>
      <c r="DG47" s="3" t="s">
        <v>25</v>
      </c>
      <c r="DH47" s="3" t="s">
        <v>3</v>
      </c>
      <c r="DI47" s="3" t="s">
        <v>25</v>
      </c>
      <c r="DJ47" s="3" t="s">
        <v>25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1003</v>
      </c>
      <c r="DV47" s="3" t="s">
        <v>65</v>
      </c>
      <c r="DW47" s="3" t="s">
        <v>65</v>
      </c>
      <c r="DX47" s="3">
        <v>100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55393699</v>
      </c>
      <c r="EF47" s="3">
        <v>40</v>
      </c>
      <c r="EG47" s="3" t="s">
        <v>26</v>
      </c>
      <c r="EH47" s="3">
        <v>0</v>
      </c>
      <c r="EI47" s="3" t="s">
        <v>3</v>
      </c>
      <c r="EJ47" s="3">
        <v>2</v>
      </c>
      <c r="EK47" s="3">
        <v>67</v>
      </c>
      <c r="EL47" s="3" t="s">
        <v>39</v>
      </c>
      <c r="EM47" s="3" t="s">
        <v>40</v>
      </c>
      <c r="EO47" s="3" t="s">
        <v>29</v>
      </c>
      <c r="EQ47" s="3">
        <v>0</v>
      </c>
      <c r="ER47" s="3">
        <v>2261.17</v>
      </c>
      <c r="ES47" s="3">
        <v>1763.74</v>
      </c>
      <c r="ET47" s="3">
        <v>129.06</v>
      </c>
      <c r="EU47" s="3">
        <v>2.52</v>
      </c>
      <c r="EV47" s="3">
        <v>368.37</v>
      </c>
      <c r="EW47" s="3">
        <v>29.9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97</v>
      </c>
      <c r="FY47" s="3">
        <v>51</v>
      </c>
      <c r="GA47" s="3" t="s">
        <v>3</v>
      </c>
      <c r="GD47" s="3">
        <v>1</v>
      </c>
      <c r="GF47" s="3">
        <v>303861211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2014.47</v>
      </c>
      <c r="GN47" s="3">
        <f t="shared" si="54"/>
        <v>0</v>
      </c>
      <c r="GO47" s="3">
        <f t="shared" si="55"/>
        <v>2014.47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9" spans="1:206" x14ac:dyDescent="0.2">
      <c r="A49" s="11">
        <v>51</v>
      </c>
      <c r="B49" s="11">
        <f>B24</f>
        <v>1</v>
      </c>
      <c r="C49" s="11">
        <f>A24</f>
        <v>4</v>
      </c>
      <c r="D49" s="11">
        <f>ROW(A24)</f>
        <v>24</v>
      </c>
      <c r="E49" s="11"/>
      <c r="F49" s="11" t="str">
        <f>IF(F24&lt;&gt;"",F24,"")</f>
        <v>Новый раздел</v>
      </c>
      <c r="G49" s="11" t="str">
        <f>IF(G24&lt;&gt;"",G24,"")</f>
        <v>Демонтаж</v>
      </c>
      <c r="H49" s="11">
        <v>0</v>
      </c>
      <c r="I49" s="11"/>
      <c r="J49" s="11"/>
      <c r="K49" s="11"/>
      <c r="L49" s="11"/>
      <c r="M49" s="11"/>
      <c r="N49" s="11"/>
      <c r="O49" s="11">
        <f t="shared" ref="O49:T49" si="72">ROUND(AB49,2)</f>
        <v>1407.26</v>
      </c>
      <c r="P49" s="11">
        <f t="shared" si="72"/>
        <v>0</v>
      </c>
      <c r="Q49" s="11">
        <f t="shared" si="72"/>
        <v>11.43</v>
      </c>
      <c r="R49" s="11">
        <f t="shared" si="72"/>
        <v>1.28</v>
      </c>
      <c r="S49" s="11">
        <f t="shared" si="72"/>
        <v>1395.83</v>
      </c>
      <c r="T49" s="11">
        <f t="shared" si="72"/>
        <v>0</v>
      </c>
      <c r="U49" s="11">
        <f>AH49</f>
        <v>131.88786335999998</v>
      </c>
      <c r="V49" s="11">
        <f>AI49</f>
        <v>0</v>
      </c>
      <c r="W49" s="11">
        <f>ROUND(AJ49,2)</f>
        <v>0</v>
      </c>
      <c r="X49" s="11">
        <f>ROUND(AK49,2)</f>
        <v>1276.0899999999999</v>
      </c>
      <c r="Y49" s="11">
        <f>ROUND(AL49,2)</f>
        <v>675.36</v>
      </c>
      <c r="Z49" s="11"/>
      <c r="AA49" s="11"/>
      <c r="AB49" s="11">
        <f>ROUND(SUMIF(AA28:AA47,"=55919547",O28:O47),2)</f>
        <v>1407.26</v>
      </c>
      <c r="AC49" s="11">
        <f>ROUND(SUMIF(AA28:AA47,"=55919547",P28:P47),2)</f>
        <v>0</v>
      </c>
      <c r="AD49" s="11">
        <f>ROUND(SUMIF(AA28:AA47,"=55919547",Q28:Q47),2)</f>
        <v>11.43</v>
      </c>
      <c r="AE49" s="11">
        <f>ROUND(SUMIF(AA28:AA47,"=55919547",R28:R47),2)</f>
        <v>1.28</v>
      </c>
      <c r="AF49" s="11">
        <f>ROUND(SUMIF(AA28:AA47,"=55919547",S28:S47),2)</f>
        <v>1395.83</v>
      </c>
      <c r="AG49" s="11">
        <f>ROUND(SUMIF(AA28:AA47,"=55919547",T28:T47),2)</f>
        <v>0</v>
      </c>
      <c r="AH49" s="11">
        <f>SUMIF(AA28:AA47,"=55919547",U28:U47)</f>
        <v>131.88786335999998</v>
      </c>
      <c r="AI49" s="11">
        <f>SUMIF(AA28:AA47,"=55919547",V28:V47)</f>
        <v>0</v>
      </c>
      <c r="AJ49" s="11">
        <f>ROUND(SUMIF(AA28:AA47,"=55919547",W28:W47),2)</f>
        <v>0</v>
      </c>
      <c r="AK49" s="11">
        <f>ROUND(SUMIF(AA28:AA47,"=55919547",X28:X47),2)</f>
        <v>1276.0899999999999</v>
      </c>
      <c r="AL49" s="11">
        <f>ROUND(SUMIF(AA28:AA47,"=55919547",Y28:Y47),2)</f>
        <v>675.36</v>
      </c>
      <c r="AM49" s="11"/>
      <c r="AN49" s="11"/>
      <c r="AO49" s="11">
        <f t="shared" ref="AO49:BD49" si="73">ROUND(BX49,2)</f>
        <v>0</v>
      </c>
      <c r="AP49" s="11">
        <f t="shared" si="73"/>
        <v>0</v>
      </c>
      <c r="AQ49" s="11">
        <f t="shared" si="73"/>
        <v>0</v>
      </c>
      <c r="AR49" s="11">
        <f t="shared" si="73"/>
        <v>3358.71</v>
      </c>
      <c r="AS49" s="11">
        <f t="shared" si="73"/>
        <v>3087.67</v>
      </c>
      <c r="AT49" s="11">
        <f t="shared" si="73"/>
        <v>271.04000000000002</v>
      </c>
      <c r="AU49" s="11">
        <f t="shared" si="73"/>
        <v>0</v>
      </c>
      <c r="AV49" s="11">
        <f t="shared" si="73"/>
        <v>0</v>
      </c>
      <c r="AW49" s="11">
        <f t="shared" si="73"/>
        <v>0</v>
      </c>
      <c r="AX49" s="11">
        <f t="shared" si="73"/>
        <v>0</v>
      </c>
      <c r="AY49" s="11">
        <f t="shared" si="73"/>
        <v>0</v>
      </c>
      <c r="AZ49" s="11">
        <f t="shared" si="73"/>
        <v>0</v>
      </c>
      <c r="BA49" s="11">
        <f t="shared" si="73"/>
        <v>0</v>
      </c>
      <c r="BB49" s="11">
        <f t="shared" si="73"/>
        <v>0</v>
      </c>
      <c r="BC49" s="11">
        <f t="shared" si="73"/>
        <v>0</v>
      </c>
      <c r="BD49" s="11">
        <f t="shared" si="73"/>
        <v>0</v>
      </c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>
        <f>ROUND(SUMIF(AA28:AA47,"=55919547",FQ28:FQ47),2)</f>
        <v>0</v>
      </c>
      <c r="BY49" s="11">
        <f>ROUND(SUMIF(AA28:AA47,"=55919547",FR28:FR47),2)</f>
        <v>0</v>
      </c>
      <c r="BZ49" s="11">
        <f>ROUND(SUMIF(AA28:AA47,"=55919547",GL28:GL47),2)</f>
        <v>0</v>
      </c>
      <c r="CA49" s="11">
        <f>ROUND(SUMIF(AA28:AA47,"=55919547",GM28:GM47),2)</f>
        <v>3358.71</v>
      </c>
      <c r="CB49" s="11">
        <f>ROUND(SUMIF(AA28:AA47,"=55919547",GN28:GN47),2)</f>
        <v>3087.67</v>
      </c>
      <c r="CC49" s="11">
        <f>ROUND(SUMIF(AA28:AA47,"=55919547",GO28:GO47),2)</f>
        <v>271.04000000000002</v>
      </c>
      <c r="CD49" s="11">
        <f>ROUND(SUMIF(AA28:AA47,"=55919547",GP28:GP47),2)</f>
        <v>0</v>
      </c>
      <c r="CE49" s="11">
        <f>AC49-BX49</f>
        <v>0</v>
      </c>
      <c r="CF49" s="11">
        <f>AC49-BY49</f>
        <v>0</v>
      </c>
      <c r="CG49" s="11">
        <f>BX49-BZ49</f>
        <v>0</v>
      </c>
      <c r="CH49" s="11">
        <f>AC49-BX49-BY49+BZ49</f>
        <v>0</v>
      </c>
      <c r="CI49" s="11">
        <f>BY49-BZ49</f>
        <v>0</v>
      </c>
      <c r="CJ49" s="11">
        <f>ROUND(SUMIF(AA28:AA47,"=55919547",GX28:GX47),2)</f>
        <v>0</v>
      </c>
      <c r="CK49" s="11">
        <f>ROUND(SUMIF(AA28:AA47,"=55919547",GY28:GY47),2)</f>
        <v>0</v>
      </c>
      <c r="CL49" s="11">
        <f>ROUND(SUMIF(AA28:AA47,"=55919547",GZ28:GZ47),2)</f>
        <v>0</v>
      </c>
      <c r="CM49" s="11">
        <f>ROUND(SUMIF(AA28:AA47,"=55919547",HD28:HD47),2)</f>
        <v>0</v>
      </c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2">
        <f t="shared" ref="DG49:DL49" si="74">ROUND(DT49,2)</f>
        <v>78852.960000000006</v>
      </c>
      <c r="DH49" s="12">
        <f t="shared" si="74"/>
        <v>0</v>
      </c>
      <c r="DI49" s="12">
        <f t="shared" si="74"/>
        <v>197.94</v>
      </c>
      <c r="DJ49" s="12">
        <f t="shared" si="74"/>
        <v>72.13</v>
      </c>
      <c r="DK49" s="12">
        <f t="shared" si="74"/>
        <v>78655.02</v>
      </c>
      <c r="DL49" s="12">
        <f t="shared" si="74"/>
        <v>0</v>
      </c>
      <c r="DM49" s="12">
        <f>DZ49</f>
        <v>131.88786335999998</v>
      </c>
      <c r="DN49" s="12">
        <f>EA49</f>
        <v>0</v>
      </c>
      <c r="DO49" s="12">
        <f>ROUND(EB49,2)</f>
        <v>0</v>
      </c>
      <c r="DP49" s="12">
        <f>ROUND(EC49,2)</f>
        <v>71907.28</v>
      </c>
      <c r="DQ49" s="12">
        <f>ROUND(ED49,2)</f>
        <v>38056.97</v>
      </c>
      <c r="DR49" s="12"/>
      <c r="DS49" s="12"/>
      <c r="DT49" s="12">
        <f>ROUND(SUMIF(AA28:AA47,"=55919549",O28:O47),2)</f>
        <v>78852.960000000006</v>
      </c>
      <c r="DU49" s="12">
        <f>ROUND(SUMIF(AA28:AA47,"=55919549",P28:P47),2)</f>
        <v>0</v>
      </c>
      <c r="DV49" s="12">
        <f>ROUND(SUMIF(AA28:AA47,"=55919549",Q28:Q47),2)</f>
        <v>197.94</v>
      </c>
      <c r="DW49" s="12">
        <f>ROUND(SUMIF(AA28:AA47,"=55919549",R28:R47),2)</f>
        <v>72.13</v>
      </c>
      <c r="DX49" s="12">
        <f>ROUND(SUMIF(AA28:AA47,"=55919549",S28:S47),2)</f>
        <v>78655.02</v>
      </c>
      <c r="DY49" s="12">
        <f>ROUND(SUMIF(AA28:AA47,"=55919549",T28:T47),2)</f>
        <v>0</v>
      </c>
      <c r="DZ49" s="12">
        <f>SUMIF(AA28:AA47,"=55919549",U28:U47)</f>
        <v>131.88786335999998</v>
      </c>
      <c r="EA49" s="12">
        <f>SUMIF(AA28:AA47,"=55919549",V28:V47)</f>
        <v>0</v>
      </c>
      <c r="EB49" s="12">
        <f>ROUND(SUMIF(AA28:AA47,"=55919549",W28:W47),2)</f>
        <v>0</v>
      </c>
      <c r="EC49" s="12">
        <f>ROUND(SUMIF(AA28:AA47,"=55919549",X28:X47),2)</f>
        <v>71907.28</v>
      </c>
      <c r="ED49" s="12">
        <f>ROUND(SUMIF(AA28:AA47,"=55919549",Y28:Y47),2)</f>
        <v>38056.97</v>
      </c>
      <c r="EE49" s="12"/>
      <c r="EF49" s="12"/>
      <c r="EG49" s="12">
        <f t="shared" ref="EG49:EV49" si="75">ROUND(FP49,2)</f>
        <v>0</v>
      </c>
      <c r="EH49" s="12">
        <f t="shared" si="75"/>
        <v>0</v>
      </c>
      <c r="EI49" s="12">
        <f t="shared" si="75"/>
        <v>0</v>
      </c>
      <c r="EJ49" s="12">
        <f t="shared" si="75"/>
        <v>188817.21</v>
      </c>
      <c r="EK49" s="12">
        <f t="shared" si="75"/>
        <v>173989.92</v>
      </c>
      <c r="EL49" s="12">
        <f t="shared" si="75"/>
        <v>14827.29</v>
      </c>
      <c r="EM49" s="12">
        <f t="shared" si="75"/>
        <v>0</v>
      </c>
      <c r="EN49" s="12">
        <f t="shared" si="75"/>
        <v>0</v>
      </c>
      <c r="EO49" s="12">
        <f t="shared" si="75"/>
        <v>0</v>
      </c>
      <c r="EP49" s="12">
        <f t="shared" si="75"/>
        <v>0</v>
      </c>
      <c r="EQ49" s="12">
        <f t="shared" si="75"/>
        <v>0</v>
      </c>
      <c r="ER49" s="12">
        <f t="shared" si="75"/>
        <v>0</v>
      </c>
      <c r="ES49" s="12">
        <f t="shared" si="75"/>
        <v>0</v>
      </c>
      <c r="ET49" s="12">
        <f t="shared" si="75"/>
        <v>0</v>
      </c>
      <c r="EU49" s="12">
        <f t="shared" si="75"/>
        <v>0</v>
      </c>
      <c r="EV49" s="12">
        <f t="shared" si="75"/>
        <v>0</v>
      </c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>
        <f>ROUND(SUMIF(AA28:AA47,"=55919549",FQ28:FQ47),2)</f>
        <v>0</v>
      </c>
      <c r="FQ49" s="12">
        <f>ROUND(SUMIF(AA28:AA47,"=55919549",FR28:FR47),2)</f>
        <v>0</v>
      </c>
      <c r="FR49" s="12">
        <f>ROUND(SUMIF(AA28:AA47,"=55919549",GL28:GL47),2)</f>
        <v>0</v>
      </c>
      <c r="FS49" s="12">
        <f>ROUND(SUMIF(AA28:AA47,"=55919549",GM28:GM47),2)</f>
        <v>188817.21</v>
      </c>
      <c r="FT49" s="12">
        <f>ROUND(SUMIF(AA28:AA47,"=55919549",GN28:GN47),2)</f>
        <v>173989.92</v>
      </c>
      <c r="FU49" s="12">
        <f>ROUND(SUMIF(AA28:AA47,"=55919549",GO28:GO47),2)</f>
        <v>14827.29</v>
      </c>
      <c r="FV49" s="12">
        <f>ROUND(SUMIF(AA28:AA47,"=55919549",GP28:GP47),2)</f>
        <v>0</v>
      </c>
      <c r="FW49" s="12">
        <f>DU49-FP49</f>
        <v>0</v>
      </c>
      <c r="FX49" s="12">
        <f>DU49-FQ49</f>
        <v>0</v>
      </c>
      <c r="FY49" s="12">
        <f>FP49-FR49</f>
        <v>0</v>
      </c>
      <c r="FZ49" s="12">
        <f>DU49-FP49-FQ49+FR49</f>
        <v>0</v>
      </c>
      <c r="GA49" s="12">
        <f>FQ49-FR49</f>
        <v>0</v>
      </c>
      <c r="GB49" s="12">
        <f>ROUND(SUMIF(AA28:AA47,"=55919549",GX28:GX47),2)</f>
        <v>0</v>
      </c>
      <c r="GC49" s="12">
        <f>ROUND(SUMIF(AA28:AA47,"=55919549",GY28:GY47),2)</f>
        <v>0</v>
      </c>
      <c r="GD49" s="12">
        <f>ROUND(SUMIF(AA28:AA47,"=55919549",GZ28:GZ47),2)</f>
        <v>0</v>
      </c>
      <c r="GE49" s="12">
        <f>ROUND(SUMIF(AA28:AA47,"=55919549",HD28:HD47),2)</f>
        <v>0</v>
      </c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>
        <v>0</v>
      </c>
    </row>
    <row r="51" spans="1:206" x14ac:dyDescent="0.2">
      <c r="A51" s="13">
        <v>50</v>
      </c>
      <c r="B51" s="13">
        <v>0</v>
      </c>
      <c r="C51" s="13">
        <v>0</v>
      </c>
      <c r="D51" s="13">
        <v>1</v>
      </c>
      <c r="E51" s="13">
        <v>201</v>
      </c>
      <c r="F51" s="13">
        <f>ROUND(Source!O49,O51)</f>
        <v>1407.26</v>
      </c>
      <c r="G51" s="13" t="s">
        <v>75</v>
      </c>
      <c r="H51" s="13" t="s">
        <v>76</v>
      </c>
      <c r="I51" s="13"/>
      <c r="J51" s="13"/>
      <c r="K51" s="13">
        <v>201</v>
      </c>
      <c r="L51" s="13">
        <v>1</v>
      </c>
      <c r="M51" s="13">
        <v>3</v>
      </c>
      <c r="N51" s="13" t="s">
        <v>3</v>
      </c>
      <c r="O51" s="13">
        <v>2</v>
      </c>
      <c r="P51" s="13">
        <f>ROUND(Source!DG49,O51)</f>
        <v>78852.960000000006</v>
      </c>
      <c r="Q51" s="13"/>
      <c r="R51" s="13"/>
      <c r="S51" s="13"/>
      <c r="T51" s="13"/>
      <c r="U51" s="13"/>
      <c r="V51" s="13"/>
      <c r="W51" s="13">
        <v>1407.26</v>
      </c>
      <c r="X51" s="13">
        <v>1</v>
      </c>
      <c r="Y51" s="13">
        <v>1407.26</v>
      </c>
      <c r="Z51" s="13">
        <v>78852.960000000006</v>
      </c>
      <c r="AA51" s="13">
        <v>1</v>
      </c>
      <c r="AB51" s="13">
        <v>78852.960000000006</v>
      </c>
    </row>
    <row r="52" spans="1:206" x14ac:dyDescent="0.2">
      <c r="A52" s="13">
        <v>50</v>
      </c>
      <c r="B52" s="13">
        <v>0</v>
      </c>
      <c r="C52" s="13">
        <v>0</v>
      </c>
      <c r="D52" s="13">
        <v>1</v>
      </c>
      <c r="E52" s="13">
        <v>202</v>
      </c>
      <c r="F52" s="13">
        <f>ROUND(Source!P49,O52)</f>
        <v>0</v>
      </c>
      <c r="G52" s="13" t="s">
        <v>77</v>
      </c>
      <c r="H52" s="13" t="s">
        <v>78</v>
      </c>
      <c r="I52" s="13"/>
      <c r="J52" s="13"/>
      <c r="K52" s="13">
        <v>202</v>
      </c>
      <c r="L52" s="13">
        <v>2</v>
      </c>
      <c r="M52" s="13">
        <v>3</v>
      </c>
      <c r="N52" s="13" t="s">
        <v>3</v>
      </c>
      <c r="O52" s="13">
        <v>2</v>
      </c>
      <c r="P52" s="13">
        <f>ROUND(Source!DH49,O52)</f>
        <v>0</v>
      </c>
      <c r="Q52" s="13"/>
      <c r="R52" s="13"/>
      <c r="S52" s="13"/>
      <c r="T52" s="13"/>
      <c r="U52" s="13"/>
      <c r="V52" s="13"/>
      <c r="W52" s="13">
        <v>0</v>
      </c>
      <c r="X52" s="13">
        <v>1</v>
      </c>
      <c r="Y52" s="13">
        <v>0</v>
      </c>
      <c r="Z52" s="13">
        <v>0</v>
      </c>
      <c r="AA52" s="13">
        <v>1</v>
      </c>
      <c r="AB52" s="13">
        <v>0</v>
      </c>
    </row>
    <row r="53" spans="1:206" x14ac:dyDescent="0.2">
      <c r="A53" s="13">
        <v>50</v>
      </c>
      <c r="B53" s="13">
        <v>0</v>
      </c>
      <c r="C53" s="13">
        <v>0</v>
      </c>
      <c r="D53" s="13">
        <v>1</v>
      </c>
      <c r="E53" s="13">
        <v>222</v>
      </c>
      <c r="F53" s="13">
        <f>ROUND(Source!AO49,O53)</f>
        <v>0</v>
      </c>
      <c r="G53" s="13" t="s">
        <v>79</v>
      </c>
      <c r="H53" s="13" t="s">
        <v>80</v>
      </c>
      <c r="I53" s="13"/>
      <c r="J53" s="13"/>
      <c r="K53" s="13">
        <v>222</v>
      </c>
      <c r="L53" s="13">
        <v>3</v>
      </c>
      <c r="M53" s="13">
        <v>3</v>
      </c>
      <c r="N53" s="13" t="s">
        <v>3</v>
      </c>
      <c r="O53" s="13">
        <v>2</v>
      </c>
      <c r="P53" s="13">
        <f>ROUND(Source!EG49,O53)</f>
        <v>0</v>
      </c>
      <c r="Q53" s="13"/>
      <c r="R53" s="13"/>
      <c r="S53" s="13"/>
      <c r="T53" s="13"/>
      <c r="U53" s="13"/>
      <c r="V53" s="13"/>
      <c r="W53" s="13">
        <v>0</v>
      </c>
      <c r="X53" s="13">
        <v>1</v>
      </c>
      <c r="Y53" s="13">
        <v>0</v>
      </c>
      <c r="Z53" s="13">
        <v>0</v>
      </c>
      <c r="AA53" s="13">
        <v>1</v>
      </c>
      <c r="AB53" s="13">
        <v>0</v>
      </c>
    </row>
    <row r="54" spans="1:206" x14ac:dyDescent="0.2">
      <c r="A54" s="13">
        <v>50</v>
      </c>
      <c r="B54" s="13">
        <v>0</v>
      </c>
      <c r="C54" s="13">
        <v>0</v>
      </c>
      <c r="D54" s="13">
        <v>1</v>
      </c>
      <c r="E54" s="13">
        <v>225</v>
      </c>
      <c r="F54" s="13">
        <f>ROUND(Source!AV49,O54)</f>
        <v>0</v>
      </c>
      <c r="G54" s="13" t="s">
        <v>81</v>
      </c>
      <c r="H54" s="13" t="s">
        <v>82</v>
      </c>
      <c r="I54" s="13"/>
      <c r="J54" s="13"/>
      <c r="K54" s="13">
        <v>225</v>
      </c>
      <c r="L54" s="13">
        <v>4</v>
      </c>
      <c r="M54" s="13">
        <v>3</v>
      </c>
      <c r="N54" s="13" t="s">
        <v>3</v>
      </c>
      <c r="O54" s="13">
        <v>2</v>
      </c>
      <c r="P54" s="13">
        <f>ROUND(Source!EN49,O54)</f>
        <v>0</v>
      </c>
      <c r="Q54" s="13"/>
      <c r="R54" s="13"/>
      <c r="S54" s="13"/>
      <c r="T54" s="13"/>
      <c r="U54" s="13"/>
      <c r="V54" s="13"/>
      <c r="W54" s="13">
        <v>0</v>
      </c>
      <c r="X54" s="13">
        <v>1</v>
      </c>
      <c r="Y54" s="13">
        <v>0</v>
      </c>
      <c r="Z54" s="13">
        <v>0</v>
      </c>
      <c r="AA54" s="13">
        <v>1</v>
      </c>
      <c r="AB54" s="13">
        <v>0</v>
      </c>
    </row>
    <row r="55" spans="1:206" x14ac:dyDescent="0.2">
      <c r="A55" s="13">
        <v>50</v>
      </c>
      <c r="B55" s="13">
        <v>0</v>
      </c>
      <c r="C55" s="13">
        <v>0</v>
      </c>
      <c r="D55" s="13">
        <v>1</v>
      </c>
      <c r="E55" s="13">
        <v>226</v>
      </c>
      <c r="F55" s="13">
        <f>ROUND(Source!AW49,O55)</f>
        <v>0</v>
      </c>
      <c r="G55" s="13" t="s">
        <v>83</v>
      </c>
      <c r="H55" s="13" t="s">
        <v>84</v>
      </c>
      <c r="I55" s="13"/>
      <c r="J55" s="13"/>
      <c r="K55" s="13">
        <v>226</v>
      </c>
      <c r="L55" s="13">
        <v>5</v>
      </c>
      <c r="M55" s="13">
        <v>3</v>
      </c>
      <c r="N55" s="13" t="s">
        <v>3</v>
      </c>
      <c r="O55" s="13">
        <v>2</v>
      </c>
      <c r="P55" s="13">
        <f>ROUND(Source!EO49,O55)</f>
        <v>0</v>
      </c>
      <c r="Q55" s="13"/>
      <c r="R55" s="13"/>
      <c r="S55" s="13"/>
      <c r="T55" s="13"/>
      <c r="U55" s="13"/>
      <c r="V55" s="13"/>
      <c r="W55" s="13">
        <v>0</v>
      </c>
      <c r="X55" s="13">
        <v>1</v>
      </c>
      <c r="Y55" s="13">
        <v>0</v>
      </c>
      <c r="Z55" s="13">
        <v>0</v>
      </c>
      <c r="AA55" s="13">
        <v>1</v>
      </c>
      <c r="AB55" s="13">
        <v>0</v>
      </c>
    </row>
    <row r="56" spans="1:206" x14ac:dyDescent="0.2">
      <c r="A56" s="13">
        <v>50</v>
      </c>
      <c r="B56" s="13">
        <v>0</v>
      </c>
      <c r="C56" s="13">
        <v>0</v>
      </c>
      <c r="D56" s="13">
        <v>1</v>
      </c>
      <c r="E56" s="13">
        <v>227</v>
      </c>
      <c r="F56" s="13">
        <f>ROUND(Source!AX49,O56)</f>
        <v>0</v>
      </c>
      <c r="G56" s="13" t="s">
        <v>85</v>
      </c>
      <c r="H56" s="13" t="s">
        <v>86</v>
      </c>
      <c r="I56" s="13"/>
      <c r="J56" s="13"/>
      <c r="K56" s="13">
        <v>227</v>
      </c>
      <c r="L56" s="13">
        <v>6</v>
      </c>
      <c r="M56" s="13">
        <v>3</v>
      </c>
      <c r="N56" s="13" t="s">
        <v>3</v>
      </c>
      <c r="O56" s="13">
        <v>2</v>
      </c>
      <c r="P56" s="13">
        <f>ROUND(Source!EP49,O56)</f>
        <v>0</v>
      </c>
      <c r="Q56" s="13"/>
      <c r="R56" s="13"/>
      <c r="S56" s="13"/>
      <c r="T56" s="13"/>
      <c r="U56" s="13"/>
      <c r="V56" s="13"/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</row>
    <row r="57" spans="1:206" x14ac:dyDescent="0.2">
      <c r="A57" s="13">
        <v>50</v>
      </c>
      <c r="B57" s="13">
        <v>0</v>
      </c>
      <c r="C57" s="13">
        <v>0</v>
      </c>
      <c r="D57" s="13">
        <v>1</v>
      </c>
      <c r="E57" s="13">
        <v>228</v>
      </c>
      <c r="F57" s="13">
        <f>ROUND(Source!AY49,O57)</f>
        <v>0</v>
      </c>
      <c r="G57" s="13" t="s">
        <v>87</v>
      </c>
      <c r="H57" s="13" t="s">
        <v>88</v>
      </c>
      <c r="I57" s="13"/>
      <c r="J57" s="13"/>
      <c r="K57" s="13">
        <v>228</v>
      </c>
      <c r="L57" s="13">
        <v>7</v>
      </c>
      <c r="M57" s="13">
        <v>3</v>
      </c>
      <c r="N57" s="13" t="s">
        <v>3</v>
      </c>
      <c r="O57" s="13">
        <v>2</v>
      </c>
      <c r="P57" s="13">
        <f>ROUND(Source!EQ49,O57)</f>
        <v>0</v>
      </c>
      <c r="Q57" s="13"/>
      <c r="R57" s="13"/>
      <c r="S57" s="13"/>
      <c r="T57" s="13"/>
      <c r="U57" s="13"/>
      <c r="V57" s="13"/>
      <c r="W57" s="13">
        <v>0</v>
      </c>
      <c r="X57" s="13">
        <v>1</v>
      </c>
      <c r="Y57" s="13">
        <v>0</v>
      </c>
      <c r="Z57" s="13">
        <v>0</v>
      </c>
      <c r="AA57" s="13">
        <v>1</v>
      </c>
      <c r="AB57" s="13">
        <v>0</v>
      </c>
    </row>
    <row r="58" spans="1:206" x14ac:dyDescent="0.2">
      <c r="A58" s="13">
        <v>50</v>
      </c>
      <c r="B58" s="13">
        <v>0</v>
      </c>
      <c r="C58" s="13">
        <v>0</v>
      </c>
      <c r="D58" s="13">
        <v>1</v>
      </c>
      <c r="E58" s="13">
        <v>216</v>
      </c>
      <c r="F58" s="13">
        <f>ROUND(Source!AP49,O58)</f>
        <v>0</v>
      </c>
      <c r="G58" s="13" t="s">
        <v>89</v>
      </c>
      <c r="H58" s="13" t="s">
        <v>90</v>
      </c>
      <c r="I58" s="13"/>
      <c r="J58" s="13"/>
      <c r="K58" s="13">
        <v>216</v>
      </c>
      <c r="L58" s="13">
        <v>8</v>
      </c>
      <c r="M58" s="13">
        <v>3</v>
      </c>
      <c r="N58" s="13" t="s">
        <v>3</v>
      </c>
      <c r="O58" s="13">
        <v>2</v>
      </c>
      <c r="P58" s="13">
        <f>ROUND(Source!EH49,O58)</f>
        <v>0</v>
      </c>
      <c r="Q58" s="13"/>
      <c r="R58" s="13"/>
      <c r="S58" s="13"/>
      <c r="T58" s="13"/>
      <c r="U58" s="13"/>
      <c r="V58" s="13"/>
      <c r="W58" s="13">
        <v>0</v>
      </c>
      <c r="X58" s="13">
        <v>1</v>
      </c>
      <c r="Y58" s="13">
        <v>0</v>
      </c>
      <c r="Z58" s="13">
        <v>0</v>
      </c>
      <c r="AA58" s="13">
        <v>1</v>
      </c>
      <c r="AB58" s="13">
        <v>0</v>
      </c>
    </row>
    <row r="59" spans="1:206" x14ac:dyDescent="0.2">
      <c r="A59" s="13">
        <v>50</v>
      </c>
      <c r="B59" s="13">
        <v>0</v>
      </c>
      <c r="C59" s="13">
        <v>0</v>
      </c>
      <c r="D59" s="13">
        <v>1</v>
      </c>
      <c r="E59" s="13">
        <v>223</v>
      </c>
      <c r="F59" s="13">
        <f>ROUND(Source!AQ49,O59)</f>
        <v>0</v>
      </c>
      <c r="G59" s="13" t="s">
        <v>91</v>
      </c>
      <c r="H59" s="13" t="s">
        <v>92</v>
      </c>
      <c r="I59" s="13"/>
      <c r="J59" s="13"/>
      <c r="K59" s="13">
        <v>223</v>
      </c>
      <c r="L59" s="13">
        <v>9</v>
      </c>
      <c r="M59" s="13">
        <v>3</v>
      </c>
      <c r="N59" s="13" t="s">
        <v>3</v>
      </c>
      <c r="O59" s="13">
        <v>2</v>
      </c>
      <c r="P59" s="13">
        <f>ROUND(Source!EI49,O59)</f>
        <v>0</v>
      </c>
      <c r="Q59" s="13"/>
      <c r="R59" s="13"/>
      <c r="S59" s="13"/>
      <c r="T59" s="13"/>
      <c r="U59" s="13"/>
      <c r="V59" s="13"/>
      <c r="W59" s="13">
        <v>0</v>
      </c>
      <c r="X59" s="13">
        <v>1</v>
      </c>
      <c r="Y59" s="13">
        <v>0</v>
      </c>
      <c r="Z59" s="13">
        <v>0</v>
      </c>
      <c r="AA59" s="13">
        <v>1</v>
      </c>
      <c r="AB59" s="13">
        <v>0</v>
      </c>
    </row>
    <row r="60" spans="1:206" x14ac:dyDescent="0.2">
      <c r="A60" s="13">
        <v>50</v>
      </c>
      <c r="B60" s="13">
        <v>0</v>
      </c>
      <c r="C60" s="13">
        <v>0</v>
      </c>
      <c r="D60" s="13">
        <v>1</v>
      </c>
      <c r="E60" s="13">
        <v>229</v>
      </c>
      <c r="F60" s="13">
        <f>ROUND(Source!AZ49,O60)</f>
        <v>0</v>
      </c>
      <c r="G60" s="13" t="s">
        <v>93</v>
      </c>
      <c r="H60" s="13" t="s">
        <v>94</v>
      </c>
      <c r="I60" s="13"/>
      <c r="J60" s="13"/>
      <c r="K60" s="13">
        <v>229</v>
      </c>
      <c r="L60" s="13">
        <v>10</v>
      </c>
      <c r="M60" s="13">
        <v>3</v>
      </c>
      <c r="N60" s="13" t="s">
        <v>3</v>
      </c>
      <c r="O60" s="13">
        <v>2</v>
      </c>
      <c r="P60" s="13">
        <f>ROUND(Source!ER49,O60)</f>
        <v>0</v>
      </c>
      <c r="Q60" s="13"/>
      <c r="R60" s="13"/>
      <c r="S60" s="13"/>
      <c r="T60" s="13"/>
      <c r="U60" s="13"/>
      <c r="V60" s="13"/>
      <c r="W60" s="13">
        <v>0</v>
      </c>
      <c r="X60" s="13">
        <v>1</v>
      </c>
      <c r="Y60" s="13">
        <v>0</v>
      </c>
      <c r="Z60" s="13">
        <v>0</v>
      </c>
      <c r="AA60" s="13">
        <v>1</v>
      </c>
      <c r="AB60" s="13">
        <v>0</v>
      </c>
    </row>
    <row r="61" spans="1:206" x14ac:dyDescent="0.2">
      <c r="A61" s="13">
        <v>50</v>
      </c>
      <c r="B61" s="13">
        <v>0</v>
      </c>
      <c r="C61" s="13">
        <v>0</v>
      </c>
      <c r="D61" s="13">
        <v>1</v>
      </c>
      <c r="E61" s="13">
        <v>203</v>
      </c>
      <c r="F61" s="13">
        <f>ROUND(Source!Q49,O61)</f>
        <v>11.43</v>
      </c>
      <c r="G61" s="13" t="s">
        <v>95</v>
      </c>
      <c r="H61" s="13" t="s">
        <v>96</v>
      </c>
      <c r="I61" s="13"/>
      <c r="J61" s="13"/>
      <c r="K61" s="13">
        <v>203</v>
      </c>
      <c r="L61" s="13">
        <v>11</v>
      </c>
      <c r="M61" s="13">
        <v>3</v>
      </c>
      <c r="N61" s="13" t="s">
        <v>3</v>
      </c>
      <c r="O61" s="13">
        <v>2</v>
      </c>
      <c r="P61" s="13">
        <f>ROUND(Source!DI49,O61)</f>
        <v>197.94</v>
      </c>
      <c r="Q61" s="13"/>
      <c r="R61" s="13"/>
      <c r="S61" s="13"/>
      <c r="T61" s="13"/>
      <c r="U61" s="13"/>
      <c r="V61" s="13"/>
      <c r="W61" s="13">
        <v>11.43</v>
      </c>
      <c r="X61" s="13">
        <v>1</v>
      </c>
      <c r="Y61" s="13">
        <v>11.43</v>
      </c>
      <c r="Z61" s="13">
        <v>197.94</v>
      </c>
      <c r="AA61" s="13">
        <v>1</v>
      </c>
      <c r="AB61" s="13">
        <v>197.94</v>
      </c>
    </row>
    <row r="62" spans="1:206" x14ac:dyDescent="0.2">
      <c r="A62" s="13">
        <v>50</v>
      </c>
      <c r="B62" s="13">
        <v>0</v>
      </c>
      <c r="C62" s="13">
        <v>0</v>
      </c>
      <c r="D62" s="13">
        <v>1</v>
      </c>
      <c r="E62" s="13">
        <v>231</v>
      </c>
      <c r="F62" s="13">
        <f>ROUND(Source!BB49,O62)</f>
        <v>0</v>
      </c>
      <c r="G62" s="13" t="s">
        <v>97</v>
      </c>
      <c r="H62" s="13" t="s">
        <v>98</v>
      </c>
      <c r="I62" s="13"/>
      <c r="J62" s="13"/>
      <c r="K62" s="13">
        <v>231</v>
      </c>
      <c r="L62" s="13">
        <v>12</v>
      </c>
      <c r="M62" s="13">
        <v>3</v>
      </c>
      <c r="N62" s="13" t="s">
        <v>3</v>
      </c>
      <c r="O62" s="13">
        <v>2</v>
      </c>
      <c r="P62" s="13">
        <f>ROUND(Source!ET49,O62)</f>
        <v>0</v>
      </c>
      <c r="Q62" s="13"/>
      <c r="R62" s="13"/>
      <c r="S62" s="13"/>
      <c r="T62" s="13"/>
      <c r="U62" s="13"/>
      <c r="V62" s="13"/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0</v>
      </c>
    </row>
    <row r="63" spans="1:206" x14ac:dyDescent="0.2">
      <c r="A63" s="13">
        <v>50</v>
      </c>
      <c r="B63" s="13">
        <v>0</v>
      </c>
      <c r="C63" s="13">
        <v>0</v>
      </c>
      <c r="D63" s="13">
        <v>1</v>
      </c>
      <c r="E63" s="13">
        <v>204</v>
      </c>
      <c r="F63" s="13">
        <f>ROUND(Source!R49,O63)</f>
        <v>1.28</v>
      </c>
      <c r="G63" s="13" t="s">
        <v>99</v>
      </c>
      <c r="H63" s="13" t="s">
        <v>100</v>
      </c>
      <c r="I63" s="13"/>
      <c r="J63" s="13"/>
      <c r="K63" s="13">
        <v>204</v>
      </c>
      <c r="L63" s="13">
        <v>13</v>
      </c>
      <c r="M63" s="13">
        <v>3</v>
      </c>
      <c r="N63" s="13" t="s">
        <v>3</v>
      </c>
      <c r="O63" s="13">
        <v>2</v>
      </c>
      <c r="P63" s="13">
        <f>ROUND(Source!DJ49,O63)</f>
        <v>72.13</v>
      </c>
      <c r="Q63" s="13"/>
      <c r="R63" s="13"/>
      <c r="S63" s="13"/>
      <c r="T63" s="13"/>
      <c r="U63" s="13"/>
      <c r="V63" s="13"/>
      <c r="W63" s="13">
        <v>1.28</v>
      </c>
      <c r="X63" s="13">
        <v>1</v>
      </c>
      <c r="Y63" s="13">
        <v>1.28</v>
      </c>
      <c r="Z63" s="13">
        <v>72.13</v>
      </c>
      <c r="AA63" s="13">
        <v>1</v>
      </c>
      <c r="AB63" s="13">
        <v>72.13</v>
      </c>
    </row>
    <row r="64" spans="1:206" x14ac:dyDescent="0.2">
      <c r="A64" s="13">
        <v>50</v>
      </c>
      <c r="B64" s="13">
        <v>0</v>
      </c>
      <c r="C64" s="13">
        <v>0</v>
      </c>
      <c r="D64" s="13">
        <v>1</v>
      </c>
      <c r="E64" s="13">
        <v>205</v>
      </c>
      <c r="F64" s="13">
        <f>ROUND(Source!S49,O64)</f>
        <v>1395.83</v>
      </c>
      <c r="G64" s="13" t="s">
        <v>101</v>
      </c>
      <c r="H64" s="13" t="s">
        <v>102</v>
      </c>
      <c r="I64" s="13"/>
      <c r="J64" s="13"/>
      <c r="K64" s="13">
        <v>205</v>
      </c>
      <c r="L64" s="13">
        <v>14</v>
      </c>
      <c r="M64" s="13">
        <v>3</v>
      </c>
      <c r="N64" s="13" t="s">
        <v>3</v>
      </c>
      <c r="O64" s="13">
        <v>2</v>
      </c>
      <c r="P64" s="13">
        <f>ROUND(Source!DK49,O64)</f>
        <v>78655.02</v>
      </c>
      <c r="Q64" s="13"/>
      <c r="R64" s="13"/>
      <c r="S64" s="13"/>
      <c r="T64" s="13"/>
      <c r="U64" s="13"/>
      <c r="V64" s="13"/>
      <c r="W64" s="13">
        <v>1395.83</v>
      </c>
      <c r="X64" s="13">
        <v>1</v>
      </c>
      <c r="Y64" s="13">
        <v>1395.83</v>
      </c>
      <c r="Z64" s="13">
        <v>78655.02</v>
      </c>
      <c r="AA64" s="13">
        <v>1</v>
      </c>
      <c r="AB64" s="13">
        <v>78655.02</v>
      </c>
    </row>
    <row r="65" spans="1:88" x14ac:dyDescent="0.2">
      <c r="A65" s="13">
        <v>50</v>
      </c>
      <c r="B65" s="13">
        <v>0</v>
      </c>
      <c r="C65" s="13">
        <v>0</v>
      </c>
      <c r="D65" s="13">
        <v>1</v>
      </c>
      <c r="E65" s="13">
        <v>232</v>
      </c>
      <c r="F65" s="13">
        <f>ROUND(Source!BC49,O65)</f>
        <v>0</v>
      </c>
      <c r="G65" s="13" t="s">
        <v>103</v>
      </c>
      <c r="H65" s="13" t="s">
        <v>104</v>
      </c>
      <c r="I65" s="13"/>
      <c r="J65" s="13"/>
      <c r="K65" s="13">
        <v>232</v>
      </c>
      <c r="L65" s="13">
        <v>15</v>
      </c>
      <c r="M65" s="13">
        <v>3</v>
      </c>
      <c r="N65" s="13" t="s">
        <v>3</v>
      </c>
      <c r="O65" s="13">
        <v>2</v>
      </c>
      <c r="P65" s="13">
        <f>ROUND(Source!EU49,O65)</f>
        <v>0</v>
      </c>
      <c r="Q65" s="13"/>
      <c r="R65" s="13"/>
      <c r="S65" s="13"/>
      <c r="T65" s="13"/>
      <c r="U65" s="13"/>
      <c r="V65" s="13"/>
      <c r="W65" s="13">
        <v>0</v>
      </c>
      <c r="X65" s="13">
        <v>1</v>
      </c>
      <c r="Y65" s="13">
        <v>0</v>
      </c>
      <c r="Z65" s="13">
        <v>0</v>
      </c>
      <c r="AA65" s="13">
        <v>1</v>
      </c>
      <c r="AB65" s="13">
        <v>0</v>
      </c>
    </row>
    <row r="66" spans="1:88" x14ac:dyDescent="0.2">
      <c r="A66" s="13">
        <v>50</v>
      </c>
      <c r="B66" s="13">
        <v>0</v>
      </c>
      <c r="C66" s="13">
        <v>0</v>
      </c>
      <c r="D66" s="13">
        <v>1</v>
      </c>
      <c r="E66" s="13">
        <v>214</v>
      </c>
      <c r="F66" s="13">
        <f>ROUND(Source!AS49,O66)</f>
        <v>3087.67</v>
      </c>
      <c r="G66" s="13" t="s">
        <v>105</v>
      </c>
      <c r="H66" s="13" t="s">
        <v>106</v>
      </c>
      <c r="I66" s="13"/>
      <c r="J66" s="13"/>
      <c r="K66" s="13">
        <v>214</v>
      </c>
      <c r="L66" s="13">
        <v>16</v>
      </c>
      <c r="M66" s="13">
        <v>3</v>
      </c>
      <c r="N66" s="13" t="s">
        <v>3</v>
      </c>
      <c r="O66" s="13">
        <v>2</v>
      </c>
      <c r="P66" s="13">
        <f>ROUND(Source!EK49,O66)</f>
        <v>173989.92</v>
      </c>
      <c r="Q66" s="13"/>
      <c r="R66" s="13"/>
      <c r="S66" s="13"/>
      <c r="T66" s="13"/>
      <c r="U66" s="13"/>
      <c r="V66" s="13"/>
      <c r="W66" s="13">
        <v>3087.67</v>
      </c>
      <c r="X66" s="13">
        <v>1</v>
      </c>
      <c r="Y66" s="13">
        <v>3087.67</v>
      </c>
      <c r="Z66" s="13">
        <v>173989.92</v>
      </c>
      <c r="AA66" s="13">
        <v>1</v>
      </c>
      <c r="AB66" s="13">
        <v>173989.92</v>
      </c>
    </row>
    <row r="67" spans="1:88" x14ac:dyDescent="0.2">
      <c r="A67" s="13">
        <v>50</v>
      </c>
      <c r="B67" s="13">
        <v>0</v>
      </c>
      <c r="C67" s="13">
        <v>0</v>
      </c>
      <c r="D67" s="13">
        <v>1</v>
      </c>
      <c r="E67" s="13">
        <v>215</v>
      </c>
      <c r="F67" s="13">
        <f>ROUND(Source!AT49,O67)</f>
        <v>271.04000000000002</v>
      </c>
      <c r="G67" s="13" t="s">
        <v>107</v>
      </c>
      <c r="H67" s="13" t="s">
        <v>108</v>
      </c>
      <c r="I67" s="13"/>
      <c r="J67" s="13"/>
      <c r="K67" s="13">
        <v>215</v>
      </c>
      <c r="L67" s="13">
        <v>17</v>
      </c>
      <c r="M67" s="13">
        <v>3</v>
      </c>
      <c r="N67" s="13" t="s">
        <v>3</v>
      </c>
      <c r="O67" s="13">
        <v>2</v>
      </c>
      <c r="P67" s="13">
        <f>ROUND(Source!EL49,O67)</f>
        <v>14827.29</v>
      </c>
      <c r="Q67" s="13"/>
      <c r="R67" s="13"/>
      <c r="S67" s="13"/>
      <c r="T67" s="13"/>
      <c r="U67" s="13"/>
      <c r="V67" s="13"/>
      <c r="W67" s="13">
        <v>271.04000000000002</v>
      </c>
      <c r="X67" s="13">
        <v>1</v>
      </c>
      <c r="Y67" s="13">
        <v>271.04000000000002</v>
      </c>
      <c r="Z67" s="13">
        <v>14827.29</v>
      </c>
      <c r="AA67" s="13">
        <v>1</v>
      </c>
      <c r="AB67" s="13">
        <v>14827.29</v>
      </c>
    </row>
    <row r="68" spans="1:88" x14ac:dyDescent="0.2">
      <c r="A68" s="13">
        <v>50</v>
      </c>
      <c r="B68" s="13">
        <v>0</v>
      </c>
      <c r="C68" s="13">
        <v>0</v>
      </c>
      <c r="D68" s="13">
        <v>1</v>
      </c>
      <c r="E68" s="13">
        <v>217</v>
      </c>
      <c r="F68" s="13">
        <f>ROUND(Source!AU49,O68)</f>
        <v>0</v>
      </c>
      <c r="G68" s="13" t="s">
        <v>109</v>
      </c>
      <c r="H68" s="13" t="s">
        <v>110</v>
      </c>
      <c r="I68" s="13"/>
      <c r="J68" s="13"/>
      <c r="K68" s="13">
        <v>217</v>
      </c>
      <c r="L68" s="13">
        <v>18</v>
      </c>
      <c r="M68" s="13">
        <v>3</v>
      </c>
      <c r="N68" s="13" t="s">
        <v>3</v>
      </c>
      <c r="O68" s="13">
        <v>2</v>
      </c>
      <c r="P68" s="13">
        <f>ROUND(Source!EM49,O68)</f>
        <v>0</v>
      </c>
      <c r="Q68" s="13"/>
      <c r="R68" s="13"/>
      <c r="S68" s="13"/>
      <c r="T68" s="13"/>
      <c r="U68" s="13"/>
      <c r="V68" s="13"/>
      <c r="W68" s="13">
        <v>0</v>
      </c>
      <c r="X68" s="13">
        <v>1</v>
      </c>
      <c r="Y68" s="13">
        <v>0</v>
      </c>
      <c r="Z68" s="13">
        <v>0</v>
      </c>
      <c r="AA68" s="13">
        <v>1</v>
      </c>
      <c r="AB68" s="13">
        <v>0</v>
      </c>
    </row>
    <row r="69" spans="1:88" x14ac:dyDescent="0.2">
      <c r="A69" s="13">
        <v>50</v>
      </c>
      <c r="B69" s="13">
        <v>0</v>
      </c>
      <c r="C69" s="13">
        <v>0</v>
      </c>
      <c r="D69" s="13">
        <v>1</v>
      </c>
      <c r="E69" s="13">
        <v>230</v>
      </c>
      <c r="F69" s="13">
        <f>ROUND(Source!BA49,O69)</f>
        <v>0</v>
      </c>
      <c r="G69" s="13" t="s">
        <v>111</v>
      </c>
      <c r="H69" s="13" t="s">
        <v>112</v>
      </c>
      <c r="I69" s="13"/>
      <c r="J69" s="13"/>
      <c r="K69" s="13">
        <v>230</v>
      </c>
      <c r="L69" s="13">
        <v>19</v>
      </c>
      <c r="M69" s="13">
        <v>3</v>
      </c>
      <c r="N69" s="13" t="s">
        <v>3</v>
      </c>
      <c r="O69" s="13">
        <v>2</v>
      </c>
      <c r="P69" s="13">
        <f>ROUND(Source!ES49,O69)</f>
        <v>0</v>
      </c>
      <c r="Q69" s="13"/>
      <c r="R69" s="13"/>
      <c r="S69" s="13"/>
      <c r="T69" s="13"/>
      <c r="U69" s="13"/>
      <c r="V69" s="13"/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</row>
    <row r="70" spans="1:88" x14ac:dyDescent="0.2">
      <c r="A70" s="13">
        <v>50</v>
      </c>
      <c r="B70" s="13">
        <v>0</v>
      </c>
      <c r="C70" s="13">
        <v>0</v>
      </c>
      <c r="D70" s="13">
        <v>1</v>
      </c>
      <c r="E70" s="13">
        <v>206</v>
      </c>
      <c r="F70" s="13">
        <f>ROUND(Source!T49,O70)</f>
        <v>0</v>
      </c>
      <c r="G70" s="13" t="s">
        <v>113</v>
      </c>
      <c r="H70" s="13" t="s">
        <v>114</v>
      </c>
      <c r="I70" s="13"/>
      <c r="J70" s="13"/>
      <c r="K70" s="13">
        <v>206</v>
      </c>
      <c r="L70" s="13">
        <v>20</v>
      </c>
      <c r="M70" s="13">
        <v>3</v>
      </c>
      <c r="N70" s="13" t="s">
        <v>3</v>
      </c>
      <c r="O70" s="13">
        <v>2</v>
      </c>
      <c r="P70" s="13">
        <f>ROUND(Source!DL49,O70)</f>
        <v>0</v>
      </c>
      <c r="Q70" s="13"/>
      <c r="R70" s="13"/>
      <c r="S70" s="13"/>
      <c r="T70" s="13"/>
      <c r="U70" s="13"/>
      <c r="V70" s="13"/>
      <c r="W70" s="13">
        <v>0</v>
      </c>
      <c r="X70" s="13">
        <v>1</v>
      </c>
      <c r="Y70" s="13">
        <v>0</v>
      </c>
      <c r="Z70" s="13">
        <v>0</v>
      </c>
      <c r="AA70" s="13">
        <v>1</v>
      </c>
      <c r="AB70" s="13">
        <v>0</v>
      </c>
    </row>
    <row r="71" spans="1:88" x14ac:dyDescent="0.2">
      <c r="A71" s="13">
        <v>50</v>
      </c>
      <c r="B71" s="13">
        <v>0</v>
      </c>
      <c r="C71" s="13">
        <v>0</v>
      </c>
      <c r="D71" s="13">
        <v>1</v>
      </c>
      <c r="E71" s="13">
        <v>207</v>
      </c>
      <c r="F71" s="13">
        <f>Source!U49</f>
        <v>131.88786335999998</v>
      </c>
      <c r="G71" s="13" t="s">
        <v>115</v>
      </c>
      <c r="H71" s="13" t="s">
        <v>116</v>
      </c>
      <c r="I71" s="13"/>
      <c r="J71" s="13"/>
      <c r="K71" s="13">
        <v>207</v>
      </c>
      <c r="L71" s="13">
        <v>21</v>
      </c>
      <c r="M71" s="13">
        <v>3</v>
      </c>
      <c r="N71" s="13" t="s">
        <v>3</v>
      </c>
      <c r="O71" s="13">
        <v>-1</v>
      </c>
      <c r="P71" s="13">
        <f>Source!DM49</f>
        <v>131.88786335999998</v>
      </c>
      <c r="Q71" s="13"/>
      <c r="R71" s="13"/>
      <c r="S71" s="13"/>
      <c r="T71" s="13"/>
      <c r="U71" s="13"/>
      <c r="V71" s="13"/>
      <c r="W71" s="13">
        <v>131.88786335999998</v>
      </c>
      <c r="X71" s="13">
        <v>1</v>
      </c>
      <c r="Y71" s="13">
        <v>131.88786335999998</v>
      </c>
      <c r="Z71" s="13">
        <v>131.88786335999998</v>
      </c>
      <c r="AA71" s="13">
        <v>1</v>
      </c>
      <c r="AB71" s="13">
        <v>131.88786335999998</v>
      </c>
    </row>
    <row r="72" spans="1:88" x14ac:dyDescent="0.2">
      <c r="A72" s="13">
        <v>50</v>
      </c>
      <c r="B72" s="13">
        <v>0</v>
      </c>
      <c r="C72" s="13">
        <v>0</v>
      </c>
      <c r="D72" s="13">
        <v>1</v>
      </c>
      <c r="E72" s="13">
        <v>208</v>
      </c>
      <c r="F72" s="13">
        <f>Source!V49</f>
        <v>0</v>
      </c>
      <c r="G72" s="13" t="s">
        <v>117</v>
      </c>
      <c r="H72" s="13" t="s">
        <v>118</v>
      </c>
      <c r="I72" s="13"/>
      <c r="J72" s="13"/>
      <c r="K72" s="13">
        <v>208</v>
      </c>
      <c r="L72" s="13">
        <v>22</v>
      </c>
      <c r="M72" s="13">
        <v>3</v>
      </c>
      <c r="N72" s="13" t="s">
        <v>3</v>
      </c>
      <c r="O72" s="13">
        <v>-1</v>
      </c>
      <c r="P72" s="13">
        <f>Source!DN49</f>
        <v>0</v>
      </c>
      <c r="Q72" s="13"/>
      <c r="R72" s="13"/>
      <c r="S72" s="13"/>
      <c r="T72" s="13"/>
      <c r="U72" s="13"/>
      <c r="V72" s="13"/>
      <c r="W72" s="13">
        <v>0</v>
      </c>
      <c r="X72" s="13">
        <v>1</v>
      </c>
      <c r="Y72" s="13">
        <v>0</v>
      </c>
      <c r="Z72" s="13">
        <v>0</v>
      </c>
      <c r="AA72" s="13">
        <v>1</v>
      </c>
      <c r="AB72" s="13">
        <v>0</v>
      </c>
    </row>
    <row r="73" spans="1:88" x14ac:dyDescent="0.2">
      <c r="A73" s="13">
        <v>50</v>
      </c>
      <c r="B73" s="13">
        <v>0</v>
      </c>
      <c r="C73" s="13">
        <v>0</v>
      </c>
      <c r="D73" s="13">
        <v>1</v>
      </c>
      <c r="E73" s="13">
        <v>209</v>
      </c>
      <c r="F73" s="13">
        <f>ROUND(Source!W49,O73)</f>
        <v>0</v>
      </c>
      <c r="G73" s="13" t="s">
        <v>119</v>
      </c>
      <c r="H73" s="13" t="s">
        <v>120</v>
      </c>
      <c r="I73" s="13"/>
      <c r="J73" s="13"/>
      <c r="K73" s="13">
        <v>209</v>
      </c>
      <c r="L73" s="13">
        <v>23</v>
      </c>
      <c r="M73" s="13">
        <v>3</v>
      </c>
      <c r="N73" s="13" t="s">
        <v>3</v>
      </c>
      <c r="O73" s="13">
        <v>2</v>
      </c>
      <c r="P73" s="13">
        <f>ROUND(Source!DO49,O73)</f>
        <v>0</v>
      </c>
      <c r="Q73" s="13"/>
      <c r="R73" s="13"/>
      <c r="S73" s="13"/>
      <c r="T73" s="13"/>
      <c r="U73" s="13"/>
      <c r="V73" s="13"/>
      <c r="W73" s="13">
        <v>0</v>
      </c>
      <c r="X73" s="13">
        <v>1</v>
      </c>
      <c r="Y73" s="13">
        <v>0</v>
      </c>
      <c r="Z73" s="13">
        <v>0</v>
      </c>
      <c r="AA73" s="13">
        <v>1</v>
      </c>
      <c r="AB73" s="13">
        <v>0</v>
      </c>
    </row>
    <row r="74" spans="1:88" x14ac:dyDescent="0.2">
      <c r="A74" s="13">
        <v>50</v>
      </c>
      <c r="B74" s="13">
        <v>0</v>
      </c>
      <c r="C74" s="13">
        <v>0</v>
      </c>
      <c r="D74" s="13">
        <v>1</v>
      </c>
      <c r="E74" s="13">
        <v>233</v>
      </c>
      <c r="F74" s="13">
        <f>ROUND(Source!BD49,O74)</f>
        <v>0</v>
      </c>
      <c r="G74" s="13" t="s">
        <v>121</v>
      </c>
      <c r="H74" s="13" t="s">
        <v>122</v>
      </c>
      <c r="I74" s="13"/>
      <c r="J74" s="13"/>
      <c r="K74" s="13">
        <v>233</v>
      </c>
      <c r="L74" s="13">
        <v>24</v>
      </c>
      <c r="M74" s="13">
        <v>3</v>
      </c>
      <c r="N74" s="13" t="s">
        <v>3</v>
      </c>
      <c r="O74" s="13">
        <v>2</v>
      </c>
      <c r="P74" s="13">
        <f>ROUND(Source!EV49,O74)</f>
        <v>0</v>
      </c>
      <c r="Q74" s="13"/>
      <c r="R74" s="13"/>
      <c r="S74" s="13"/>
      <c r="T74" s="13"/>
      <c r="U74" s="13"/>
      <c r="V74" s="13"/>
      <c r="W74" s="13">
        <v>0</v>
      </c>
      <c r="X74" s="13">
        <v>1</v>
      </c>
      <c r="Y74" s="13">
        <v>0</v>
      </c>
      <c r="Z74" s="13">
        <v>0</v>
      </c>
      <c r="AA74" s="13">
        <v>1</v>
      </c>
      <c r="AB74" s="13">
        <v>0</v>
      </c>
    </row>
    <row r="75" spans="1:88" x14ac:dyDescent="0.2">
      <c r="A75" s="13">
        <v>50</v>
      </c>
      <c r="B75" s="13">
        <v>0</v>
      </c>
      <c r="C75" s="13">
        <v>0</v>
      </c>
      <c r="D75" s="13">
        <v>1</v>
      </c>
      <c r="E75" s="13">
        <v>210</v>
      </c>
      <c r="F75" s="13">
        <f>ROUND(Source!X49,O75)</f>
        <v>1276.0899999999999</v>
      </c>
      <c r="G75" s="13" t="s">
        <v>123</v>
      </c>
      <c r="H75" s="13" t="s">
        <v>124</v>
      </c>
      <c r="I75" s="13"/>
      <c r="J75" s="13"/>
      <c r="K75" s="13">
        <v>210</v>
      </c>
      <c r="L75" s="13">
        <v>25</v>
      </c>
      <c r="M75" s="13">
        <v>3</v>
      </c>
      <c r="N75" s="13" t="s">
        <v>3</v>
      </c>
      <c r="O75" s="13">
        <v>2</v>
      </c>
      <c r="P75" s="13">
        <f>ROUND(Source!DP49,O75)</f>
        <v>71907.28</v>
      </c>
      <c r="Q75" s="13"/>
      <c r="R75" s="13"/>
      <c r="S75" s="13"/>
      <c r="T75" s="13"/>
      <c r="U75" s="13"/>
      <c r="V75" s="13"/>
      <c r="W75" s="13">
        <v>1276.0899999999999</v>
      </c>
      <c r="X75" s="13">
        <v>1</v>
      </c>
      <c r="Y75" s="13">
        <v>1276.0899999999999</v>
      </c>
      <c r="Z75" s="13">
        <v>71907.28</v>
      </c>
      <c r="AA75" s="13">
        <v>1</v>
      </c>
      <c r="AB75" s="13">
        <v>71907.28</v>
      </c>
    </row>
    <row r="76" spans="1:88" x14ac:dyDescent="0.2">
      <c r="A76" s="13">
        <v>50</v>
      </c>
      <c r="B76" s="13">
        <v>0</v>
      </c>
      <c r="C76" s="13">
        <v>0</v>
      </c>
      <c r="D76" s="13">
        <v>1</v>
      </c>
      <c r="E76" s="13">
        <v>211</v>
      </c>
      <c r="F76" s="13">
        <f>ROUND(Source!Y49,O76)</f>
        <v>675.36</v>
      </c>
      <c r="G76" s="13" t="s">
        <v>125</v>
      </c>
      <c r="H76" s="13" t="s">
        <v>126</v>
      </c>
      <c r="I76" s="13"/>
      <c r="J76" s="13"/>
      <c r="K76" s="13">
        <v>211</v>
      </c>
      <c r="L76" s="13">
        <v>26</v>
      </c>
      <c r="M76" s="13">
        <v>3</v>
      </c>
      <c r="N76" s="13" t="s">
        <v>3</v>
      </c>
      <c r="O76" s="13">
        <v>2</v>
      </c>
      <c r="P76" s="13">
        <f>ROUND(Source!DQ49,O76)</f>
        <v>38056.97</v>
      </c>
      <c r="Q76" s="13"/>
      <c r="R76" s="13"/>
      <c r="S76" s="13"/>
      <c r="T76" s="13"/>
      <c r="U76" s="13"/>
      <c r="V76" s="13"/>
      <c r="W76" s="13">
        <v>675.36</v>
      </c>
      <c r="X76" s="13">
        <v>1</v>
      </c>
      <c r="Y76" s="13">
        <v>675.36</v>
      </c>
      <c r="Z76" s="13">
        <v>38056.97</v>
      </c>
      <c r="AA76" s="13">
        <v>1</v>
      </c>
      <c r="AB76" s="13">
        <v>38056.97</v>
      </c>
    </row>
    <row r="77" spans="1:88" x14ac:dyDescent="0.2">
      <c r="A77" s="13">
        <v>50</v>
      </c>
      <c r="B77" s="13">
        <v>0</v>
      </c>
      <c r="C77" s="13">
        <v>0</v>
      </c>
      <c r="D77" s="13">
        <v>1</v>
      </c>
      <c r="E77" s="13">
        <v>224</v>
      </c>
      <c r="F77" s="13">
        <f>ROUND(Source!AR49,O77)</f>
        <v>3358.71</v>
      </c>
      <c r="G77" s="13" t="s">
        <v>127</v>
      </c>
      <c r="H77" s="13" t="s">
        <v>128</v>
      </c>
      <c r="I77" s="13"/>
      <c r="J77" s="13"/>
      <c r="K77" s="13">
        <v>224</v>
      </c>
      <c r="L77" s="13">
        <v>27</v>
      </c>
      <c r="M77" s="13">
        <v>3</v>
      </c>
      <c r="N77" s="13" t="s">
        <v>3</v>
      </c>
      <c r="O77" s="13">
        <v>2</v>
      </c>
      <c r="P77" s="13">
        <f>ROUND(Source!EJ49,O77)</f>
        <v>188817.21</v>
      </c>
      <c r="Q77" s="13"/>
      <c r="R77" s="13"/>
      <c r="S77" s="13"/>
      <c r="T77" s="13"/>
      <c r="U77" s="13"/>
      <c r="V77" s="13"/>
      <c r="W77" s="13">
        <v>3358.71</v>
      </c>
      <c r="X77" s="13">
        <v>1</v>
      </c>
      <c r="Y77" s="13">
        <v>3358.71</v>
      </c>
      <c r="Z77" s="13">
        <v>188817.21</v>
      </c>
      <c r="AA77" s="13">
        <v>1</v>
      </c>
      <c r="AB77" s="13">
        <v>188817.21</v>
      </c>
    </row>
    <row r="79" spans="1:88" x14ac:dyDescent="0.2">
      <c r="A79" s="10">
        <v>4</v>
      </c>
      <c r="B79" s="10">
        <v>1</v>
      </c>
      <c r="C79" s="10"/>
      <c r="D79" s="10">
        <f>ROW(A110)</f>
        <v>110</v>
      </c>
      <c r="E79" s="10"/>
      <c r="F79" s="10" t="s">
        <v>19</v>
      </c>
      <c r="G79" s="10" t="s">
        <v>129</v>
      </c>
      <c r="H79" s="10" t="s">
        <v>3</v>
      </c>
      <c r="I79" s="10">
        <v>0</v>
      </c>
      <c r="J79" s="10"/>
      <c r="K79" s="10">
        <v>-1</v>
      </c>
      <c r="L79" s="10"/>
      <c r="M79" s="10" t="s">
        <v>3</v>
      </c>
      <c r="N79" s="10"/>
      <c r="O79" s="10"/>
      <c r="P79" s="10"/>
      <c r="Q79" s="10"/>
      <c r="R79" s="10"/>
      <c r="S79" s="10">
        <v>0</v>
      </c>
      <c r="T79" s="10">
        <v>0</v>
      </c>
      <c r="U79" s="10" t="s">
        <v>3</v>
      </c>
      <c r="V79" s="10">
        <v>0</v>
      </c>
      <c r="W79" s="10"/>
      <c r="X79" s="10"/>
      <c r="Y79" s="10"/>
      <c r="Z79" s="10"/>
      <c r="AA79" s="10"/>
      <c r="AB79" s="10" t="s">
        <v>3</v>
      </c>
      <c r="AC79" s="10" t="s">
        <v>3</v>
      </c>
      <c r="AD79" s="10" t="s">
        <v>3</v>
      </c>
      <c r="AE79" s="10" t="s">
        <v>3</v>
      </c>
      <c r="AF79" s="10" t="s">
        <v>3</v>
      </c>
      <c r="AG79" s="10" t="s">
        <v>3</v>
      </c>
      <c r="AH79" s="10"/>
      <c r="AI79" s="10"/>
      <c r="AJ79" s="10"/>
      <c r="AK79" s="10"/>
      <c r="AL79" s="10"/>
      <c r="AM79" s="10"/>
      <c r="AN79" s="10"/>
      <c r="AO79" s="10"/>
      <c r="AP79" s="10" t="s">
        <v>3</v>
      </c>
      <c r="AQ79" s="10" t="s">
        <v>3</v>
      </c>
      <c r="AR79" s="10" t="s">
        <v>3</v>
      </c>
      <c r="AS79" s="10"/>
      <c r="AT79" s="10"/>
      <c r="AU79" s="10"/>
      <c r="AV79" s="10"/>
      <c r="AW79" s="10"/>
      <c r="AX79" s="10"/>
      <c r="AY79" s="10"/>
      <c r="AZ79" s="10" t="s">
        <v>3</v>
      </c>
      <c r="BA79" s="10"/>
      <c r="BB79" s="10" t="s">
        <v>3</v>
      </c>
      <c r="BC79" s="10" t="s">
        <v>3</v>
      </c>
      <c r="BD79" s="10" t="s">
        <v>3</v>
      </c>
      <c r="BE79" s="10" t="s">
        <v>3</v>
      </c>
      <c r="BF79" s="10" t="s">
        <v>3</v>
      </c>
      <c r="BG79" s="10" t="s">
        <v>3</v>
      </c>
      <c r="BH79" s="10" t="s">
        <v>3</v>
      </c>
      <c r="BI79" s="10" t="s">
        <v>3</v>
      </c>
      <c r="BJ79" s="10" t="s">
        <v>3</v>
      </c>
      <c r="BK79" s="10" t="s">
        <v>3</v>
      </c>
      <c r="BL79" s="10" t="s">
        <v>3</v>
      </c>
      <c r="BM79" s="10" t="s">
        <v>3</v>
      </c>
      <c r="BN79" s="10" t="s">
        <v>3</v>
      </c>
      <c r="BO79" s="10" t="s">
        <v>3</v>
      </c>
      <c r="BP79" s="10" t="s">
        <v>3</v>
      </c>
      <c r="BQ79" s="10"/>
      <c r="BR79" s="10"/>
      <c r="BS79" s="10"/>
      <c r="BT79" s="10"/>
      <c r="BU79" s="10"/>
      <c r="BV79" s="10"/>
      <c r="BW79" s="10"/>
      <c r="BX79" s="10">
        <v>0</v>
      </c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>
        <v>0</v>
      </c>
    </row>
    <row r="81" spans="1:255" x14ac:dyDescent="0.2">
      <c r="A81" s="11">
        <v>52</v>
      </c>
      <c r="B81" s="11">
        <f t="shared" ref="B81:G81" si="76">B110</f>
        <v>1</v>
      </c>
      <c r="C81" s="11">
        <f t="shared" si="76"/>
        <v>4</v>
      </c>
      <c r="D81" s="11">
        <f t="shared" si="76"/>
        <v>79</v>
      </c>
      <c r="E81" s="11">
        <f t="shared" si="76"/>
        <v>0</v>
      </c>
      <c r="F81" s="11" t="str">
        <f t="shared" si="76"/>
        <v>1</v>
      </c>
      <c r="G81" s="11" t="str">
        <f t="shared" si="76"/>
        <v>Комплект основного оборудования</v>
      </c>
      <c r="H81" s="11"/>
      <c r="I81" s="11"/>
      <c r="J81" s="11"/>
      <c r="K81" s="11"/>
      <c r="L81" s="11"/>
      <c r="M81" s="11"/>
      <c r="N81" s="11"/>
      <c r="O81" s="11">
        <f t="shared" ref="O81:AT81" si="77">O110</f>
        <v>10887.22</v>
      </c>
      <c r="P81" s="11">
        <f t="shared" si="77"/>
        <v>10505.78</v>
      </c>
      <c r="Q81" s="11">
        <f t="shared" si="77"/>
        <v>21.89</v>
      </c>
      <c r="R81" s="11">
        <f t="shared" si="77"/>
        <v>3.97</v>
      </c>
      <c r="S81" s="11">
        <f t="shared" si="77"/>
        <v>359.55</v>
      </c>
      <c r="T81" s="11">
        <f t="shared" si="77"/>
        <v>0</v>
      </c>
      <c r="U81" s="11">
        <f t="shared" si="77"/>
        <v>26.158691999999995</v>
      </c>
      <c r="V81" s="11">
        <f t="shared" si="77"/>
        <v>0</v>
      </c>
      <c r="W81" s="11">
        <f t="shared" si="77"/>
        <v>0</v>
      </c>
      <c r="X81" s="11">
        <f t="shared" si="77"/>
        <v>346.09</v>
      </c>
      <c r="Y81" s="11">
        <f t="shared" si="77"/>
        <v>191.91</v>
      </c>
      <c r="Z81" s="11">
        <f t="shared" si="77"/>
        <v>0</v>
      </c>
      <c r="AA81" s="11">
        <f t="shared" si="77"/>
        <v>0</v>
      </c>
      <c r="AB81" s="11">
        <f t="shared" si="77"/>
        <v>10887.22</v>
      </c>
      <c r="AC81" s="11">
        <f t="shared" si="77"/>
        <v>10505.78</v>
      </c>
      <c r="AD81" s="11">
        <f t="shared" si="77"/>
        <v>21.89</v>
      </c>
      <c r="AE81" s="11">
        <f t="shared" si="77"/>
        <v>3.97</v>
      </c>
      <c r="AF81" s="11">
        <f t="shared" si="77"/>
        <v>359.55</v>
      </c>
      <c r="AG81" s="11">
        <f t="shared" si="77"/>
        <v>0</v>
      </c>
      <c r="AH81" s="11">
        <f t="shared" si="77"/>
        <v>26.158691999999995</v>
      </c>
      <c r="AI81" s="11">
        <f t="shared" si="77"/>
        <v>0</v>
      </c>
      <c r="AJ81" s="11">
        <f t="shared" si="77"/>
        <v>0</v>
      </c>
      <c r="AK81" s="11">
        <f t="shared" si="77"/>
        <v>346.09</v>
      </c>
      <c r="AL81" s="11">
        <f t="shared" si="77"/>
        <v>191.91</v>
      </c>
      <c r="AM81" s="11">
        <f t="shared" si="77"/>
        <v>0</v>
      </c>
      <c r="AN81" s="11">
        <f t="shared" si="77"/>
        <v>0</v>
      </c>
      <c r="AO81" s="11">
        <f t="shared" si="77"/>
        <v>0</v>
      </c>
      <c r="AP81" s="11">
        <f t="shared" si="77"/>
        <v>8481.81</v>
      </c>
      <c r="AQ81" s="11">
        <f t="shared" si="77"/>
        <v>0</v>
      </c>
      <c r="AR81" s="11">
        <f t="shared" si="77"/>
        <v>11425.22</v>
      </c>
      <c r="AS81" s="11">
        <f t="shared" si="77"/>
        <v>0</v>
      </c>
      <c r="AT81" s="11">
        <f t="shared" si="77"/>
        <v>2943.41</v>
      </c>
      <c r="AU81" s="11">
        <f t="shared" ref="AU81:BZ81" si="78">AU110</f>
        <v>0</v>
      </c>
      <c r="AV81" s="11">
        <f t="shared" si="78"/>
        <v>10505.78</v>
      </c>
      <c r="AW81" s="11">
        <f t="shared" si="78"/>
        <v>2023.97</v>
      </c>
      <c r="AX81" s="11">
        <f t="shared" si="78"/>
        <v>0</v>
      </c>
      <c r="AY81" s="11">
        <f t="shared" si="78"/>
        <v>2023.97</v>
      </c>
      <c r="AZ81" s="11">
        <f t="shared" si="78"/>
        <v>8481.81</v>
      </c>
      <c r="BA81" s="11">
        <f t="shared" si="78"/>
        <v>0</v>
      </c>
      <c r="BB81" s="11">
        <f t="shared" si="78"/>
        <v>0</v>
      </c>
      <c r="BC81" s="11">
        <f t="shared" si="78"/>
        <v>0</v>
      </c>
      <c r="BD81" s="11">
        <f t="shared" si="78"/>
        <v>0</v>
      </c>
      <c r="BE81" s="11">
        <f t="shared" si="78"/>
        <v>0</v>
      </c>
      <c r="BF81" s="11">
        <f t="shared" si="78"/>
        <v>0</v>
      </c>
      <c r="BG81" s="11">
        <f t="shared" si="78"/>
        <v>0</v>
      </c>
      <c r="BH81" s="11">
        <f t="shared" si="78"/>
        <v>0</v>
      </c>
      <c r="BI81" s="11">
        <f t="shared" si="78"/>
        <v>0</v>
      </c>
      <c r="BJ81" s="11">
        <f t="shared" si="78"/>
        <v>0</v>
      </c>
      <c r="BK81" s="11">
        <f t="shared" si="78"/>
        <v>0</v>
      </c>
      <c r="BL81" s="11">
        <f t="shared" si="78"/>
        <v>0</v>
      </c>
      <c r="BM81" s="11">
        <f t="shared" si="78"/>
        <v>0</v>
      </c>
      <c r="BN81" s="11">
        <f t="shared" si="78"/>
        <v>0</v>
      </c>
      <c r="BO81" s="11">
        <f t="shared" si="78"/>
        <v>0</v>
      </c>
      <c r="BP81" s="11">
        <f t="shared" si="78"/>
        <v>0</v>
      </c>
      <c r="BQ81" s="11">
        <f t="shared" si="78"/>
        <v>0</v>
      </c>
      <c r="BR81" s="11">
        <f t="shared" si="78"/>
        <v>0</v>
      </c>
      <c r="BS81" s="11">
        <f t="shared" si="78"/>
        <v>0</v>
      </c>
      <c r="BT81" s="11">
        <f t="shared" si="78"/>
        <v>0</v>
      </c>
      <c r="BU81" s="11">
        <f t="shared" si="78"/>
        <v>0</v>
      </c>
      <c r="BV81" s="11">
        <f t="shared" si="78"/>
        <v>0</v>
      </c>
      <c r="BW81" s="11">
        <f t="shared" si="78"/>
        <v>0</v>
      </c>
      <c r="BX81" s="11">
        <f t="shared" si="78"/>
        <v>0</v>
      </c>
      <c r="BY81" s="11">
        <f t="shared" si="78"/>
        <v>8481.81</v>
      </c>
      <c r="BZ81" s="11">
        <f t="shared" si="78"/>
        <v>0</v>
      </c>
      <c r="CA81" s="11">
        <f t="shared" ref="CA81:DF81" si="79">CA110</f>
        <v>11425.22</v>
      </c>
      <c r="CB81" s="11">
        <f t="shared" si="79"/>
        <v>0</v>
      </c>
      <c r="CC81" s="11">
        <f t="shared" si="79"/>
        <v>2943.41</v>
      </c>
      <c r="CD81" s="11">
        <f t="shared" si="79"/>
        <v>0</v>
      </c>
      <c r="CE81" s="11">
        <f t="shared" si="79"/>
        <v>10505.78</v>
      </c>
      <c r="CF81" s="11">
        <f t="shared" si="79"/>
        <v>2023.9700000000012</v>
      </c>
      <c r="CG81" s="11">
        <f t="shared" si="79"/>
        <v>0</v>
      </c>
      <c r="CH81" s="11">
        <f t="shared" si="79"/>
        <v>2023.9700000000012</v>
      </c>
      <c r="CI81" s="11">
        <f t="shared" si="79"/>
        <v>8481.81</v>
      </c>
      <c r="CJ81" s="11">
        <f t="shared" si="79"/>
        <v>0</v>
      </c>
      <c r="CK81" s="11">
        <f t="shared" si="79"/>
        <v>0</v>
      </c>
      <c r="CL81" s="11">
        <f t="shared" si="79"/>
        <v>0</v>
      </c>
      <c r="CM81" s="11">
        <f t="shared" si="79"/>
        <v>0</v>
      </c>
      <c r="CN81" s="11">
        <f t="shared" si="79"/>
        <v>0</v>
      </c>
      <c r="CO81" s="11">
        <f t="shared" si="79"/>
        <v>0</v>
      </c>
      <c r="CP81" s="11">
        <f t="shared" si="79"/>
        <v>0</v>
      </c>
      <c r="CQ81" s="11">
        <f t="shared" si="79"/>
        <v>0</v>
      </c>
      <c r="CR81" s="11">
        <f t="shared" si="79"/>
        <v>0</v>
      </c>
      <c r="CS81" s="11">
        <f t="shared" si="79"/>
        <v>0</v>
      </c>
      <c r="CT81" s="11">
        <f t="shared" si="79"/>
        <v>0</v>
      </c>
      <c r="CU81" s="11">
        <f t="shared" si="79"/>
        <v>0</v>
      </c>
      <c r="CV81" s="11">
        <f t="shared" si="79"/>
        <v>0</v>
      </c>
      <c r="CW81" s="11">
        <f t="shared" si="79"/>
        <v>0</v>
      </c>
      <c r="CX81" s="11">
        <f t="shared" si="79"/>
        <v>0</v>
      </c>
      <c r="CY81" s="11">
        <f t="shared" si="79"/>
        <v>0</v>
      </c>
      <c r="CZ81" s="11">
        <f t="shared" si="79"/>
        <v>0</v>
      </c>
      <c r="DA81" s="11">
        <f t="shared" si="79"/>
        <v>0</v>
      </c>
      <c r="DB81" s="11">
        <f t="shared" si="79"/>
        <v>0</v>
      </c>
      <c r="DC81" s="11">
        <f t="shared" si="79"/>
        <v>0</v>
      </c>
      <c r="DD81" s="11">
        <f t="shared" si="79"/>
        <v>0</v>
      </c>
      <c r="DE81" s="11">
        <f t="shared" si="79"/>
        <v>0</v>
      </c>
      <c r="DF81" s="11">
        <f t="shared" si="79"/>
        <v>0</v>
      </c>
      <c r="DG81" s="12">
        <f t="shared" ref="DG81:EL81" si="80">DG110</f>
        <v>112225.44</v>
      </c>
      <c r="DH81" s="12">
        <f t="shared" si="80"/>
        <v>91529.4</v>
      </c>
      <c r="DI81" s="12">
        <f t="shared" si="80"/>
        <v>435.39</v>
      </c>
      <c r="DJ81" s="12">
        <f t="shared" si="80"/>
        <v>223.71</v>
      </c>
      <c r="DK81" s="12">
        <f t="shared" si="80"/>
        <v>20260.650000000001</v>
      </c>
      <c r="DL81" s="12">
        <f t="shared" si="80"/>
        <v>0</v>
      </c>
      <c r="DM81" s="12">
        <f t="shared" si="80"/>
        <v>26.158691999999995</v>
      </c>
      <c r="DN81" s="12">
        <f t="shared" si="80"/>
        <v>0</v>
      </c>
      <c r="DO81" s="12">
        <f t="shared" si="80"/>
        <v>0</v>
      </c>
      <c r="DP81" s="12">
        <f t="shared" si="80"/>
        <v>19502.509999999998</v>
      </c>
      <c r="DQ81" s="12">
        <f t="shared" si="80"/>
        <v>10814.35</v>
      </c>
      <c r="DR81" s="12">
        <f t="shared" si="80"/>
        <v>0</v>
      </c>
      <c r="DS81" s="12">
        <f t="shared" si="80"/>
        <v>0</v>
      </c>
      <c r="DT81" s="12">
        <f t="shared" si="80"/>
        <v>112225.44</v>
      </c>
      <c r="DU81" s="12">
        <f t="shared" si="80"/>
        <v>91529.4</v>
      </c>
      <c r="DV81" s="12">
        <f t="shared" si="80"/>
        <v>435.39</v>
      </c>
      <c r="DW81" s="12">
        <f t="shared" si="80"/>
        <v>223.71</v>
      </c>
      <c r="DX81" s="12">
        <f t="shared" si="80"/>
        <v>20260.650000000001</v>
      </c>
      <c r="DY81" s="12">
        <f t="shared" si="80"/>
        <v>0</v>
      </c>
      <c r="DZ81" s="12">
        <f t="shared" si="80"/>
        <v>26.158691999999995</v>
      </c>
      <c r="EA81" s="12">
        <f t="shared" si="80"/>
        <v>0</v>
      </c>
      <c r="EB81" s="12">
        <f t="shared" si="80"/>
        <v>0</v>
      </c>
      <c r="EC81" s="12">
        <f t="shared" si="80"/>
        <v>19502.509999999998</v>
      </c>
      <c r="ED81" s="12">
        <f t="shared" si="80"/>
        <v>10814.35</v>
      </c>
      <c r="EE81" s="12">
        <f t="shared" si="80"/>
        <v>0</v>
      </c>
      <c r="EF81" s="12">
        <f t="shared" si="80"/>
        <v>0</v>
      </c>
      <c r="EG81" s="12">
        <f t="shared" si="80"/>
        <v>0</v>
      </c>
      <c r="EH81" s="12">
        <f t="shared" si="80"/>
        <v>83461.009999999995</v>
      </c>
      <c r="EI81" s="12">
        <f t="shared" si="80"/>
        <v>0</v>
      </c>
      <c r="EJ81" s="12">
        <f t="shared" si="80"/>
        <v>142542.29999999999</v>
      </c>
      <c r="EK81" s="12">
        <f t="shared" si="80"/>
        <v>0</v>
      </c>
      <c r="EL81" s="12">
        <f t="shared" si="80"/>
        <v>59081.29</v>
      </c>
      <c r="EM81" s="12">
        <f t="shared" ref="EM81:FR81" si="81">EM110</f>
        <v>0</v>
      </c>
      <c r="EN81" s="12">
        <f t="shared" si="81"/>
        <v>91529.4</v>
      </c>
      <c r="EO81" s="12">
        <f t="shared" si="81"/>
        <v>8068.39</v>
      </c>
      <c r="EP81" s="12">
        <f t="shared" si="81"/>
        <v>0</v>
      </c>
      <c r="EQ81" s="12">
        <f t="shared" si="81"/>
        <v>8068.39</v>
      </c>
      <c r="ER81" s="12">
        <f t="shared" si="81"/>
        <v>83461.009999999995</v>
      </c>
      <c r="ES81" s="12">
        <f t="shared" si="81"/>
        <v>0</v>
      </c>
      <c r="ET81" s="12">
        <f t="shared" si="81"/>
        <v>0</v>
      </c>
      <c r="EU81" s="12">
        <f t="shared" si="81"/>
        <v>0</v>
      </c>
      <c r="EV81" s="12">
        <f t="shared" si="81"/>
        <v>0</v>
      </c>
      <c r="EW81" s="12">
        <f t="shared" si="81"/>
        <v>0</v>
      </c>
      <c r="EX81" s="12">
        <f t="shared" si="81"/>
        <v>0</v>
      </c>
      <c r="EY81" s="12">
        <f t="shared" si="81"/>
        <v>0</v>
      </c>
      <c r="EZ81" s="12">
        <f t="shared" si="81"/>
        <v>0</v>
      </c>
      <c r="FA81" s="12">
        <f t="shared" si="81"/>
        <v>0</v>
      </c>
      <c r="FB81" s="12">
        <f t="shared" si="81"/>
        <v>0</v>
      </c>
      <c r="FC81" s="12">
        <f t="shared" si="81"/>
        <v>0</v>
      </c>
      <c r="FD81" s="12">
        <f t="shared" si="81"/>
        <v>0</v>
      </c>
      <c r="FE81" s="12">
        <f t="shared" si="81"/>
        <v>0</v>
      </c>
      <c r="FF81" s="12">
        <f t="shared" si="81"/>
        <v>0</v>
      </c>
      <c r="FG81" s="12">
        <f t="shared" si="81"/>
        <v>0</v>
      </c>
      <c r="FH81" s="12">
        <f t="shared" si="81"/>
        <v>0</v>
      </c>
      <c r="FI81" s="12">
        <f t="shared" si="81"/>
        <v>0</v>
      </c>
      <c r="FJ81" s="12">
        <f t="shared" si="81"/>
        <v>0</v>
      </c>
      <c r="FK81" s="12">
        <f t="shared" si="81"/>
        <v>0</v>
      </c>
      <c r="FL81" s="12">
        <f t="shared" si="81"/>
        <v>0</v>
      </c>
      <c r="FM81" s="12">
        <f t="shared" si="81"/>
        <v>0</v>
      </c>
      <c r="FN81" s="12">
        <f t="shared" si="81"/>
        <v>0</v>
      </c>
      <c r="FO81" s="12">
        <f t="shared" si="81"/>
        <v>0</v>
      </c>
      <c r="FP81" s="12">
        <f t="shared" si="81"/>
        <v>0</v>
      </c>
      <c r="FQ81" s="12">
        <f t="shared" si="81"/>
        <v>83461.009999999995</v>
      </c>
      <c r="FR81" s="12">
        <f t="shared" si="81"/>
        <v>0</v>
      </c>
      <c r="FS81" s="12">
        <f t="shared" ref="FS81:GX81" si="82">FS110</f>
        <v>142542.29999999999</v>
      </c>
      <c r="FT81" s="12">
        <f t="shared" si="82"/>
        <v>0</v>
      </c>
      <c r="FU81" s="12">
        <f t="shared" si="82"/>
        <v>59081.29</v>
      </c>
      <c r="FV81" s="12">
        <f t="shared" si="82"/>
        <v>0</v>
      </c>
      <c r="FW81" s="12">
        <f t="shared" si="82"/>
        <v>91529.4</v>
      </c>
      <c r="FX81" s="12">
        <f t="shared" si="82"/>
        <v>8068.3899999999994</v>
      </c>
      <c r="FY81" s="12">
        <f t="shared" si="82"/>
        <v>0</v>
      </c>
      <c r="FZ81" s="12">
        <f t="shared" si="82"/>
        <v>8068.3899999999994</v>
      </c>
      <c r="GA81" s="12">
        <f t="shared" si="82"/>
        <v>83461.009999999995</v>
      </c>
      <c r="GB81" s="12">
        <f t="shared" si="82"/>
        <v>0</v>
      </c>
      <c r="GC81" s="12">
        <f t="shared" si="82"/>
        <v>0</v>
      </c>
      <c r="GD81" s="12">
        <f t="shared" si="82"/>
        <v>0</v>
      </c>
      <c r="GE81" s="12">
        <f t="shared" si="82"/>
        <v>0</v>
      </c>
      <c r="GF81" s="12">
        <f t="shared" si="82"/>
        <v>0</v>
      </c>
      <c r="GG81" s="12">
        <f t="shared" si="82"/>
        <v>0</v>
      </c>
      <c r="GH81" s="12">
        <f t="shared" si="82"/>
        <v>0</v>
      </c>
      <c r="GI81" s="12">
        <f t="shared" si="82"/>
        <v>0</v>
      </c>
      <c r="GJ81" s="12">
        <f t="shared" si="82"/>
        <v>0</v>
      </c>
      <c r="GK81" s="12">
        <f t="shared" si="82"/>
        <v>0</v>
      </c>
      <c r="GL81" s="12">
        <f t="shared" si="82"/>
        <v>0</v>
      </c>
      <c r="GM81" s="12">
        <f t="shared" si="82"/>
        <v>0</v>
      </c>
      <c r="GN81" s="12">
        <f t="shared" si="82"/>
        <v>0</v>
      </c>
      <c r="GO81" s="12">
        <f t="shared" si="82"/>
        <v>0</v>
      </c>
      <c r="GP81" s="12">
        <f t="shared" si="82"/>
        <v>0</v>
      </c>
      <c r="GQ81" s="12">
        <f t="shared" si="82"/>
        <v>0</v>
      </c>
      <c r="GR81" s="12">
        <f t="shared" si="82"/>
        <v>0</v>
      </c>
      <c r="GS81" s="12">
        <f t="shared" si="82"/>
        <v>0</v>
      </c>
      <c r="GT81" s="12">
        <f t="shared" si="82"/>
        <v>0</v>
      </c>
      <c r="GU81" s="12">
        <f t="shared" si="82"/>
        <v>0</v>
      </c>
      <c r="GV81" s="12">
        <f t="shared" si="82"/>
        <v>0</v>
      </c>
      <c r="GW81" s="12">
        <f t="shared" si="82"/>
        <v>0</v>
      </c>
      <c r="GX81" s="12">
        <f t="shared" si="82"/>
        <v>0</v>
      </c>
    </row>
    <row r="83" spans="1:255" x14ac:dyDescent="0.2">
      <c r="A83" s="2">
        <v>17</v>
      </c>
      <c r="B83" s="2">
        <v>1</v>
      </c>
      <c r="C83" s="2">
        <f>ROW(SmtRes!A66)</f>
        <v>66</v>
      </c>
      <c r="D83" s="2">
        <f>ROW(EtalonRes!A80)</f>
        <v>80</v>
      </c>
      <c r="E83" s="2" t="s">
        <v>130</v>
      </c>
      <c r="F83" s="2" t="s">
        <v>20</v>
      </c>
      <c r="G83" s="2" t="s">
        <v>131</v>
      </c>
      <c r="H83" s="2" t="s">
        <v>22</v>
      </c>
      <c r="I83" s="2">
        <v>1</v>
      </c>
      <c r="J83" s="2">
        <v>0</v>
      </c>
      <c r="K83" s="2">
        <v>1</v>
      </c>
      <c r="L83" s="2"/>
      <c r="M83" s="2"/>
      <c r="N83" s="2"/>
      <c r="O83" s="2">
        <f t="shared" ref="O83:O108" si="83">ROUND(CP83,2)</f>
        <v>99.7</v>
      </c>
      <c r="P83" s="2">
        <f t="shared" ref="P83:P108" si="84">ROUND((ROUND((AC83*AW83*I83),2)*BC83),2)</f>
        <v>0.37</v>
      </c>
      <c r="Q83" s="2">
        <f>(ROUND((ROUND((((ET83*1.2))*AV83*I83),2)*BB83),2)+ROUND((ROUND(((AE83-((EU83*1.2)))*AV83*I83),2)*BS83),2))</f>
        <v>0</v>
      </c>
      <c r="R83" s="2">
        <f>(ROUND((ROUND((((EU83*1.2))*AV83*I83),2)*BS83),2)+ROUND((ROUND(((AE83-((EU83*1.2)))*AV83*I83),2)*BS83),2))</f>
        <v>0</v>
      </c>
      <c r="S83" s="2">
        <f t="shared" ref="S83:S108" si="85">ROUND((ROUND((AF83*AV83*I83),2)*BA83),2)</f>
        <v>99.33</v>
      </c>
      <c r="T83" s="2">
        <f t="shared" ref="T83:T108" si="86">ROUND(CU83*I83,2)</f>
        <v>0</v>
      </c>
      <c r="U83" s="2">
        <f t="shared" ref="U83:U108" si="87">CV83*I83</f>
        <v>7.0046279999999994</v>
      </c>
      <c r="V83" s="2">
        <f t="shared" ref="V83:V108" si="88">CW83*I83</f>
        <v>0</v>
      </c>
      <c r="W83" s="2">
        <f t="shared" ref="W83:W108" si="89">ROUND(CX83*I83,2)</f>
        <v>0</v>
      </c>
      <c r="X83" s="2">
        <f>(ROUND((((S83+ROUND((ROUND((((EU83*1.2))*AV83*I83),2)*BS83),2))*AT83)/100),2)+ROUND(((ROUND((ROUND(((AE83-((EU83*1.2)))*AV83*I83),2)*BS83),2)*AT83)/100),2))</f>
        <v>94.36</v>
      </c>
      <c r="Y83" s="2">
        <f>(ROUND((((S83+ROUND((ROUND((((EU83*1.2))*AV83*I83),2)*BS83),2))*AU83)/100),2)+ROUND(((ROUND((ROUND(((AE83-((EU83*1.2)))*AV83*I83),2)*BS83),2)*AU83)/100),2))</f>
        <v>52.64</v>
      </c>
      <c r="Z83" s="2"/>
      <c r="AA83" s="2">
        <v>55919547</v>
      </c>
      <c r="AB83" s="2">
        <f t="shared" ref="AB83:AB108" si="90">ROUND((AC83+AD83+AF83),6)</f>
        <v>91.75</v>
      </c>
      <c r="AC83" s="2">
        <f>ROUND(((ES83*1)),6)</f>
        <v>0.37</v>
      </c>
      <c r="AD83" s="2">
        <f>ROUND(((((ET83*1.2))-((EU83*1.2)))+AE83),6)</f>
        <v>0</v>
      </c>
      <c r="AE83" s="2">
        <f>ROUND(((EU83*1.2)),6)</f>
        <v>0</v>
      </c>
      <c r="AF83" s="2">
        <f>ROUND(((EV83*1.2)),6)</f>
        <v>91.38</v>
      </c>
      <c r="AG83" s="2">
        <f t="shared" ref="AG83:AG108" si="91">ROUND((AP83),6)</f>
        <v>0</v>
      </c>
      <c r="AH83" s="2">
        <f>((EW83*1.2))</f>
        <v>6.444</v>
      </c>
      <c r="AI83" s="2">
        <f>((EX83*1.2))</f>
        <v>0</v>
      </c>
      <c r="AJ83" s="2">
        <f t="shared" ref="AJ83:AJ108" si="92">(AS83)</f>
        <v>0</v>
      </c>
      <c r="AK83" s="2">
        <v>76.52</v>
      </c>
      <c r="AL83" s="2">
        <v>0.37</v>
      </c>
      <c r="AM83" s="2">
        <v>0</v>
      </c>
      <c r="AN83" s="2">
        <v>0</v>
      </c>
      <c r="AO83" s="2">
        <v>76.150000000000006</v>
      </c>
      <c r="AP83" s="2">
        <v>0</v>
      </c>
      <c r="AQ83" s="2">
        <v>5.37</v>
      </c>
      <c r="AR83" s="2">
        <v>0</v>
      </c>
      <c r="AS83" s="2">
        <v>0</v>
      </c>
      <c r="AT83" s="2">
        <v>95</v>
      </c>
      <c r="AU83" s="2">
        <v>53</v>
      </c>
      <c r="AV83" s="2">
        <v>1.087</v>
      </c>
      <c r="AW83" s="2">
        <v>1</v>
      </c>
      <c r="AX83" s="2"/>
      <c r="AY83" s="2"/>
      <c r="AZ83" s="2">
        <v>1</v>
      </c>
      <c r="BA83" s="2">
        <v>1</v>
      </c>
      <c r="BB83" s="2">
        <v>1</v>
      </c>
      <c r="BC83" s="2">
        <v>1</v>
      </c>
      <c r="BD83" s="2" t="s">
        <v>3</v>
      </c>
      <c r="BE83" s="2" t="s">
        <v>3</v>
      </c>
      <c r="BF83" s="2" t="s">
        <v>3</v>
      </c>
      <c r="BG83" s="2" t="s">
        <v>3</v>
      </c>
      <c r="BH83" s="2">
        <v>0</v>
      </c>
      <c r="BI83" s="2">
        <v>2</v>
      </c>
      <c r="BJ83" s="2" t="s">
        <v>23</v>
      </c>
      <c r="BK83" s="2"/>
      <c r="BL83" s="2"/>
      <c r="BM83" s="2">
        <v>69</v>
      </c>
      <c r="BN83" s="2">
        <v>0</v>
      </c>
      <c r="BO83" s="2" t="s">
        <v>20</v>
      </c>
      <c r="BP83" s="2">
        <v>1</v>
      </c>
      <c r="BQ83" s="2">
        <v>40</v>
      </c>
      <c r="BR83" s="2">
        <v>0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 t="s">
        <v>3</v>
      </c>
      <c r="BZ83" s="2">
        <v>95</v>
      </c>
      <c r="CA83" s="2">
        <v>53</v>
      </c>
      <c r="CB83" s="2" t="s">
        <v>3</v>
      </c>
      <c r="CC83" s="2"/>
      <c r="CD83" s="2"/>
      <c r="CE83" s="2">
        <v>1566</v>
      </c>
      <c r="CF83" s="2">
        <v>0</v>
      </c>
      <c r="CG83" s="2">
        <v>0</v>
      </c>
      <c r="CH83" s="2"/>
      <c r="CI83" s="2"/>
      <c r="CJ83" s="2"/>
      <c r="CK83" s="2"/>
      <c r="CL83" s="2"/>
      <c r="CM83" s="2">
        <v>0</v>
      </c>
      <c r="CN83" s="2" t="s">
        <v>491</v>
      </c>
      <c r="CO83" s="2">
        <v>0</v>
      </c>
      <c r="CP83" s="2">
        <f t="shared" ref="CP83:CP108" si="93">(P83+Q83+S83)</f>
        <v>99.7</v>
      </c>
      <c r="CQ83" s="2">
        <f t="shared" ref="CQ83:CQ108" si="94">ROUND((ROUND((AC83*AW83*1),2)*BC83),2)</f>
        <v>0.37</v>
      </c>
      <c r="CR83" s="2">
        <f>(ROUND((ROUND((((ET83*1.2))*AV83*1),2)*BB83),2)+ROUND((ROUND(((AE83-((EU83*1.2)))*AV83*1),2)*BS83),2))</f>
        <v>0</v>
      </c>
      <c r="CS83" s="2">
        <f>(ROUND((ROUND((((EU83*1.2))*AV83*1),2)*BS83),2)+ROUND((ROUND(((AE83-((EU83*1.2)))*AV83*1),2)*BS83),2))</f>
        <v>0</v>
      </c>
      <c r="CT83" s="2">
        <f t="shared" ref="CT83:CT108" si="95">ROUND((ROUND((AF83*AV83*1),2)*BA83),2)</f>
        <v>99.33</v>
      </c>
      <c r="CU83" s="2">
        <f t="shared" ref="CU83:CU108" si="96">AG83</f>
        <v>0</v>
      </c>
      <c r="CV83" s="2">
        <f t="shared" ref="CV83:CV108" si="97">(AH83*AV83)</f>
        <v>7.0046279999999994</v>
      </c>
      <c r="CW83" s="2">
        <f t="shared" ref="CW83:CW108" si="98">AI83</f>
        <v>0</v>
      </c>
      <c r="CX83" s="2">
        <f t="shared" ref="CX83:CX108" si="99">AJ83</f>
        <v>0</v>
      </c>
      <c r="CY83" s="2">
        <f>(ROUND((((S83+ROUND((ROUND((((EU83*1.2))*AV83*1),2)*BS83),2))*AT83)/100),2)+ROUND(((ROUND((ROUND(((AE83-((EU83*1.2)))*AV83*1),2)*BS83),2)*AT83)/100),2))</f>
        <v>94.36</v>
      </c>
      <c r="CZ83" s="2">
        <f>(ROUND((((S83+ROUND((ROUND((((EU83*1.2))*AV83*1),2)*BS83),2))*AU83)/100),2)+ROUND(((ROUND((ROUND(((AE83-((EU83*1.2)))*AV83*1),2)*BS83),2)*AU83)/100),2))</f>
        <v>52.64</v>
      </c>
      <c r="DA83" s="2"/>
      <c r="DB83" s="2">
        <v>35</v>
      </c>
      <c r="DC83" s="2" t="s">
        <v>3</v>
      </c>
      <c r="DD83" s="2" t="s">
        <v>56</v>
      </c>
      <c r="DE83" s="2" t="s">
        <v>57</v>
      </c>
      <c r="DF83" s="2" t="s">
        <v>57</v>
      </c>
      <c r="DG83" s="2" t="s">
        <v>57</v>
      </c>
      <c r="DH83" s="2" t="s">
        <v>3</v>
      </c>
      <c r="DI83" s="2" t="s">
        <v>57</v>
      </c>
      <c r="DJ83" s="2" t="s">
        <v>57</v>
      </c>
      <c r="DK83" s="2" t="s">
        <v>3</v>
      </c>
      <c r="DL83" s="2" t="s">
        <v>3</v>
      </c>
      <c r="DM83" s="2" t="s">
        <v>3</v>
      </c>
      <c r="DN83" s="2">
        <v>0</v>
      </c>
      <c r="DO83" s="2">
        <v>0</v>
      </c>
      <c r="DP83" s="2">
        <v>1</v>
      </c>
      <c r="DQ83" s="2">
        <v>1</v>
      </c>
      <c r="DR83" s="2"/>
      <c r="DS83" s="2"/>
      <c r="DT83" s="2"/>
      <c r="DU83" s="2">
        <v>1013</v>
      </c>
      <c r="DV83" s="2" t="s">
        <v>22</v>
      </c>
      <c r="DW83" s="2" t="s">
        <v>22</v>
      </c>
      <c r="DX83" s="2">
        <v>1</v>
      </c>
      <c r="DY83" s="2"/>
      <c r="DZ83" s="2" t="s">
        <v>3</v>
      </c>
      <c r="EA83" s="2" t="s">
        <v>3</v>
      </c>
      <c r="EB83" s="2" t="s">
        <v>3</v>
      </c>
      <c r="EC83" s="2" t="s">
        <v>3</v>
      </c>
      <c r="ED83" s="2"/>
      <c r="EE83" s="2">
        <v>55393701</v>
      </c>
      <c r="EF83" s="2">
        <v>40</v>
      </c>
      <c r="EG83" s="2" t="s">
        <v>26</v>
      </c>
      <c r="EH83" s="2">
        <v>0</v>
      </c>
      <c r="EI83" s="2" t="s">
        <v>3</v>
      </c>
      <c r="EJ83" s="2">
        <v>2</v>
      </c>
      <c r="EK83" s="2">
        <v>69</v>
      </c>
      <c r="EL83" s="2" t="s">
        <v>27</v>
      </c>
      <c r="EM83" s="2" t="s">
        <v>28</v>
      </c>
      <c r="EN83" s="2"/>
      <c r="EO83" s="2" t="s">
        <v>61</v>
      </c>
      <c r="EP83" s="2"/>
      <c r="EQ83" s="2">
        <v>0</v>
      </c>
      <c r="ER83" s="2">
        <v>76.52</v>
      </c>
      <c r="ES83" s="2">
        <v>0.37</v>
      </c>
      <c r="ET83" s="2">
        <v>0</v>
      </c>
      <c r="EU83" s="2">
        <v>0</v>
      </c>
      <c r="EV83" s="2">
        <v>76.150000000000006</v>
      </c>
      <c r="EW83" s="2">
        <v>5.37</v>
      </c>
      <c r="EX83" s="2">
        <v>0</v>
      </c>
      <c r="EY83" s="2">
        <v>0</v>
      </c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>
        <v>0</v>
      </c>
      <c r="FR83" s="2">
        <v>0</v>
      </c>
      <c r="FS83" s="2">
        <v>0</v>
      </c>
      <c r="FT83" s="2"/>
      <c r="FU83" s="2"/>
      <c r="FV83" s="2"/>
      <c r="FW83" s="2"/>
      <c r="FX83" s="2">
        <v>95</v>
      </c>
      <c r="FY83" s="2">
        <v>53</v>
      </c>
      <c r="FZ83" s="2"/>
      <c r="GA83" s="2" t="s">
        <v>3</v>
      </c>
      <c r="GB83" s="2"/>
      <c r="GC83" s="2"/>
      <c r="GD83" s="2">
        <v>1</v>
      </c>
      <c r="GE83" s="2"/>
      <c r="GF83" s="2">
        <v>1760566508</v>
      </c>
      <c r="GG83" s="2">
        <v>2</v>
      </c>
      <c r="GH83" s="2">
        <v>1</v>
      </c>
      <c r="GI83" s="2">
        <v>2</v>
      </c>
      <c r="GJ83" s="2">
        <v>0</v>
      </c>
      <c r="GK83" s="2">
        <v>0</v>
      </c>
      <c r="GL83" s="2">
        <f t="shared" ref="GL83:GL108" si="100">ROUND(IF(AND(BH83=3,BI83=3,FS83&lt;&gt;0),P83,0),2)</f>
        <v>0</v>
      </c>
      <c r="GM83" s="2">
        <f t="shared" ref="GM83:GM108" si="101">ROUND(O83+X83+Y83,2)+GX83</f>
        <v>246.7</v>
      </c>
      <c r="GN83" s="2">
        <f t="shared" ref="GN83:GN108" si="102">IF(OR(BI83=0,BI83=1),GM83-GX83,0)</f>
        <v>0</v>
      </c>
      <c r="GO83" s="2">
        <f t="shared" ref="GO83:GO108" si="103">IF(BI83=2,GM83-GX83,0)</f>
        <v>246.7</v>
      </c>
      <c r="GP83" s="2">
        <f t="shared" ref="GP83:GP108" si="104">IF(BI83=4,GM83-GX83,0)</f>
        <v>0</v>
      </c>
      <c r="GQ83" s="2"/>
      <c r="GR83" s="2">
        <v>0</v>
      </c>
      <c r="GS83" s="2">
        <v>3</v>
      </c>
      <c r="GT83" s="2">
        <v>0</v>
      </c>
      <c r="GU83" s="2" t="s">
        <v>3</v>
      </c>
      <c r="GV83" s="2">
        <f t="shared" ref="GV83:GV108" si="105">ROUND((GT83),6)</f>
        <v>0</v>
      </c>
      <c r="GW83" s="2">
        <v>1</v>
      </c>
      <c r="GX83" s="2">
        <f t="shared" ref="GX83:GX108" si="106">ROUND(HC83*I83,2)</f>
        <v>0</v>
      </c>
      <c r="GY83" s="2"/>
      <c r="GZ83" s="2"/>
      <c r="HA83" s="2">
        <v>0</v>
      </c>
      <c r="HB83" s="2">
        <v>0</v>
      </c>
      <c r="HC83" s="2">
        <f t="shared" ref="HC83:HC108" si="107">GV83*GW83</f>
        <v>0</v>
      </c>
      <c r="HD83" s="2"/>
      <c r="HE83" s="2" t="s">
        <v>3</v>
      </c>
      <c r="HF83" s="2" t="s">
        <v>3</v>
      </c>
      <c r="HG83" s="2"/>
      <c r="HH83" s="2"/>
      <c r="HI83" s="2"/>
      <c r="HJ83" s="2"/>
      <c r="HK83" s="2"/>
      <c r="HL83" s="2"/>
      <c r="HM83" s="2" t="s">
        <v>3</v>
      </c>
      <c r="HN83" s="2" t="s">
        <v>3</v>
      </c>
      <c r="HO83" s="2" t="s">
        <v>3</v>
      </c>
      <c r="HP83" s="2" t="s">
        <v>3</v>
      </c>
      <c r="HQ83" s="2" t="s">
        <v>3</v>
      </c>
      <c r="HR83" s="2"/>
      <c r="HS83" s="2">
        <v>0</v>
      </c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>
        <v>0</v>
      </c>
      <c r="IL83" s="2"/>
      <c r="IM83" s="2"/>
      <c r="IN83" s="2"/>
      <c r="IO83" s="2"/>
      <c r="IP83" s="2"/>
      <c r="IQ83" s="2"/>
      <c r="IR83" s="2"/>
      <c r="IS83" s="2"/>
      <c r="IT83" s="2"/>
      <c r="IU83" s="2"/>
    </row>
    <row r="84" spans="1:255" x14ac:dyDescent="0.2">
      <c r="A84" s="3">
        <v>17</v>
      </c>
      <c r="B84" s="3">
        <v>1</v>
      </c>
      <c r="C84" s="3">
        <f>ROW(SmtRes!A68)</f>
        <v>68</v>
      </c>
      <c r="D84" s="3">
        <f>ROW(EtalonRes!A82)</f>
        <v>82</v>
      </c>
      <c r="E84" s="3" t="s">
        <v>130</v>
      </c>
      <c r="F84" s="3" t="s">
        <v>20</v>
      </c>
      <c r="G84" s="3" t="s">
        <v>131</v>
      </c>
      <c r="H84" s="3" t="s">
        <v>22</v>
      </c>
      <c r="I84" s="3">
        <v>1</v>
      </c>
      <c r="J84" s="3">
        <v>0</v>
      </c>
      <c r="K84" s="3">
        <v>1</v>
      </c>
      <c r="O84" s="3">
        <f t="shared" si="83"/>
        <v>5599.27</v>
      </c>
      <c r="P84" s="3">
        <f t="shared" si="84"/>
        <v>2.02</v>
      </c>
      <c r="Q84" s="3">
        <f>(ROUND((ROUND((((ET84*1.2))*AV84*I84),2)*BB84),2)+ROUND((ROUND(((AE84-((EU84*1.2)))*AV84*I84),2)*BS84),2))</f>
        <v>0</v>
      </c>
      <c r="R84" s="3">
        <f>(ROUND((ROUND((((EU84*1.2))*AV84*I84),2)*BS84),2)+ROUND((ROUND(((AE84-((EU84*1.2)))*AV84*I84),2)*BS84),2))</f>
        <v>0</v>
      </c>
      <c r="S84" s="3">
        <f t="shared" si="85"/>
        <v>5597.25</v>
      </c>
      <c r="T84" s="3">
        <f t="shared" si="86"/>
        <v>0</v>
      </c>
      <c r="U84" s="3">
        <f t="shared" si="87"/>
        <v>7.0046279999999994</v>
      </c>
      <c r="V84" s="3">
        <f t="shared" si="88"/>
        <v>0</v>
      </c>
      <c r="W84" s="3">
        <f t="shared" si="89"/>
        <v>0</v>
      </c>
      <c r="X84" s="3">
        <f>(ROUND((((S84+ROUND((ROUND((((EU84*1.2))*AV84*I84),2)*BS84),2))*AT84)/100),2)+ROUND(((ROUND((ROUND(((AE84-((EU84*1.2)))*AV84*I84),2)*BS84),2)*AT84)/100),2))</f>
        <v>5317.39</v>
      </c>
      <c r="Y84" s="3">
        <f>(ROUND((((S84+ROUND((ROUND((((EU84*1.2))*AV84*I84),2)*BS84),2))*AU84)/100),2)+ROUND(((ROUND((ROUND(((AE84-((EU84*1.2)))*AV84*I84),2)*BS84),2)*AU84)/100),2))</f>
        <v>2966.54</v>
      </c>
      <c r="AA84" s="3">
        <v>55919549</v>
      </c>
      <c r="AB84" s="3">
        <f t="shared" si="90"/>
        <v>91.75</v>
      </c>
      <c r="AC84" s="3">
        <f>ROUND(((ES84*1)),6)</f>
        <v>0.37</v>
      </c>
      <c r="AD84" s="3">
        <f>ROUND(((((ET84*1.2))-((EU84*1.2)))+AE84),6)</f>
        <v>0</v>
      </c>
      <c r="AE84" s="3">
        <f>ROUND(((EU84*1.2)),6)</f>
        <v>0</v>
      </c>
      <c r="AF84" s="3">
        <f>ROUND(((EV84*1.2)),6)</f>
        <v>91.38</v>
      </c>
      <c r="AG84" s="3">
        <f t="shared" si="91"/>
        <v>0</v>
      </c>
      <c r="AH84" s="3">
        <f>((EW84*1.2))</f>
        <v>6.444</v>
      </c>
      <c r="AI84" s="3">
        <f>((EX84*1.2))</f>
        <v>0</v>
      </c>
      <c r="AJ84" s="3">
        <f t="shared" si="92"/>
        <v>0</v>
      </c>
      <c r="AK84" s="3">
        <v>76.52</v>
      </c>
      <c r="AL84" s="3">
        <v>0.37</v>
      </c>
      <c r="AM84" s="3">
        <v>0</v>
      </c>
      <c r="AN84" s="3">
        <v>0</v>
      </c>
      <c r="AO84" s="3">
        <v>76.150000000000006</v>
      </c>
      <c r="AP84" s="3">
        <v>0</v>
      </c>
      <c r="AQ84" s="3">
        <v>5.37</v>
      </c>
      <c r="AR84" s="3">
        <v>0</v>
      </c>
      <c r="AS84" s="3">
        <v>0</v>
      </c>
      <c r="AT84" s="3">
        <v>95</v>
      </c>
      <c r="AU84" s="3">
        <v>53</v>
      </c>
      <c r="AV84" s="3">
        <v>1.087</v>
      </c>
      <c r="AW84" s="3">
        <v>1</v>
      </c>
      <c r="AZ84" s="3">
        <v>1</v>
      </c>
      <c r="BA84" s="3">
        <v>56.35</v>
      </c>
      <c r="BB84" s="3">
        <v>1</v>
      </c>
      <c r="BC84" s="3">
        <v>5.46</v>
      </c>
      <c r="BD84" s="3" t="s">
        <v>3</v>
      </c>
      <c r="BE84" s="3" t="s">
        <v>3</v>
      </c>
      <c r="BF84" s="3" t="s">
        <v>3</v>
      </c>
      <c r="BG84" s="3" t="s">
        <v>3</v>
      </c>
      <c r="BH84" s="3">
        <v>0</v>
      </c>
      <c r="BI84" s="3">
        <v>2</v>
      </c>
      <c r="BJ84" s="3" t="s">
        <v>23</v>
      </c>
      <c r="BM84" s="3">
        <v>69</v>
      </c>
      <c r="BN84" s="3">
        <v>0</v>
      </c>
      <c r="BO84" s="3" t="s">
        <v>20</v>
      </c>
      <c r="BP84" s="3">
        <v>1</v>
      </c>
      <c r="BQ84" s="3">
        <v>40</v>
      </c>
      <c r="BR84" s="3">
        <v>0</v>
      </c>
      <c r="BS84" s="3">
        <v>56.35</v>
      </c>
      <c r="BT84" s="3">
        <v>1</v>
      </c>
      <c r="BU84" s="3">
        <v>1</v>
      </c>
      <c r="BV84" s="3">
        <v>1</v>
      </c>
      <c r="BW84" s="3">
        <v>1</v>
      </c>
      <c r="BX84" s="3">
        <v>1</v>
      </c>
      <c r="BY84" s="3" t="s">
        <v>3</v>
      </c>
      <c r="BZ84" s="3">
        <v>95</v>
      </c>
      <c r="CA84" s="3">
        <v>53</v>
      </c>
      <c r="CB84" s="3" t="s">
        <v>3</v>
      </c>
      <c r="CE84" s="3">
        <v>1566</v>
      </c>
      <c r="CF84" s="3">
        <v>0</v>
      </c>
      <c r="CG84" s="3">
        <v>0</v>
      </c>
      <c r="CM84" s="3">
        <v>0</v>
      </c>
      <c r="CN84" s="3" t="s">
        <v>491</v>
      </c>
      <c r="CO84" s="3">
        <v>0</v>
      </c>
      <c r="CP84" s="3">
        <f t="shared" si="93"/>
        <v>5599.27</v>
      </c>
      <c r="CQ84" s="3">
        <f t="shared" si="94"/>
        <v>2.02</v>
      </c>
      <c r="CR84" s="3">
        <f>(ROUND((ROUND((((ET84*1.2))*AV84*1),2)*BB84),2)+ROUND((ROUND(((AE84-((EU84*1.2)))*AV84*1),2)*BS84),2))</f>
        <v>0</v>
      </c>
      <c r="CS84" s="3">
        <f>(ROUND((ROUND((((EU84*1.2))*AV84*1),2)*BS84),2)+ROUND((ROUND(((AE84-((EU84*1.2)))*AV84*1),2)*BS84),2))</f>
        <v>0</v>
      </c>
      <c r="CT84" s="3">
        <f t="shared" si="95"/>
        <v>5597.25</v>
      </c>
      <c r="CU84" s="3">
        <f t="shared" si="96"/>
        <v>0</v>
      </c>
      <c r="CV84" s="3">
        <f t="shared" si="97"/>
        <v>7.0046279999999994</v>
      </c>
      <c r="CW84" s="3">
        <f t="shared" si="98"/>
        <v>0</v>
      </c>
      <c r="CX84" s="3">
        <f t="shared" si="99"/>
        <v>0</v>
      </c>
      <c r="CY84" s="3">
        <f>(ROUND((((S84+ROUND((ROUND((((EU84*1.2))*AV84*1),2)*BS84),2))*AT84)/100),2)+ROUND(((ROUND((ROUND(((AE84-((EU84*1.2)))*AV84*1),2)*BS84),2)*AT84)/100),2))</f>
        <v>5317.39</v>
      </c>
      <c r="CZ84" s="3">
        <f>(ROUND((((S84+ROUND((ROUND((((EU84*1.2))*AV84*1),2)*BS84),2))*AU84)/100),2)+ROUND(((ROUND((ROUND(((AE84-((EU84*1.2)))*AV84*1),2)*BS84),2)*AU84)/100),2))</f>
        <v>2966.54</v>
      </c>
      <c r="DB84" s="3">
        <v>36</v>
      </c>
      <c r="DC84" s="3" t="s">
        <v>3</v>
      </c>
      <c r="DD84" s="3" t="s">
        <v>56</v>
      </c>
      <c r="DE84" s="3" t="s">
        <v>57</v>
      </c>
      <c r="DF84" s="3" t="s">
        <v>57</v>
      </c>
      <c r="DG84" s="3" t="s">
        <v>57</v>
      </c>
      <c r="DH84" s="3" t="s">
        <v>3</v>
      </c>
      <c r="DI84" s="3" t="s">
        <v>57</v>
      </c>
      <c r="DJ84" s="3" t="s">
        <v>57</v>
      </c>
      <c r="DK84" s="3" t="s">
        <v>3</v>
      </c>
      <c r="DL84" s="3" t="s">
        <v>3</v>
      </c>
      <c r="DM84" s="3" t="s">
        <v>3</v>
      </c>
      <c r="DN84" s="3">
        <v>0</v>
      </c>
      <c r="DO84" s="3">
        <v>0</v>
      </c>
      <c r="DP84" s="3">
        <v>1</v>
      </c>
      <c r="DQ84" s="3">
        <v>1</v>
      </c>
      <c r="DU84" s="3">
        <v>1013</v>
      </c>
      <c r="DV84" s="3" t="s">
        <v>22</v>
      </c>
      <c r="DW84" s="3" t="s">
        <v>22</v>
      </c>
      <c r="DX84" s="3">
        <v>1</v>
      </c>
      <c r="DZ84" s="3" t="s">
        <v>3</v>
      </c>
      <c r="EA84" s="3" t="s">
        <v>3</v>
      </c>
      <c r="EB84" s="3" t="s">
        <v>3</v>
      </c>
      <c r="EC84" s="3" t="s">
        <v>3</v>
      </c>
      <c r="EE84" s="3">
        <v>55393701</v>
      </c>
      <c r="EF84" s="3">
        <v>40</v>
      </c>
      <c r="EG84" s="3" t="s">
        <v>26</v>
      </c>
      <c r="EH84" s="3">
        <v>0</v>
      </c>
      <c r="EI84" s="3" t="s">
        <v>3</v>
      </c>
      <c r="EJ84" s="3">
        <v>2</v>
      </c>
      <c r="EK84" s="3">
        <v>69</v>
      </c>
      <c r="EL84" s="3" t="s">
        <v>27</v>
      </c>
      <c r="EM84" s="3" t="s">
        <v>28</v>
      </c>
      <c r="EO84" s="3" t="s">
        <v>61</v>
      </c>
      <c r="EQ84" s="3">
        <v>0</v>
      </c>
      <c r="ER84" s="3">
        <v>76.52</v>
      </c>
      <c r="ES84" s="3">
        <v>0.37</v>
      </c>
      <c r="ET84" s="3">
        <v>0</v>
      </c>
      <c r="EU84" s="3">
        <v>0</v>
      </c>
      <c r="EV84" s="3">
        <v>76.150000000000006</v>
      </c>
      <c r="EW84" s="3">
        <v>5.37</v>
      </c>
      <c r="EX84" s="3">
        <v>0</v>
      </c>
      <c r="EY84" s="3">
        <v>0</v>
      </c>
      <c r="FQ84" s="3">
        <v>0</v>
      </c>
      <c r="FR84" s="3">
        <v>0</v>
      </c>
      <c r="FS84" s="3">
        <v>0</v>
      </c>
      <c r="FX84" s="3">
        <v>95</v>
      </c>
      <c r="FY84" s="3">
        <v>53</v>
      </c>
      <c r="GA84" s="3" t="s">
        <v>3</v>
      </c>
      <c r="GD84" s="3">
        <v>1</v>
      </c>
      <c r="GF84" s="3">
        <v>1760566508</v>
      </c>
      <c r="GG84" s="3">
        <v>2</v>
      </c>
      <c r="GH84" s="3">
        <v>1</v>
      </c>
      <c r="GI84" s="3">
        <v>2</v>
      </c>
      <c r="GJ84" s="3">
        <v>0</v>
      </c>
      <c r="GK84" s="3">
        <v>0</v>
      </c>
      <c r="GL84" s="3">
        <f t="shared" si="100"/>
        <v>0</v>
      </c>
      <c r="GM84" s="3">
        <f t="shared" si="101"/>
        <v>13883.2</v>
      </c>
      <c r="GN84" s="3">
        <f t="shared" si="102"/>
        <v>0</v>
      </c>
      <c r="GO84" s="3">
        <f t="shared" si="103"/>
        <v>13883.2</v>
      </c>
      <c r="GP84" s="3">
        <f t="shared" si="104"/>
        <v>0</v>
      </c>
      <c r="GR84" s="3">
        <v>0</v>
      </c>
      <c r="GS84" s="3">
        <v>3</v>
      </c>
      <c r="GT84" s="3">
        <v>0</v>
      </c>
      <c r="GU84" s="3" t="s">
        <v>3</v>
      </c>
      <c r="GV84" s="3">
        <f t="shared" si="105"/>
        <v>0</v>
      </c>
      <c r="GW84" s="3">
        <v>1</v>
      </c>
      <c r="GX84" s="3">
        <f t="shared" si="106"/>
        <v>0</v>
      </c>
      <c r="HA84" s="3">
        <v>0</v>
      </c>
      <c r="HB84" s="3">
        <v>0</v>
      </c>
      <c r="HC84" s="3">
        <f t="shared" si="107"/>
        <v>0</v>
      </c>
      <c r="HE84" s="3" t="s">
        <v>3</v>
      </c>
      <c r="HF84" s="3" t="s">
        <v>3</v>
      </c>
      <c r="HM84" s="3" t="s">
        <v>3</v>
      </c>
      <c r="HN84" s="3" t="s">
        <v>3</v>
      </c>
      <c r="HO84" s="3" t="s">
        <v>3</v>
      </c>
      <c r="HP84" s="3" t="s">
        <v>3</v>
      </c>
      <c r="HQ84" s="3" t="s">
        <v>3</v>
      </c>
      <c r="HS84" s="3">
        <v>0</v>
      </c>
      <c r="IK84" s="3">
        <v>0</v>
      </c>
    </row>
    <row r="85" spans="1:255" x14ac:dyDescent="0.2">
      <c r="A85" s="2">
        <v>17</v>
      </c>
      <c r="B85" s="2">
        <v>1</v>
      </c>
      <c r="C85" s="2"/>
      <c r="D85" s="2"/>
      <c r="E85" s="2" t="s">
        <v>132</v>
      </c>
      <c r="F85" s="2" t="s">
        <v>133</v>
      </c>
      <c r="G85" s="2" t="s">
        <v>134</v>
      </c>
      <c r="H85" s="2" t="s">
        <v>135</v>
      </c>
      <c r="I85" s="2">
        <v>1</v>
      </c>
      <c r="J85" s="2">
        <v>0</v>
      </c>
      <c r="K85" s="2">
        <v>1</v>
      </c>
      <c r="L85" s="2"/>
      <c r="M85" s="2"/>
      <c r="N85" s="2"/>
      <c r="O85" s="2">
        <f t="shared" si="83"/>
        <v>477.56</v>
      </c>
      <c r="P85" s="2">
        <f t="shared" si="84"/>
        <v>477.56</v>
      </c>
      <c r="Q85" s="2">
        <f>(ROUND((ROUND(((ET85)*AV85*I85),2)*BB85),2)+ROUND((ROUND(((AE85-(EU85))*AV85*I85),2)*BS85),2))</f>
        <v>0</v>
      </c>
      <c r="R85" s="2">
        <f>(ROUND((ROUND(((EU85)*AV85*I85),2)*BS85),2)+ROUND((ROUND(((AE85-(EU85))*AV85*I85),2)*BS85),2))</f>
        <v>0</v>
      </c>
      <c r="S85" s="2">
        <f t="shared" si="85"/>
        <v>0</v>
      </c>
      <c r="T85" s="2">
        <f t="shared" si="86"/>
        <v>0</v>
      </c>
      <c r="U85" s="2">
        <f t="shared" si="87"/>
        <v>0</v>
      </c>
      <c r="V85" s="2">
        <f t="shared" si="88"/>
        <v>0</v>
      </c>
      <c r="W85" s="2">
        <f t="shared" si="89"/>
        <v>0</v>
      </c>
      <c r="X85" s="2">
        <f>(ROUND((((S85+ROUND((ROUND(((EU85)*AV85*I85),2)*BS85),2))*AT85)/100),2)+ROUND(((ROUND((ROUND(((AE85-(EU85))*AV85*I85),2)*BS85),2)*AT85)/100),2))</f>
        <v>0</v>
      </c>
      <c r="Y85" s="2">
        <f>(ROUND((((S85+ROUND((ROUND(((EU85)*AV85*I85),2)*BS85),2))*AU85)/100),2)+ROUND(((ROUND((ROUND(((AE85-(EU85))*AV85*I85),2)*BS85),2)*AU85)/100),2))</f>
        <v>0</v>
      </c>
      <c r="Z85" s="2"/>
      <c r="AA85" s="2">
        <v>55919547</v>
      </c>
      <c r="AB85" s="2">
        <f t="shared" si="90"/>
        <v>477.56</v>
      </c>
      <c r="AC85" s="2">
        <f>ROUND((ES85),6)</f>
        <v>477.56</v>
      </c>
      <c r="AD85" s="2">
        <f>ROUND((((ET85)-(EU85))+AE85),6)</f>
        <v>0</v>
      </c>
      <c r="AE85" s="2">
        <f>ROUND((EU85),6)</f>
        <v>0</v>
      </c>
      <c r="AF85" s="2">
        <f>ROUND((EV85),6)</f>
        <v>0</v>
      </c>
      <c r="AG85" s="2">
        <f t="shared" si="91"/>
        <v>0</v>
      </c>
      <c r="AH85" s="2">
        <f>(EW85)</f>
        <v>0</v>
      </c>
      <c r="AI85" s="2">
        <f>(EX85)</f>
        <v>0</v>
      </c>
      <c r="AJ85" s="2">
        <f t="shared" si="92"/>
        <v>0</v>
      </c>
      <c r="AK85" s="2">
        <v>477.56</v>
      </c>
      <c r="AL85" s="2">
        <v>477.56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1</v>
      </c>
      <c r="AW85" s="2">
        <v>1</v>
      </c>
      <c r="AX85" s="2"/>
      <c r="AY85" s="2"/>
      <c r="AZ85" s="2">
        <v>1</v>
      </c>
      <c r="BA85" s="2">
        <v>1</v>
      </c>
      <c r="BB85" s="2">
        <v>1</v>
      </c>
      <c r="BC85" s="2">
        <v>1</v>
      </c>
      <c r="BD85" s="2" t="s">
        <v>3</v>
      </c>
      <c r="BE85" s="2" t="s">
        <v>3</v>
      </c>
      <c r="BF85" s="2" t="s">
        <v>3</v>
      </c>
      <c r="BG85" s="2" t="s">
        <v>3</v>
      </c>
      <c r="BH85" s="2">
        <v>3</v>
      </c>
      <c r="BI85" s="2">
        <v>3</v>
      </c>
      <c r="BJ85" s="2" t="s">
        <v>133</v>
      </c>
      <c r="BK85" s="2"/>
      <c r="BL85" s="2"/>
      <c r="BM85" s="2">
        <v>400007</v>
      </c>
      <c r="BN85" s="2">
        <v>0</v>
      </c>
      <c r="BO85" s="2" t="s">
        <v>3</v>
      </c>
      <c r="BP85" s="2">
        <v>0</v>
      </c>
      <c r="BQ85" s="2">
        <v>214</v>
      </c>
      <c r="BR85" s="2">
        <v>0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 t="s">
        <v>3</v>
      </c>
      <c r="BZ85" s="2">
        <v>0</v>
      </c>
      <c r="CA85" s="2">
        <v>0</v>
      </c>
      <c r="CB85" s="2" t="s">
        <v>3</v>
      </c>
      <c r="CC85" s="2"/>
      <c r="CD85" s="2"/>
      <c r="CE85" s="2">
        <v>1566</v>
      </c>
      <c r="CF85" s="2">
        <v>0</v>
      </c>
      <c r="CG85" s="2">
        <v>0</v>
      </c>
      <c r="CH85" s="2"/>
      <c r="CI85" s="2"/>
      <c r="CJ85" s="2"/>
      <c r="CK85" s="2"/>
      <c r="CL85" s="2"/>
      <c r="CM85" s="2">
        <v>0</v>
      </c>
      <c r="CN85" s="2" t="s">
        <v>3</v>
      </c>
      <c r="CO85" s="2">
        <v>0</v>
      </c>
      <c r="CP85" s="2">
        <f t="shared" si="93"/>
        <v>477.56</v>
      </c>
      <c r="CQ85" s="2">
        <f t="shared" si="94"/>
        <v>477.56</v>
      </c>
      <c r="CR85" s="2">
        <f>(ROUND((ROUND(((ET85)*AV85*1),2)*BB85),2)+ROUND((ROUND(((AE85-(EU85))*AV85*1),2)*BS85),2))</f>
        <v>0</v>
      </c>
      <c r="CS85" s="2">
        <f>(ROUND((ROUND(((EU85)*AV85*1),2)*BS85),2)+ROUND((ROUND(((AE85-(EU85))*AV85*1),2)*BS85),2))</f>
        <v>0</v>
      </c>
      <c r="CT85" s="2">
        <f t="shared" si="95"/>
        <v>0</v>
      </c>
      <c r="CU85" s="2">
        <f t="shared" si="96"/>
        <v>0</v>
      </c>
      <c r="CV85" s="2">
        <f t="shared" si="97"/>
        <v>0</v>
      </c>
      <c r="CW85" s="2">
        <f t="shared" si="98"/>
        <v>0</v>
      </c>
      <c r="CX85" s="2">
        <f t="shared" si="99"/>
        <v>0</v>
      </c>
      <c r="CY85" s="2">
        <f>(ROUND((((S85+ROUND((ROUND(((EU85)*AV85*1),2)*BS85),2))*AT85)/100),2)+ROUND(((ROUND((ROUND(((AE85-(EU85))*AV85*1),2)*BS85),2)*AT85)/100),2))</f>
        <v>0</v>
      </c>
      <c r="CZ85" s="2">
        <f>(ROUND((((S85+ROUND((ROUND(((EU85)*AV85*1),2)*BS85),2))*AU85)/100),2)+ROUND(((ROUND((ROUND(((AE85-(EU85))*AV85*1),2)*BS85),2)*AU85)/100),2))</f>
        <v>0</v>
      </c>
      <c r="DA85" s="2"/>
      <c r="DB85" s="2"/>
      <c r="DC85" s="2" t="s">
        <v>3</v>
      </c>
      <c r="DD85" s="2" t="s">
        <v>3</v>
      </c>
      <c r="DE85" s="2" t="s">
        <v>3</v>
      </c>
      <c r="DF85" s="2" t="s">
        <v>3</v>
      </c>
      <c r="DG85" s="2" t="s">
        <v>3</v>
      </c>
      <c r="DH85" s="2" t="s">
        <v>3</v>
      </c>
      <c r="DI85" s="2" t="s">
        <v>3</v>
      </c>
      <c r="DJ85" s="2" t="s">
        <v>3</v>
      </c>
      <c r="DK85" s="2" t="s">
        <v>3</v>
      </c>
      <c r="DL85" s="2" t="s">
        <v>3</v>
      </c>
      <c r="DM85" s="2" t="s">
        <v>3</v>
      </c>
      <c r="DN85" s="2">
        <v>0</v>
      </c>
      <c r="DO85" s="2">
        <v>0</v>
      </c>
      <c r="DP85" s="2">
        <v>1</v>
      </c>
      <c r="DQ85" s="2">
        <v>1</v>
      </c>
      <c r="DR85" s="2"/>
      <c r="DS85" s="2"/>
      <c r="DT85" s="2"/>
      <c r="DU85" s="2">
        <v>1013</v>
      </c>
      <c r="DV85" s="2" t="s">
        <v>135</v>
      </c>
      <c r="DW85" s="2" t="s">
        <v>135</v>
      </c>
      <c r="DX85" s="2">
        <v>1</v>
      </c>
      <c r="DY85" s="2"/>
      <c r="DZ85" s="2" t="s">
        <v>3</v>
      </c>
      <c r="EA85" s="2" t="s">
        <v>3</v>
      </c>
      <c r="EB85" s="2" t="s">
        <v>3</v>
      </c>
      <c r="EC85" s="2" t="s">
        <v>3</v>
      </c>
      <c r="ED85" s="2"/>
      <c r="EE85" s="2">
        <v>55393630</v>
      </c>
      <c r="EF85" s="2">
        <v>214</v>
      </c>
      <c r="EG85" s="2" t="s">
        <v>136</v>
      </c>
      <c r="EH85" s="2">
        <v>0</v>
      </c>
      <c r="EI85" s="2" t="s">
        <v>3</v>
      </c>
      <c r="EJ85" s="2">
        <v>3</v>
      </c>
      <c r="EK85" s="2">
        <v>400007</v>
      </c>
      <c r="EL85" s="2" t="s">
        <v>136</v>
      </c>
      <c r="EM85" s="2" t="s">
        <v>137</v>
      </c>
      <c r="EN85" s="2"/>
      <c r="EO85" s="2" t="s">
        <v>3</v>
      </c>
      <c r="EP85" s="2"/>
      <c r="EQ85" s="2">
        <v>16</v>
      </c>
      <c r="ER85" s="2">
        <v>0</v>
      </c>
      <c r="ES85" s="2">
        <v>477.56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>
        <v>0</v>
      </c>
      <c r="FR85" s="2">
        <f>P85</f>
        <v>477.56</v>
      </c>
      <c r="FS85" s="2">
        <v>0</v>
      </c>
      <c r="FT85" s="2"/>
      <c r="FU85" s="2"/>
      <c r="FV85" s="2"/>
      <c r="FW85" s="2"/>
      <c r="FX85" s="2">
        <v>0</v>
      </c>
      <c r="FY85" s="2">
        <v>0</v>
      </c>
      <c r="FZ85" s="2"/>
      <c r="GA85" s="2" t="s">
        <v>138</v>
      </c>
      <c r="GB85" s="2"/>
      <c r="GC85" s="2"/>
      <c r="GD85" s="2">
        <v>1</v>
      </c>
      <c r="GE85" s="2"/>
      <c r="GF85" s="2">
        <v>1035702266</v>
      </c>
      <c r="GG85" s="2">
        <v>2</v>
      </c>
      <c r="GH85" s="2">
        <v>4</v>
      </c>
      <c r="GI85" s="2">
        <v>-2</v>
      </c>
      <c r="GJ85" s="2">
        <v>0</v>
      </c>
      <c r="GK85" s="2">
        <v>0</v>
      </c>
      <c r="GL85" s="2">
        <f t="shared" si="100"/>
        <v>0</v>
      </c>
      <c r="GM85" s="2">
        <f t="shared" si="101"/>
        <v>477.56</v>
      </c>
      <c r="GN85" s="2">
        <f t="shared" si="102"/>
        <v>0</v>
      </c>
      <c r="GO85" s="2">
        <f t="shared" si="103"/>
        <v>0</v>
      </c>
      <c r="GP85" s="2">
        <f t="shared" si="104"/>
        <v>0</v>
      </c>
      <c r="GQ85" s="2"/>
      <c r="GR85" s="2">
        <v>1</v>
      </c>
      <c r="GS85" s="2">
        <v>2</v>
      </c>
      <c r="GT85" s="2">
        <v>0</v>
      </c>
      <c r="GU85" s="2" t="s">
        <v>3</v>
      </c>
      <c r="GV85" s="2">
        <f t="shared" si="105"/>
        <v>0</v>
      </c>
      <c r="GW85" s="2">
        <v>1</v>
      </c>
      <c r="GX85" s="2">
        <f t="shared" si="106"/>
        <v>0</v>
      </c>
      <c r="GY85" s="2"/>
      <c r="GZ85" s="2"/>
      <c r="HA85" s="2">
        <v>0</v>
      </c>
      <c r="HB85" s="2">
        <v>0</v>
      </c>
      <c r="HC85" s="2">
        <f t="shared" si="107"/>
        <v>0</v>
      </c>
      <c r="HD85" s="2"/>
      <c r="HE85" s="2" t="s">
        <v>139</v>
      </c>
      <c r="HF85" s="2" t="s">
        <v>35</v>
      </c>
      <c r="HG85" s="2"/>
      <c r="HH85" s="2"/>
      <c r="HI85" s="2"/>
      <c r="HJ85" s="2"/>
      <c r="HK85" s="2"/>
      <c r="HL85" s="2"/>
      <c r="HM85" s="2" t="s">
        <v>3</v>
      </c>
      <c r="HN85" s="2" t="s">
        <v>3</v>
      </c>
      <c r="HO85" s="2" t="s">
        <v>3</v>
      </c>
      <c r="HP85" s="2" t="s">
        <v>3</v>
      </c>
      <c r="HQ85" s="2" t="s">
        <v>3</v>
      </c>
      <c r="HR85" s="2"/>
      <c r="HS85" s="2">
        <v>0</v>
      </c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>
        <v>0</v>
      </c>
      <c r="IL85" s="2"/>
      <c r="IM85" s="2"/>
      <c r="IN85" s="2"/>
      <c r="IO85" s="2"/>
      <c r="IP85" s="2"/>
      <c r="IQ85" s="2"/>
      <c r="IR85" s="2"/>
      <c r="IS85" s="2"/>
      <c r="IT85" s="2"/>
      <c r="IU85" s="2"/>
    </row>
    <row r="86" spans="1:255" x14ac:dyDescent="0.2">
      <c r="A86" s="3">
        <v>17</v>
      </c>
      <c r="B86" s="3">
        <v>1</v>
      </c>
      <c r="E86" s="3" t="s">
        <v>132</v>
      </c>
      <c r="F86" s="3" t="s">
        <v>133</v>
      </c>
      <c r="G86" s="3" t="s">
        <v>134</v>
      </c>
      <c r="H86" s="3" t="s">
        <v>135</v>
      </c>
      <c r="I86" s="3">
        <v>1</v>
      </c>
      <c r="J86" s="3">
        <v>0</v>
      </c>
      <c r="K86" s="3">
        <v>1</v>
      </c>
      <c r="O86" s="3">
        <f t="shared" si="83"/>
        <v>4699.1899999999996</v>
      </c>
      <c r="P86" s="3">
        <f t="shared" si="84"/>
        <v>4699.1899999999996</v>
      </c>
      <c r="Q86" s="3">
        <f>(ROUND((ROUND(((ET86)*AV86*I86),2)*BB86),2)+ROUND((ROUND(((AE86-(EU86))*AV86*I86),2)*BS86),2))</f>
        <v>0</v>
      </c>
      <c r="R86" s="3">
        <f>(ROUND((ROUND(((EU86)*AV86*I86),2)*BS86),2)+ROUND((ROUND(((AE86-(EU86))*AV86*I86),2)*BS86),2))</f>
        <v>0</v>
      </c>
      <c r="S86" s="3">
        <f t="shared" si="85"/>
        <v>0</v>
      </c>
      <c r="T86" s="3">
        <f t="shared" si="86"/>
        <v>0</v>
      </c>
      <c r="U86" s="3">
        <f t="shared" si="87"/>
        <v>0</v>
      </c>
      <c r="V86" s="3">
        <f t="shared" si="88"/>
        <v>0</v>
      </c>
      <c r="W86" s="3">
        <f t="shared" si="89"/>
        <v>0</v>
      </c>
      <c r="X86" s="3">
        <f>(ROUND((((S86+ROUND((ROUND(((EU86)*AV86*I86),2)*BS86),2))*AT86)/100),2)+ROUND(((ROUND((ROUND(((AE86-(EU86))*AV86*I86),2)*BS86),2)*AT86)/100),2))</f>
        <v>0</v>
      </c>
      <c r="Y86" s="3">
        <f>(ROUND((((S86+ROUND((ROUND(((EU86)*AV86*I86),2)*BS86),2))*AU86)/100),2)+ROUND(((ROUND((ROUND(((AE86-(EU86))*AV86*I86),2)*BS86),2)*AU86)/100),2))</f>
        <v>0</v>
      </c>
      <c r="AA86" s="3">
        <v>55919549</v>
      </c>
      <c r="AB86" s="3">
        <f t="shared" si="90"/>
        <v>477.56</v>
      </c>
      <c r="AC86" s="3">
        <f>ROUND((ES86),6)</f>
        <v>477.56</v>
      </c>
      <c r="AD86" s="3">
        <f>ROUND((((ET86)-(EU86))+AE86),6)</f>
        <v>0</v>
      </c>
      <c r="AE86" s="3">
        <f>ROUND((EU86),6)</f>
        <v>0</v>
      </c>
      <c r="AF86" s="3">
        <f>ROUND((EV86),6)</f>
        <v>0</v>
      </c>
      <c r="AG86" s="3">
        <f t="shared" si="91"/>
        <v>0</v>
      </c>
      <c r="AH86" s="3">
        <f>(EW86)</f>
        <v>0</v>
      </c>
      <c r="AI86" s="3">
        <f>(EX86)</f>
        <v>0</v>
      </c>
      <c r="AJ86" s="3">
        <f t="shared" si="92"/>
        <v>0</v>
      </c>
      <c r="AK86" s="3">
        <v>477.56</v>
      </c>
      <c r="AL86" s="3">
        <v>477.56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1</v>
      </c>
      <c r="AW86" s="3">
        <v>1</v>
      </c>
      <c r="AZ86" s="3">
        <v>1</v>
      </c>
      <c r="BA86" s="3">
        <v>1</v>
      </c>
      <c r="BB86" s="3">
        <v>1</v>
      </c>
      <c r="BC86" s="3">
        <v>9.84</v>
      </c>
      <c r="BD86" s="3" t="s">
        <v>3</v>
      </c>
      <c r="BE86" s="3" t="s">
        <v>3</v>
      </c>
      <c r="BF86" s="3" t="s">
        <v>3</v>
      </c>
      <c r="BG86" s="3" t="s">
        <v>3</v>
      </c>
      <c r="BH86" s="3">
        <v>3</v>
      </c>
      <c r="BI86" s="3">
        <v>3</v>
      </c>
      <c r="BJ86" s="3" t="s">
        <v>133</v>
      </c>
      <c r="BM86" s="3">
        <v>400007</v>
      </c>
      <c r="BN86" s="3">
        <v>0</v>
      </c>
      <c r="BO86" s="3" t="s">
        <v>3</v>
      </c>
      <c r="BP86" s="3">
        <v>0</v>
      </c>
      <c r="BQ86" s="3">
        <v>214</v>
      </c>
      <c r="BR86" s="3">
        <v>0</v>
      </c>
      <c r="BS86" s="3">
        <v>1</v>
      </c>
      <c r="BT86" s="3">
        <v>1</v>
      </c>
      <c r="BU86" s="3">
        <v>1</v>
      </c>
      <c r="BV86" s="3">
        <v>1</v>
      </c>
      <c r="BW86" s="3">
        <v>1</v>
      </c>
      <c r="BX86" s="3">
        <v>1</v>
      </c>
      <c r="BY86" s="3" t="s">
        <v>3</v>
      </c>
      <c r="BZ86" s="3">
        <v>0</v>
      </c>
      <c r="CA86" s="3">
        <v>0</v>
      </c>
      <c r="CB86" s="3" t="s">
        <v>3</v>
      </c>
      <c r="CE86" s="3">
        <v>1566</v>
      </c>
      <c r="CF86" s="3">
        <v>0</v>
      </c>
      <c r="CG86" s="3">
        <v>0</v>
      </c>
      <c r="CM86" s="3">
        <v>0</v>
      </c>
      <c r="CN86" s="3" t="s">
        <v>3</v>
      </c>
      <c r="CO86" s="3">
        <v>0</v>
      </c>
      <c r="CP86" s="3">
        <f t="shared" si="93"/>
        <v>4699.1899999999996</v>
      </c>
      <c r="CQ86" s="3">
        <f t="shared" si="94"/>
        <v>4699.1899999999996</v>
      </c>
      <c r="CR86" s="3">
        <f>(ROUND((ROUND(((ET86)*AV86*1),2)*BB86),2)+ROUND((ROUND(((AE86-(EU86))*AV86*1),2)*BS86),2))</f>
        <v>0</v>
      </c>
      <c r="CS86" s="3">
        <f>(ROUND((ROUND(((EU86)*AV86*1),2)*BS86),2)+ROUND((ROUND(((AE86-(EU86))*AV86*1),2)*BS86),2))</f>
        <v>0</v>
      </c>
      <c r="CT86" s="3">
        <f t="shared" si="95"/>
        <v>0</v>
      </c>
      <c r="CU86" s="3">
        <f t="shared" si="96"/>
        <v>0</v>
      </c>
      <c r="CV86" s="3">
        <f t="shared" si="97"/>
        <v>0</v>
      </c>
      <c r="CW86" s="3">
        <f t="shared" si="98"/>
        <v>0</v>
      </c>
      <c r="CX86" s="3">
        <f t="shared" si="99"/>
        <v>0</v>
      </c>
      <c r="CY86" s="3">
        <f>(ROUND((((S86+ROUND((ROUND(((EU86)*AV86*1),2)*BS86),2))*AT86)/100),2)+ROUND(((ROUND((ROUND(((AE86-(EU86))*AV86*1),2)*BS86),2)*AT86)/100),2))</f>
        <v>0</v>
      </c>
      <c r="CZ86" s="3">
        <f>(ROUND((((S86+ROUND((ROUND(((EU86)*AV86*1),2)*BS86),2))*AU86)/100),2)+ROUND(((ROUND((ROUND(((AE86-(EU86))*AV86*1),2)*BS86),2)*AU86)/100),2))</f>
        <v>0</v>
      </c>
      <c r="DC86" s="3" t="s">
        <v>3</v>
      </c>
      <c r="DD86" s="3" t="s">
        <v>3</v>
      </c>
      <c r="DE86" s="3" t="s">
        <v>3</v>
      </c>
      <c r="DF86" s="3" t="s">
        <v>3</v>
      </c>
      <c r="DG86" s="3" t="s">
        <v>3</v>
      </c>
      <c r="DH86" s="3" t="s">
        <v>3</v>
      </c>
      <c r="DI86" s="3" t="s">
        <v>3</v>
      </c>
      <c r="DJ86" s="3" t="s">
        <v>3</v>
      </c>
      <c r="DK86" s="3" t="s">
        <v>3</v>
      </c>
      <c r="DL86" s="3" t="s">
        <v>3</v>
      </c>
      <c r="DM86" s="3" t="s">
        <v>3</v>
      </c>
      <c r="DN86" s="3">
        <v>0</v>
      </c>
      <c r="DO86" s="3">
        <v>0</v>
      </c>
      <c r="DP86" s="3">
        <v>1</v>
      </c>
      <c r="DQ86" s="3">
        <v>1</v>
      </c>
      <c r="DU86" s="3">
        <v>1013</v>
      </c>
      <c r="DV86" s="3" t="s">
        <v>135</v>
      </c>
      <c r="DW86" s="3" t="s">
        <v>135</v>
      </c>
      <c r="DX86" s="3">
        <v>1</v>
      </c>
      <c r="DZ86" s="3" t="s">
        <v>3</v>
      </c>
      <c r="EA86" s="3" t="s">
        <v>3</v>
      </c>
      <c r="EB86" s="3" t="s">
        <v>3</v>
      </c>
      <c r="EC86" s="3" t="s">
        <v>3</v>
      </c>
      <c r="EE86" s="3">
        <v>55393630</v>
      </c>
      <c r="EF86" s="3">
        <v>214</v>
      </c>
      <c r="EG86" s="3" t="s">
        <v>136</v>
      </c>
      <c r="EH86" s="3">
        <v>0</v>
      </c>
      <c r="EI86" s="3" t="s">
        <v>3</v>
      </c>
      <c r="EJ86" s="3">
        <v>3</v>
      </c>
      <c r="EK86" s="3">
        <v>400007</v>
      </c>
      <c r="EL86" s="3" t="s">
        <v>136</v>
      </c>
      <c r="EM86" s="3" t="s">
        <v>137</v>
      </c>
      <c r="EO86" s="3" t="s">
        <v>3</v>
      </c>
      <c r="EQ86" s="3">
        <v>16</v>
      </c>
      <c r="ER86" s="3">
        <v>0</v>
      </c>
      <c r="ES86" s="3">
        <v>477.56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5</v>
      </c>
      <c r="FC86" s="3">
        <v>1</v>
      </c>
      <c r="FD86" s="3">
        <v>18</v>
      </c>
      <c r="FF86" s="3">
        <v>5500</v>
      </c>
      <c r="FQ86" s="3">
        <v>0</v>
      </c>
      <c r="FR86" s="3">
        <f>P86</f>
        <v>4699.1899999999996</v>
      </c>
      <c r="FS86" s="3">
        <v>0</v>
      </c>
      <c r="FX86" s="3">
        <v>0</v>
      </c>
      <c r="FY86" s="3">
        <v>0</v>
      </c>
      <c r="GA86" s="3" t="s">
        <v>138</v>
      </c>
      <c r="GD86" s="3">
        <v>1</v>
      </c>
      <c r="GF86" s="3">
        <v>1035702266</v>
      </c>
      <c r="GG86" s="3">
        <v>2</v>
      </c>
      <c r="GH86" s="3">
        <v>3</v>
      </c>
      <c r="GI86" s="3">
        <v>5</v>
      </c>
      <c r="GJ86" s="3">
        <v>0</v>
      </c>
      <c r="GK86" s="3">
        <v>0</v>
      </c>
      <c r="GL86" s="3">
        <f t="shared" si="100"/>
        <v>0</v>
      </c>
      <c r="GM86" s="3">
        <f t="shared" si="101"/>
        <v>4699.1899999999996</v>
      </c>
      <c r="GN86" s="3">
        <f t="shared" si="102"/>
        <v>0</v>
      </c>
      <c r="GO86" s="3">
        <f t="shared" si="103"/>
        <v>0</v>
      </c>
      <c r="GP86" s="3">
        <f t="shared" si="104"/>
        <v>0</v>
      </c>
      <c r="GR86" s="3">
        <v>1</v>
      </c>
      <c r="GS86" s="3">
        <v>1</v>
      </c>
      <c r="GT86" s="3">
        <v>0</v>
      </c>
      <c r="GU86" s="3" t="s">
        <v>3</v>
      </c>
      <c r="GV86" s="3">
        <f t="shared" si="105"/>
        <v>0</v>
      </c>
      <c r="GW86" s="3">
        <v>1</v>
      </c>
      <c r="GX86" s="3">
        <f t="shared" si="106"/>
        <v>0</v>
      </c>
      <c r="HA86" s="3">
        <v>0</v>
      </c>
      <c r="HB86" s="3">
        <v>0</v>
      </c>
      <c r="HC86" s="3">
        <f t="shared" si="107"/>
        <v>0</v>
      </c>
      <c r="HE86" s="3" t="s">
        <v>139</v>
      </c>
      <c r="HF86" s="3" t="s">
        <v>35</v>
      </c>
      <c r="HM86" s="3" t="s">
        <v>3</v>
      </c>
      <c r="HN86" s="3" t="s">
        <v>3</v>
      </c>
      <c r="HO86" s="3" t="s">
        <v>3</v>
      </c>
      <c r="HP86" s="3" t="s">
        <v>3</v>
      </c>
      <c r="HQ86" s="3" t="s">
        <v>3</v>
      </c>
      <c r="HS86" s="3">
        <v>0</v>
      </c>
      <c r="IK86" s="3">
        <v>0</v>
      </c>
    </row>
    <row r="87" spans="1:255" x14ac:dyDescent="0.2">
      <c r="A87" s="2">
        <v>17</v>
      </c>
      <c r="B87" s="2">
        <v>1</v>
      </c>
      <c r="C87" s="2">
        <f>ROW(SmtRes!A70)</f>
        <v>70</v>
      </c>
      <c r="D87" s="2">
        <f>ROW(EtalonRes!A84)</f>
        <v>84</v>
      </c>
      <c r="E87" s="2" t="s">
        <v>140</v>
      </c>
      <c r="F87" s="2" t="s">
        <v>31</v>
      </c>
      <c r="G87" s="2" t="s">
        <v>141</v>
      </c>
      <c r="H87" s="2" t="s">
        <v>33</v>
      </c>
      <c r="I87" s="2">
        <v>1</v>
      </c>
      <c r="J87" s="2">
        <v>0</v>
      </c>
      <c r="K87" s="2">
        <v>1</v>
      </c>
      <c r="L87" s="2"/>
      <c r="M87" s="2"/>
      <c r="N87" s="2"/>
      <c r="O87" s="2">
        <f t="shared" si="83"/>
        <v>14.67</v>
      </c>
      <c r="P87" s="2">
        <f t="shared" si="84"/>
        <v>0.3</v>
      </c>
      <c r="Q87" s="2">
        <f>(ROUND((ROUND((((ET87*1.2))*AV87*I87),2)*BB87),2)+ROUND((ROUND(((AE87-((EU87*1.2)))*AV87*I87),2)*BS87),2))</f>
        <v>0</v>
      </c>
      <c r="R87" s="2">
        <f>(ROUND((ROUND((((EU87*1.2))*AV87*I87),2)*BS87),2)+ROUND((ROUND(((AE87-((EU87*1.2)))*AV87*I87),2)*BS87),2))</f>
        <v>0</v>
      </c>
      <c r="S87" s="2">
        <f t="shared" si="85"/>
        <v>14.37</v>
      </c>
      <c r="T87" s="2">
        <f t="shared" si="86"/>
        <v>0</v>
      </c>
      <c r="U87" s="2">
        <f t="shared" si="87"/>
        <v>1.04352</v>
      </c>
      <c r="V87" s="2">
        <f t="shared" si="88"/>
        <v>0</v>
      </c>
      <c r="W87" s="2">
        <f t="shared" si="89"/>
        <v>0</v>
      </c>
      <c r="X87" s="2">
        <f>(ROUND((((S87+ROUND((ROUND((((EU87*1.2))*AV87*I87),2)*BS87),2))*AT87)/100),2)+ROUND(((ROUND((ROUND(((AE87-((EU87*1.2)))*AV87*I87),2)*BS87),2)*AT87)/100),2))</f>
        <v>13.65</v>
      </c>
      <c r="Y87" s="2">
        <f>(ROUND((((S87+ROUND((ROUND((((EU87*1.2))*AV87*I87),2)*BS87),2))*AU87)/100),2)+ROUND(((ROUND((ROUND(((AE87-((EU87*1.2)))*AV87*I87),2)*BS87),2)*AU87)/100),2))</f>
        <v>7.62</v>
      </c>
      <c r="Z87" s="2"/>
      <c r="AA87" s="2">
        <v>55919547</v>
      </c>
      <c r="AB87" s="2">
        <f t="shared" si="90"/>
        <v>13.523999999999999</v>
      </c>
      <c r="AC87" s="2">
        <f>ROUND(((ES87*1)),6)</f>
        <v>0.3</v>
      </c>
      <c r="AD87" s="2">
        <f>ROUND(((((ET87*1.2))-((EU87*1.2)))+AE87),6)</f>
        <v>0</v>
      </c>
      <c r="AE87" s="2">
        <f>ROUND(((EU87*1.2)),6)</f>
        <v>0</v>
      </c>
      <c r="AF87" s="2">
        <f>ROUND(((EV87*1.2)),6)</f>
        <v>13.224</v>
      </c>
      <c r="AG87" s="2">
        <f t="shared" si="91"/>
        <v>0</v>
      </c>
      <c r="AH87" s="2">
        <f>((EW87*1.2))</f>
        <v>0.96</v>
      </c>
      <c r="AI87" s="2">
        <f>((EX87*1.2))</f>
        <v>0</v>
      </c>
      <c r="AJ87" s="2">
        <f t="shared" si="92"/>
        <v>0</v>
      </c>
      <c r="AK87" s="2">
        <v>11.32</v>
      </c>
      <c r="AL87" s="2">
        <v>0.3</v>
      </c>
      <c r="AM87" s="2">
        <v>0</v>
      </c>
      <c r="AN87" s="2">
        <v>0</v>
      </c>
      <c r="AO87" s="2">
        <v>11.02</v>
      </c>
      <c r="AP87" s="2">
        <v>0</v>
      </c>
      <c r="AQ87" s="2">
        <v>0.8</v>
      </c>
      <c r="AR87" s="2">
        <v>0</v>
      </c>
      <c r="AS87" s="2">
        <v>0</v>
      </c>
      <c r="AT87" s="2">
        <v>95</v>
      </c>
      <c r="AU87" s="2">
        <v>53</v>
      </c>
      <c r="AV87" s="2">
        <v>1.087</v>
      </c>
      <c r="AW87" s="2">
        <v>1</v>
      </c>
      <c r="AX87" s="2"/>
      <c r="AY87" s="2"/>
      <c r="AZ87" s="2">
        <v>1</v>
      </c>
      <c r="BA87" s="2">
        <v>1</v>
      </c>
      <c r="BB87" s="2">
        <v>1</v>
      </c>
      <c r="BC87" s="2">
        <v>1</v>
      </c>
      <c r="BD87" s="2" t="s">
        <v>3</v>
      </c>
      <c r="BE87" s="2" t="s">
        <v>3</v>
      </c>
      <c r="BF87" s="2" t="s">
        <v>3</v>
      </c>
      <c r="BG87" s="2" t="s">
        <v>3</v>
      </c>
      <c r="BH87" s="2">
        <v>0</v>
      </c>
      <c r="BI87" s="2">
        <v>2</v>
      </c>
      <c r="BJ87" s="2" t="s">
        <v>34</v>
      </c>
      <c r="BK87" s="2"/>
      <c r="BL87" s="2"/>
      <c r="BM87" s="2">
        <v>69</v>
      </c>
      <c r="BN87" s="2">
        <v>0</v>
      </c>
      <c r="BO87" s="2" t="s">
        <v>31</v>
      </c>
      <c r="BP87" s="2">
        <v>1</v>
      </c>
      <c r="BQ87" s="2">
        <v>40</v>
      </c>
      <c r="BR87" s="2">
        <v>0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 t="s">
        <v>3</v>
      </c>
      <c r="BZ87" s="2">
        <v>95</v>
      </c>
      <c r="CA87" s="2">
        <v>53</v>
      </c>
      <c r="CB87" s="2" t="s">
        <v>3</v>
      </c>
      <c r="CC87" s="2"/>
      <c r="CD87" s="2"/>
      <c r="CE87" s="2">
        <v>1566</v>
      </c>
      <c r="CF87" s="2">
        <v>0</v>
      </c>
      <c r="CG87" s="2">
        <v>0</v>
      </c>
      <c r="CH87" s="2"/>
      <c r="CI87" s="2"/>
      <c r="CJ87" s="2"/>
      <c r="CK87" s="2"/>
      <c r="CL87" s="2"/>
      <c r="CM87" s="2">
        <v>0</v>
      </c>
      <c r="CN87" s="2" t="s">
        <v>491</v>
      </c>
      <c r="CO87" s="2">
        <v>0</v>
      </c>
      <c r="CP87" s="2">
        <f t="shared" si="93"/>
        <v>14.67</v>
      </c>
      <c r="CQ87" s="2">
        <f t="shared" si="94"/>
        <v>0.3</v>
      </c>
      <c r="CR87" s="2">
        <f>(ROUND((ROUND((((ET87*1.2))*AV87*1),2)*BB87),2)+ROUND((ROUND(((AE87-((EU87*1.2)))*AV87*1),2)*BS87),2))</f>
        <v>0</v>
      </c>
      <c r="CS87" s="2">
        <f>(ROUND((ROUND((((EU87*1.2))*AV87*1),2)*BS87),2)+ROUND((ROUND(((AE87-((EU87*1.2)))*AV87*1),2)*BS87),2))</f>
        <v>0</v>
      </c>
      <c r="CT87" s="2">
        <f t="shared" si="95"/>
        <v>14.37</v>
      </c>
      <c r="CU87" s="2">
        <f t="shared" si="96"/>
        <v>0</v>
      </c>
      <c r="CV87" s="2">
        <f t="shared" si="97"/>
        <v>1.04352</v>
      </c>
      <c r="CW87" s="2">
        <f t="shared" si="98"/>
        <v>0</v>
      </c>
      <c r="CX87" s="2">
        <f t="shared" si="99"/>
        <v>0</v>
      </c>
      <c r="CY87" s="2">
        <f>(ROUND((((S87+ROUND((ROUND((((EU87*1.2))*AV87*1),2)*BS87),2))*AT87)/100),2)+ROUND(((ROUND((ROUND(((AE87-((EU87*1.2)))*AV87*1),2)*BS87),2)*AT87)/100),2))</f>
        <v>13.65</v>
      </c>
      <c r="CZ87" s="2">
        <f>(ROUND((((S87+ROUND((ROUND((((EU87*1.2))*AV87*1),2)*BS87),2))*AU87)/100),2)+ROUND(((ROUND((ROUND(((AE87-((EU87*1.2)))*AV87*1),2)*BS87),2)*AU87)/100),2))</f>
        <v>7.62</v>
      </c>
      <c r="DA87" s="2"/>
      <c r="DB87" s="2">
        <v>37</v>
      </c>
      <c r="DC87" s="2" t="s">
        <v>3</v>
      </c>
      <c r="DD87" s="2" t="s">
        <v>56</v>
      </c>
      <c r="DE87" s="2" t="s">
        <v>57</v>
      </c>
      <c r="DF87" s="2" t="s">
        <v>57</v>
      </c>
      <c r="DG87" s="2" t="s">
        <v>57</v>
      </c>
      <c r="DH87" s="2" t="s">
        <v>3</v>
      </c>
      <c r="DI87" s="2" t="s">
        <v>57</v>
      </c>
      <c r="DJ87" s="2" t="s">
        <v>57</v>
      </c>
      <c r="DK87" s="2" t="s">
        <v>3</v>
      </c>
      <c r="DL87" s="2" t="s">
        <v>3</v>
      </c>
      <c r="DM87" s="2" t="s">
        <v>3</v>
      </c>
      <c r="DN87" s="2">
        <v>0</v>
      </c>
      <c r="DO87" s="2">
        <v>0</v>
      </c>
      <c r="DP87" s="2">
        <v>1</v>
      </c>
      <c r="DQ87" s="2">
        <v>1</v>
      </c>
      <c r="DR87" s="2"/>
      <c r="DS87" s="2"/>
      <c r="DT87" s="2"/>
      <c r="DU87" s="2">
        <v>1013</v>
      </c>
      <c r="DV87" s="2" t="s">
        <v>33</v>
      </c>
      <c r="DW87" s="2" t="s">
        <v>33</v>
      </c>
      <c r="DX87" s="2">
        <v>1</v>
      </c>
      <c r="DY87" s="2"/>
      <c r="DZ87" s="2" t="s">
        <v>3</v>
      </c>
      <c r="EA87" s="2" t="s">
        <v>3</v>
      </c>
      <c r="EB87" s="2" t="s">
        <v>3</v>
      </c>
      <c r="EC87" s="2" t="s">
        <v>3</v>
      </c>
      <c r="ED87" s="2"/>
      <c r="EE87" s="2">
        <v>55393701</v>
      </c>
      <c r="EF87" s="2">
        <v>40</v>
      </c>
      <c r="EG87" s="2" t="s">
        <v>26</v>
      </c>
      <c r="EH87" s="2">
        <v>0</v>
      </c>
      <c r="EI87" s="2" t="s">
        <v>3</v>
      </c>
      <c r="EJ87" s="2">
        <v>2</v>
      </c>
      <c r="EK87" s="2">
        <v>69</v>
      </c>
      <c r="EL87" s="2" t="s">
        <v>27</v>
      </c>
      <c r="EM87" s="2" t="s">
        <v>28</v>
      </c>
      <c r="EN87" s="2"/>
      <c r="EO87" s="2" t="s">
        <v>61</v>
      </c>
      <c r="EP87" s="2"/>
      <c r="EQ87" s="2">
        <v>0</v>
      </c>
      <c r="ER87" s="2">
        <v>11.32</v>
      </c>
      <c r="ES87" s="2">
        <v>0.3</v>
      </c>
      <c r="ET87" s="2">
        <v>0</v>
      </c>
      <c r="EU87" s="2">
        <v>0</v>
      </c>
      <c r="EV87" s="2">
        <v>11.02</v>
      </c>
      <c r="EW87" s="2">
        <v>0.8</v>
      </c>
      <c r="EX87" s="2">
        <v>0</v>
      </c>
      <c r="EY87" s="2">
        <v>0</v>
      </c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>
        <v>0</v>
      </c>
      <c r="FR87" s="2">
        <v>0</v>
      </c>
      <c r="FS87" s="2">
        <v>0</v>
      </c>
      <c r="FT87" s="2"/>
      <c r="FU87" s="2"/>
      <c r="FV87" s="2"/>
      <c r="FW87" s="2"/>
      <c r="FX87" s="2">
        <v>95</v>
      </c>
      <c r="FY87" s="2">
        <v>53</v>
      </c>
      <c r="FZ87" s="2"/>
      <c r="GA87" s="2" t="s">
        <v>3</v>
      </c>
      <c r="GB87" s="2"/>
      <c r="GC87" s="2"/>
      <c r="GD87" s="2">
        <v>1</v>
      </c>
      <c r="GE87" s="2"/>
      <c r="GF87" s="2">
        <v>765090221</v>
      </c>
      <c r="GG87" s="2">
        <v>2</v>
      </c>
      <c r="GH87" s="2">
        <v>1</v>
      </c>
      <c r="GI87" s="2">
        <v>2</v>
      </c>
      <c r="GJ87" s="2">
        <v>0</v>
      </c>
      <c r="GK87" s="2">
        <v>0</v>
      </c>
      <c r="GL87" s="2">
        <f t="shared" si="100"/>
        <v>0</v>
      </c>
      <c r="GM87" s="2">
        <f t="shared" si="101"/>
        <v>35.94</v>
      </c>
      <c r="GN87" s="2">
        <f t="shared" si="102"/>
        <v>0</v>
      </c>
      <c r="GO87" s="2">
        <f t="shared" si="103"/>
        <v>35.94</v>
      </c>
      <c r="GP87" s="2">
        <f t="shared" si="104"/>
        <v>0</v>
      </c>
      <c r="GQ87" s="2"/>
      <c r="GR87" s="2">
        <v>0</v>
      </c>
      <c r="GS87" s="2">
        <v>3</v>
      </c>
      <c r="GT87" s="2">
        <v>0</v>
      </c>
      <c r="GU87" s="2" t="s">
        <v>3</v>
      </c>
      <c r="GV87" s="2">
        <f t="shared" si="105"/>
        <v>0</v>
      </c>
      <c r="GW87" s="2">
        <v>1</v>
      </c>
      <c r="GX87" s="2">
        <f t="shared" si="106"/>
        <v>0</v>
      </c>
      <c r="GY87" s="2"/>
      <c r="GZ87" s="2"/>
      <c r="HA87" s="2">
        <v>0</v>
      </c>
      <c r="HB87" s="2">
        <v>0</v>
      </c>
      <c r="HC87" s="2">
        <f t="shared" si="107"/>
        <v>0</v>
      </c>
      <c r="HD87" s="2"/>
      <c r="HE87" s="2" t="s">
        <v>3</v>
      </c>
      <c r="HF87" s="2" t="s">
        <v>3</v>
      </c>
      <c r="HG87" s="2"/>
      <c r="HH87" s="2"/>
      <c r="HI87" s="2"/>
      <c r="HJ87" s="2"/>
      <c r="HK87" s="2"/>
      <c r="HL87" s="2"/>
      <c r="HM87" s="2" t="s">
        <v>3</v>
      </c>
      <c r="HN87" s="2" t="s">
        <v>3</v>
      </c>
      <c r="HO87" s="2" t="s">
        <v>3</v>
      </c>
      <c r="HP87" s="2" t="s">
        <v>3</v>
      </c>
      <c r="HQ87" s="2" t="s">
        <v>3</v>
      </c>
      <c r="HR87" s="2"/>
      <c r="HS87" s="2">
        <v>0</v>
      </c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>
        <v>0</v>
      </c>
      <c r="IL87" s="2"/>
      <c r="IM87" s="2"/>
      <c r="IN87" s="2"/>
      <c r="IO87" s="2"/>
      <c r="IP87" s="2"/>
      <c r="IQ87" s="2"/>
      <c r="IR87" s="2"/>
      <c r="IS87" s="2"/>
      <c r="IT87" s="2"/>
      <c r="IU87" s="2"/>
    </row>
    <row r="88" spans="1:255" x14ac:dyDescent="0.2">
      <c r="A88" s="3">
        <v>17</v>
      </c>
      <c r="B88" s="3">
        <v>1</v>
      </c>
      <c r="C88" s="3">
        <f>ROW(SmtRes!A72)</f>
        <v>72</v>
      </c>
      <c r="D88" s="3">
        <f>ROW(EtalonRes!A86)</f>
        <v>86</v>
      </c>
      <c r="E88" s="3" t="s">
        <v>140</v>
      </c>
      <c r="F88" s="3" t="s">
        <v>31</v>
      </c>
      <c r="G88" s="3" t="s">
        <v>141</v>
      </c>
      <c r="H88" s="3" t="s">
        <v>33</v>
      </c>
      <c r="I88" s="3">
        <v>1</v>
      </c>
      <c r="J88" s="3">
        <v>0</v>
      </c>
      <c r="K88" s="3">
        <v>1</v>
      </c>
      <c r="O88" s="3">
        <f t="shared" si="83"/>
        <v>811.96</v>
      </c>
      <c r="P88" s="3">
        <f t="shared" si="84"/>
        <v>2.21</v>
      </c>
      <c r="Q88" s="3">
        <f>(ROUND((ROUND((((ET88*1.2))*AV88*I88),2)*BB88),2)+ROUND((ROUND(((AE88-((EU88*1.2)))*AV88*I88),2)*BS88),2))</f>
        <v>0</v>
      </c>
      <c r="R88" s="3">
        <f>(ROUND((ROUND((((EU88*1.2))*AV88*I88),2)*BS88),2)+ROUND((ROUND(((AE88-((EU88*1.2)))*AV88*I88),2)*BS88),2))</f>
        <v>0</v>
      </c>
      <c r="S88" s="3">
        <f t="shared" si="85"/>
        <v>809.75</v>
      </c>
      <c r="T88" s="3">
        <f t="shared" si="86"/>
        <v>0</v>
      </c>
      <c r="U88" s="3">
        <f t="shared" si="87"/>
        <v>1.04352</v>
      </c>
      <c r="V88" s="3">
        <f t="shared" si="88"/>
        <v>0</v>
      </c>
      <c r="W88" s="3">
        <f t="shared" si="89"/>
        <v>0</v>
      </c>
      <c r="X88" s="3">
        <f>(ROUND((((S88+ROUND((ROUND((((EU88*1.2))*AV88*I88),2)*BS88),2))*AT88)/100),2)+ROUND(((ROUND((ROUND(((AE88-((EU88*1.2)))*AV88*I88),2)*BS88),2)*AT88)/100),2))</f>
        <v>769.26</v>
      </c>
      <c r="Y88" s="3">
        <f>(ROUND((((S88+ROUND((ROUND((((EU88*1.2))*AV88*I88),2)*BS88),2))*AU88)/100),2)+ROUND(((ROUND((ROUND(((AE88-((EU88*1.2)))*AV88*I88),2)*BS88),2)*AU88)/100),2))</f>
        <v>429.17</v>
      </c>
      <c r="AA88" s="3">
        <v>55919549</v>
      </c>
      <c r="AB88" s="3">
        <f t="shared" si="90"/>
        <v>13.523999999999999</v>
      </c>
      <c r="AC88" s="3">
        <f>ROUND(((ES88*1)),6)</f>
        <v>0.3</v>
      </c>
      <c r="AD88" s="3">
        <f>ROUND(((((ET88*1.2))-((EU88*1.2)))+AE88),6)</f>
        <v>0</v>
      </c>
      <c r="AE88" s="3">
        <f>ROUND(((EU88*1.2)),6)</f>
        <v>0</v>
      </c>
      <c r="AF88" s="3">
        <f>ROUND(((EV88*1.2)),6)</f>
        <v>13.224</v>
      </c>
      <c r="AG88" s="3">
        <f t="shared" si="91"/>
        <v>0</v>
      </c>
      <c r="AH88" s="3">
        <f>((EW88*1.2))</f>
        <v>0.96</v>
      </c>
      <c r="AI88" s="3">
        <f>((EX88*1.2))</f>
        <v>0</v>
      </c>
      <c r="AJ88" s="3">
        <f t="shared" si="92"/>
        <v>0</v>
      </c>
      <c r="AK88" s="3">
        <v>11.32</v>
      </c>
      <c r="AL88" s="3">
        <v>0.3</v>
      </c>
      <c r="AM88" s="3">
        <v>0</v>
      </c>
      <c r="AN88" s="3">
        <v>0</v>
      </c>
      <c r="AO88" s="3">
        <v>11.02</v>
      </c>
      <c r="AP88" s="3">
        <v>0</v>
      </c>
      <c r="AQ88" s="3">
        <v>0.8</v>
      </c>
      <c r="AR88" s="3">
        <v>0</v>
      </c>
      <c r="AS88" s="3">
        <v>0</v>
      </c>
      <c r="AT88" s="3">
        <v>95</v>
      </c>
      <c r="AU88" s="3">
        <v>53</v>
      </c>
      <c r="AV88" s="3">
        <v>1.087</v>
      </c>
      <c r="AW88" s="3">
        <v>1</v>
      </c>
      <c r="AZ88" s="3">
        <v>1</v>
      </c>
      <c r="BA88" s="3">
        <v>56.35</v>
      </c>
      <c r="BB88" s="3">
        <v>1</v>
      </c>
      <c r="BC88" s="3">
        <v>7.37</v>
      </c>
      <c r="BD88" s="3" t="s">
        <v>3</v>
      </c>
      <c r="BE88" s="3" t="s">
        <v>3</v>
      </c>
      <c r="BF88" s="3" t="s">
        <v>3</v>
      </c>
      <c r="BG88" s="3" t="s">
        <v>3</v>
      </c>
      <c r="BH88" s="3">
        <v>0</v>
      </c>
      <c r="BI88" s="3">
        <v>2</v>
      </c>
      <c r="BJ88" s="3" t="s">
        <v>34</v>
      </c>
      <c r="BM88" s="3">
        <v>69</v>
      </c>
      <c r="BN88" s="3">
        <v>0</v>
      </c>
      <c r="BO88" s="3" t="s">
        <v>31</v>
      </c>
      <c r="BP88" s="3">
        <v>1</v>
      </c>
      <c r="BQ88" s="3">
        <v>40</v>
      </c>
      <c r="BR88" s="3">
        <v>0</v>
      </c>
      <c r="BS88" s="3">
        <v>56.35</v>
      </c>
      <c r="BT88" s="3">
        <v>1</v>
      </c>
      <c r="BU88" s="3">
        <v>1</v>
      </c>
      <c r="BV88" s="3">
        <v>1</v>
      </c>
      <c r="BW88" s="3">
        <v>1</v>
      </c>
      <c r="BX88" s="3">
        <v>1</v>
      </c>
      <c r="BY88" s="3" t="s">
        <v>3</v>
      </c>
      <c r="BZ88" s="3">
        <v>95</v>
      </c>
      <c r="CA88" s="3">
        <v>53</v>
      </c>
      <c r="CB88" s="3" t="s">
        <v>3</v>
      </c>
      <c r="CE88" s="3">
        <v>1566</v>
      </c>
      <c r="CF88" s="3">
        <v>0</v>
      </c>
      <c r="CG88" s="3">
        <v>0</v>
      </c>
      <c r="CM88" s="3">
        <v>0</v>
      </c>
      <c r="CN88" s="3" t="s">
        <v>491</v>
      </c>
      <c r="CO88" s="3">
        <v>0</v>
      </c>
      <c r="CP88" s="3">
        <f t="shared" si="93"/>
        <v>811.96</v>
      </c>
      <c r="CQ88" s="3">
        <f t="shared" si="94"/>
        <v>2.21</v>
      </c>
      <c r="CR88" s="3">
        <f>(ROUND((ROUND((((ET88*1.2))*AV88*1),2)*BB88),2)+ROUND((ROUND(((AE88-((EU88*1.2)))*AV88*1),2)*BS88),2))</f>
        <v>0</v>
      </c>
      <c r="CS88" s="3">
        <f>(ROUND((ROUND((((EU88*1.2))*AV88*1),2)*BS88),2)+ROUND((ROUND(((AE88-((EU88*1.2)))*AV88*1),2)*BS88),2))</f>
        <v>0</v>
      </c>
      <c r="CT88" s="3">
        <f t="shared" si="95"/>
        <v>809.75</v>
      </c>
      <c r="CU88" s="3">
        <f t="shared" si="96"/>
        <v>0</v>
      </c>
      <c r="CV88" s="3">
        <f t="shared" si="97"/>
        <v>1.04352</v>
      </c>
      <c r="CW88" s="3">
        <f t="shared" si="98"/>
        <v>0</v>
      </c>
      <c r="CX88" s="3">
        <f t="shared" si="99"/>
        <v>0</v>
      </c>
      <c r="CY88" s="3">
        <f>(ROUND((((S88+ROUND((ROUND((((EU88*1.2))*AV88*1),2)*BS88),2))*AT88)/100),2)+ROUND(((ROUND((ROUND(((AE88-((EU88*1.2)))*AV88*1),2)*BS88),2)*AT88)/100),2))</f>
        <v>769.26</v>
      </c>
      <c r="CZ88" s="3">
        <f>(ROUND((((S88+ROUND((ROUND((((EU88*1.2))*AV88*1),2)*BS88),2))*AU88)/100),2)+ROUND(((ROUND((ROUND(((AE88-((EU88*1.2)))*AV88*1),2)*BS88),2)*AU88)/100),2))</f>
        <v>429.17</v>
      </c>
      <c r="DB88" s="3">
        <v>38</v>
      </c>
      <c r="DC88" s="3" t="s">
        <v>3</v>
      </c>
      <c r="DD88" s="3" t="s">
        <v>56</v>
      </c>
      <c r="DE88" s="3" t="s">
        <v>57</v>
      </c>
      <c r="DF88" s="3" t="s">
        <v>57</v>
      </c>
      <c r="DG88" s="3" t="s">
        <v>57</v>
      </c>
      <c r="DH88" s="3" t="s">
        <v>3</v>
      </c>
      <c r="DI88" s="3" t="s">
        <v>57</v>
      </c>
      <c r="DJ88" s="3" t="s">
        <v>57</v>
      </c>
      <c r="DK88" s="3" t="s">
        <v>3</v>
      </c>
      <c r="DL88" s="3" t="s">
        <v>3</v>
      </c>
      <c r="DM88" s="3" t="s">
        <v>3</v>
      </c>
      <c r="DN88" s="3">
        <v>0</v>
      </c>
      <c r="DO88" s="3">
        <v>0</v>
      </c>
      <c r="DP88" s="3">
        <v>1</v>
      </c>
      <c r="DQ88" s="3">
        <v>1</v>
      </c>
      <c r="DU88" s="3">
        <v>1013</v>
      </c>
      <c r="DV88" s="3" t="s">
        <v>33</v>
      </c>
      <c r="DW88" s="3" t="s">
        <v>33</v>
      </c>
      <c r="DX88" s="3">
        <v>1</v>
      </c>
      <c r="DZ88" s="3" t="s">
        <v>3</v>
      </c>
      <c r="EA88" s="3" t="s">
        <v>3</v>
      </c>
      <c r="EB88" s="3" t="s">
        <v>3</v>
      </c>
      <c r="EC88" s="3" t="s">
        <v>3</v>
      </c>
      <c r="EE88" s="3">
        <v>55393701</v>
      </c>
      <c r="EF88" s="3">
        <v>40</v>
      </c>
      <c r="EG88" s="3" t="s">
        <v>26</v>
      </c>
      <c r="EH88" s="3">
        <v>0</v>
      </c>
      <c r="EI88" s="3" t="s">
        <v>3</v>
      </c>
      <c r="EJ88" s="3">
        <v>2</v>
      </c>
      <c r="EK88" s="3">
        <v>69</v>
      </c>
      <c r="EL88" s="3" t="s">
        <v>27</v>
      </c>
      <c r="EM88" s="3" t="s">
        <v>28</v>
      </c>
      <c r="EO88" s="3" t="s">
        <v>61</v>
      </c>
      <c r="EQ88" s="3">
        <v>0</v>
      </c>
      <c r="ER88" s="3">
        <v>11.32</v>
      </c>
      <c r="ES88" s="3">
        <v>0.3</v>
      </c>
      <c r="ET88" s="3">
        <v>0</v>
      </c>
      <c r="EU88" s="3">
        <v>0</v>
      </c>
      <c r="EV88" s="3">
        <v>11.02</v>
      </c>
      <c r="EW88" s="3">
        <v>0.8</v>
      </c>
      <c r="EX88" s="3">
        <v>0</v>
      </c>
      <c r="EY88" s="3">
        <v>0</v>
      </c>
      <c r="FQ88" s="3">
        <v>0</v>
      </c>
      <c r="FR88" s="3">
        <v>0</v>
      </c>
      <c r="FS88" s="3">
        <v>0</v>
      </c>
      <c r="FX88" s="3">
        <v>95</v>
      </c>
      <c r="FY88" s="3">
        <v>53</v>
      </c>
      <c r="GA88" s="3" t="s">
        <v>3</v>
      </c>
      <c r="GD88" s="3">
        <v>1</v>
      </c>
      <c r="GF88" s="3">
        <v>765090221</v>
      </c>
      <c r="GG88" s="3">
        <v>2</v>
      </c>
      <c r="GH88" s="3">
        <v>1</v>
      </c>
      <c r="GI88" s="3">
        <v>2</v>
      </c>
      <c r="GJ88" s="3">
        <v>0</v>
      </c>
      <c r="GK88" s="3">
        <v>0</v>
      </c>
      <c r="GL88" s="3">
        <f t="shared" si="100"/>
        <v>0</v>
      </c>
      <c r="GM88" s="3">
        <f t="shared" si="101"/>
        <v>2010.39</v>
      </c>
      <c r="GN88" s="3">
        <f t="shared" si="102"/>
        <v>0</v>
      </c>
      <c r="GO88" s="3">
        <f t="shared" si="103"/>
        <v>2010.39</v>
      </c>
      <c r="GP88" s="3">
        <f t="shared" si="104"/>
        <v>0</v>
      </c>
      <c r="GR88" s="3">
        <v>0</v>
      </c>
      <c r="GS88" s="3">
        <v>3</v>
      </c>
      <c r="GT88" s="3">
        <v>0</v>
      </c>
      <c r="GU88" s="3" t="s">
        <v>3</v>
      </c>
      <c r="GV88" s="3">
        <f t="shared" si="105"/>
        <v>0</v>
      </c>
      <c r="GW88" s="3">
        <v>1</v>
      </c>
      <c r="GX88" s="3">
        <f t="shared" si="106"/>
        <v>0</v>
      </c>
      <c r="HA88" s="3">
        <v>0</v>
      </c>
      <c r="HB88" s="3">
        <v>0</v>
      </c>
      <c r="HC88" s="3">
        <f t="shared" si="107"/>
        <v>0</v>
      </c>
      <c r="HE88" s="3" t="s">
        <v>3</v>
      </c>
      <c r="HF88" s="3" t="s">
        <v>3</v>
      </c>
      <c r="HM88" s="3" t="s">
        <v>3</v>
      </c>
      <c r="HN88" s="3" t="s">
        <v>3</v>
      </c>
      <c r="HO88" s="3" t="s">
        <v>3</v>
      </c>
      <c r="HP88" s="3" t="s">
        <v>3</v>
      </c>
      <c r="HQ88" s="3" t="s">
        <v>3</v>
      </c>
      <c r="HS88" s="3">
        <v>0</v>
      </c>
      <c r="IK88" s="3">
        <v>0</v>
      </c>
    </row>
    <row r="89" spans="1:255" x14ac:dyDescent="0.2">
      <c r="A89" s="2">
        <v>17</v>
      </c>
      <c r="B89" s="2">
        <v>1</v>
      </c>
      <c r="C89" s="2"/>
      <c r="D89" s="2"/>
      <c r="E89" s="2" t="s">
        <v>142</v>
      </c>
      <c r="F89" s="2" t="s">
        <v>143</v>
      </c>
      <c r="G89" s="2" t="s">
        <v>144</v>
      </c>
      <c r="H89" s="2" t="s">
        <v>135</v>
      </c>
      <c r="I89" s="2">
        <v>1</v>
      </c>
      <c r="J89" s="2">
        <v>0</v>
      </c>
      <c r="K89" s="2">
        <v>1</v>
      </c>
      <c r="L89" s="2"/>
      <c r="M89" s="2"/>
      <c r="N89" s="2"/>
      <c r="O89" s="2">
        <f t="shared" si="83"/>
        <v>527.14</v>
      </c>
      <c r="P89" s="2">
        <f t="shared" si="84"/>
        <v>527.14</v>
      </c>
      <c r="Q89" s="2">
        <f>(ROUND((ROUND(((ET89)*AV89*I89),2)*BB89),2)+ROUND((ROUND(((AE89-(EU89))*AV89*I89),2)*BS89),2))</f>
        <v>0</v>
      </c>
      <c r="R89" s="2">
        <f>(ROUND((ROUND(((EU89)*AV89*I89),2)*BS89),2)+ROUND((ROUND(((AE89-(EU89))*AV89*I89),2)*BS89),2))</f>
        <v>0</v>
      </c>
      <c r="S89" s="2">
        <f t="shared" si="85"/>
        <v>0</v>
      </c>
      <c r="T89" s="2">
        <f t="shared" si="86"/>
        <v>0</v>
      </c>
      <c r="U89" s="2">
        <f t="shared" si="87"/>
        <v>0</v>
      </c>
      <c r="V89" s="2">
        <f t="shared" si="88"/>
        <v>0</v>
      </c>
      <c r="W89" s="2">
        <f t="shared" si="89"/>
        <v>0</v>
      </c>
      <c r="X89" s="2">
        <f>(ROUND((((S89+ROUND((ROUND(((EU89)*AV89*I89),2)*BS89),2))*AT89)/100),2)+ROUND(((ROUND((ROUND(((AE89-(EU89))*AV89*I89),2)*BS89),2)*AT89)/100),2))</f>
        <v>0</v>
      </c>
      <c r="Y89" s="2">
        <f>(ROUND((((S89+ROUND((ROUND(((EU89)*AV89*I89),2)*BS89),2))*AU89)/100),2)+ROUND(((ROUND((ROUND(((AE89-(EU89))*AV89*I89),2)*BS89),2)*AU89)/100),2))</f>
        <v>0</v>
      </c>
      <c r="Z89" s="2"/>
      <c r="AA89" s="2">
        <v>55919547</v>
      </c>
      <c r="AB89" s="2">
        <f t="shared" si="90"/>
        <v>527.14</v>
      </c>
      <c r="AC89" s="2">
        <f>ROUND((ES89),6)</f>
        <v>527.14</v>
      </c>
      <c r="AD89" s="2">
        <f>ROUND((((ET89)-(EU89))+AE89),6)</f>
        <v>0</v>
      </c>
      <c r="AE89" s="2">
        <f>ROUND((EU89),6)</f>
        <v>0</v>
      </c>
      <c r="AF89" s="2">
        <f>ROUND((EV89),6)</f>
        <v>0</v>
      </c>
      <c r="AG89" s="2">
        <f t="shared" si="91"/>
        <v>0</v>
      </c>
      <c r="AH89" s="2">
        <f>(EW89)</f>
        <v>0</v>
      </c>
      <c r="AI89" s="2">
        <f>(EX89)</f>
        <v>0</v>
      </c>
      <c r="AJ89" s="2">
        <f t="shared" si="92"/>
        <v>0</v>
      </c>
      <c r="AK89" s="2">
        <v>527.14</v>
      </c>
      <c r="AL89" s="2">
        <v>527.14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1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3</v>
      </c>
      <c r="BI89" s="2">
        <v>3</v>
      </c>
      <c r="BJ89" s="2" t="s">
        <v>143</v>
      </c>
      <c r="BK89" s="2"/>
      <c r="BL89" s="2"/>
      <c r="BM89" s="2">
        <v>400007</v>
      </c>
      <c r="BN89" s="2">
        <v>0</v>
      </c>
      <c r="BO89" s="2" t="s">
        <v>3</v>
      </c>
      <c r="BP89" s="2">
        <v>0</v>
      </c>
      <c r="BQ89" s="2">
        <v>214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0</v>
      </c>
      <c r="CA89" s="2">
        <v>0</v>
      </c>
      <c r="CB89" s="2" t="s">
        <v>3</v>
      </c>
      <c r="CC89" s="2"/>
      <c r="CD89" s="2"/>
      <c r="CE89" s="2">
        <v>1566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3</v>
      </c>
      <c r="CO89" s="2">
        <v>0</v>
      </c>
      <c r="CP89" s="2">
        <f t="shared" si="93"/>
        <v>527.14</v>
      </c>
      <c r="CQ89" s="2">
        <f t="shared" si="94"/>
        <v>527.14</v>
      </c>
      <c r="CR89" s="2">
        <f>(ROUND((ROUND(((ET89)*AV89*1),2)*BB89),2)+ROUND((ROUND(((AE89-(EU89))*AV89*1),2)*BS89),2))</f>
        <v>0</v>
      </c>
      <c r="CS89" s="2">
        <f>(ROUND((ROUND(((EU89)*AV89*1),2)*BS89),2)+ROUND((ROUND(((AE89-(EU89))*AV89*1),2)*BS89),2))</f>
        <v>0</v>
      </c>
      <c r="CT89" s="2">
        <f t="shared" si="95"/>
        <v>0</v>
      </c>
      <c r="CU89" s="2">
        <f t="shared" si="96"/>
        <v>0</v>
      </c>
      <c r="CV89" s="2">
        <f t="shared" si="97"/>
        <v>0</v>
      </c>
      <c r="CW89" s="2">
        <f t="shared" si="98"/>
        <v>0</v>
      </c>
      <c r="CX89" s="2">
        <f t="shared" si="99"/>
        <v>0</v>
      </c>
      <c r="CY89" s="2">
        <f>(ROUND((((S89+ROUND((ROUND(((EU89)*AV89*1),2)*BS89),2))*AT89)/100),2)+ROUND(((ROUND((ROUND(((AE89-(EU89))*AV89*1),2)*BS89),2)*AT89)/100),2))</f>
        <v>0</v>
      </c>
      <c r="CZ89" s="2">
        <f>(ROUND((((S89+ROUND((ROUND(((EU89)*AV89*1),2)*BS89),2))*AU89)/100),2)+ROUND(((ROUND((ROUND(((AE89-(EU89))*AV89*1),2)*BS89),2)*AU89)/100),2))</f>
        <v>0</v>
      </c>
      <c r="DA89" s="2"/>
      <c r="DB89" s="2"/>
      <c r="DC89" s="2" t="s">
        <v>3</v>
      </c>
      <c r="DD89" s="2" t="s">
        <v>3</v>
      </c>
      <c r="DE89" s="2" t="s">
        <v>3</v>
      </c>
      <c r="DF89" s="2" t="s">
        <v>3</v>
      </c>
      <c r="DG89" s="2" t="s">
        <v>3</v>
      </c>
      <c r="DH89" s="2" t="s">
        <v>3</v>
      </c>
      <c r="DI89" s="2" t="s">
        <v>3</v>
      </c>
      <c r="DJ89" s="2" t="s">
        <v>3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1013</v>
      </c>
      <c r="DV89" s="2" t="s">
        <v>135</v>
      </c>
      <c r="DW89" s="2" t="s">
        <v>135</v>
      </c>
      <c r="DX89" s="2">
        <v>1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55393630</v>
      </c>
      <c r="EF89" s="2">
        <v>214</v>
      </c>
      <c r="EG89" s="2" t="s">
        <v>136</v>
      </c>
      <c r="EH89" s="2">
        <v>0</v>
      </c>
      <c r="EI89" s="2" t="s">
        <v>3</v>
      </c>
      <c r="EJ89" s="2">
        <v>3</v>
      </c>
      <c r="EK89" s="2">
        <v>400007</v>
      </c>
      <c r="EL89" s="2" t="s">
        <v>136</v>
      </c>
      <c r="EM89" s="2" t="s">
        <v>137</v>
      </c>
      <c r="EN89" s="2"/>
      <c r="EO89" s="2" t="s">
        <v>3</v>
      </c>
      <c r="EP89" s="2"/>
      <c r="EQ89" s="2">
        <v>16</v>
      </c>
      <c r="ER89" s="2">
        <v>0</v>
      </c>
      <c r="ES89" s="2">
        <v>527.14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f>P89</f>
        <v>527.14</v>
      </c>
      <c r="FS89" s="2">
        <v>0</v>
      </c>
      <c r="FT89" s="2"/>
      <c r="FU89" s="2"/>
      <c r="FV89" s="2"/>
      <c r="FW89" s="2"/>
      <c r="FX89" s="2">
        <v>0</v>
      </c>
      <c r="FY89" s="2">
        <v>0</v>
      </c>
      <c r="FZ89" s="2"/>
      <c r="GA89" s="2" t="s">
        <v>145</v>
      </c>
      <c r="GB89" s="2"/>
      <c r="GC89" s="2"/>
      <c r="GD89" s="2">
        <v>1</v>
      </c>
      <c r="GE89" s="2"/>
      <c r="GF89" s="2">
        <v>1590157922</v>
      </c>
      <c r="GG89" s="2">
        <v>2</v>
      </c>
      <c r="GH89" s="2">
        <v>4</v>
      </c>
      <c r="GI89" s="2">
        <v>-2</v>
      </c>
      <c r="GJ89" s="2">
        <v>0</v>
      </c>
      <c r="GK89" s="2">
        <v>0</v>
      </c>
      <c r="GL89" s="2">
        <f t="shared" si="100"/>
        <v>0</v>
      </c>
      <c r="GM89" s="2">
        <f t="shared" si="101"/>
        <v>527.14</v>
      </c>
      <c r="GN89" s="2">
        <f t="shared" si="102"/>
        <v>0</v>
      </c>
      <c r="GO89" s="2">
        <f t="shared" si="103"/>
        <v>0</v>
      </c>
      <c r="GP89" s="2">
        <f t="shared" si="104"/>
        <v>0</v>
      </c>
      <c r="GQ89" s="2"/>
      <c r="GR89" s="2">
        <v>1</v>
      </c>
      <c r="GS89" s="2">
        <v>2</v>
      </c>
      <c r="GT89" s="2">
        <v>0</v>
      </c>
      <c r="GU89" s="2" t="s">
        <v>3</v>
      </c>
      <c r="GV89" s="2">
        <f t="shared" si="105"/>
        <v>0</v>
      </c>
      <c r="GW89" s="2">
        <v>1</v>
      </c>
      <c r="GX89" s="2">
        <f t="shared" si="106"/>
        <v>0</v>
      </c>
      <c r="GY89" s="2"/>
      <c r="GZ89" s="2"/>
      <c r="HA89" s="2">
        <v>0</v>
      </c>
      <c r="HB89" s="2">
        <v>0</v>
      </c>
      <c r="HC89" s="2">
        <f t="shared" si="107"/>
        <v>0</v>
      </c>
      <c r="HD89" s="2"/>
      <c r="HE89" s="2" t="s">
        <v>139</v>
      </c>
      <c r="HF89" s="2" t="s">
        <v>35</v>
      </c>
      <c r="HG89" s="2"/>
      <c r="HH89" s="2"/>
      <c r="HI89" s="2"/>
      <c r="HJ89" s="2"/>
      <c r="HK89" s="2"/>
      <c r="HL89" s="2"/>
      <c r="HM89" s="2" t="s">
        <v>3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2">
      <c r="A90" s="3">
        <v>17</v>
      </c>
      <c r="B90" s="3">
        <v>1</v>
      </c>
      <c r="E90" s="3" t="s">
        <v>142</v>
      </c>
      <c r="F90" s="3" t="s">
        <v>143</v>
      </c>
      <c r="G90" s="3" t="s">
        <v>144</v>
      </c>
      <c r="H90" s="3" t="s">
        <v>135</v>
      </c>
      <c r="I90" s="3">
        <v>1</v>
      </c>
      <c r="J90" s="3">
        <v>0</v>
      </c>
      <c r="K90" s="3">
        <v>1</v>
      </c>
      <c r="O90" s="3">
        <f t="shared" si="83"/>
        <v>5187.0600000000004</v>
      </c>
      <c r="P90" s="3">
        <f t="shared" si="84"/>
        <v>5187.0600000000004</v>
      </c>
      <c r="Q90" s="3">
        <f>(ROUND((ROUND(((ET90)*AV90*I90),2)*BB90),2)+ROUND((ROUND(((AE90-(EU90))*AV90*I90),2)*BS90),2))</f>
        <v>0</v>
      </c>
      <c r="R90" s="3">
        <f>(ROUND((ROUND(((EU90)*AV90*I90),2)*BS90),2)+ROUND((ROUND(((AE90-(EU90))*AV90*I90),2)*BS90),2))</f>
        <v>0</v>
      </c>
      <c r="S90" s="3">
        <f t="shared" si="85"/>
        <v>0</v>
      </c>
      <c r="T90" s="3">
        <f t="shared" si="86"/>
        <v>0</v>
      </c>
      <c r="U90" s="3">
        <f t="shared" si="87"/>
        <v>0</v>
      </c>
      <c r="V90" s="3">
        <f t="shared" si="88"/>
        <v>0</v>
      </c>
      <c r="W90" s="3">
        <f t="shared" si="89"/>
        <v>0</v>
      </c>
      <c r="X90" s="3">
        <f>(ROUND((((S90+ROUND((ROUND(((EU90)*AV90*I90),2)*BS90),2))*AT90)/100),2)+ROUND(((ROUND((ROUND(((AE90-(EU90))*AV90*I90),2)*BS90),2)*AT90)/100),2))</f>
        <v>0</v>
      </c>
      <c r="Y90" s="3">
        <f>(ROUND((((S90+ROUND((ROUND(((EU90)*AV90*I90),2)*BS90),2))*AU90)/100),2)+ROUND(((ROUND((ROUND(((AE90-(EU90))*AV90*I90),2)*BS90),2)*AU90)/100),2))</f>
        <v>0</v>
      </c>
      <c r="AA90" s="3">
        <v>55919549</v>
      </c>
      <c r="AB90" s="3">
        <f t="shared" si="90"/>
        <v>527.14</v>
      </c>
      <c r="AC90" s="3">
        <f>ROUND((ES90),6)</f>
        <v>527.14</v>
      </c>
      <c r="AD90" s="3">
        <f>ROUND((((ET90)-(EU90))+AE90),6)</f>
        <v>0</v>
      </c>
      <c r="AE90" s="3">
        <f>ROUND((EU90),6)</f>
        <v>0</v>
      </c>
      <c r="AF90" s="3">
        <f>ROUND((EV90),6)</f>
        <v>0</v>
      </c>
      <c r="AG90" s="3">
        <f t="shared" si="91"/>
        <v>0</v>
      </c>
      <c r="AH90" s="3">
        <f>(EW90)</f>
        <v>0</v>
      </c>
      <c r="AI90" s="3">
        <f>(EX90)</f>
        <v>0</v>
      </c>
      <c r="AJ90" s="3">
        <f t="shared" si="92"/>
        <v>0</v>
      </c>
      <c r="AK90" s="3">
        <v>527.14</v>
      </c>
      <c r="AL90" s="3">
        <v>527.14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1</v>
      </c>
      <c r="AW90" s="3">
        <v>1</v>
      </c>
      <c r="AZ90" s="3">
        <v>1</v>
      </c>
      <c r="BA90" s="3">
        <v>1</v>
      </c>
      <c r="BB90" s="3">
        <v>1</v>
      </c>
      <c r="BC90" s="3">
        <v>9.84</v>
      </c>
      <c r="BD90" s="3" t="s">
        <v>3</v>
      </c>
      <c r="BE90" s="3" t="s">
        <v>3</v>
      </c>
      <c r="BF90" s="3" t="s">
        <v>3</v>
      </c>
      <c r="BG90" s="3" t="s">
        <v>3</v>
      </c>
      <c r="BH90" s="3">
        <v>3</v>
      </c>
      <c r="BI90" s="3">
        <v>3</v>
      </c>
      <c r="BJ90" s="3" t="s">
        <v>143</v>
      </c>
      <c r="BM90" s="3">
        <v>400007</v>
      </c>
      <c r="BN90" s="3">
        <v>0</v>
      </c>
      <c r="BO90" s="3" t="s">
        <v>3</v>
      </c>
      <c r="BP90" s="3">
        <v>0</v>
      </c>
      <c r="BQ90" s="3">
        <v>214</v>
      </c>
      <c r="BR90" s="3">
        <v>0</v>
      </c>
      <c r="BS90" s="3">
        <v>1</v>
      </c>
      <c r="BT90" s="3">
        <v>1</v>
      </c>
      <c r="BU90" s="3">
        <v>1</v>
      </c>
      <c r="BV90" s="3">
        <v>1</v>
      </c>
      <c r="BW90" s="3">
        <v>1</v>
      </c>
      <c r="BX90" s="3">
        <v>1</v>
      </c>
      <c r="BY90" s="3" t="s">
        <v>3</v>
      </c>
      <c r="BZ90" s="3">
        <v>0</v>
      </c>
      <c r="CA90" s="3">
        <v>0</v>
      </c>
      <c r="CB90" s="3" t="s">
        <v>3</v>
      </c>
      <c r="CE90" s="3">
        <v>1566</v>
      </c>
      <c r="CF90" s="3">
        <v>0</v>
      </c>
      <c r="CG90" s="3">
        <v>0</v>
      </c>
      <c r="CM90" s="3">
        <v>0</v>
      </c>
      <c r="CN90" s="3" t="s">
        <v>3</v>
      </c>
      <c r="CO90" s="3">
        <v>0</v>
      </c>
      <c r="CP90" s="3">
        <f t="shared" si="93"/>
        <v>5187.0600000000004</v>
      </c>
      <c r="CQ90" s="3">
        <f t="shared" si="94"/>
        <v>5187.0600000000004</v>
      </c>
      <c r="CR90" s="3">
        <f>(ROUND((ROUND(((ET90)*AV90*1),2)*BB90),2)+ROUND((ROUND(((AE90-(EU90))*AV90*1),2)*BS90),2))</f>
        <v>0</v>
      </c>
      <c r="CS90" s="3">
        <f>(ROUND((ROUND(((EU90)*AV90*1),2)*BS90),2)+ROUND((ROUND(((AE90-(EU90))*AV90*1),2)*BS90),2))</f>
        <v>0</v>
      </c>
      <c r="CT90" s="3">
        <f t="shared" si="95"/>
        <v>0</v>
      </c>
      <c r="CU90" s="3">
        <f t="shared" si="96"/>
        <v>0</v>
      </c>
      <c r="CV90" s="3">
        <f t="shared" si="97"/>
        <v>0</v>
      </c>
      <c r="CW90" s="3">
        <f t="shared" si="98"/>
        <v>0</v>
      </c>
      <c r="CX90" s="3">
        <f t="shared" si="99"/>
        <v>0</v>
      </c>
      <c r="CY90" s="3">
        <f>(ROUND((((S90+ROUND((ROUND(((EU90)*AV90*1),2)*BS90),2))*AT90)/100),2)+ROUND(((ROUND((ROUND(((AE90-(EU90))*AV90*1),2)*BS90),2)*AT90)/100),2))</f>
        <v>0</v>
      </c>
      <c r="CZ90" s="3">
        <f>(ROUND((((S90+ROUND((ROUND(((EU90)*AV90*1),2)*BS90),2))*AU90)/100),2)+ROUND(((ROUND((ROUND(((AE90-(EU90))*AV90*1),2)*BS90),2)*AU90)/100),2))</f>
        <v>0</v>
      </c>
      <c r="DC90" s="3" t="s">
        <v>3</v>
      </c>
      <c r="DD90" s="3" t="s">
        <v>3</v>
      </c>
      <c r="DE90" s="3" t="s">
        <v>3</v>
      </c>
      <c r="DF90" s="3" t="s">
        <v>3</v>
      </c>
      <c r="DG90" s="3" t="s">
        <v>3</v>
      </c>
      <c r="DH90" s="3" t="s">
        <v>3</v>
      </c>
      <c r="DI90" s="3" t="s">
        <v>3</v>
      </c>
      <c r="DJ90" s="3" t="s">
        <v>3</v>
      </c>
      <c r="DK90" s="3" t="s">
        <v>3</v>
      </c>
      <c r="DL90" s="3" t="s">
        <v>3</v>
      </c>
      <c r="DM90" s="3" t="s">
        <v>3</v>
      </c>
      <c r="DN90" s="3">
        <v>0</v>
      </c>
      <c r="DO90" s="3">
        <v>0</v>
      </c>
      <c r="DP90" s="3">
        <v>1</v>
      </c>
      <c r="DQ90" s="3">
        <v>1</v>
      </c>
      <c r="DU90" s="3">
        <v>1013</v>
      </c>
      <c r="DV90" s="3" t="s">
        <v>135</v>
      </c>
      <c r="DW90" s="3" t="s">
        <v>135</v>
      </c>
      <c r="DX90" s="3">
        <v>1</v>
      </c>
      <c r="DZ90" s="3" t="s">
        <v>3</v>
      </c>
      <c r="EA90" s="3" t="s">
        <v>3</v>
      </c>
      <c r="EB90" s="3" t="s">
        <v>3</v>
      </c>
      <c r="EC90" s="3" t="s">
        <v>3</v>
      </c>
      <c r="EE90" s="3">
        <v>55393630</v>
      </c>
      <c r="EF90" s="3">
        <v>214</v>
      </c>
      <c r="EG90" s="3" t="s">
        <v>136</v>
      </c>
      <c r="EH90" s="3">
        <v>0</v>
      </c>
      <c r="EI90" s="3" t="s">
        <v>3</v>
      </c>
      <c r="EJ90" s="3">
        <v>3</v>
      </c>
      <c r="EK90" s="3">
        <v>400007</v>
      </c>
      <c r="EL90" s="3" t="s">
        <v>136</v>
      </c>
      <c r="EM90" s="3" t="s">
        <v>137</v>
      </c>
      <c r="EO90" s="3" t="s">
        <v>3</v>
      </c>
      <c r="EQ90" s="3">
        <v>16</v>
      </c>
      <c r="ER90" s="3">
        <v>0</v>
      </c>
      <c r="ES90" s="3">
        <v>527.14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5</v>
      </c>
      <c r="FC90" s="3">
        <v>1</v>
      </c>
      <c r="FD90" s="3">
        <v>18</v>
      </c>
      <c r="FF90" s="3">
        <v>6071.03</v>
      </c>
      <c r="FQ90" s="3">
        <v>0</v>
      </c>
      <c r="FR90" s="3">
        <f>P90</f>
        <v>5187.0600000000004</v>
      </c>
      <c r="FS90" s="3">
        <v>0</v>
      </c>
      <c r="FX90" s="3">
        <v>0</v>
      </c>
      <c r="FY90" s="3">
        <v>0</v>
      </c>
      <c r="GA90" s="3" t="s">
        <v>145</v>
      </c>
      <c r="GD90" s="3">
        <v>1</v>
      </c>
      <c r="GF90" s="3">
        <v>1590157922</v>
      </c>
      <c r="GG90" s="3">
        <v>2</v>
      </c>
      <c r="GH90" s="3">
        <v>3</v>
      </c>
      <c r="GI90" s="3">
        <v>5</v>
      </c>
      <c r="GJ90" s="3">
        <v>0</v>
      </c>
      <c r="GK90" s="3">
        <v>0</v>
      </c>
      <c r="GL90" s="3">
        <f t="shared" si="100"/>
        <v>0</v>
      </c>
      <c r="GM90" s="3">
        <f t="shared" si="101"/>
        <v>5187.0600000000004</v>
      </c>
      <c r="GN90" s="3">
        <f t="shared" si="102"/>
        <v>0</v>
      </c>
      <c r="GO90" s="3">
        <f t="shared" si="103"/>
        <v>0</v>
      </c>
      <c r="GP90" s="3">
        <f t="shared" si="104"/>
        <v>0</v>
      </c>
      <c r="GR90" s="3">
        <v>1</v>
      </c>
      <c r="GS90" s="3">
        <v>1</v>
      </c>
      <c r="GT90" s="3">
        <v>0</v>
      </c>
      <c r="GU90" s="3" t="s">
        <v>3</v>
      </c>
      <c r="GV90" s="3">
        <f t="shared" si="105"/>
        <v>0</v>
      </c>
      <c r="GW90" s="3">
        <v>1</v>
      </c>
      <c r="GX90" s="3">
        <f t="shared" si="106"/>
        <v>0</v>
      </c>
      <c r="HA90" s="3">
        <v>0</v>
      </c>
      <c r="HB90" s="3">
        <v>0</v>
      </c>
      <c r="HC90" s="3">
        <f t="shared" si="107"/>
        <v>0</v>
      </c>
      <c r="HE90" s="3" t="s">
        <v>139</v>
      </c>
      <c r="HF90" s="3" t="s">
        <v>35</v>
      </c>
      <c r="HM90" s="3" t="s">
        <v>3</v>
      </c>
      <c r="HN90" s="3" t="s">
        <v>3</v>
      </c>
      <c r="HO90" s="3" t="s">
        <v>3</v>
      </c>
      <c r="HP90" s="3" t="s">
        <v>3</v>
      </c>
      <c r="HQ90" s="3" t="s">
        <v>3</v>
      </c>
      <c r="HS90" s="3">
        <v>0</v>
      </c>
      <c r="IK90" s="3">
        <v>0</v>
      </c>
    </row>
    <row r="91" spans="1:255" x14ac:dyDescent="0.2">
      <c r="A91" s="2">
        <v>17</v>
      </c>
      <c r="B91" s="2">
        <v>1</v>
      </c>
      <c r="C91" s="2">
        <f>ROW(SmtRes!A81)</f>
        <v>81</v>
      </c>
      <c r="D91" s="2">
        <f>ROW(EtalonRes!A95)</f>
        <v>95</v>
      </c>
      <c r="E91" s="2" t="s">
        <v>146</v>
      </c>
      <c r="F91" s="2" t="s">
        <v>36</v>
      </c>
      <c r="G91" s="2" t="s">
        <v>147</v>
      </c>
      <c r="H91" s="2" t="s">
        <v>33</v>
      </c>
      <c r="I91" s="2">
        <v>1</v>
      </c>
      <c r="J91" s="2">
        <v>0</v>
      </c>
      <c r="K91" s="2">
        <v>1</v>
      </c>
      <c r="L91" s="2"/>
      <c r="M91" s="2"/>
      <c r="N91" s="2"/>
      <c r="O91" s="2">
        <f t="shared" si="83"/>
        <v>56.97</v>
      </c>
      <c r="P91" s="2">
        <f t="shared" si="84"/>
        <v>1.46</v>
      </c>
      <c r="Q91" s="2">
        <f>(ROUND((ROUND((((ET91*1.2))*AV91*I91),2)*BB91),2)+ROUND((ROUND(((AE91-((EU91*1.2)))*AV91*I91),2)*BS91),2))</f>
        <v>21.89</v>
      </c>
      <c r="R91" s="2">
        <f>(ROUND((ROUND((((EU91*1.2))*AV91*I91),2)*BS91),2)+ROUND((ROUND(((AE91-((EU91*1.2)))*AV91*I91),2)*BS91),2))</f>
        <v>3.97</v>
      </c>
      <c r="S91" s="2">
        <f t="shared" si="85"/>
        <v>33.619999999999997</v>
      </c>
      <c r="T91" s="2">
        <f t="shared" si="86"/>
        <v>0</v>
      </c>
      <c r="U91" s="2">
        <f t="shared" si="87"/>
        <v>2.5881839999999996</v>
      </c>
      <c r="V91" s="2">
        <f t="shared" si="88"/>
        <v>0</v>
      </c>
      <c r="W91" s="2">
        <f t="shared" si="89"/>
        <v>0</v>
      </c>
      <c r="X91" s="2">
        <f>(ROUND((((S91+ROUND((ROUND((((EU91*1.2))*AV91*I91),2)*BS91),2))*AT91)/100),2)+ROUND(((ROUND((ROUND(((AE91-((EU91*1.2)))*AV91*I91),2)*BS91),2)*AT91)/100),2))</f>
        <v>36.46</v>
      </c>
      <c r="Y91" s="2">
        <f>(ROUND((((S91+ROUND((ROUND((((EU91*1.2))*AV91*I91),2)*BS91),2))*AU91)/100),2)+ROUND(((ROUND((ROUND(((AE91-((EU91*1.2)))*AV91*I91),2)*BS91),2)*AU91)/100),2))</f>
        <v>19.170000000000002</v>
      </c>
      <c r="Z91" s="2"/>
      <c r="AA91" s="2">
        <v>55919547</v>
      </c>
      <c r="AB91" s="2">
        <f t="shared" si="90"/>
        <v>54.475999999999999</v>
      </c>
      <c r="AC91" s="2">
        <f>ROUND(((ES91*1)),6)</f>
        <v>1.46</v>
      </c>
      <c r="AD91" s="2">
        <f>ROUND(((((ET91*1.2))-((EU91*1.2)))+AE91),6)</f>
        <v>20.904</v>
      </c>
      <c r="AE91" s="2">
        <f>ROUND(((EU91*1.2)),6)</f>
        <v>3.7919999999999998</v>
      </c>
      <c r="AF91" s="2">
        <f>ROUND(((EV91*1.2)),6)</f>
        <v>32.112000000000002</v>
      </c>
      <c r="AG91" s="2">
        <f t="shared" si="91"/>
        <v>0</v>
      </c>
      <c r="AH91" s="2">
        <f>((EW91*1.2))</f>
        <v>2.472</v>
      </c>
      <c r="AI91" s="2">
        <f>((EX91*1.2))</f>
        <v>0</v>
      </c>
      <c r="AJ91" s="2">
        <f t="shared" si="92"/>
        <v>0</v>
      </c>
      <c r="AK91" s="2">
        <v>45.64</v>
      </c>
      <c r="AL91" s="2">
        <v>1.46</v>
      </c>
      <c r="AM91" s="2">
        <v>17.420000000000002</v>
      </c>
      <c r="AN91" s="2">
        <v>3.16</v>
      </c>
      <c r="AO91" s="2">
        <v>26.76</v>
      </c>
      <c r="AP91" s="2">
        <v>0</v>
      </c>
      <c r="AQ91" s="2">
        <v>2.06</v>
      </c>
      <c r="AR91" s="2">
        <v>0</v>
      </c>
      <c r="AS91" s="2">
        <v>0</v>
      </c>
      <c r="AT91" s="2">
        <v>97</v>
      </c>
      <c r="AU91" s="2">
        <v>51</v>
      </c>
      <c r="AV91" s="2">
        <v>1.0469999999999999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0</v>
      </c>
      <c r="BI91" s="2">
        <v>2</v>
      </c>
      <c r="BJ91" s="2" t="s">
        <v>38</v>
      </c>
      <c r="BK91" s="2"/>
      <c r="BL91" s="2"/>
      <c r="BM91" s="2">
        <v>67</v>
      </c>
      <c r="BN91" s="2">
        <v>0</v>
      </c>
      <c r="BO91" s="2" t="s">
        <v>36</v>
      </c>
      <c r="BP91" s="2">
        <v>1</v>
      </c>
      <c r="BQ91" s="2">
        <v>40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97</v>
      </c>
      <c r="CA91" s="2">
        <v>51</v>
      </c>
      <c r="CB91" s="2" t="s">
        <v>3</v>
      </c>
      <c r="CC91" s="2"/>
      <c r="CD91" s="2"/>
      <c r="CE91" s="2">
        <v>1566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2" t="s">
        <v>491</v>
      </c>
      <c r="CO91" s="2">
        <v>0</v>
      </c>
      <c r="CP91" s="2">
        <f t="shared" si="93"/>
        <v>56.97</v>
      </c>
      <c r="CQ91" s="2">
        <f t="shared" si="94"/>
        <v>1.46</v>
      </c>
      <c r="CR91" s="2">
        <f>(ROUND((ROUND((((ET91*1.2))*AV91*1),2)*BB91),2)+ROUND((ROUND(((AE91-((EU91*1.2)))*AV91*1),2)*BS91),2))</f>
        <v>21.89</v>
      </c>
      <c r="CS91" s="2">
        <f>(ROUND((ROUND((((EU91*1.2))*AV91*1),2)*BS91),2)+ROUND((ROUND(((AE91-((EU91*1.2)))*AV91*1),2)*BS91),2))</f>
        <v>3.97</v>
      </c>
      <c r="CT91" s="2">
        <f t="shared" si="95"/>
        <v>33.619999999999997</v>
      </c>
      <c r="CU91" s="2">
        <f t="shared" si="96"/>
        <v>0</v>
      </c>
      <c r="CV91" s="2">
        <f t="shared" si="97"/>
        <v>2.5881839999999996</v>
      </c>
      <c r="CW91" s="2">
        <f t="shared" si="98"/>
        <v>0</v>
      </c>
      <c r="CX91" s="2">
        <f t="shared" si="99"/>
        <v>0</v>
      </c>
      <c r="CY91" s="2">
        <f>(ROUND((((S91+ROUND((ROUND((((EU91*1.2))*AV91*1),2)*BS91),2))*AT91)/100),2)+ROUND(((ROUND((ROUND(((AE91-((EU91*1.2)))*AV91*1),2)*BS91),2)*AT91)/100),2))</f>
        <v>36.46</v>
      </c>
      <c r="CZ91" s="2">
        <f>(ROUND((((S91+ROUND((ROUND((((EU91*1.2))*AV91*1),2)*BS91),2))*AU91)/100),2)+ROUND(((ROUND((ROUND(((AE91-((EU91*1.2)))*AV91*1),2)*BS91),2)*AU91)/100),2))</f>
        <v>19.170000000000002</v>
      </c>
      <c r="DA91" s="2"/>
      <c r="DB91" s="2">
        <v>39</v>
      </c>
      <c r="DC91" s="2" t="s">
        <v>3</v>
      </c>
      <c r="DD91" s="2" t="s">
        <v>56</v>
      </c>
      <c r="DE91" s="2" t="s">
        <v>57</v>
      </c>
      <c r="DF91" s="2" t="s">
        <v>57</v>
      </c>
      <c r="DG91" s="2" t="s">
        <v>57</v>
      </c>
      <c r="DH91" s="2" t="s">
        <v>3</v>
      </c>
      <c r="DI91" s="2" t="s">
        <v>57</v>
      </c>
      <c r="DJ91" s="2" t="s">
        <v>57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1013</v>
      </c>
      <c r="DV91" s="2" t="s">
        <v>33</v>
      </c>
      <c r="DW91" s="2" t="s">
        <v>33</v>
      </c>
      <c r="DX91" s="2">
        <v>1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55393699</v>
      </c>
      <c r="EF91" s="2">
        <v>40</v>
      </c>
      <c r="EG91" s="2" t="s">
        <v>26</v>
      </c>
      <c r="EH91" s="2">
        <v>0</v>
      </c>
      <c r="EI91" s="2" t="s">
        <v>3</v>
      </c>
      <c r="EJ91" s="2">
        <v>2</v>
      </c>
      <c r="EK91" s="2">
        <v>67</v>
      </c>
      <c r="EL91" s="2" t="s">
        <v>39</v>
      </c>
      <c r="EM91" s="2" t="s">
        <v>40</v>
      </c>
      <c r="EN91" s="2"/>
      <c r="EO91" s="2" t="s">
        <v>61</v>
      </c>
      <c r="EP91" s="2"/>
      <c r="EQ91" s="2">
        <v>0</v>
      </c>
      <c r="ER91" s="2">
        <v>45.64</v>
      </c>
      <c r="ES91" s="2">
        <v>1.46</v>
      </c>
      <c r="ET91" s="2">
        <v>17.420000000000002</v>
      </c>
      <c r="EU91" s="2">
        <v>3.16</v>
      </c>
      <c r="EV91" s="2">
        <v>26.76</v>
      </c>
      <c r="EW91" s="2">
        <v>2.06</v>
      </c>
      <c r="EX91" s="2">
        <v>0</v>
      </c>
      <c r="EY91" s="2">
        <v>0</v>
      </c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v>0</v>
      </c>
      <c r="FS91" s="2">
        <v>0</v>
      </c>
      <c r="FT91" s="2"/>
      <c r="FU91" s="2"/>
      <c r="FV91" s="2"/>
      <c r="FW91" s="2"/>
      <c r="FX91" s="2">
        <v>97</v>
      </c>
      <c r="FY91" s="2">
        <v>51</v>
      </c>
      <c r="FZ91" s="2"/>
      <c r="GA91" s="2" t="s">
        <v>3</v>
      </c>
      <c r="GB91" s="2"/>
      <c r="GC91" s="2"/>
      <c r="GD91" s="2">
        <v>1</v>
      </c>
      <c r="GE91" s="2"/>
      <c r="GF91" s="2">
        <v>-1842782186</v>
      </c>
      <c r="GG91" s="2">
        <v>2</v>
      </c>
      <c r="GH91" s="2">
        <v>1</v>
      </c>
      <c r="GI91" s="2">
        <v>2</v>
      </c>
      <c r="GJ91" s="2">
        <v>0</v>
      </c>
      <c r="GK91" s="2">
        <v>0</v>
      </c>
      <c r="GL91" s="2">
        <f t="shared" si="100"/>
        <v>0</v>
      </c>
      <c r="GM91" s="2">
        <f t="shared" si="101"/>
        <v>112.6</v>
      </c>
      <c r="GN91" s="2">
        <f t="shared" si="102"/>
        <v>0</v>
      </c>
      <c r="GO91" s="2">
        <f t="shared" si="103"/>
        <v>112.6</v>
      </c>
      <c r="GP91" s="2">
        <f t="shared" si="104"/>
        <v>0</v>
      </c>
      <c r="GQ91" s="2"/>
      <c r="GR91" s="2">
        <v>0</v>
      </c>
      <c r="GS91" s="2">
        <v>3</v>
      </c>
      <c r="GT91" s="2">
        <v>0</v>
      </c>
      <c r="GU91" s="2" t="s">
        <v>3</v>
      </c>
      <c r="GV91" s="2">
        <f t="shared" si="105"/>
        <v>0</v>
      </c>
      <c r="GW91" s="2">
        <v>1</v>
      </c>
      <c r="GX91" s="2">
        <f t="shared" si="106"/>
        <v>0</v>
      </c>
      <c r="GY91" s="2"/>
      <c r="GZ91" s="2"/>
      <c r="HA91" s="2">
        <v>0</v>
      </c>
      <c r="HB91" s="2">
        <v>0</v>
      </c>
      <c r="HC91" s="2">
        <f t="shared" si="107"/>
        <v>0</v>
      </c>
      <c r="HD91" s="2"/>
      <c r="HE91" s="2" t="s">
        <v>3</v>
      </c>
      <c r="HF91" s="2" t="s">
        <v>3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x14ac:dyDescent="0.2">
      <c r="A92" s="3">
        <v>17</v>
      </c>
      <c r="B92" s="3">
        <v>1</v>
      </c>
      <c r="C92" s="3">
        <f>ROW(SmtRes!A90)</f>
        <v>90</v>
      </c>
      <c r="D92" s="3">
        <f>ROW(EtalonRes!A104)</f>
        <v>104</v>
      </c>
      <c r="E92" s="3" t="s">
        <v>146</v>
      </c>
      <c r="F92" s="3" t="s">
        <v>36</v>
      </c>
      <c r="G92" s="3" t="s">
        <v>147</v>
      </c>
      <c r="H92" s="3" t="s">
        <v>33</v>
      </c>
      <c r="I92" s="3">
        <v>1</v>
      </c>
      <c r="J92" s="3">
        <v>0</v>
      </c>
      <c r="K92" s="3">
        <v>1</v>
      </c>
      <c r="O92" s="3">
        <f t="shared" si="83"/>
        <v>2346.0100000000002</v>
      </c>
      <c r="P92" s="3">
        <f t="shared" si="84"/>
        <v>16.13</v>
      </c>
      <c r="Q92" s="3">
        <f>(ROUND((ROUND((((ET92*1.2))*AV92*I92),2)*BB92),2)+ROUND((ROUND(((AE92-((EU92*1.2)))*AV92*I92),2)*BS92),2))</f>
        <v>435.39</v>
      </c>
      <c r="R92" s="3">
        <f>(ROUND((ROUND((((EU92*1.2))*AV92*I92),2)*BS92),2)+ROUND((ROUND(((AE92-((EU92*1.2)))*AV92*I92),2)*BS92),2))</f>
        <v>223.71</v>
      </c>
      <c r="S92" s="3">
        <f t="shared" si="85"/>
        <v>1894.49</v>
      </c>
      <c r="T92" s="3">
        <f t="shared" si="86"/>
        <v>0</v>
      </c>
      <c r="U92" s="3">
        <f t="shared" si="87"/>
        <v>2.5881839999999996</v>
      </c>
      <c r="V92" s="3">
        <f t="shared" si="88"/>
        <v>0</v>
      </c>
      <c r="W92" s="3">
        <f t="shared" si="89"/>
        <v>0</v>
      </c>
      <c r="X92" s="3">
        <f>(ROUND((((S92+ROUND((ROUND((((EU92*1.2))*AV92*I92),2)*BS92),2))*AT92)/100),2)+ROUND(((ROUND((ROUND(((AE92-((EU92*1.2)))*AV92*I92),2)*BS92),2)*AT92)/100),2))</f>
        <v>2054.65</v>
      </c>
      <c r="Y92" s="3">
        <f>(ROUND((((S92+ROUND((ROUND((((EU92*1.2))*AV92*I92),2)*BS92),2))*AU92)/100),2)+ROUND(((ROUND((ROUND(((AE92-((EU92*1.2)))*AV92*I92),2)*BS92),2)*AU92)/100),2))</f>
        <v>1080.28</v>
      </c>
      <c r="AA92" s="3">
        <v>55919549</v>
      </c>
      <c r="AB92" s="3">
        <f t="shared" si="90"/>
        <v>54.475999999999999</v>
      </c>
      <c r="AC92" s="3">
        <f>ROUND(((ES92*1)),6)</f>
        <v>1.46</v>
      </c>
      <c r="AD92" s="3">
        <f>ROUND(((((ET92*1.2))-((EU92*1.2)))+AE92),6)</f>
        <v>20.904</v>
      </c>
      <c r="AE92" s="3">
        <f>ROUND(((EU92*1.2)),6)</f>
        <v>3.7919999999999998</v>
      </c>
      <c r="AF92" s="3">
        <f>ROUND(((EV92*1.2)),6)</f>
        <v>32.112000000000002</v>
      </c>
      <c r="AG92" s="3">
        <f t="shared" si="91"/>
        <v>0</v>
      </c>
      <c r="AH92" s="3">
        <f>((EW92*1.2))</f>
        <v>2.472</v>
      </c>
      <c r="AI92" s="3">
        <f>((EX92*1.2))</f>
        <v>0</v>
      </c>
      <c r="AJ92" s="3">
        <f t="shared" si="92"/>
        <v>0</v>
      </c>
      <c r="AK92" s="3">
        <v>45.64</v>
      </c>
      <c r="AL92" s="3">
        <v>1.46</v>
      </c>
      <c r="AM92" s="3">
        <v>17.420000000000002</v>
      </c>
      <c r="AN92" s="3">
        <v>3.16</v>
      </c>
      <c r="AO92" s="3">
        <v>26.76</v>
      </c>
      <c r="AP92" s="3">
        <v>0</v>
      </c>
      <c r="AQ92" s="3">
        <v>2.06</v>
      </c>
      <c r="AR92" s="3">
        <v>0</v>
      </c>
      <c r="AS92" s="3">
        <v>0</v>
      </c>
      <c r="AT92" s="3">
        <v>97</v>
      </c>
      <c r="AU92" s="3">
        <v>51</v>
      </c>
      <c r="AV92" s="3">
        <v>1.0469999999999999</v>
      </c>
      <c r="AW92" s="3">
        <v>1</v>
      </c>
      <c r="AZ92" s="3">
        <v>1</v>
      </c>
      <c r="BA92" s="3">
        <v>56.35</v>
      </c>
      <c r="BB92" s="3">
        <v>19.89</v>
      </c>
      <c r="BC92" s="3">
        <v>11.05</v>
      </c>
      <c r="BD92" s="3" t="s">
        <v>3</v>
      </c>
      <c r="BE92" s="3" t="s">
        <v>3</v>
      </c>
      <c r="BF92" s="3" t="s">
        <v>3</v>
      </c>
      <c r="BG92" s="3" t="s">
        <v>3</v>
      </c>
      <c r="BH92" s="3">
        <v>0</v>
      </c>
      <c r="BI92" s="3">
        <v>2</v>
      </c>
      <c r="BJ92" s="3" t="s">
        <v>38</v>
      </c>
      <c r="BM92" s="3">
        <v>67</v>
      </c>
      <c r="BN92" s="3">
        <v>0</v>
      </c>
      <c r="BO92" s="3" t="s">
        <v>36</v>
      </c>
      <c r="BP92" s="3">
        <v>1</v>
      </c>
      <c r="BQ92" s="3">
        <v>40</v>
      </c>
      <c r="BR92" s="3">
        <v>0</v>
      </c>
      <c r="BS92" s="3">
        <v>56.35</v>
      </c>
      <c r="BT92" s="3">
        <v>1</v>
      </c>
      <c r="BU92" s="3">
        <v>1</v>
      </c>
      <c r="BV92" s="3">
        <v>1</v>
      </c>
      <c r="BW92" s="3">
        <v>1</v>
      </c>
      <c r="BX92" s="3">
        <v>1</v>
      </c>
      <c r="BY92" s="3" t="s">
        <v>3</v>
      </c>
      <c r="BZ92" s="3">
        <v>97</v>
      </c>
      <c r="CA92" s="3">
        <v>51</v>
      </c>
      <c r="CB92" s="3" t="s">
        <v>3</v>
      </c>
      <c r="CE92" s="3">
        <v>1566</v>
      </c>
      <c r="CF92" s="3">
        <v>0</v>
      </c>
      <c r="CG92" s="3">
        <v>0</v>
      </c>
      <c r="CM92" s="3">
        <v>0</v>
      </c>
      <c r="CN92" s="3" t="s">
        <v>491</v>
      </c>
      <c r="CO92" s="3">
        <v>0</v>
      </c>
      <c r="CP92" s="3">
        <f t="shared" si="93"/>
        <v>2346.0100000000002</v>
      </c>
      <c r="CQ92" s="3">
        <f t="shared" si="94"/>
        <v>16.13</v>
      </c>
      <c r="CR92" s="3">
        <f>(ROUND((ROUND((((ET92*1.2))*AV92*1),2)*BB92),2)+ROUND((ROUND(((AE92-((EU92*1.2)))*AV92*1),2)*BS92),2))</f>
        <v>435.39</v>
      </c>
      <c r="CS92" s="3">
        <f>(ROUND((ROUND((((EU92*1.2))*AV92*1),2)*BS92),2)+ROUND((ROUND(((AE92-((EU92*1.2)))*AV92*1),2)*BS92),2))</f>
        <v>223.71</v>
      </c>
      <c r="CT92" s="3">
        <f t="shared" si="95"/>
        <v>1894.49</v>
      </c>
      <c r="CU92" s="3">
        <f t="shared" si="96"/>
        <v>0</v>
      </c>
      <c r="CV92" s="3">
        <f t="shared" si="97"/>
        <v>2.5881839999999996</v>
      </c>
      <c r="CW92" s="3">
        <f t="shared" si="98"/>
        <v>0</v>
      </c>
      <c r="CX92" s="3">
        <f t="shared" si="99"/>
        <v>0</v>
      </c>
      <c r="CY92" s="3">
        <f>(ROUND((((S92+ROUND((ROUND((((EU92*1.2))*AV92*1),2)*BS92),2))*AT92)/100),2)+ROUND(((ROUND((ROUND(((AE92-((EU92*1.2)))*AV92*1),2)*BS92),2)*AT92)/100),2))</f>
        <v>2054.65</v>
      </c>
      <c r="CZ92" s="3">
        <f>(ROUND((((S92+ROUND((ROUND((((EU92*1.2))*AV92*1),2)*BS92),2))*AU92)/100),2)+ROUND(((ROUND((ROUND(((AE92-((EU92*1.2)))*AV92*1),2)*BS92),2)*AU92)/100),2))</f>
        <v>1080.28</v>
      </c>
      <c r="DB92" s="3">
        <v>40</v>
      </c>
      <c r="DC92" s="3" t="s">
        <v>3</v>
      </c>
      <c r="DD92" s="3" t="s">
        <v>56</v>
      </c>
      <c r="DE92" s="3" t="s">
        <v>57</v>
      </c>
      <c r="DF92" s="3" t="s">
        <v>57</v>
      </c>
      <c r="DG92" s="3" t="s">
        <v>57</v>
      </c>
      <c r="DH92" s="3" t="s">
        <v>3</v>
      </c>
      <c r="DI92" s="3" t="s">
        <v>57</v>
      </c>
      <c r="DJ92" s="3" t="s">
        <v>57</v>
      </c>
      <c r="DK92" s="3" t="s">
        <v>3</v>
      </c>
      <c r="DL92" s="3" t="s">
        <v>3</v>
      </c>
      <c r="DM92" s="3" t="s">
        <v>3</v>
      </c>
      <c r="DN92" s="3">
        <v>0</v>
      </c>
      <c r="DO92" s="3">
        <v>0</v>
      </c>
      <c r="DP92" s="3">
        <v>1</v>
      </c>
      <c r="DQ92" s="3">
        <v>1</v>
      </c>
      <c r="DU92" s="3">
        <v>1013</v>
      </c>
      <c r="DV92" s="3" t="s">
        <v>33</v>
      </c>
      <c r="DW92" s="3" t="s">
        <v>33</v>
      </c>
      <c r="DX92" s="3">
        <v>1</v>
      </c>
      <c r="DZ92" s="3" t="s">
        <v>3</v>
      </c>
      <c r="EA92" s="3" t="s">
        <v>3</v>
      </c>
      <c r="EB92" s="3" t="s">
        <v>3</v>
      </c>
      <c r="EC92" s="3" t="s">
        <v>3</v>
      </c>
      <c r="EE92" s="3">
        <v>55393699</v>
      </c>
      <c r="EF92" s="3">
        <v>40</v>
      </c>
      <c r="EG92" s="3" t="s">
        <v>26</v>
      </c>
      <c r="EH92" s="3">
        <v>0</v>
      </c>
      <c r="EI92" s="3" t="s">
        <v>3</v>
      </c>
      <c r="EJ92" s="3">
        <v>2</v>
      </c>
      <c r="EK92" s="3">
        <v>67</v>
      </c>
      <c r="EL92" s="3" t="s">
        <v>39</v>
      </c>
      <c r="EM92" s="3" t="s">
        <v>40</v>
      </c>
      <c r="EO92" s="3" t="s">
        <v>61</v>
      </c>
      <c r="EQ92" s="3">
        <v>0</v>
      </c>
      <c r="ER92" s="3">
        <v>45.64</v>
      </c>
      <c r="ES92" s="3">
        <v>1.46</v>
      </c>
      <c r="ET92" s="3">
        <v>17.420000000000002</v>
      </c>
      <c r="EU92" s="3">
        <v>3.16</v>
      </c>
      <c r="EV92" s="3">
        <v>26.76</v>
      </c>
      <c r="EW92" s="3">
        <v>2.06</v>
      </c>
      <c r="EX92" s="3">
        <v>0</v>
      </c>
      <c r="EY92" s="3">
        <v>0</v>
      </c>
      <c r="FQ92" s="3">
        <v>0</v>
      </c>
      <c r="FR92" s="3">
        <v>0</v>
      </c>
      <c r="FS92" s="3">
        <v>0</v>
      </c>
      <c r="FX92" s="3">
        <v>97</v>
      </c>
      <c r="FY92" s="3">
        <v>51</v>
      </c>
      <c r="GA92" s="3" t="s">
        <v>3</v>
      </c>
      <c r="GD92" s="3">
        <v>1</v>
      </c>
      <c r="GF92" s="3">
        <v>-1842782186</v>
      </c>
      <c r="GG92" s="3">
        <v>2</v>
      </c>
      <c r="GH92" s="3">
        <v>1</v>
      </c>
      <c r="GI92" s="3">
        <v>2</v>
      </c>
      <c r="GJ92" s="3">
        <v>0</v>
      </c>
      <c r="GK92" s="3">
        <v>0</v>
      </c>
      <c r="GL92" s="3">
        <f t="shared" si="100"/>
        <v>0</v>
      </c>
      <c r="GM92" s="3">
        <f t="shared" si="101"/>
        <v>5480.94</v>
      </c>
      <c r="GN92" s="3">
        <f t="shared" si="102"/>
        <v>0</v>
      </c>
      <c r="GO92" s="3">
        <f t="shared" si="103"/>
        <v>5480.94</v>
      </c>
      <c r="GP92" s="3">
        <f t="shared" si="104"/>
        <v>0</v>
      </c>
      <c r="GR92" s="3">
        <v>0</v>
      </c>
      <c r="GS92" s="3">
        <v>3</v>
      </c>
      <c r="GT92" s="3">
        <v>0</v>
      </c>
      <c r="GU92" s="3" t="s">
        <v>3</v>
      </c>
      <c r="GV92" s="3">
        <f t="shared" si="105"/>
        <v>0</v>
      </c>
      <c r="GW92" s="3">
        <v>1</v>
      </c>
      <c r="GX92" s="3">
        <f t="shared" si="106"/>
        <v>0</v>
      </c>
      <c r="HA92" s="3">
        <v>0</v>
      </c>
      <c r="HB92" s="3">
        <v>0</v>
      </c>
      <c r="HC92" s="3">
        <f t="shared" si="107"/>
        <v>0</v>
      </c>
      <c r="HE92" s="3" t="s">
        <v>3</v>
      </c>
      <c r="HF92" s="3" t="s">
        <v>3</v>
      </c>
      <c r="HM92" s="3" t="s">
        <v>3</v>
      </c>
      <c r="HN92" s="3" t="s">
        <v>3</v>
      </c>
      <c r="HO92" s="3" t="s">
        <v>3</v>
      </c>
      <c r="HP92" s="3" t="s">
        <v>3</v>
      </c>
      <c r="HQ92" s="3" t="s">
        <v>3</v>
      </c>
      <c r="HS92" s="3">
        <v>0</v>
      </c>
      <c r="IK92" s="3">
        <v>0</v>
      </c>
    </row>
    <row r="93" spans="1:255" x14ac:dyDescent="0.2">
      <c r="A93" s="2">
        <v>18</v>
      </c>
      <c r="B93" s="2">
        <v>1</v>
      </c>
      <c r="C93" s="2">
        <v>80</v>
      </c>
      <c r="D93" s="2"/>
      <c r="E93" s="2" t="s">
        <v>148</v>
      </c>
      <c r="F93" s="2" t="s">
        <v>149</v>
      </c>
      <c r="G93" s="2" t="s">
        <v>150</v>
      </c>
      <c r="H93" s="2" t="s">
        <v>151</v>
      </c>
      <c r="I93" s="2">
        <f>I91*J93</f>
        <v>0.1</v>
      </c>
      <c r="J93" s="2">
        <v>0.1</v>
      </c>
      <c r="K93" s="2">
        <v>0.1</v>
      </c>
      <c r="L93" s="2"/>
      <c r="M93" s="2"/>
      <c r="N93" s="2"/>
      <c r="O93" s="2">
        <f t="shared" si="83"/>
        <v>3.11</v>
      </c>
      <c r="P93" s="2">
        <f t="shared" si="84"/>
        <v>3.11</v>
      </c>
      <c r="Q93" s="2">
        <f>(ROUND((ROUND(((ET93)*AV93*I93),2)*BB93),2)+ROUND((ROUND(((AE93-(EU93))*AV93*I93),2)*BS93),2))</f>
        <v>0</v>
      </c>
      <c r="R93" s="2">
        <f>(ROUND((ROUND(((EU93)*AV93*I93),2)*BS93),2)+ROUND((ROUND(((AE93-(EU93))*AV93*I93),2)*BS93),2))</f>
        <v>0</v>
      </c>
      <c r="S93" s="2">
        <f t="shared" si="85"/>
        <v>0</v>
      </c>
      <c r="T93" s="2">
        <f t="shared" si="86"/>
        <v>0</v>
      </c>
      <c r="U93" s="2">
        <f t="shared" si="87"/>
        <v>0</v>
      </c>
      <c r="V93" s="2">
        <f t="shared" si="88"/>
        <v>0</v>
      </c>
      <c r="W93" s="2">
        <f t="shared" si="89"/>
        <v>0</v>
      </c>
      <c r="X93" s="2">
        <f>(ROUND((((S93+ROUND((ROUND(((EU93)*AV93*I93),2)*BS93),2))*AT93)/100),2)+ROUND(((ROUND((ROUND(((AE93-(EU93))*AV93*I93),2)*BS93),2)*AT93)/100),2))</f>
        <v>0</v>
      </c>
      <c r="Y93" s="2">
        <f>(ROUND((((S93+ROUND((ROUND(((EU93)*AV93*I93),2)*BS93),2))*AU93)/100),2)+ROUND(((ROUND((ROUND(((AE93-(EU93))*AV93*I93),2)*BS93),2)*AU93)/100),2))</f>
        <v>0</v>
      </c>
      <c r="Z93" s="2"/>
      <c r="AA93" s="2">
        <v>55919547</v>
      </c>
      <c r="AB93" s="2">
        <f t="shared" si="90"/>
        <v>31.08</v>
      </c>
      <c r="AC93" s="2">
        <f>ROUND((ES93),6)</f>
        <v>31.08</v>
      </c>
      <c r="AD93" s="2">
        <f>ROUND((((ET93)-(EU93))+AE93),6)</f>
        <v>0</v>
      </c>
      <c r="AE93" s="2">
        <f t="shared" ref="AE93:AF96" si="108">ROUND((EU93),6)</f>
        <v>0</v>
      </c>
      <c r="AF93" s="2">
        <f t="shared" si="108"/>
        <v>0</v>
      </c>
      <c r="AG93" s="2">
        <f t="shared" si="91"/>
        <v>0</v>
      </c>
      <c r="AH93" s="2">
        <f t="shared" ref="AH93:AI96" si="109">(EW93)</f>
        <v>0</v>
      </c>
      <c r="AI93" s="2">
        <f t="shared" si="109"/>
        <v>0</v>
      </c>
      <c r="AJ93" s="2">
        <f t="shared" si="92"/>
        <v>0</v>
      </c>
      <c r="AK93" s="2">
        <v>31.08</v>
      </c>
      <c r="AL93" s="2">
        <v>31.08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97</v>
      </c>
      <c r="AU93" s="2">
        <v>51</v>
      </c>
      <c r="AV93" s="2">
        <v>1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3</v>
      </c>
      <c r="BI93" s="2">
        <v>2</v>
      </c>
      <c r="BJ93" s="2" t="s">
        <v>152</v>
      </c>
      <c r="BK93" s="2"/>
      <c r="BL93" s="2"/>
      <c r="BM93" s="2">
        <v>67</v>
      </c>
      <c r="BN93" s="2">
        <v>0</v>
      </c>
      <c r="BO93" s="2" t="s">
        <v>3</v>
      </c>
      <c r="BP93" s="2">
        <v>0</v>
      </c>
      <c r="BQ93" s="2">
        <v>40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97</v>
      </c>
      <c r="CA93" s="2">
        <v>51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492</v>
      </c>
      <c r="CO93" s="2">
        <v>0</v>
      </c>
      <c r="CP93" s="2">
        <f t="shared" si="93"/>
        <v>3.11</v>
      </c>
      <c r="CQ93" s="2">
        <f t="shared" si="94"/>
        <v>31.08</v>
      </c>
      <c r="CR93" s="2">
        <f>(ROUND((ROUND(((ET93)*AV93*1),2)*BB93),2)+ROUND((ROUND(((AE93-(EU93))*AV93*1),2)*BS93),2))</f>
        <v>0</v>
      </c>
      <c r="CS93" s="2">
        <f>(ROUND((ROUND(((EU93)*AV93*1),2)*BS93),2)+ROUND((ROUND(((AE93-(EU93))*AV93*1),2)*BS93),2))</f>
        <v>0</v>
      </c>
      <c r="CT93" s="2">
        <f t="shared" si="95"/>
        <v>0</v>
      </c>
      <c r="CU93" s="2">
        <f t="shared" si="96"/>
        <v>0</v>
      </c>
      <c r="CV93" s="2">
        <f t="shared" si="97"/>
        <v>0</v>
      </c>
      <c r="CW93" s="2">
        <f t="shared" si="98"/>
        <v>0</v>
      </c>
      <c r="CX93" s="2">
        <f t="shared" si="99"/>
        <v>0</v>
      </c>
      <c r="CY93" s="2">
        <f>(ROUND((((S93+ROUND((ROUND(((EU93)*AV93*1),2)*BS93),2))*AT93)/100),2)+ROUND(((ROUND((ROUND(((AE93-(EU93))*AV93*1),2)*BS93),2)*AT93)/100),2))</f>
        <v>0</v>
      </c>
      <c r="CZ93" s="2">
        <f>(ROUND((((S93+ROUND((ROUND(((EU93)*AV93*1),2)*BS93),2))*AU93)/100),2)+ROUND(((ROUND((ROUND(((AE93-(EU93))*AV93*1),2)*BS93),2)*AU93)/100),2))</f>
        <v>0</v>
      </c>
      <c r="DA93" s="2"/>
      <c r="DB93" s="2"/>
      <c r="DC93" s="2" t="s">
        <v>3</v>
      </c>
      <c r="DD93" s="2" t="s">
        <v>3</v>
      </c>
      <c r="DE93" s="2" t="s">
        <v>3</v>
      </c>
      <c r="DF93" s="2" t="s">
        <v>3</v>
      </c>
      <c r="DG93" s="2" t="s">
        <v>3</v>
      </c>
      <c r="DH93" s="2" t="s">
        <v>3</v>
      </c>
      <c r="DI93" s="2" t="s">
        <v>3</v>
      </c>
      <c r="DJ93" s="2" t="s">
        <v>3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1009</v>
      </c>
      <c r="DV93" s="2" t="s">
        <v>151</v>
      </c>
      <c r="DW93" s="2" t="s">
        <v>151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55393699</v>
      </c>
      <c r="EF93" s="2">
        <v>40</v>
      </c>
      <c r="EG93" s="2" t="s">
        <v>26</v>
      </c>
      <c r="EH93" s="2">
        <v>0</v>
      </c>
      <c r="EI93" s="2" t="s">
        <v>3</v>
      </c>
      <c r="EJ93" s="2">
        <v>2</v>
      </c>
      <c r="EK93" s="2">
        <v>67</v>
      </c>
      <c r="EL93" s="2" t="s">
        <v>39</v>
      </c>
      <c r="EM93" s="2" t="s">
        <v>40</v>
      </c>
      <c r="EN93" s="2"/>
      <c r="EO93" s="2" t="s">
        <v>61</v>
      </c>
      <c r="EP93" s="2"/>
      <c r="EQ93" s="2">
        <v>0</v>
      </c>
      <c r="ER93" s="2">
        <v>31.08</v>
      </c>
      <c r="ES93" s="2">
        <v>31.08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97</v>
      </c>
      <c r="FY93" s="2">
        <v>51</v>
      </c>
      <c r="FZ93" s="2"/>
      <c r="GA93" s="2" t="s">
        <v>3</v>
      </c>
      <c r="GB93" s="2"/>
      <c r="GC93" s="2"/>
      <c r="GD93" s="2">
        <v>1</v>
      </c>
      <c r="GE93" s="2"/>
      <c r="GF93" s="2">
        <v>-2097101800</v>
      </c>
      <c r="GG93" s="2">
        <v>2</v>
      </c>
      <c r="GH93" s="2">
        <v>1</v>
      </c>
      <c r="GI93" s="2">
        <v>-2</v>
      </c>
      <c r="GJ93" s="2">
        <v>0</v>
      </c>
      <c r="GK93" s="2">
        <v>0</v>
      </c>
      <c r="GL93" s="2">
        <f t="shared" si="100"/>
        <v>0</v>
      </c>
      <c r="GM93" s="2">
        <f t="shared" si="101"/>
        <v>3.11</v>
      </c>
      <c r="GN93" s="2">
        <f t="shared" si="102"/>
        <v>0</v>
      </c>
      <c r="GO93" s="2">
        <f t="shared" si="103"/>
        <v>3.11</v>
      </c>
      <c r="GP93" s="2">
        <f t="shared" si="104"/>
        <v>0</v>
      </c>
      <c r="GQ93" s="2"/>
      <c r="GR93" s="2">
        <v>0</v>
      </c>
      <c r="GS93" s="2">
        <v>3</v>
      </c>
      <c r="GT93" s="2">
        <v>0</v>
      </c>
      <c r="GU93" s="2" t="s">
        <v>3</v>
      </c>
      <c r="GV93" s="2">
        <f t="shared" si="105"/>
        <v>0</v>
      </c>
      <c r="GW93" s="2">
        <v>1</v>
      </c>
      <c r="GX93" s="2">
        <f t="shared" si="106"/>
        <v>0</v>
      </c>
      <c r="GY93" s="2"/>
      <c r="GZ93" s="2"/>
      <c r="HA93" s="2">
        <v>0</v>
      </c>
      <c r="HB93" s="2">
        <v>0</v>
      </c>
      <c r="HC93" s="2">
        <f t="shared" si="107"/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56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">
      <c r="A94" s="3">
        <v>18</v>
      </c>
      <c r="B94" s="3">
        <v>1</v>
      </c>
      <c r="C94" s="3">
        <v>89</v>
      </c>
      <c r="E94" s="3" t="s">
        <v>148</v>
      </c>
      <c r="F94" s="3" t="s">
        <v>149</v>
      </c>
      <c r="G94" s="3" t="s">
        <v>150</v>
      </c>
      <c r="H94" s="3" t="s">
        <v>151</v>
      </c>
      <c r="I94" s="3">
        <f>I92*J94</f>
        <v>0.1</v>
      </c>
      <c r="J94" s="3">
        <v>0.1</v>
      </c>
      <c r="K94" s="3">
        <v>0.1</v>
      </c>
      <c r="O94" s="3">
        <f t="shared" si="83"/>
        <v>11.16</v>
      </c>
      <c r="P94" s="3">
        <f t="shared" si="84"/>
        <v>11.16</v>
      </c>
      <c r="Q94" s="3">
        <f>(ROUND((ROUND(((ET94)*AV94*I94),2)*BB94),2)+ROUND((ROUND(((AE94-(EU94))*AV94*I94),2)*BS94),2))</f>
        <v>0</v>
      </c>
      <c r="R94" s="3">
        <f>(ROUND((ROUND(((EU94)*AV94*I94),2)*BS94),2)+ROUND((ROUND(((AE94-(EU94))*AV94*I94),2)*BS94),2))</f>
        <v>0</v>
      </c>
      <c r="S94" s="3">
        <f t="shared" si="85"/>
        <v>0</v>
      </c>
      <c r="T94" s="3">
        <f t="shared" si="86"/>
        <v>0</v>
      </c>
      <c r="U94" s="3">
        <f t="shared" si="87"/>
        <v>0</v>
      </c>
      <c r="V94" s="3">
        <f t="shared" si="88"/>
        <v>0</v>
      </c>
      <c r="W94" s="3">
        <f t="shared" si="89"/>
        <v>0</v>
      </c>
      <c r="X94" s="3">
        <f>(ROUND((((S94+ROUND((ROUND(((EU94)*AV94*I94),2)*BS94),2))*AT94)/100),2)+ROUND(((ROUND((ROUND(((AE94-(EU94))*AV94*I94),2)*BS94),2)*AT94)/100),2))</f>
        <v>0</v>
      </c>
      <c r="Y94" s="3">
        <f>(ROUND((((S94+ROUND((ROUND(((EU94)*AV94*I94),2)*BS94),2))*AU94)/100),2)+ROUND(((ROUND((ROUND(((AE94-(EU94))*AV94*I94),2)*BS94),2)*AU94)/100),2))</f>
        <v>0</v>
      </c>
      <c r="AA94" s="3">
        <v>55919549</v>
      </c>
      <c r="AB94" s="3">
        <f t="shared" si="90"/>
        <v>31.08</v>
      </c>
      <c r="AC94" s="3">
        <f>ROUND((ES94),6)</f>
        <v>31.08</v>
      </c>
      <c r="AD94" s="3">
        <f>ROUND((((ET94)-(EU94))+AE94),6)</f>
        <v>0</v>
      </c>
      <c r="AE94" s="3">
        <f t="shared" si="108"/>
        <v>0</v>
      </c>
      <c r="AF94" s="3">
        <f t="shared" si="108"/>
        <v>0</v>
      </c>
      <c r="AG94" s="3">
        <f t="shared" si="91"/>
        <v>0</v>
      </c>
      <c r="AH94" s="3">
        <f t="shared" si="109"/>
        <v>0</v>
      </c>
      <c r="AI94" s="3">
        <f t="shared" si="109"/>
        <v>0</v>
      </c>
      <c r="AJ94" s="3">
        <f t="shared" si="92"/>
        <v>0</v>
      </c>
      <c r="AK94" s="3">
        <v>31.08</v>
      </c>
      <c r="AL94" s="3">
        <v>31.08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97</v>
      </c>
      <c r="AU94" s="3">
        <v>51</v>
      </c>
      <c r="AV94" s="3">
        <v>1</v>
      </c>
      <c r="AW94" s="3">
        <v>1</v>
      </c>
      <c r="AZ94" s="3">
        <v>1</v>
      </c>
      <c r="BA94" s="3">
        <v>1</v>
      </c>
      <c r="BB94" s="3">
        <v>1</v>
      </c>
      <c r="BC94" s="3">
        <v>3.59</v>
      </c>
      <c r="BD94" s="3" t="s">
        <v>3</v>
      </c>
      <c r="BE94" s="3" t="s">
        <v>3</v>
      </c>
      <c r="BF94" s="3" t="s">
        <v>3</v>
      </c>
      <c r="BG94" s="3" t="s">
        <v>3</v>
      </c>
      <c r="BH94" s="3">
        <v>3</v>
      </c>
      <c r="BI94" s="3">
        <v>2</v>
      </c>
      <c r="BJ94" s="3" t="s">
        <v>152</v>
      </c>
      <c r="BM94" s="3">
        <v>67</v>
      </c>
      <c r="BN94" s="3">
        <v>0</v>
      </c>
      <c r="BO94" s="3" t="s">
        <v>149</v>
      </c>
      <c r="BP94" s="3">
        <v>1</v>
      </c>
      <c r="BQ94" s="3">
        <v>40</v>
      </c>
      <c r="BR94" s="3">
        <v>0</v>
      </c>
      <c r="BS94" s="3">
        <v>1</v>
      </c>
      <c r="BT94" s="3">
        <v>1</v>
      </c>
      <c r="BU94" s="3">
        <v>1</v>
      </c>
      <c r="BV94" s="3">
        <v>1</v>
      </c>
      <c r="BW94" s="3">
        <v>1</v>
      </c>
      <c r="BX94" s="3">
        <v>1</v>
      </c>
      <c r="BY94" s="3" t="s">
        <v>3</v>
      </c>
      <c r="BZ94" s="3">
        <v>97</v>
      </c>
      <c r="CA94" s="3">
        <v>51</v>
      </c>
      <c r="CB94" s="3" t="s">
        <v>3</v>
      </c>
      <c r="CE94" s="3">
        <v>1566</v>
      </c>
      <c r="CF94" s="3">
        <v>0</v>
      </c>
      <c r="CG94" s="3">
        <v>0</v>
      </c>
      <c r="CM94" s="3">
        <v>0</v>
      </c>
      <c r="CN94" s="3" t="s">
        <v>492</v>
      </c>
      <c r="CO94" s="3">
        <v>0</v>
      </c>
      <c r="CP94" s="3">
        <f t="shared" si="93"/>
        <v>11.16</v>
      </c>
      <c r="CQ94" s="3">
        <f t="shared" si="94"/>
        <v>111.58</v>
      </c>
      <c r="CR94" s="3">
        <f>(ROUND((ROUND(((ET94)*AV94*1),2)*BB94),2)+ROUND((ROUND(((AE94-(EU94))*AV94*1),2)*BS94),2))</f>
        <v>0</v>
      </c>
      <c r="CS94" s="3">
        <f>(ROUND((ROUND(((EU94)*AV94*1),2)*BS94),2)+ROUND((ROUND(((AE94-(EU94))*AV94*1),2)*BS94),2))</f>
        <v>0</v>
      </c>
      <c r="CT94" s="3">
        <f t="shared" si="95"/>
        <v>0</v>
      </c>
      <c r="CU94" s="3">
        <f t="shared" si="96"/>
        <v>0</v>
      </c>
      <c r="CV94" s="3">
        <f t="shared" si="97"/>
        <v>0</v>
      </c>
      <c r="CW94" s="3">
        <f t="shared" si="98"/>
        <v>0</v>
      </c>
      <c r="CX94" s="3">
        <f t="shared" si="99"/>
        <v>0</v>
      </c>
      <c r="CY94" s="3">
        <f>(ROUND((((S94+ROUND((ROUND(((EU94)*AV94*1),2)*BS94),2))*AT94)/100),2)+ROUND(((ROUND((ROUND(((AE94-(EU94))*AV94*1),2)*BS94),2)*AT94)/100),2))</f>
        <v>0</v>
      </c>
      <c r="CZ94" s="3">
        <f>(ROUND((((S94+ROUND((ROUND(((EU94)*AV94*1),2)*BS94),2))*AU94)/100),2)+ROUND(((ROUND((ROUND(((AE94-(EU94))*AV94*1),2)*BS94),2)*AU94)/100),2))</f>
        <v>0</v>
      </c>
      <c r="DC94" s="3" t="s">
        <v>3</v>
      </c>
      <c r="DD94" s="3" t="s">
        <v>3</v>
      </c>
      <c r="DE94" s="3" t="s">
        <v>3</v>
      </c>
      <c r="DF94" s="3" t="s">
        <v>3</v>
      </c>
      <c r="DG94" s="3" t="s">
        <v>3</v>
      </c>
      <c r="DH94" s="3" t="s">
        <v>3</v>
      </c>
      <c r="DI94" s="3" t="s">
        <v>3</v>
      </c>
      <c r="DJ94" s="3" t="s">
        <v>3</v>
      </c>
      <c r="DK94" s="3" t="s">
        <v>3</v>
      </c>
      <c r="DL94" s="3" t="s">
        <v>3</v>
      </c>
      <c r="DM94" s="3" t="s">
        <v>3</v>
      </c>
      <c r="DN94" s="3">
        <v>0</v>
      </c>
      <c r="DO94" s="3">
        <v>0</v>
      </c>
      <c r="DP94" s="3">
        <v>1</v>
      </c>
      <c r="DQ94" s="3">
        <v>1</v>
      </c>
      <c r="DU94" s="3">
        <v>1009</v>
      </c>
      <c r="DV94" s="3" t="s">
        <v>151</v>
      </c>
      <c r="DW94" s="3" t="s">
        <v>151</v>
      </c>
      <c r="DX94" s="3">
        <v>1</v>
      </c>
      <c r="DZ94" s="3" t="s">
        <v>3</v>
      </c>
      <c r="EA94" s="3" t="s">
        <v>3</v>
      </c>
      <c r="EB94" s="3" t="s">
        <v>3</v>
      </c>
      <c r="EC94" s="3" t="s">
        <v>3</v>
      </c>
      <c r="EE94" s="3">
        <v>55393699</v>
      </c>
      <c r="EF94" s="3">
        <v>40</v>
      </c>
      <c r="EG94" s="3" t="s">
        <v>26</v>
      </c>
      <c r="EH94" s="3">
        <v>0</v>
      </c>
      <c r="EI94" s="3" t="s">
        <v>3</v>
      </c>
      <c r="EJ94" s="3">
        <v>2</v>
      </c>
      <c r="EK94" s="3">
        <v>67</v>
      </c>
      <c r="EL94" s="3" t="s">
        <v>39</v>
      </c>
      <c r="EM94" s="3" t="s">
        <v>40</v>
      </c>
      <c r="EO94" s="3" t="s">
        <v>61</v>
      </c>
      <c r="EQ94" s="3">
        <v>0</v>
      </c>
      <c r="ER94" s="3">
        <v>31.08</v>
      </c>
      <c r="ES94" s="3">
        <v>31.08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FQ94" s="3">
        <v>0</v>
      </c>
      <c r="FR94" s="3">
        <v>0</v>
      </c>
      <c r="FS94" s="3">
        <v>0</v>
      </c>
      <c r="FX94" s="3">
        <v>97</v>
      </c>
      <c r="FY94" s="3">
        <v>51</v>
      </c>
      <c r="GA94" s="3" t="s">
        <v>3</v>
      </c>
      <c r="GD94" s="3">
        <v>1</v>
      </c>
      <c r="GF94" s="3">
        <v>-2097101800</v>
      </c>
      <c r="GG94" s="3">
        <v>2</v>
      </c>
      <c r="GH94" s="3">
        <v>1</v>
      </c>
      <c r="GI94" s="3">
        <v>2</v>
      </c>
      <c r="GJ94" s="3">
        <v>0</v>
      </c>
      <c r="GK94" s="3">
        <v>0</v>
      </c>
      <c r="GL94" s="3">
        <f t="shared" si="100"/>
        <v>0</v>
      </c>
      <c r="GM94" s="3">
        <f t="shared" si="101"/>
        <v>11.16</v>
      </c>
      <c r="GN94" s="3">
        <f t="shared" si="102"/>
        <v>0</v>
      </c>
      <c r="GO94" s="3">
        <f t="shared" si="103"/>
        <v>11.16</v>
      </c>
      <c r="GP94" s="3">
        <f t="shared" si="104"/>
        <v>0</v>
      </c>
      <c r="GR94" s="3">
        <v>0</v>
      </c>
      <c r="GS94" s="3">
        <v>3</v>
      </c>
      <c r="GT94" s="3">
        <v>0</v>
      </c>
      <c r="GU94" s="3" t="s">
        <v>3</v>
      </c>
      <c r="GV94" s="3">
        <f t="shared" si="105"/>
        <v>0</v>
      </c>
      <c r="GW94" s="3">
        <v>1</v>
      </c>
      <c r="GX94" s="3">
        <f t="shared" si="106"/>
        <v>0</v>
      </c>
      <c r="HA94" s="3">
        <v>0</v>
      </c>
      <c r="HB94" s="3">
        <v>0</v>
      </c>
      <c r="HC94" s="3">
        <f t="shared" si="107"/>
        <v>0</v>
      </c>
      <c r="HE94" s="3" t="s">
        <v>3</v>
      </c>
      <c r="HF94" s="3" t="s">
        <v>3</v>
      </c>
      <c r="HM94" s="3" t="s">
        <v>56</v>
      </c>
      <c r="HN94" s="3" t="s">
        <v>3</v>
      </c>
      <c r="HO94" s="3" t="s">
        <v>3</v>
      </c>
      <c r="HP94" s="3" t="s">
        <v>3</v>
      </c>
      <c r="HQ94" s="3" t="s">
        <v>3</v>
      </c>
      <c r="HS94" s="3">
        <v>0</v>
      </c>
      <c r="IK94" s="3">
        <v>0</v>
      </c>
    </row>
    <row r="95" spans="1:255" x14ac:dyDescent="0.2">
      <c r="A95" s="2">
        <v>18</v>
      </c>
      <c r="B95" s="2">
        <v>1</v>
      </c>
      <c r="C95" s="2">
        <v>81</v>
      </c>
      <c r="D95" s="2"/>
      <c r="E95" s="2" t="s">
        <v>153</v>
      </c>
      <c r="F95" s="2" t="s">
        <v>154</v>
      </c>
      <c r="G95" s="2" t="s">
        <v>155</v>
      </c>
      <c r="H95" s="2" t="s">
        <v>156</v>
      </c>
      <c r="I95" s="2">
        <f>I91*J95</f>
        <v>1</v>
      </c>
      <c r="J95" s="2">
        <v>1</v>
      </c>
      <c r="K95" s="2">
        <v>1</v>
      </c>
      <c r="L95" s="2"/>
      <c r="M95" s="2"/>
      <c r="N95" s="2"/>
      <c r="O95" s="2">
        <f t="shared" si="83"/>
        <v>2017.95</v>
      </c>
      <c r="P95" s="2">
        <f t="shared" si="84"/>
        <v>2017.95</v>
      </c>
      <c r="Q95" s="2">
        <f>(ROUND((ROUND(((ET95)*AV95*I95),2)*BB95),2)+ROUND((ROUND(((AE95-(EU95))*AV95*I95),2)*BS95),2))</f>
        <v>0</v>
      </c>
      <c r="R95" s="2">
        <f>(ROUND((ROUND(((EU95)*AV95*I95),2)*BS95),2)+ROUND((ROUND(((AE95-(EU95))*AV95*I95),2)*BS95),2))</f>
        <v>0</v>
      </c>
      <c r="S95" s="2">
        <f t="shared" si="85"/>
        <v>0</v>
      </c>
      <c r="T95" s="2">
        <f t="shared" si="86"/>
        <v>0</v>
      </c>
      <c r="U95" s="2">
        <f t="shared" si="87"/>
        <v>0</v>
      </c>
      <c r="V95" s="2">
        <f t="shared" si="88"/>
        <v>0</v>
      </c>
      <c r="W95" s="2">
        <f t="shared" si="89"/>
        <v>0</v>
      </c>
      <c r="X95" s="2">
        <f>(ROUND((((S95+ROUND((ROUND(((EU95)*AV95*I95),2)*BS95),2))*AT95)/100),2)+ROUND(((ROUND((ROUND(((AE95-(EU95))*AV95*I95),2)*BS95),2)*AT95)/100),2))</f>
        <v>0</v>
      </c>
      <c r="Y95" s="2">
        <f>(ROUND((((S95+ROUND((ROUND(((EU95)*AV95*I95),2)*BS95),2))*AU95)/100),2)+ROUND(((ROUND((ROUND(((AE95-(EU95))*AV95*I95),2)*BS95),2)*AU95)/100),2))</f>
        <v>0</v>
      </c>
      <c r="Z95" s="2"/>
      <c r="AA95" s="2">
        <v>55919547</v>
      </c>
      <c r="AB95" s="2">
        <f t="shared" si="90"/>
        <v>2017.95</v>
      </c>
      <c r="AC95" s="2">
        <f>ROUND((ES95),6)</f>
        <v>2017.95</v>
      </c>
      <c r="AD95" s="2">
        <f>ROUND((((ET95)-(EU95))+AE95),6)</f>
        <v>0</v>
      </c>
      <c r="AE95" s="2">
        <f t="shared" si="108"/>
        <v>0</v>
      </c>
      <c r="AF95" s="2">
        <f t="shared" si="108"/>
        <v>0</v>
      </c>
      <c r="AG95" s="2">
        <f t="shared" si="91"/>
        <v>0</v>
      </c>
      <c r="AH95" s="2">
        <f t="shared" si="109"/>
        <v>0</v>
      </c>
      <c r="AI95" s="2">
        <f t="shared" si="109"/>
        <v>0</v>
      </c>
      <c r="AJ95" s="2">
        <f t="shared" si="92"/>
        <v>0</v>
      </c>
      <c r="AK95" s="2">
        <v>2017.95</v>
      </c>
      <c r="AL95" s="2">
        <v>2017.95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97</v>
      </c>
      <c r="AU95" s="2">
        <v>51</v>
      </c>
      <c r="AV95" s="2">
        <v>1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3</v>
      </c>
      <c r="BI95" s="2">
        <v>2</v>
      </c>
      <c r="BJ95" s="2" t="s">
        <v>157</v>
      </c>
      <c r="BK95" s="2"/>
      <c r="BL95" s="2"/>
      <c r="BM95" s="2">
        <v>67</v>
      </c>
      <c r="BN95" s="2">
        <v>0</v>
      </c>
      <c r="BO95" s="2" t="s">
        <v>3</v>
      </c>
      <c r="BP95" s="2">
        <v>0</v>
      </c>
      <c r="BQ95" s="2">
        <v>40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97</v>
      </c>
      <c r="CA95" s="2">
        <v>51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492</v>
      </c>
      <c r="CO95" s="2">
        <v>0</v>
      </c>
      <c r="CP95" s="2">
        <f t="shared" si="93"/>
        <v>2017.95</v>
      </c>
      <c r="CQ95" s="2">
        <f t="shared" si="94"/>
        <v>2017.95</v>
      </c>
      <c r="CR95" s="2">
        <f>(ROUND((ROUND(((ET95)*AV95*1),2)*BB95),2)+ROUND((ROUND(((AE95-(EU95))*AV95*1),2)*BS95),2))</f>
        <v>0</v>
      </c>
      <c r="CS95" s="2">
        <f>(ROUND((ROUND(((EU95)*AV95*1),2)*BS95),2)+ROUND((ROUND(((AE95-(EU95))*AV95*1),2)*BS95),2))</f>
        <v>0</v>
      </c>
      <c r="CT95" s="2">
        <f t="shared" si="95"/>
        <v>0</v>
      </c>
      <c r="CU95" s="2">
        <f t="shared" si="96"/>
        <v>0</v>
      </c>
      <c r="CV95" s="2">
        <f t="shared" si="97"/>
        <v>0</v>
      </c>
      <c r="CW95" s="2">
        <f t="shared" si="98"/>
        <v>0</v>
      </c>
      <c r="CX95" s="2">
        <f t="shared" si="99"/>
        <v>0</v>
      </c>
      <c r="CY95" s="2">
        <f>(ROUND((((S95+ROUND((ROUND(((EU95)*AV95*1),2)*BS95),2))*AT95)/100),2)+ROUND(((ROUND((ROUND(((AE95-(EU95))*AV95*1),2)*BS95),2)*AT95)/100),2))</f>
        <v>0</v>
      </c>
      <c r="CZ95" s="2">
        <f>(ROUND((((S95+ROUND((ROUND(((EU95)*AV95*1),2)*BS95),2))*AU95)/100),2)+ROUND(((ROUND((ROUND(((AE95-(EU95))*AV95*1),2)*BS95),2)*AU95)/100),2))</f>
        <v>0</v>
      </c>
      <c r="DA95" s="2"/>
      <c r="DB95" s="2"/>
      <c r="DC95" s="2" t="s">
        <v>3</v>
      </c>
      <c r="DD95" s="2" t="s">
        <v>3</v>
      </c>
      <c r="DE95" s="2" t="s">
        <v>3</v>
      </c>
      <c r="DF95" s="2" t="s">
        <v>3</v>
      </c>
      <c r="DG95" s="2" t="s">
        <v>3</v>
      </c>
      <c r="DH95" s="2" t="s">
        <v>3</v>
      </c>
      <c r="DI95" s="2" t="s">
        <v>3</v>
      </c>
      <c r="DJ95" s="2" t="s">
        <v>3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1010</v>
      </c>
      <c r="DV95" s="2" t="s">
        <v>156</v>
      </c>
      <c r="DW95" s="2" t="s">
        <v>156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55393699</v>
      </c>
      <c r="EF95" s="2">
        <v>40</v>
      </c>
      <c r="EG95" s="2" t="s">
        <v>26</v>
      </c>
      <c r="EH95" s="2">
        <v>0</v>
      </c>
      <c r="EI95" s="2" t="s">
        <v>3</v>
      </c>
      <c r="EJ95" s="2">
        <v>2</v>
      </c>
      <c r="EK95" s="2">
        <v>67</v>
      </c>
      <c r="EL95" s="2" t="s">
        <v>39</v>
      </c>
      <c r="EM95" s="2" t="s">
        <v>40</v>
      </c>
      <c r="EN95" s="2"/>
      <c r="EO95" s="2" t="s">
        <v>61</v>
      </c>
      <c r="EP95" s="2"/>
      <c r="EQ95" s="2">
        <v>0</v>
      </c>
      <c r="ER95" s="2">
        <v>2017.95</v>
      </c>
      <c r="ES95" s="2">
        <v>2017.95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97</v>
      </c>
      <c r="FY95" s="2">
        <v>51</v>
      </c>
      <c r="FZ95" s="2"/>
      <c r="GA95" s="2" t="s">
        <v>3</v>
      </c>
      <c r="GB95" s="2"/>
      <c r="GC95" s="2"/>
      <c r="GD95" s="2">
        <v>1</v>
      </c>
      <c r="GE95" s="2"/>
      <c r="GF95" s="2">
        <v>-573150796</v>
      </c>
      <c r="GG95" s="2">
        <v>2</v>
      </c>
      <c r="GH95" s="2">
        <v>1</v>
      </c>
      <c r="GI95" s="2">
        <v>-2</v>
      </c>
      <c r="GJ95" s="2">
        <v>0</v>
      </c>
      <c r="GK95" s="2">
        <v>0</v>
      </c>
      <c r="GL95" s="2">
        <f t="shared" si="100"/>
        <v>0</v>
      </c>
      <c r="GM95" s="2">
        <f t="shared" si="101"/>
        <v>2017.95</v>
      </c>
      <c r="GN95" s="2">
        <f t="shared" si="102"/>
        <v>0</v>
      </c>
      <c r="GO95" s="2">
        <f t="shared" si="103"/>
        <v>2017.95</v>
      </c>
      <c r="GP95" s="2">
        <f t="shared" si="104"/>
        <v>0</v>
      </c>
      <c r="GQ95" s="2"/>
      <c r="GR95" s="2">
        <v>0</v>
      </c>
      <c r="GS95" s="2">
        <v>3</v>
      </c>
      <c r="GT95" s="2">
        <v>0</v>
      </c>
      <c r="GU95" s="2" t="s">
        <v>3</v>
      </c>
      <c r="GV95" s="2">
        <f t="shared" si="105"/>
        <v>0</v>
      </c>
      <c r="GW95" s="2">
        <v>1</v>
      </c>
      <c r="GX95" s="2">
        <f t="shared" si="106"/>
        <v>0</v>
      </c>
      <c r="GY95" s="2"/>
      <c r="GZ95" s="2"/>
      <c r="HA95" s="2">
        <v>0</v>
      </c>
      <c r="HB95" s="2">
        <v>0</v>
      </c>
      <c r="HC95" s="2">
        <f t="shared" si="107"/>
        <v>0</v>
      </c>
      <c r="HD95" s="2"/>
      <c r="HE95" s="2" t="s">
        <v>3</v>
      </c>
      <c r="HF95" s="2" t="s">
        <v>3</v>
      </c>
      <c r="HG95" s="2"/>
      <c r="HH95" s="2"/>
      <c r="HI95" s="2"/>
      <c r="HJ95" s="2"/>
      <c r="HK95" s="2"/>
      <c r="HL95" s="2"/>
      <c r="HM95" s="2" t="s">
        <v>56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">
      <c r="A96" s="3">
        <v>18</v>
      </c>
      <c r="B96" s="3">
        <v>1</v>
      </c>
      <c r="C96" s="3">
        <v>90</v>
      </c>
      <c r="E96" s="3" t="s">
        <v>153</v>
      </c>
      <c r="F96" s="3" t="s">
        <v>154</v>
      </c>
      <c r="G96" s="3" t="s">
        <v>155</v>
      </c>
      <c r="H96" s="3" t="s">
        <v>156</v>
      </c>
      <c r="I96" s="3">
        <f>I92*J96</f>
        <v>1</v>
      </c>
      <c r="J96" s="3">
        <v>1</v>
      </c>
      <c r="K96" s="3">
        <v>1</v>
      </c>
      <c r="O96" s="3">
        <f t="shared" si="83"/>
        <v>8031.44</v>
      </c>
      <c r="P96" s="3">
        <f t="shared" si="84"/>
        <v>8031.44</v>
      </c>
      <c r="Q96" s="3">
        <f>(ROUND((ROUND(((ET96)*AV96*I96),2)*BB96),2)+ROUND((ROUND(((AE96-(EU96))*AV96*I96),2)*BS96),2))</f>
        <v>0</v>
      </c>
      <c r="R96" s="3">
        <f>(ROUND((ROUND(((EU96)*AV96*I96),2)*BS96),2)+ROUND((ROUND(((AE96-(EU96))*AV96*I96),2)*BS96),2))</f>
        <v>0</v>
      </c>
      <c r="S96" s="3">
        <f t="shared" si="85"/>
        <v>0</v>
      </c>
      <c r="T96" s="3">
        <f t="shared" si="86"/>
        <v>0</v>
      </c>
      <c r="U96" s="3">
        <f t="shared" si="87"/>
        <v>0</v>
      </c>
      <c r="V96" s="3">
        <f t="shared" si="88"/>
        <v>0</v>
      </c>
      <c r="W96" s="3">
        <f t="shared" si="89"/>
        <v>0</v>
      </c>
      <c r="X96" s="3">
        <f>(ROUND((((S96+ROUND((ROUND(((EU96)*AV96*I96),2)*BS96),2))*AT96)/100),2)+ROUND(((ROUND((ROUND(((AE96-(EU96))*AV96*I96),2)*BS96),2)*AT96)/100),2))</f>
        <v>0</v>
      </c>
      <c r="Y96" s="3">
        <f>(ROUND((((S96+ROUND((ROUND(((EU96)*AV96*I96),2)*BS96),2))*AU96)/100),2)+ROUND(((ROUND((ROUND(((AE96-(EU96))*AV96*I96),2)*BS96),2)*AU96)/100),2))</f>
        <v>0</v>
      </c>
      <c r="AA96" s="3">
        <v>55919549</v>
      </c>
      <c r="AB96" s="3">
        <f t="shared" si="90"/>
        <v>2017.95</v>
      </c>
      <c r="AC96" s="3">
        <f>ROUND((ES96),6)</f>
        <v>2017.95</v>
      </c>
      <c r="AD96" s="3">
        <f>ROUND((((ET96)-(EU96))+AE96),6)</f>
        <v>0</v>
      </c>
      <c r="AE96" s="3">
        <f t="shared" si="108"/>
        <v>0</v>
      </c>
      <c r="AF96" s="3">
        <f t="shared" si="108"/>
        <v>0</v>
      </c>
      <c r="AG96" s="3">
        <f t="shared" si="91"/>
        <v>0</v>
      </c>
      <c r="AH96" s="3">
        <f t="shared" si="109"/>
        <v>0</v>
      </c>
      <c r="AI96" s="3">
        <f t="shared" si="109"/>
        <v>0</v>
      </c>
      <c r="AJ96" s="3">
        <f t="shared" si="92"/>
        <v>0</v>
      </c>
      <c r="AK96" s="3">
        <v>2017.95</v>
      </c>
      <c r="AL96" s="3">
        <v>2017.95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97</v>
      </c>
      <c r="AU96" s="3">
        <v>51</v>
      </c>
      <c r="AV96" s="3">
        <v>1</v>
      </c>
      <c r="AW96" s="3">
        <v>1</v>
      </c>
      <c r="AZ96" s="3">
        <v>1</v>
      </c>
      <c r="BA96" s="3">
        <v>1</v>
      </c>
      <c r="BB96" s="3">
        <v>1</v>
      </c>
      <c r="BC96" s="3">
        <v>3.98</v>
      </c>
      <c r="BD96" s="3" t="s">
        <v>3</v>
      </c>
      <c r="BE96" s="3" t="s">
        <v>3</v>
      </c>
      <c r="BF96" s="3" t="s">
        <v>3</v>
      </c>
      <c r="BG96" s="3" t="s">
        <v>3</v>
      </c>
      <c r="BH96" s="3">
        <v>3</v>
      </c>
      <c r="BI96" s="3">
        <v>2</v>
      </c>
      <c r="BJ96" s="3" t="s">
        <v>157</v>
      </c>
      <c r="BM96" s="3">
        <v>67</v>
      </c>
      <c r="BN96" s="3">
        <v>0</v>
      </c>
      <c r="BO96" s="3" t="s">
        <v>154</v>
      </c>
      <c r="BP96" s="3">
        <v>1</v>
      </c>
      <c r="BQ96" s="3">
        <v>40</v>
      </c>
      <c r="BR96" s="3">
        <v>0</v>
      </c>
      <c r="BS96" s="3">
        <v>1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 t="s">
        <v>3</v>
      </c>
      <c r="BZ96" s="3">
        <v>97</v>
      </c>
      <c r="CA96" s="3">
        <v>51</v>
      </c>
      <c r="CB96" s="3" t="s">
        <v>3</v>
      </c>
      <c r="CE96" s="3">
        <v>1566</v>
      </c>
      <c r="CF96" s="3">
        <v>0</v>
      </c>
      <c r="CG96" s="3">
        <v>0</v>
      </c>
      <c r="CM96" s="3">
        <v>0</v>
      </c>
      <c r="CN96" s="3" t="s">
        <v>492</v>
      </c>
      <c r="CO96" s="3">
        <v>0</v>
      </c>
      <c r="CP96" s="3">
        <f t="shared" si="93"/>
        <v>8031.44</v>
      </c>
      <c r="CQ96" s="3">
        <f t="shared" si="94"/>
        <v>8031.44</v>
      </c>
      <c r="CR96" s="3">
        <f>(ROUND((ROUND(((ET96)*AV96*1),2)*BB96),2)+ROUND((ROUND(((AE96-(EU96))*AV96*1),2)*BS96),2))</f>
        <v>0</v>
      </c>
      <c r="CS96" s="3">
        <f>(ROUND((ROUND(((EU96)*AV96*1),2)*BS96),2)+ROUND((ROUND(((AE96-(EU96))*AV96*1),2)*BS96),2))</f>
        <v>0</v>
      </c>
      <c r="CT96" s="3">
        <f t="shared" si="95"/>
        <v>0</v>
      </c>
      <c r="CU96" s="3">
        <f t="shared" si="96"/>
        <v>0</v>
      </c>
      <c r="CV96" s="3">
        <f t="shared" si="97"/>
        <v>0</v>
      </c>
      <c r="CW96" s="3">
        <f t="shared" si="98"/>
        <v>0</v>
      </c>
      <c r="CX96" s="3">
        <f t="shared" si="99"/>
        <v>0</v>
      </c>
      <c r="CY96" s="3">
        <f>(ROUND((((S96+ROUND((ROUND(((EU96)*AV96*1),2)*BS96),2))*AT96)/100),2)+ROUND(((ROUND((ROUND(((AE96-(EU96))*AV96*1),2)*BS96),2)*AT96)/100),2))</f>
        <v>0</v>
      </c>
      <c r="CZ96" s="3">
        <f>(ROUND((((S96+ROUND((ROUND(((EU96)*AV96*1),2)*BS96),2))*AU96)/100),2)+ROUND(((ROUND((ROUND(((AE96-(EU96))*AV96*1),2)*BS96),2)*AU96)/100),2))</f>
        <v>0</v>
      </c>
      <c r="DC96" s="3" t="s">
        <v>3</v>
      </c>
      <c r="DD96" s="3" t="s">
        <v>3</v>
      </c>
      <c r="DE96" s="3" t="s">
        <v>3</v>
      </c>
      <c r="DF96" s="3" t="s">
        <v>3</v>
      </c>
      <c r="DG96" s="3" t="s">
        <v>3</v>
      </c>
      <c r="DH96" s="3" t="s">
        <v>3</v>
      </c>
      <c r="DI96" s="3" t="s">
        <v>3</v>
      </c>
      <c r="DJ96" s="3" t="s">
        <v>3</v>
      </c>
      <c r="DK96" s="3" t="s">
        <v>3</v>
      </c>
      <c r="DL96" s="3" t="s">
        <v>3</v>
      </c>
      <c r="DM96" s="3" t="s">
        <v>3</v>
      </c>
      <c r="DN96" s="3">
        <v>0</v>
      </c>
      <c r="DO96" s="3">
        <v>0</v>
      </c>
      <c r="DP96" s="3">
        <v>1</v>
      </c>
      <c r="DQ96" s="3">
        <v>1</v>
      </c>
      <c r="DU96" s="3">
        <v>1010</v>
      </c>
      <c r="DV96" s="3" t="s">
        <v>156</v>
      </c>
      <c r="DW96" s="3" t="s">
        <v>156</v>
      </c>
      <c r="DX96" s="3">
        <v>1</v>
      </c>
      <c r="DZ96" s="3" t="s">
        <v>3</v>
      </c>
      <c r="EA96" s="3" t="s">
        <v>3</v>
      </c>
      <c r="EB96" s="3" t="s">
        <v>3</v>
      </c>
      <c r="EC96" s="3" t="s">
        <v>3</v>
      </c>
      <c r="EE96" s="3">
        <v>55393699</v>
      </c>
      <c r="EF96" s="3">
        <v>40</v>
      </c>
      <c r="EG96" s="3" t="s">
        <v>26</v>
      </c>
      <c r="EH96" s="3">
        <v>0</v>
      </c>
      <c r="EI96" s="3" t="s">
        <v>3</v>
      </c>
      <c r="EJ96" s="3">
        <v>2</v>
      </c>
      <c r="EK96" s="3">
        <v>67</v>
      </c>
      <c r="EL96" s="3" t="s">
        <v>39</v>
      </c>
      <c r="EM96" s="3" t="s">
        <v>40</v>
      </c>
      <c r="EO96" s="3" t="s">
        <v>61</v>
      </c>
      <c r="EQ96" s="3">
        <v>0</v>
      </c>
      <c r="ER96" s="3">
        <v>2017.95</v>
      </c>
      <c r="ES96" s="3">
        <v>2017.95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FQ96" s="3">
        <v>0</v>
      </c>
      <c r="FR96" s="3">
        <v>0</v>
      </c>
      <c r="FS96" s="3">
        <v>0</v>
      </c>
      <c r="FX96" s="3">
        <v>97</v>
      </c>
      <c r="FY96" s="3">
        <v>51</v>
      </c>
      <c r="GA96" s="3" t="s">
        <v>3</v>
      </c>
      <c r="GD96" s="3">
        <v>1</v>
      </c>
      <c r="GF96" s="3">
        <v>-573150796</v>
      </c>
      <c r="GG96" s="3">
        <v>2</v>
      </c>
      <c r="GH96" s="3">
        <v>1</v>
      </c>
      <c r="GI96" s="3">
        <v>2</v>
      </c>
      <c r="GJ96" s="3">
        <v>0</v>
      </c>
      <c r="GK96" s="3">
        <v>0</v>
      </c>
      <c r="GL96" s="3">
        <f t="shared" si="100"/>
        <v>0</v>
      </c>
      <c r="GM96" s="3">
        <f t="shared" si="101"/>
        <v>8031.44</v>
      </c>
      <c r="GN96" s="3">
        <f t="shared" si="102"/>
        <v>0</v>
      </c>
      <c r="GO96" s="3">
        <f t="shared" si="103"/>
        <v>8031.44</v>
      </c>
      <c r="GP96" s="3">
        <f t="shared" si="104"/>
        <v>0</v>
      </c>
      <c r="GR96" s="3">
        <v>0</v>
      </c>
      <c r="GS96" s="3">
        <v>3</v>
      </c>
      <c r="GT96" s="3">
        <v>0</v>
      </c>
      <c r="GU96" s="3" t="s">
        <v>3</v>
      </c>
      <c r="GV96" s="3">
        <f t="shared" si="105"/>
        <v>0</v>
      </c>
      <c r="GW96" s="3">
        <v>1</v>
      </c>
      <c r="GX96" s="3">
        <f t="shared" si="106"/>
        <v>0</v>
      </c>
      <c r="HA96" s="3">
        <v>0</v>
      </c>
      <c r="HB96" s="3">
        <v>0</v>
      </c>
      <c r="HC96" s="3">
        <f t="shared" si="107"/>
        <v>0</v>
      </c>
      <c r="HE96" s="3" t="s">
        <v>3</v>
      </c>
      <c r="HF96" s="3" t="s">
        <v>3</v>
      </c>
      <c r="HM96" s="3" t="s">
        <v>56</v>
      </c>
      <c r="HN96" s="3" t="s">
        <v>3</v>
      </c>
      <c r="HO96" s="3" t="s">
        <v>3</v>
      </c>
      <c r="HP96" s="3" t="s">
        <v>3</v>
      </c>
      <c r="HQ96" s="3" t="s">
        <v>3</v>
      </c>
      <c r="HS96" s="3">
        <v>0</v>
      </c>
      <c r="IK96" s="3">
        <v>0</v>
      </c>
    </row>
    <row r="97" spans="1:255" x14ac:dyDescent="0.2">
      <c r="A97" s="2">
        <v>17</v>
      </c>
      <c r="B97" s="2">
        <v>1</v>
      </c>
      <c r="C97" s="2">
        <f>ROW(SmtRes!A92)</f>
        <v>92</v>
      </c>
      <c r="D97" s="2">
        <f>ROW(EtalonRes!A106)</f>
        <v>106</v>
      </c>
      <c r="E97" s="2" t="s">
        <v>158</v>
      </c>
      <c r="F97" s="2" t="s">
        <v>159</v>
      </c>
      <c r="G97" s="2" t="s">
        <v>160</v>
      </c>
      <c r="H97" s="2" t="s">
        <v>33</v>
      </c>
      <c r="I97" s="2">
        <v>1</v>
      </c>
      <c r="J97" s="2">
        <v>0</v>
      </c>
      <c r="K97" s="2">
        <v>1</v>
      </c>
      <c r="L97" s="2"/>
      <c r="M97" s="2"/>
      <c r="N97" s="2"/>
      <c r="O97" s="2">
        <f t="shared" si="83"/>
        <v>145.97999999999999</v>
      </c>
      <c r="P97" s="2">
        <f t="shared" si="84"/>
        <v>0.3</v>
      </c>
      <c r="Q97" s="2">
        <f>(ROUND((ROUND((((ET97*1.2))*AV97*I97),2)*BB97),2)+ROUND((ROUND(((AE97-((EU97*1.2)))*AV97*I97),2)*BS97),2))</f>
        <v>0</v>
      </c>
      <c r="R97" s="2">
        <f>(ROUND((ROUND((((EU97*1.2))*AV97*I97),2)*BS97),2)+ROUND((ROUND(((AE97-((EU97*1.2)))*AV97*I97),2)*BS97),2))</f>
        <v>0</v>
      </c>
      <c r="S97" s="2">
        <f t="shared" si="85"/>
        <v>145.68</v>
      </c>
      <c r="T97" s="2">
        <f t="shared" si="86"/>
        <v>0</v>
      </c>
      <c r="U97" s="2">
        <f t="shared" si="87"/>
        <v>10.4352</v>
      </c>
      <c r="V97" s="2">
        <f t="shared" si="88"/>
        <v>0</v>
      </c>
      <c r="W97" s="2">
        <f t="shared" si="89"/>
        <v>0</v>
      </c>
      <c r="X97" s="2">
        <f>(ROUND((((S97+ROUND((ROUND((((EU97*1.2))*AV97*I97),2)*BS97),2))*AT97)/100),2)+ROUND(((ROUND((ROUND(((AE97-((EU97*1.2)))*AV97*I97),2)*BS97),2)*AT97)/100),2))</f>
        <v>138.4</v>
      </c>
      <c r="Y97" s="2">
        <f>(ROUND((((S97+ROUND((ROUND((((EU97*1.2))*AV97*I97),2)*BS97),2))*AU97)/100),2)+ROUND(((ROUND((ROUND(((AE97-((EU97*1.2)))*AV97*I97),2)*BS97),2)*AU97)/100),2))</f>
        <v>77.209999999999994</v>
      </c>
      <c r="Z97" s="2"/>
      <c r="AA97" s="2">
        <v>55919547</v>
      </c>
      <c r="AB97" s="2">
        <f t="shared" si="90"/>
        <v>134.316</v>
      </c>
      <c r="AC97" s="2">
        <f>ROUND(((ES97*1)),6)</f>
        <v>0.3</v>
      </c>
      <c r="AD97" s="2">
        <f>ROUND(((((ET97*1.2))-((EU97*1.2)))+AE97),6)</f>
        <v>0</v>
      </c>
      <c r="AE97" s="2">
        <f>ROUND(((EU97*1.2)),6)</f>
        <v>0</v>
      </c>
      <c r="AF97" s="2">
        <f>ROUND(((EV97*1.2)),6)</f>
        <v>134.01599999999999</v>
      </c>
      <c r="AG97" s="2">
        <f t="shared" si="91"/>
        <v>0</v>
      </c>
      <c r="AH97" s="2">
        <f>((EW97*1.2))</f>
        <v>9.6</v>
      </c>
      <c r="AI97" s="2">
        <f>((EX97*1.2))</f>
        <v>0</v>
      </c>
      <c r="AJ97" s="2">
        <f t="shared" si="92"/>
        <v>0</v>
      </c>
      <c r="AK97" s="2">
        <v>111.98</v>
      </c>
      <c r="AL97" s="2">
        <v>0.3</v>
      </c>
      <c r="AM97" s="2">
        <v>0</v>
      </c>
      <c r="AN97" s="2">
        <v>0</v>
      </c>
      <c r="AO97" s="2">
        <v>111.68</v>
      </c>
      <c r="AP97" s="2">
        <v>0</v>
      </c>
      <c r="AQ97" s="2">
        <v>8</v>
      </c>
      <c r="AR97" s="2">
        <v>0</v>
      </c>
      <c r="AS97" s="2">
        <v>0</v>
      </c>
      <c r="AT97" s="2">
        <v>95</v>
      </c>
      <c r="AU97" s="2">
        <v>53</v>
      </c>
      <c r="AV97" s="2">
        <v>1.087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2</v>
      </c>
      <c r="BJ97" s="2" t="s">
        <v>161</v>
      </c>
      <c r="BK97" s="2"/>
      <c r="BL97" s="2"/>
      <c r="BM97" s="2">
        <v>69</v>
      </c>
      <c r="BN97" s="2">
        <v>0</v>
      </c>
      <c r="BO97" s="2" t="s">
        <v>159</v>
      </c>
      <c r="BP97" s="2">
        <v>1</v>
      </c>
      <c r="BQ97" s="2">
        <v>40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95</v>
      </c>
      <c r="CA97" s="2">
        <v>53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491</v>
      </c>
      <c r="CO97" s="2">
        <v>0</v>
      </c>
      <c r="CP97" s="2">
        <f t="shared" si="93"/>
        <v>145.98000000000002</v>
      </c>
      <c r="CQ97" s="2">
        <f t="shared" si="94"/>
        <v>0.3</v>
      </c>
      <c r="CR97" s="2">
        <f>(ROUND((ROUND((((ET97*1.2))*AV97*1),2)*BB97),2)+ROUND((ROUND(((AE97-((EU97*1.2)))*AV97*1),2)*BS97),2))</f>
        <v>0</v>
      </c>
      <c r="CS97" s="2">
        <f>(ROUND((ROUND((((EU97*1.2))*AV97*1),2)*BS97),2)+ROUND((ROUND(((AE97-((EU97*1.2)))*AV97*1),2)*BS97),2))</f>
        <v>0</v>
      </c>
      <c r="CT97" s="2">
        <f t="shared" si="95"/>
        <v>145.68</v>
      </c>
      <c r="CU97" s="2">
        <f t="shared" si="96"/>
        <v>0</v>
      </c>
      <c r="CV97" s="2">
        <f t="shared" si="97"/>
        <v>10.4352</v>
      </c>
      <c r="CW97" s="2">
        <f t="shared" si="98"/>
        <v>0</v>
      </c>
      <c r="CX97" s="2">
        <f t="shared" si="99"/>
        <v>0</v>
      </c>
      <c r="CY97" s="2">
        <f>(ROUND((((S97+ROUND((ROUND((((EU97*1.2))*AV97*1),2)*BS97),2))*AT97)/100),2)+ROUND(((ROUND((ROUND(((AE97-((EU97*1.2)))*AV97*1),2)*BS97),2)*AT97)/100),2))</f>
        <v>138.4</v>
      </c>
      <c r="CZ97" s="2">
        <f>(ROUND((((S97+ROUND((ROUND((((EU97*1.2))*AV97*1),2)*BS97),2))*AU97)/100),2)+ROUND(((ROUND((ROUND(((AE97-((EU97*1.2)))*AV97*1),2)*BS97),2)*AU97)/100),2))</f>
        <v>77.209999999999994</v>
      </c>
      <c r="DA97" s="2"/>
      <c r="DB97" s="2">
        <v>41</v>
      </c>
      <c r="DC97" s="2" t="s">
        <v>3</v>
      </c>
      <c r="DD97" s="2" t="s">
        <v>56</v>
      </c>
      <c r="DE97" s="2" t="s">
        <v>57</v>
      </c>
      <c r="DF97" s="2" t="s">
        <v>57</v>
      </c>
      <c r="DG97" s="2" t="s">
        <v>57</v>
      </c>
      <c r="DH97" s="2" t="s">
        <v>3</v>
      </c>
      <c r="DI97" s="2" t="s">
        <v>57</v>
      </c>
      <c r="DJ97" s="2" t="s">
        <v>57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33</v>
      </c>
      <c r="DW97" s="2" t="s">
        <v>33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55393701</v>
      </c>
      <c r="EF97" s="2">
        <v>40</v>
      </c>
      <c r="EG97" s="2" t="s">
        <v>26</v>
      </c>
      <c r="EH97" s="2">
        <v>0</v>
      </c>
      <c r="EI97" s="2" t="s">
        <v>3</v>
      </c>
      <c r="EJ97" s="2">
        <v>2</v>
      </c>
      <c r="EK97" s="2">
        <v>69</v>
      </c>
      <c r="EL97" s="2" t="s">
        <v>27</v>
      </c>
      <c r="EM97" s="2" t="s">
        <v>28</v>
      </c>
      <c r="EN97" s="2"/>
      <c r="EO97" s="2" t="s">
        <v>61</v>
      </c>
      <c r="EP97" s="2"/>
      <c r="EQ97" s="2">
        <v>0</v>
      </c>
      <c r="ER97" s="2">
        <v>111.98</v>
      </c>
      <c r="ES97" s="2">
        <v>0.3</v>
      </c>
      <c r="ET97" s="2">
        <v>0</v>
      </c>
      <c r="EU97" s="2">
        <v>0</v>
      </c>
      <c r="EV97" s="2">
        <v>111.68</v>
      </c>
      <c r="EW97" s="2">
        <v>8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95</v>
      </c>
      <c r="FY97" s="2">
        <v>53</v>
      </c>
      <c r="FZ97" s="2"/>
      <c r="GA97" s="2" t="s">
        <v>3</v>
      </c>
      <c r="GB97" s="2"/>
      <c r="GC97" s="2"/>
      <c r="GD97" s="2">
        <v>1</v>
      </c>
      <c r="GE97" s="2"/>
      <c r="GF97" s="2">
        <v>-1615482096</v>
      </c>
      <c r="GG97" s="2">
        <v>2</v>
      </c>
      <c r="GH97" s="2">
        <v>1</v>
      </c>
      <c r="GI97" s="2">
        <v>2</v>
      </c>
      <c r="GJ97" s="2">
        <v>0</v>
      </c>
      <c r="GK97" s="2">
        <v>0</v>
      </c>
      <c r="GL97" s="2">
        <f t="shared" si="100"/>
        <v>0</v>
      </c>
      <c r="GM97" s="2">
        <f t="shared" si="101"/>
        <v>361.59</v>
      </c>
      <c r="GN97" s="2">
        <f t="shared" si="102"/>
        <v>0</v>
      </c>
      <c r="GO97" s="2">
        <f t="shared" si="103"/>
        <v>361.59</v>
      </c>
      <c r="GP97" s="2">
        <f t="shared" si="104"/>
        <v>0</v>
      </c>
      <c r="GQ97" s="2"/>
      <c r="GR97" s="2">
        <v>0</v>
      </c>
      <c r="GS97" s="2">
        <v>3</v>
      </c>
      <c r="GT97" s="2">
        <v>0</v>
      </c>
      <c r="GU97" s="2" t="s">
        <v>3</v>
      </c>
      <c r="GV97" s="2">
        <f t="shared" si="105"/>
        <v>0</v>
      </c>
      <c r="GW97" s="2">
        <v>1</v>
      </c>
      <c r="GX97" s="2">
        <f t="shared" si="106"/>
        <v>0</v>
      </c>
      <c r="GY97" s="2"/>
      <c r="GZ97" s="2"/>
      <c r="HA97" s="2">
        <v>0</v>
      </c>
      <c r="HB97" s="2">
        <v>0</v>
      </c>
      <c r="HC97" s="2">
        <f t="shared" si="107"/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">
      <c r="A98" s="3">
        <v>17</v>
      </c>
      <c r="B98" s="3">
        <v>1</v>
      </c>
      <c r="C98" s="3">
        <f>ROW(SmtRes!A94)</f>
        <v>94</v>
      </c>
      <c r="D98" s="3">
        <f>ROW(EtalonRes!A108)</f>
        <v>108</v>
      </c>
      <c r="E98" s="3" t="s">
        <v>158</v>
      </c>
      <c r="F98" s="3" t="s">
        <v>159</v>
      </c>
      <c r="G98" s="3" t="s">
        <v>160</v>
      </c>
      <c r="H98" s="3" t="s">
        <v>33</v>
      </c>
      <c r="I98" s="3">
        <v>1</v>
      </c>
      <c r="J98" s="3">
        <v>0</v>
      </c>
      <c r="K98" s="3">
        <v>1</v>
      </c>
      <c r="O98" s="3">
        <f t="shared" si="83"/>
        <v>8211.2800000000007</v>
      </c>
      <c r="P98" s="3">
        <f t="shared" si="84"/>
        <v>2.21</v>
      </c>
      <c r="Q98" s="3">
        <f>(ROUND((ROUND((((ET98*1.2))*AV98*I98),2)*BB98),2)+ROUND((ROUND(((AE98-((EU98*1.2)))*AV98*I98),2)*BS98),2))</f>
        <v>0</v>
      </c>
      <c r="R98" s="3">
        <f>(ROUND((ROUND((((EU98*1.2))*AV98*I98),2)*BS98),2)+ROUND((ROUND(((AE98-((EU98*1.2)))*AV98*I98),2)*BS98),2))</f>
        <v>0</v>
      </c>
      <c r="S98" s="3">
        <f t="shared" si="85"/>
        <v>8209.07</v>
      </c>
      <c r="T98" s="3">
        <f t="shared" si="86"/>
        <v>0</v>
      </c>
      <c r="U98" s="3">
        <f t="shared" si="87"/>
        <v>10.4352</v>
      </c>
      <c r="V98" s="3">
        <f t="shared" si="88"/>
        <v>0</v>
      </c>
      <c r="W98" s="3">
        <f t="shared" si="89"/>
        <v>0</v>
      </c>
      <c r="X98" s="3">
        <f>(ROUND((((S98+ROUND((ROUND((((EU98*1.2))*AV98*I98),2)*BS98),2))*AT98)/100),2)+ROUND(((ROUND((ROUND(((AE98-((EU98*1.2)))*AV98*I98),2)*BS98),2)*AT98)/100),2))</f>
        <v>7798.62</v>
      </c>
      <c r="Y98" s="3">
        <f>(ROUND((((S98+ROUND((ROUND((((EU98*1.2))*AV98*I98),2)*BS98),2))*AU98)/100),2)+ROUND(((ROUND((ROUND(((AE98-((EU98*1.2)))*AV98*I98),2)*BS98),2)*AU98)/100),2))</f>
        <v>4350.8100000000004</v>
      </c>
      <c r="AA98" s="3">
        <v>55919549</v>
      </c>
      <c r="AB98" s="3">
        <f t="shared" si="90"/>
        <v>134.316</v>
      </c>
      <c r="AC98" s="3">
        <f>ROUND(((ES98*1)),6)</f>
        <v>0.3</v>
      </c>
      <c r="AD98" s="3">
        <f>ROUND(((((ET98*1.2))-((EU98*1.2)))+AE98),6)</f>
        <v>0</v>
      </c>
      <c r="AE98" s="3">
        <f>ROUND(((EU98*1.2)),6)</f>
        <v>0</v>
      </c>
      <c r="AF98" s="3">
        <f>ROUND(((EV98*1.2)),6)</f>
        <v>134.01599999999999</v>
      </c>
      <c r="AG98" s="3">
        <f t="shared" si="91"/>
        <v>0</v>
      </c>
      <c r="AH98" s="3">
        <f>((EW98*1.2))</f>
        <v>9.6</v>
      </c>
      <c r="AI98" s="3">
        <f>((EX98*1.2))</f>
        <v>0</v>
      </c>
      <c r="AJ98" s="3">
        <f t="shared" si="92"/>
        <v>0</v>
      </c>
      <c r="AK98" s="3">
        <v>111.98</v>
      </c>
      <c r="AL98" s="3">
        <v>0.3</v>
      </c>
      <c r="AM98" s="3">
        <v>0</v>
      </c>
      <c r="AN98" s="3">
        <v>0</v>
      </c>
      <c r="AO98" s="3">
        <v>111.68</v>
      </c>
      <c r="AP98" s="3">
        <v>0</v>
      </c>
      <c r="AQ98" s="3">
        <v>8</v>
      </c>
      <c r="AR98" s="3">
        <v>0</v>
      </c>
      <c r="AS98" s="3">
        <v>0</v>
      </c>
      <c r="AT98" s="3">
        <v>95</v>
      </c>
      <c r="AU98" s="3">
        <v>53</v>
      </c>
      <c r="AV98" s="3">
        <v>1.087</v>
      </c>
      <c r="AW98" s="3">
        <v>1</v>
      </c>
      <c r="AZ98" s="3">
        <v>1</v>
      </c>
      <c r="BA98" s="3">
        <v>56.35</v>
      </c>
      <c r="BB98" s="3">
        <v>1</v>
      </c>
      <c r="BC98" s="3">
        <v>7.37</v>
      </c>
      <c r="BD98" s="3" t="s">
        <v>3</v>
      </c>
      <c r="BE98" s="3" t="s">
        <v>3</v>
      </c>
      <c r="BF98" s="3" t="s">
        <v>3</v>
      </c>
      <c r="BG98" s="3" t="s">
        <v>3</v>
      </c>
      <c r="BH98" s="3">
        <v>0</v>
      </c>
      <c r="BI98" s="3">
        <v>2</v>
      </c>
      <c r="BJ98" s="3" t="s">
        <v>161</v>
      </c>
      <c r="BM98" s="3">
        <v>69</v>
      </c>
      <c r="BN98" s="3">
        <v>0</v>
      </c>
      <c r="BO98" s="3" t="s">
        <v>159</v>
      </c>
      <c r="BP98" s="3">
        <v>1</v>
      </c>
      <c r="BQ98" s="3">
        <v>40</v>
      </c>
      <c r="BR98" s="3">
        <v>0</v>
      </c>
      <c r="BS98" s="3">
        <v>56.35</v>
      </c>
      <c r="BT98" s="3">
        <v>1</v>
      </c>
      <c r="BU98" s="3">
        <v>1</v>
      </c>
      <c r="BV98" s="3">
        <v>1</v>
      </c>
      <c r="BW98" s="3">
        <v>1</v>
      </c>
      <c r="BX98" s="3">
        <v>1</v>
      </c>
      <c r="BY98" s="3" t="s">
        <v>3</v>
      </c>
      <c r="BZ98" s="3">
        <v>95</v>
      </c>
      <c r="CA98" s="3">
        <v>53</v>
      </c>
      <c r="CB98" s="3" t="s">
        <v>3</v>
      </c>
      <c r="CE98" s="3">
        <v>1566</v>
      </c>
      <c r="CF98" s="3">
        <v>0</v>
      </c>
      <c r="CG98" s="3">
        <v>0</v>
      </c>
      <c r="CM98" s="3">
        <v>0</v>
      </c>
      <c r="CN98" s="3" t="s">
        <v>491</v>
      </c>
      <c r="CO98" s="3">
        <v>0</v>
      </c>
      <c r="CP98" s="3">
        <f t="shared" si="93"/>
        <v>8211.2799999999988</v>
      </c>
      <c r="CQ98" s="3">
        <f t="shared" si="94"/>
        <v>2.21</v>
      </c>
      <c r="CR98" s="3">
        <f>(ROUND((ROUND((((ET98*1.2))*AV98*1),2)*BB98),2)+ROUND((ROUND(((AE98-((EU98*1.2)))*AV98*1),2)*BS98),2))</f>
        <v>0</v>
      </c>
      <c r="CS98" s="3">
        <f>(ROUND((ROUND((((EU98*1.2))*AV98*1),2)*BS98),2)+ROUND((ROUND(((AE98-((EU98*1.2)))*AV98*1),2)*BS98),2))</f>
        <v>0</v>
      </c>
      <c r="CT98" s="3">
        <f t="shared" si="95"/>
        <v>8209.07</v>
      </c>
      <c r="CU98" s="3">
        <f t="shared" si="96"/>
        <v>0</v>
      </c>
      <c r="CV98" s="3">
        <f t="shared" si="97"/>
        <v>10.4352</v>
      </c>
      <c r="CW98" s="3">
        <f t="shared" si="98"/>
        <v>0</v>
      </c>
      <c r="CX98" s="3">
        <f t="shared" si="99"/>
        <v>0</v>
      </c>
      <c r="CY98" s="3">
        <f>(ROUND((((S98+ROUND((ROUND((((EU98*1.2))*AV98*1),2)*BS98),2))*AT98)/100),2)+ROUND(((ROUND((ROUND(((AE98-((EU98*1.2)))*AV98*1),2)*BS98),2)*AT98)/100),2))</f>
        <v>7798.62</v>
      </c>
      <c r="CZ98" s="3">
        <f>(ROUND((((S98+ROUND((ROUND((((EU98*1.2))*AV98*1),2)*BS98),2))*AU98)/100),2)+ROUND(((ROUND((ROUND(((AE98-((EU98*1.2)))*AV98*1),2)*BS98),2)*AU98)/100),2))</f>
        <v>4350.8100000000004</v>
      </c>
      <c r="DB98" s="3">
        <v>42</v>
      </c>
      <c r="DC98" s="3" t="s">
        <v>3</v>
      </c>
      <c r="DD98" s="3" t="s">
        <v>56</v>
      </c>
      <c r="DE98" s="3" t="s">
        <v>57</v>
      </c>
      <c r="DF98" s="3" t="s">
        <v>57</v>
      </c>
      <c r="DG98" s="3" t="s">
        <v>57</v>
      </c>
      <c r="DH98" s="3" t="s">
        <v>3</v>
      </c>
      <c r="DI98" s="3" t="s">
        <v>57</v>
      </c>
      <c r="DJ98" s="3" t="s">
        <v>57</v>
      </c>
      <c r="DK98" s="3" t="s">
        <v>3</v>
      </c>
      <c r="DL98" s="3" t="s">
        <v>3</v>
      </c>
      <c r="DM98" s="3" t="s">
        <v>3</v>
      </c>
      <c r="DN98" s="3">
        <v>0</v>
      </c>
      <c r="DO98" s="3">
        <v>0</v>
      </c>
      <c r="DP98" s="3">
        <v>1</v>
      </c>
      <c r="DQ98" s="3">
        <v>1</v>
      </c>
      <c r="DU98" s="3">
        <v>1013</v>
      </c>
      <c r="DV98" s="3" t="s">
        <v>33</v>
      </c>
      <c r="DW98" s="3" t="s">
        <v>33</v>
      </c>
      <c r="DX98" s="3">
        <v>1</v>
      </c>
      <c r="DZ98" s="3" t="s">
        <v>3</v>
      </c>
      <c r="EA98" s="3" t="s">
        <v>3</v>
      </c>
      <c r="EB98" s="3" t="s">
        <v>3</v>
      </c>
      <c r="EC98" s="3" t="s">
        <v>3</v>
      </c>
      <c r="EE98" s="3">
        <v>55393701</v>
      </c>
      <c r="EF98" s="3">
        <v>40</v>
      </c>
      <c r="EG98" s="3" t="s">
        <v>26</v>
      </c>
      <c r="EH98" s="3">
        <v>0</v>
      </c>
      <c r="EI98" s="3" t="s">
        <v>3</v>
      </c>
      <c r="EJ98" s="3">
        <v>2</v>
      </c>
      <c r="EK98" s="3">
        <v>69</v>
      </c>
      <c r="EL98" s="3" t="s">
        <v>27</v>
      </c>
      <c r="EM98" s="3" t="s">
        <v>28</v>
      </c>
      <c r="EO98" s="3" t="s">
        <v>61</v>
      </c>
      <c r="EQ98" s="3">
        <v>0</v>
      </c>
      <c r="ER98" s="3">
        <v>111.98</v>
      </c>
      <c r="ES98" s="3">
        <v>0.3</v>
      </c>
      <c r="ET98" s="3">
        <v>0</v>
      </c>
      <c r="EU98" s="3">
        <v>0</v>
      </c>
      <c r="EV98" s="3">
        <v>111.68</v>
      </c>
      <c r="EW98" s="3">
        <v>8</v>
      </c>
      <c r="EX98" s="3">
        <v>0</v>
      </c>
      <c r="EY98" s="3">
        <v>0</v>
      </c>
      <c r="FQ98" s="3">
        <v>0</v>
      </c>
      <c r="FR98" s="3">
        <v>0</v>
      </c>
      <c r="FS98" s="3">
        <v>0</v>
      </c>
      <c r="FX98" s="3">
        <v>95</v>
      </c>
      <c r="FY98" s="3">
        <v>53</v>
      </c>
      <c r="GA98" s="3" t="s">
        <v>3</v>
      </c>
      <c r="GD98" s="3">
        <v>1</v>
      </c>
      <c r="GF98" s="3">
        <v>-1615482096</v>
      </c>
      <c r="GG98" s="3">
        <v>2</v>
      </c>
      <c r="GH98" s="3">
        <v>1</v>
      </c>
      <c r="GI98" s="3">
        <v>2</v>
      </c>
      <c r="GJ98" s="3">
        <v>0</v>
      </c>
      <c r="GK98" s="3">
        <v>0</v>
      </c>
      <c r="GL98" s="3">
        <f t="shared" si="100"/>
        <v>0</v>
      </c>
      <c r="GM98" s="3">
        <f t="shared" si="101"/>
        <v>20360.71</v>
      </c>
      <c r="GN98" s="3">
        <f t="shared" si="102"/>
        <v>0</v>
      </c>
      <c r="GO98" s="3">
        <f t="shared" si="103"/>
        <v>20360.71</v>
      </c>
      <c r="GP98" s="3">
        <f t="shared" si="104"/>
        <v>0</v>
      </c>
      <c r="GR98" s="3">
        <v>0</v>
      </c>
      <c r="GS98" s="3">
        <v>3</v>
      </c>
      <c r="GT98" s="3">
        <v>0</v>
      </c>
      <c r="GU98" s="3" t="s">
        <v>3</v>
      </c>
      <c r="GV98" s="3">
        <f t="shared" si="105"/>
        <v>0</v>
      </c>
      <c r="GW98" s="3">
        <v>1</v>
      </c>
      <c r="GX98" s="3">
        <f t="shared" si="106"/>
        <v>0</v>
      </c>
      <c r="HA98" s="3">
        <v>0</v>
      </c>
      <c r="HB98" s="3">
        <v>0</v>
      </c>
      <c r="HC98" s="3">
        <f t="shared" si="107"/>
        <v>0</v>
      </c>
      <c r="HE98" s="3" t="s">
        <v>3</v>
      </c>
      <c r="HF98" s="3" t="s">
        <v>3</v>
      </c>
      <c r="HM98" s="3" t="s">
        <v>3</v>
      </c>
      <c r="HN98" s="3" t="s">
        <v>3</v>
      </c>
      <c r="HO98" s="3" t="s">
        <v>3</v>
      </c>
      <c r="HP98" s="3" t="s">
        <v>3</v>
      </c>
      <c r="HQ98" s="3" t="s">
        <v>3</v>
      </c>
      <c r="HS98" s="3">
        <v>0</v>
      </c>
      <c r="IK98" s="3">
        <v>0</v>
      </c>
    </row>
    <row r="99" spans="1:255" x14ac:dyDescent="0.2">
      <c r="A99" s="2">
        <v>17</v>
      </c>
      <c r="B99" s="2">
        <v>1</v>
      </c>
      <c r="C99" s="2"/>
      <c r="D99" s="2"/>
      <c r="E99" s="2" t="s">
        <v>162</v>
      </c>
      <c r="F99" s="2" t="s">
        <v>163</v>
      </c>
      <c r="G99" s="2" t="s">
        <v>164</v>
      </c>
      <c r="H99" s="2" t="s">
        <v>135</v>
      </c>
      <c r="I99" s="2">
        <v>1</v>
      </c>
      <c r="J99" s="2">
        <v>0</v>
      </c>
      <c r="K99" s="2">
        <v>1</v>
      </c>
      <c r="L99" s="2"/>
      <c r="M99" s="2"/>
      <c r="N99" s="2"/>
      <c r="O99" s="2">
        <f t="shared" si="83"/>
        <v>7200.12</v>
      </c>
      <c r="P99" s="2">
        <f t="shared" si="84"/>
        <v>7200.12</v>
      </c>
      <c r="Q99" s="2">
        <f>(ROUND((ROUND(((ET99)*AV99*I99),2)*BB99),2)+ROUND((ROUND(((AE99-(EU99))*AV99*I99),2)*BS99),2))</f>
        <v>0</v>
      </c>
      <c r="R99" s="2">
        <f>(ROUND((ROUND(((EU99)*AV99*I99),2)*BS99),2)+ROUND((ROUND(((AE99-(EU99))*AV99*I99),2)*BS99),2))</f>
        <v>0</v>
      </c>
      <c r="S99" s="2">
        <f t="shared" si="85"/>
        <v>0</v>
      </c>
      <c r="T99" s="2">
        <f t="shared" si="86"/>
        <v>0</v>
      </c>
      <c r="U99" s="2">
        <f t="shared" si="87"/>
        <v>0</v>
      </c>
      <c r="V99" s="2">
        <f t="shared" si="88"/>
        <v>0</v>
      </c>
      <c r="W99" s="2">
        <f t="shared" si="89"/>
        <v>0</v>
      </c>
      <c r="X99" s="2">
        <f>(ROUND((((S99+ROUND((ROUND(((EU99)*AV99*I99),2)*BS99),2))*AT99)/100),2)+ROUND(((ROUND((ROUND(((AE99-(EU99))*AV99*I99),2)*BS99),2)*AT99)/100),2))</f>
        <v>0</v>
      </c>
      <c r="Y99" s="2">
        <f>(ROUND((((S99+ROUND((ROUND(((EU99)*AV99*I99),2)*BS99),2))*AU99)/100),2)+ROUND(((ROUND((ROUND(((AE99-(EU99))*AV99*I99),2)*BS99),2)*AU99)/100),2))</f>
        <v>0</v>
      </c>
      <c r="Z99" s="2"/>
      <c r="AA99" s="2">
        <v>55919547</v>
      </c>
      <c r="AB99" s="2">
        <f t="shared" si="90"/>
        <v>7200.12</v>
      </c>
      <c r="AC99" s="2">
        <f>ROUND((ES99),6)</f>
        <v>7200.12</v>
      </c>
      <c r="AD99" s="2">
        <f>ROUND((((ET99)-(EU99))+AE99),6)</f>
        <v>0</v>
      </c>
      <c r="AE99" s="2">
        <f>ROUND((EU99),6)</f>
        <v>0</v>
      </c>
      <c r="AF99" s="2">
        <f>ROUND((EV99),6)</f>
        <v>0</v>
      </c>
      <c r="AG99" s="2">
        <f t="shared" si="91"/>
        <v>0</v>
      </c>
      <c r="AH99" s="2">
        <f>(EW99)</f>
        <v>0</v>
      </c>
      <c r="AI99" s="2">
        <f>(EX99)</f>
        <v>0</v>
      </c>
      <c r="AJ99" s="2">
        <f t="shared" si="92"/>
        <v>0</v>
      </c>
      <c r="AK99" s="2">
        <v>7200.1200000000008</v>
      </c>
      <c r="AL99" s="2">
        <v>7200.1200000000008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1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3</v>
      </c>
      <c r="BI99" s="2">
        <v>3</v>
      </c>
      <c r="BJ99" s="2" t="s">
        <v>163</v>
      </c>
      <c r="BK99" s="2"/>
      <c r="BL99" s="2"/>
      <c r="BM99" s="2">
        <v>400007</v>
      </c>
      <c r="BN99" s="2">
        <v>0</v>
      </c>
      <c r="BO99" s="2" t="s">
        <v>3</v>
      </c>
      <c r="BP99" s="2">
        <v>0</v>
      </c>
      <c r="BQ99" s="2">
        <v>214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0</v>
      </c>
      <c r="CA99" s="2">
        <v>0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3</v>
      </c>
      <c r="CO99" s="2">
        <v>0</v>
      </c>
      <c r="CP99" s="2">
        <f t="shared" si="93"/>
        <v>7200.12</v>
      </c>
      <c r="CQ99" s="2">
        <f t="shared" si="94"/>
        <v>7200.12</v>
      </c>
      <c r="CR99" s="2">
        <f>(ROUND((ROUND(((ET99)*AV99*1),2)*BB99),2)+ROUND((ROUND(((AE99-(EU99))*AV99*1),2)*BS99),2))</f>
        <v>0</v>
      </c>
      <c r="CS99" s="2">
        <f>(ROUND((ROUND(((EU99)*AV99*1),2)*BS99),2)+ROUND((ROUND(((AE99-(EU99))*AV99*1),2)*BS99),2))</f>
        <v>0</v>
      </c>
      <c r="CT99" s="2">
        <f t="shared" si="95"/>
        <v>0</v>
      </c>
      <c r="CU99" s="2">
        <f t="shared" si="96"/>
        <v>0</v>
      </c>
      <c r="CV99" s="2">
        <f t="shared" si="97"/>
        <v>0</v>
      </c>
      <c r="CW99" s="2">
        <f t="shared" si="98"/>
        <v>0</v>
      </c>
      <c r="CX99" s="2">
        <f t="shared" si="99"/>
        <v>0</v>
      </c>
      <c r="CY99" s="2">
        <f>(ROUND((((S99+ROUND((ROUND(((EU99)*AV99*1),2)*BS99),2))*AT99)/100),2)+ROUND(((ROUND((ROUND(((AE99-(EU99))*AV99*1),2)*BS99),2)*AT99)/100),2))</f>
        <v>0</v>
      </c>
      <c r="CZ99" s="2">
        <f>(ROUND((((S99+ROUND((ROUND(((EU99)*AV99*1),2)*BS99),2))*AU99)/100),2)+ROUND(((ROUND((ROUND(((AE99-(EU99))*AV99*1),2)*BS99),2)*AU99)/100),2))</f>
        <v>0</v>
      </c>
      <c r="DA99" s="2"/>
      <c r="DB99" s="2"/>
      <c r="DC99" s="2" t="s">
        <v>3</v>
      </c>
      <c r="DD99" s="2" t="s">
        <v>3</v>
      </c>
      <c r="DE99" s="2" t="s">
        <v>3</v>
      </c>
      <c r="DF99" s="2" t="s">
        <v>3</v>
      </c>
      <c r="DG99" s="2" t="s">
        <v>3</v>
      </c>
      <c r="DH99" s="2" t="s">
        <v>3</v>
      </c>
      <c r="DI99" s="2" t="s">
        <v>3</v>
      </c>
      <c r="DJ99" s="2" t="s">
        <v>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135</v>
      </c>
      <c r="DW99" s="2" t="s">
        <v>135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55393630</v>
      </c>
      <c r="EF99" s="2">
        <v>214</v>
      </c>
      <c r="EG99" s="2" t="s">
        <v>136</v>
      </c>
      <c r="EH99" s="2">
        <v>0</v>
      </c>
      <c r="EI99" s="2" t="s">
        <v>3</v>
      </c>
      <c r="EJ99" s="2">
        <v>3</v>
      </c>
      <c r="EK99" s="2">
        <v>400007</v>
      </c>
      <c r="EL99" s="2" t="s">
        <v>136</v>
      </c>
      <c r="EM99" s="2" t="s">
        <v>137</v>
      </c>
      <c r="EN99" s="2"/>
      <c r="EO99" s="2" t="s">
        <v>3</v>
      </c>
      <c r="EP99" s="2"/>
      <c r="EQ99" s="2">
        <v>16</v>
      </c>
      <c r="ER99" s="2">
        <v>0</v>
      </c>
      <c r="ES99" s="2">
        <v>7200.1200000000008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f>P99</f>
        <v>7200.12</v>
      </c>
      <c r="FS99" s="2">
        <v>0</v>
      </c>
      <c r="FT99" s="2"/>
      <c r="FU99" s="2"/>
      <c r="FV99" s="2"/>
      <c r="FW99" s="2"/>
      <c r="FX99" s="2">
        <v>0</v>
      </c>
      <c r="FY99" s="2">
        <v>0</v>
      </c>
      <c r="FZ99" s="2"/>
      <c r="GA99" s="2" t="s">
        <v>165</v>
      </c>
      <c r="GB99" s="2"/>
      <c r="GC99" s="2"/>
      <c r="GD99" s="2">
        <v>1</v>
      </c>
      <c r="GE99" s="2"/>
      <c r="GF99" s="2">
        <v>1728382367</v>
      </c>
      <c r="GG99" s="2">
        <v>2</v>
      </c>
      <c r="GH99" s="2">
        <v>4</v>
      </c>
      <c r="GI99" s="2">
        <v>-2</v>
      </c>
      <c r="GJ99" s="2">
        <v>0</v>
      </c>
      <c r="GK99" s="2">
        <v>0</v>
      </c>
      <c r="GL99" s="2">
        <f t="shared" si="100"/>
        <v>0</v>
      </c>
      <c r="GM99" s="2">
        <f t="shared" si="101"/>
        <v>7200.12</v>
      </c>
      <c r="GN99" s="2">
        <f t="shared" si="102"/>
        <v>0</v>
      </c>
      <c r="GO99" s="2">
        <f t="shared" si="103"/>
        <v>0</v>
      </c>
      <c r="GP99" s="2">
        <f t="shared" si="104"/>
        <v>0</v>
      </c>
      <c r="GQ99" s="2"/>
      <c r="GR99" s="2">
        <v>1</v>
      </c>
      <c r="GS99" s="2">
        <v>2</v>
      </c>
      <c r="GT99" s="2">
        <v>0</v>
      </c>
      <c r="GU99" s="2" t="s">
        <v>3</v>
      </c>
      <c r="GV99" s="2">
        <f t="shared" si="105"/>
        <v>0</v>
      </c>
      <c r="GW99" s="2">
        <v>1</v>
      </c>
      <c r="GX99" s="2">
        <f t="shared" si="106"/>
        <v>0</v>
      </c>
      <c r="GY99" s="2"/>
      <c r="GZ99" s="2"/>
      <c r="HA99" s="2">
        <v>0</v>
      </c>
      <c r="HB99" s="2">
        <v>0</v>
      </c>
      <c r="HC99" s="2">
        <f t="shared" si="107"/>
        <v>0</v>
      </c>
      <c r="HD99" s="2"/>
      <c r="HE99" s="2" t="s">
        <v>139</v>
      </c>
      <c r="HF99" s="2" t="s">
        <v>35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">
      <c r="A100" s="3">
        <v>17</v>
      </c>
      <c r="B100" s="3">
        <v>1</v>
      </c>
      <c r="E100" s="3" t="s">
        <v>162</v>
      </c>
      <c r="F100" s="3" t="s">
        <v>163</v>
      </c>
      <c r="G100" s="3" t="s">
        <v>164</v>
      </c>
      <c r="H100" s="3" t="s">
        <v>135</v>
      </c>
      <c r="I100" s="3">
        <v>1</v>
      </c>
      <c r="J100" s="3">
        <v>0</v>
      </c>
      <c r="K100" s="3">
        <v>1</v>
      </c>
      <c r="O100" s="3">
        <f t="shared" si="83"/>
        <v>70849.179999999993</v>
      </c>
      <c r="P100" s="3">
        <f t="shared" si="84"/>
        <v>70849.179999999993</v>
      </c>
      <c r="Q100" s="3">
        <f>(ROUND((ROUND(((ET100)*AV100*I100),2)*BB100),2)+ROUND((ROUND(((AE100-(EU100))*AV100*I100),2)*BS100),2))</f>
        <v>0</v>
      </c>
      <c r="R100" s="3">
        <f>(ROUND((ROUND(((EU100)*AV100*I100),2)*BS100),2)+ROUND((ROUND(((AE100-(EU100))*AV100*I100),2)*BS100),2))</f>
        <v>0</v>
      </c>
      <c r="S100" s="3">
        <f t="shared" si="85"/>
        <v>0</v>
      </c>
      <c r="T100" s="3">
        <f t="shared" si="86"/>
        <v>0</v>
      </c>
      <c r="U100" s="3">
        <f t="shared" si="87"/>
        <v>0</v>
      </c>
      <c r="V100" s="3">
        <f t="shared" si="88"/>
        <v>0</v>
      </c>
      <c r="W100" s="3">
        <f t="shared" si="89"/>
        <v>0</v>
      </c>
      <c r="X100" s="3">
        <f>(ROUND((((S100+ROUND((ROUND(((EU100)*AV100*I100),2)*BS100),2))*AT100)/100),2)+ROUND(((ROUND((ROUND(((AE100-(EU100))*AV100*I100),2)*BS100),2)*AT100)/100),2))</f>
        <v>0</v>
      </c>
      <c r="Y100" s="3">
        <f>(ROUND((((S100+ROUND((ROUND(((EU100)*AV100*I100),2)*BS100),2))*AU100)/100),2)+ROUND(((ROUND((ROUND(((AE100-(EU100))*AV100*I100),2)*BS100),2)*AU100)/100),2))</f>
        <v>0</v>
      </c>
      <c r="AA100" s="3">
        <v>55919549</v>
      </c>
      <c r="AB100" s="3">
        <f t="shared" si="90"/>
        <v>7200.12</v>
      </c>
      <c r="AC100" s="3">
        <f>ROUND((ES100),6)</f>
        <v>7200.12</v>
      </c>
      <c r="AD100" s="3">
        <f>ROUND((((ET100)-(EU100))+AE100),6)</f>
        <v>0</v>
      </c>
      <c r="AE100" s="3">
        <f>ROUND((EU100),6)</f>
        <v>0</v>
      </c>
      <c r="AF100" s="3">
        <f>ROUND((EV100),6)</f>
        <v>0</v>
      </c>
      <c r="AG100" s="3">
        <f t="shared" si="91"/>
        <v>0</v>
      </c>
      <c r="AH100" s="3">
        <f>(EW100)</f>
        <v>0</v>
      </c>
      <c r="AI100" s="3">
        <f>(EX100)</f>
        <v>0</v>
      </c>
      <c r="AJ100" s="3">
        <f t="shared" si="92"/>
        <v>0</v>
      </c>
      <c r="AK100" s="3">
        <v>7200.1200000000008</v>
      </c>
      <c r="AL100" s="3">
        <v>7200.1200000000008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1</v>
      </c>
      <c r="AW100" s="3">
        <v>1</v>
      </c>
      <c r="AZ100" s="3">
        <v>1</v>
      </c>
      <c r="BA100" s="3">
        <v>1</v>
      </c>
      <c r="BB100" s="3">
        <v>1</v>
      </c>
      <c r="BC100" s="3">
        <v>9.84</v>
      </c>
      <c r="BD100" s="3" t="s">
        <v>3</v>
      </c>
      <c r="BE100" s="3" t="s">
        <v>3</v>
      </c>
      <c r="BF100" s="3" t="s">
        <v>3</v>
      </c>
      <c r="BG100" s="3" t="s">
        <v>3</v>
      </c>
      <c r="BH100" s="3">
        <v>3</v>
      </c>
      <c r="BI100" s="3">
        <v>3</v>
      </c>
      <c r="BJ100" s="3" t="s">
        <v>163</v>
      </c>
      <c r="BM100" s="3">
        <v>400007</v>
      </c>
      <c r="BN100" s="3">
        <v>0</v>
      </c>
      <c r="BO100" s="3" t="s">
        <v>3</v>
      </c>
      <c r="BP100" s="3">
        <v>0</v>
      </c>
      <c r="BQ100" s="3">
        <v>214</v>
      </c>
      <c r="BR100" s="3">
        <v>0</v>
      </c>
      <c r="BS100" s="3">
        <v>1</v>
      </c>
      <c r="BT100" s="3">
        <v>1</v>
      </c>
      <c r="BU100" s="3">
        <v>1</v>
      </c>
      <c r="BV100" s="3">
        <v>1</v>
      </c>
      <c r="BW100" s="3">
        <v>1</v>
      </c>
      <c r="BX100" s="3">
        <v>1</v>
      </c>
      <c r="BY100" s="3" t="s">
        <v>3</v>
      </c>
      <c r="BZ100" s="3">
        <v>0</v>
      </c>
      <c r="CA100" s="3">
        <v>0</v>
      </c>
      <c r="CB100" s="3" t="s">
        <v>3</v>
      </c>
      <c r="CE100" s="3">
        <v>1566</v>
      </c>
      <c r="CF100" s="3">
        <v>0</v>
      </c>
      <c r="CG100" s="3">
        <v>0</v>
      </c>
      <c r="CM100" s="3">
        <v>0</v>
      </c>
      <c r="CN100" s="3" t="s">
        <v>3</v>
      </c>
      <c r="CO100" s="3">
        <v>0</v>
      </c>
      <c r="CP100" s="3">
        <f t="shared" si="93"/>
        <v>70849.179999999993</v>
      </c>
      <c r="CQ100" s="3">
        <f t="shared" si="94"/>
        <v>70849.179999999993</v>
      </c>
      <c r="CR100" s="3">
        <f>(ROUND((ROUND(((ET100)*AV100*1),2)*BB100),2)+ROUND((ROUND(((AE100-(EU100))*AV100*1),2)*BS100),2))</f>
        <v>0</v>
      </c>
      <c r="CS100" s="3">
        <f>(ROUND((ROUND(((EU100)*AV100*1),2)*BS100),2)+ROUND((ROUND(((AE100-(EU100))*AV100*1),2)*BS100),2))</f>
        <v>0</v>
      </c>
      <c r="CT100" s="3">
        <f t="shared" si="95"/>
        <v>0</v>
      </c>
      <c r="CU100" s="3">
        <f t="shared" si="96"/>
        <v>0</v>
      </c>
      <c r="CV100" s="3">
        <f t="shared" si="97"/>
        <v>0</v>
      </c>
      <c r="CW100" s="3">
        <f t="shared" si="98"/>
        <v>0</v>
      </c>
      <c r="CX100" s="3">
        <f t="shared" si="99"/>
        <v>0</v>
      </c>
      <c r="CY100" s="3">
        <f>(ROUND((((S100+ROUND((ROUND(((EU100)*AV100*1),2)*BS100),2))*AT100)/100),2)+ROUND(((ROUND((ROUND(((AE100-(EU100))*AV100*1),2)*BS100),2)*AT100)/100),2))</f>
        <v>0</v>
      </c>
      <c r="CZ100" s="3">
        <f>(ROUND((((S100+ROUND((ROUND(((EU100)*AV100*1),2)*BS100),2))*AU100)/100),2)+ROUND(((ROUND((ROUND(((AE100-(EU100))*AV100*1),2)*BS100),2)*AU100)/100),2))</f>
        <v>0</v>
      </c>
      <c r="DC100" s="3" t="s">
        <v>3</v>
      </c>
      <c r="DD100" s="3" t="s">
        <v>3</v>
      </c>
      <c r="DE100" s="3" t="s">
        <v>3</v>
      </c>
      <c r="DF100" s="3" t="s">
        <v>3</v>
      </c>
      <c r="DG100" s="3" t="s">
        <v>3</v>
      </c>
      <c r="DH100" s="3" t="s">
        <v>3</v>
      </c>
      <c r="DI100" s="3" t="s">
        <v>3</v>
      </c>
      <c r="DJ100" s="3" t="s">
        <v>3</v>
      </c>
      <c r="DK100" s="3" t="s">
        <v>3</v>
      </c>
      <c r="DL100" s="3" t="s">
        <v>3</v>
      </c>
      <c r="DM100" s="3" t="s">
        <v>3</v>
      </c>
      <c r="DN100" s="3">
        <v>0</v>
      </c>
      <c r="DO100" s="3">
        <v>0</v>
      </c>
      <c r="DP100" s="3">
        <v>1</v>
      </c>
      <c r="DQ100" s="3">
        <v>1</v>
      </c>
      <c r="DU100" s="3">
        <v>1013</v>
      </c>
      <c r="DV100" s="3" t="s">
        <v>135</v>
      </c>
      <c r="DW100" s="3" t="s">
        <v>135</v>
      </c>
      <c r="DX100" s="3">
        <v>1</v>
      </c>
      <c r="DZ100" s="3" t="s">
        <v>3</v>
      </c>
      <c r="EA100" s="3" t="s">
        <v>3</v>
      </c>
      <c r="EB100" s="3" t="s">
        <v>3</v>
      </c>
      <c r="EC100" s="3" t="s">
        <v>3</v>
      </c>
      <c r="EE100" s="3">
        <v>55393630</v>
      </c>
      <c r="EF100" s="3">
        <v>214</v>
      </c>
      <c r="EG100" s="3" t="s">
        <v>136</v>
      </c>
      <c r="EH100" s="3">
        <v>0</v>
      </c>
      <c r="EI100" s="3" t="s">
        <v>3</v>
      </c>
      <c r="EJ100" s="3">
        <v>3</v>
      </c>
      <c r="EK100" s="3">
        <v>400007</v>
      </c>
      <c r="EL100" s="3" t="s">
        <v>136</v>
      </c>
      <c r="EM100" s="3" t="s">
        <v>137</v>
      </c>
      <c r="EO100" s="3" t="s">
        <v>3</v>
      </c>
      <c r="EQ100" s="3">
        <v>16</v>
      </c>
      <c r="ER100" s="3">
        <v>0</v>
      </c>
      <c r="ES100" s="3">
        <v>7200.1200000000008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5</v>
      </c>
      <c r="FC100" s="3">
        <v>1</v>
      </c>
      <c r="FD100" s="3">
        <v>18</v>
      </c>
      <c r="FF100" s="3">
        <v>82923.38</v>
      </c>
      <c r="FQ100" s="3">
        <v>0</v>
      </c>
      <c r="FR100" s="3">
        <f>P100</f>
        <v>70849.179999999993</v>
      </c>
      <c r="FS100" s="3">
        <v>0</v>
      </c>
      <c r="FX100" s="3">
        <v>0</v>
      </c>
      <c r="FY100" s="3">
        <v>0</v>
      </c>
      <c r="GA100" s="3" t="s">
        <v>165</v>
      </c>
      <c r="GD100" s="3">
        <v>1</v>
      </c>
      <c r="GF100" s="3">
        <v>1728382367</v>
      </c>
      <c r="GG100" s="3">
        <v>2</v>
      </c>
      <c r="GH100" s="3">
        <v>3</v>
      </c>
      <c r="GI100" s="3">
        <v>5</v>
      </c>
      <c r="GJ100" s="3">
        <v>0</v>
      </c>
      <c r="GK100" s="3">
        <v>0</v>
      </c>
      <c r="GL100" s="3">
        <f t="shared" si="100"/>
        <v>0</v>
      </c>
      <c r="GM100" s="3">
        <f t="shared" si="101"/>
        <v>70849.179999999993</v>
      </c>
      <c r="GN100" s="3">
        <f t="shared" si="102"/>
        <v>0</v>
      </c>
      <c r="GO100" s="3">
        <f t="shared" si="103"/>
        <v>0</v>
      </c>
      <c r="GP100" s="3">
        <f t="shared" si="104"/>
        <v>0</v>
      </c>
      <c r="GR100" s="3">
        <v>1</v>
      </c>
      <c r="GS100" s="3">
        <v>1</v>
      </c>
      <c r="GT100" s="3">
        <v>0</v>
      </c>
      <c r="GU100" s="3" t="s">
        <v>3</v>
      </c>
      <c r="GV100" s="3">
        <f t="shared" si="105"/>
        <v>0</v>
      </c>
      <c r="GW100" s="3">
        <v>1</v>
      </c>
      <c r="GX100" s="3">
        <f t="shared" si="106"/>
        <v>0</v>
      </c>
      <c r="HA100" s="3">
        <v>0</v>
      </c>
      <c r="HB100" s="3">
        <v>0</v>
      </c>
      <c r="HC100" s="3">
        <f t="shared" si="107"/>
        <v>0</v>
      </c>
      <c r="HE100" s="3" t="s">
        <v>139</v>
      </c>
      <c r="HF100" s="3" t="s">
        <v>35</v>
      </c>
      <c r="HM100" s="3" t="s">
        <v>3</v>
      </c>
      <c r="HN100" s="3" t="s">
        <v>3</v>
      </c>
      <c r="HO100" s="3" t="s">
        <v>3</v>
      </c>
      <c r="HP100" s="3" t="s">
        <v>3</v>
      </c>
      <c r="HQ100" s="3" t="s">
        <v>3</v>
      </c>
      <c r="HS100" s="3">
        <v>0</v>
      </c>
      <c r="IK100" s="3">
        <v>0</v>
      </c>
    </row>
    <row r="101" spans="1:255" x14ac:dyDescent="0.2">
      <c r="A101" s="2">
        <v>17</v>
      </c>
      <c r="B101" s="2">
        <v>1</v>
      </c>
      <c r="C101" s="2">
        <f>ROW(SmtRes!A96)</f>
        <v>96</v>
      </c>
      <c r="D101" s="2">
        <f>ROW(EtalonRes!A110)</f>
        <v>110</v>
      </c>
      <c r="E101" s="2" t="s">
        <v>166</v>
      </c>
      <c r="F101" s="2" t="s">
        <v>42</v>
      </c>
      <c r="G101" s="2" t="s">
        <v>167</v>
      </c>
      <c r="H101" s="2" t="s">
        <v>33</v>
      </c>
      <c r="I101" s="2">
        <v>1</v>
      </c>
      <c r="J101" s="2">
        <v>0</v>
      </c>
      <c r="K101" s="2">
        <v>1</v>
      </c>
      <c r="L101" s="2"/>
      <c r="M101" s="2"/>
      <c r="N101" s="2"/>
      <c r="O101" s="2">
        <f t="shared" si="83"/>
        <v>33.81</v>
      </c>
      <c r="P101" s="2">
        <f t="shared" si="84"/>
        <v>0.18</v>
      </c>
      <c r="Q101" s="2">
        <f>(ROUND((ROUND((((ET101*1.2))*AV101*I101),2)*BB101),2)+ROUND((ROUND(((AE101-((EU101*1.2)))*AV101*I101),2)*BS101),2))</f>
        <v>0</v>
      </c>
      <c r="R101" s="2">
        <f>(ROUND((ROUND((((EU101*1.2))*AV101*I101),2)*BS101),2)+ROUND((ROUND(((AE101-((EU101*1.2)))*AV101*I101),2)*BS101),2))</f>
        <v>0</v>
      </c>
      <c r="S101" s="2">
        <f t="shared" si="85"/>
        <v>33.630000000000003</v>
      </c>
      <c r="T101" s="2">
        <f t="shared" si="86"/>
        <v>0</v>
      </c>
      <c r="U101" s="2">
        <f t="shared" si="87"/>
        <v>2.4783599999999999</v>
      </c>
      <c r="V101" s="2">
        <f t="shared" si="88"/>
        <v>0</v>
      </c>
      <c r="W101" s="2">
        <f t="shared" si="89"/>
        <v>0</v>
      </c>
      <c r="X101" s="2">
        <f>(ROUND((((S101+ROUND((ROUND((((EU101*1.2))*AV101*I101),2)*BS101),2))*AT101)/100),2)+ROUND(((ROUND((ROUND(((AE101-((EU101*1.2)))*AV101*I101),2)*BS101),2)*AT101)/100),2))</f>
        <v>31.95</v>
      </c>
      <c r="Y101" s="2">
        <f>(ROUND((((S101+ROUND((ROUND((((EU101*1.2))*AV101*I101),2)*BS101),2))*AU101)/100),2)+ROUND(((ROUND((ROUND(((AE101-((EU101*1.2)))*AV101*I101),2)*BS101),2)*AU101)/100),2))</f>
        <v>17.82</v>
      </c>
      <c r="Z101" s="2"/>
      <c r="AA101" s="2">
        <v>55919547</v>
      </c>
      <c r="AB101" s="2">
        <f t="shared" si="90"/>
        <v>31.116</v>
      </c>
      <c r="AC101" s="2">
        <f>ROUND(((ES101*1)),6)</f>
        <v>0.18</v>
      </c>
      <c r="AD101" s="2">
        <f>ROUND(((((ET101*1.2))-((EU101*1.2)))+AE101),6)</f>
        <v>0</v>
      </c>
      <c r="AE101" s="2">
        <f>ROUND(((EU101*1.2)),6)</f>
        <v>0</v>
      </c>
      <c r="AF101" s="2">
        <f>ROUND(((EV101*1.2)),6)</f>
        <v>30.936</v>
      </c>
      <c r="AG101" s="2">
        <f t="shared" si="91"/>
        <v>0</v>
      </c>
      <c r="AH101" s="2">
        <f>((EW101*1.2))</f>
        <v>2.2799999999999998</v>
      </c>
      <c r="AI101" s="2">
        <f>((EX101*1.2))</f>
        <v>0</v>
      </c>
      <c r="AJ101" s="2">
        <f t="shared" si="92"/>
        <v>0</v>
      </c>
      <c r="AK101" s="2">
        <v>25.96</v>
      </c>
      <c r="AL101" s="2">
        <v>0.18</v>
      </c>
      <c r="AM101" s="2">
        <v>0</v>
      </c>
      <c r="AN101" s="2">
        <v>0</v>
      </c>
      <c r="AO101" s="2">
        <v>25.78</v>
      </c>
      <c r="AP101" s="2">
        <v>0</v>
      </c>
      <c r="AQ101" s="2">
        <v>1.9</v>
      </c>
      <c r="AR101" s="2">
        <v>0</v>
      </c>
      <c r="AS101" s="2">
        <v>0</v>
      </c>
      <c r="AT101" s="2">
        <v>95</v>
      </c>
      <c r="AU101" s="2">
        <v>53</v>
      </c>
      <c r="AV101" s="2">
        <v>1.087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0</v>
      </c>
      <c r="BI101" s="2">
        <v>2</v>
      </c>
      <c r="BJ101" s="2" t="s">
        <v>44</v>
      </c>
      <c r="BK101" s="2"/>
      <c r="BL101" s="2"/>
      <c r="BM101" s="2">
        <v>69</v>
      </c>
      <c r="BN101" s="2">
        <v>0</v>
      </c>
      <c r="BO101" s="2" t="s">
        <v>42</v>
      </c>
      <c r="BP101" s="2">
        <v>1</v>
      </c>
      <c r="BQ101" s="2">
        <v>40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95</v>
      </c>
      <c r="CA101" s="2">
        <v>53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491</v>
      </c>
      <c r="CO101" s="2">
        <v>0</v>
      </c>
      <c r="CP101" s="2">
        <f t="shared" si="93"/>
        <v>33.81</v>
      </c>
      <c r="CQ101" s="2">
        <f t="shared" si="94"/>
        <v>0.18</v>
      </c>
      <c r="CR101" s="2">
        <f>(ROUND((ROUND((((ET101*1.2))*AV101*1),2)*BB101),2)+ROUND((ROUND(((AE101-((EU101*1.2)))*AV101*1),2)*BS101),2))</f>
        <v>0</v>
      </c>
      <c r="CS101" s="2">
        <f>(ROUND((ROUND((((EU101*1.2))*AV101*1),2)*BS101),2)+ROUND((ROUND(((AE101-((EU101*1.2)))*AV101*1),2)*BS101),2))</f>
        <v>0</v>
      </c>
      <c r="CT101" s="2">
        <f t="shared" si="95"/>
        <v>33.630000000000003</v>
      </c>
      <c r="CU101" s="2">
        <f t="shared" si="96"/>
        <v>0</v>
      </c>
      <c r="CV101" s="2">
        <f t="shared" si="97"/>
        <v>2.4783599999999999</v>
      </c>
      <c r="CW101" s="2">
        <f t="shared" si="98"/>
        <v>0</v>
      </c>
      <c r="CX101" s="2">
        <f t="shared" si="99"/>
        <v>0</v>
      </c>
      <c r="CY101" s="2">
        <f>(ROUND((((S101+ROUND((ROUND((((EU101*1.2))*AV101*1),2)*BS101),2))*AT101)/100),2)+ROUND(((ROUND((ROUND(((AE101-((EU101*1.2)))*AV101*1),2)*BS101),2)*AT101)/100),2))</f>
        <v>31.95</v>
      </c>
      <c r="CZ101" s="2">
        <f>(ROUND((((S101+ROUND((ROUND((((EU101*1.2))*AV101*1),2)*BS101),2))*AU101)/100),2)+ROUND(((ROUND((ROUND(((AE101-((EU101*1.2)))*AV101*1),2)*BS101),2)*AU101)/100),2))</f>
        <v>17.82</v>
      </c>
      <c r="DA101" s="2"/>
      <c r="DB101" s="2">
        <v>43</v>
      </c>
      <c r="DC101" s="2" t="s">
        <v>3</v>
      </c>
      <c r="DD101" s="2" t="s">
        <v>56</v>
      </c>
      <c r="DE101" s="2" t="s">
        <v>57</v>
      </c>
      <c r="DF101" s="2" t="s">
        <v>57</v>
      </c>
      <c r="DG101" s="2" t="s">
        <v>57</v>
      </c>
      <c r="DH101" s="2" t="s">
        <v>3</v>
      </c>
      <c r="DI101" s="2" t="s">
        <v>57</v>
      </c>
      <c r="DJ101" s="2" t="s">
        <v>57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33</v>
      </c>
      <c r="DW101" s="2" t="s">
        <v>33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55393701</v>
      </c>
      <c r="EF101" s="2">
        <v>40</v>
      </c>
      <c r="EG101" s="2" t="s">
        <v>26</v>
      </c>
      <c r="EH101" s="2">
        <v>0</v>
      </c>
      <c r="EI101" s="2" t="s">
        <v>3</v>
      </c>
      <c r="EJ101" s="2">
        <v>2</v>
      </c>
      <c r="EK101" s="2">
        <v>69</v>
      </c>
      <c r="EL101" s="2" t="s">
        <v>27</v>
      </c>
      <c r="EM101" s="2" t="s">
        <v>28</v>
      </c>
      <c r="EN101" s="2"/>
      <c r="EO101" s="2" t="s">
        <v>61</v>
      </c>
      <c r="EP101" s="2"/>
      <c r="EQ101" s="2">
        <v>0</v>
      </c>
      <c r="ER101" s="2">
        <v>25.96</v>
      </c>
      <c r="ES101" s="2">
        <v>0.18</v>
      </c>
      <c r="ET101" s="2">
        <v>0</v>
      </c>
      <c r="EU101" s="2">
        <v>0</v>
      </c>
      <c r="EV101" s="2">
        <v>25.78</v>
      </c>
      <c r="EW101" s="2">
        <v>1.9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95</v>
      </c>
      <c r="FY101" s="2">
        <v>53</v>
      </c>
      <c r="FZ101" s="2"/>
      <c r="GA101" s="2" t="s">
        <v>3</v>
      </c>
      <c r="GB101" s="2"/>
      <c r="GC101" s="2"/>
      <c r="GD101" s="2">
        <v>1</v>
      </c>
      <c r="GE101" s="2"/>
      <c r="GF101" s="2">
        <v>2109770002</v>
      </c>
      <c r="GG101" s="2">
        <v>2</v>
      </c>
      <c r="GH101" s="2">
        <v>1</v>
      </c>
      <c r="GI101" s="2">
        <v>2</v>
      </c>
      <c r="GJ101" s="2">
        <v>0</v>
      </c>
      <c r="GK101" s="2">
        <v>0</v>
      </c>
      <c r="GL101" s="2">
        <f t="shared" si="100"/>
        <v>0</v>
      </c>
      <c r="GM101" s="2">
        <f t="shared" si="101"/>
        <v>83.58</v>
      </c>
      <c r="GN101" s="2">
        <f t="shared" si="102"/>
        <v>0</v>
      </c>
      <c r="GO101" s="2">
        <f t="shared" si="103"/>
        <v>83.58</v>
      </c>
      <c r="GP101" s="2">
        <f t="shared" si="104"/>
        <v>0</v>
      </c>
      <c r="GQ101" s="2"/>
      <c r="GR101" s="2">
        <v>0</v>
      </c>
      <c r="GS101" s="2">
        <v>3</v>
      </c>
      <c r="GT101" s="2">
        <v>0</v>
      </c>
      <c r="GU101" s="2" t="s">
        <v>3</v>
      </c>
      <c r="GV101" s="2">
        <f t="shared" si="105"/>
        <v>0</v>
      </c>
      <c r="GW101" s="2">
        <v>1</v>
      </c>
      <c r="GX101" s="2">
        <f t="shared" si="106"/>
        <v>0</v>
      </c>
      <c r="GY101" s="2"/>
      <c r="GZ101" s="2"/>
      <c r="HA101" s="2">
        <v>0</v>
      </c>
      <c r="HB101" s="2">
        <v>0</v>
      </c>
      <c r="HC101" s="2">
        <f t="shared" si="107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">
      <c r="A102" s="3">
        <v>17</v>
      </c>
      <c r="B102" s="3">
        <v>1</v>
      </c>
      <c r="C102" s="3">
        <f>ROW(SmtRes!A98)</f>
        <v>98</v>
      </c>
      <c r="D102" s="3">
        <f>ROW(EtalonRes!A112)</f>
        <v>112</v>
      </c>
      <c r="E102" s="3" t="s">
        <v>166</v>
      </c>
      <c r="F102" s="3" t="s">
        <v>42</v>
      </c>
      <c r="G102" s="3" t="s">
        <v>167</v>
      </c>
      <c r="H102" s="3" t="s">
        <v>33</v>
      </c>
      <c r="I102" s="3">
        <v>1</v>
      </c>
      <c r="J102" s="3">
        <v>0</v>
      </c>
      <c r="K102" s="3">
        <v>1</v>
      </c>
      <c r="O102" s="3">
        <f t="shared" si="83"/>
        <v>1896.06</v>
      </c>
      <c r="P102" s="3">
        <f t="shared" si="84"/>
        <v>1.01</v>
      </c>
      <c r="Q102" s="3">
        <f>(ROUND((ROUND((((ET102*1.2))*AV102*I102),2)*BB102),2)+ROUND((ROUND(((AE102-((EU102*1.2)))*AV102*I102),2)*BS102),2))</f>
        <v>0</v>
      </c>
      <c r="R102" s="3">
        <f>(ROUND((ROUND((((EU102*1.2))*AV102*I102),2)*BS102),2)+ROUND((ROUND(((AE102-((EU102*1.2)))*AV102*I102),2)*BS102),2))</f>
        <v>0</v>
      </c>
      <c r="S102" s="3">
        <f t="shared" si="85"/>
        <v>1895.05</v>
      </c>
      <c r="T102" s="3">
        <f t="shared" si="86"/>
        <v>0</v>
      </c>
      <c r="U102" s="3">
        <f t="shared" si="87"/>
        <v>2.4783599999999999</v>
      </c>
      <c r="V102" s="3">
        <f t="shared" si="88"/>
        <v>0</v>
      </c>
      <c r="W102" s="3">
        <f t="shared" si="89"/>
        <v>0</v>
      </c>
      <c r="X102" s="3">
        <f>(ROUND((((S102+ROUND((ROUND((((EU102*1.2))*AV102*I102),2)*BS102),2))*AT102)/100),2)+ROUND(((ROUND((ROUND(((AE102-((EU102*1.2)))*AV102*I102),2)*BS102),2)*AT102)/100),2))</f>
        <v>1800.3</v>
      </c>
      <c r="Y102" s="3">
        <f>(ROUND((((S102+ROUND((ROUND((((EU102*1.2))*AV102*I102),2)*BS102),2))*AU102)/100),2)+ROUND(((ROUND((ROUND(((AE102-((EU102*1.2)))*AV102*I102),2)*BS102),2)*AU102)/100),2))</f>
        <v>1004.38</v>
      </c>
      <c r="AA102" s="3">
        <v>55919549</v>
      </c>
      <c r="AB102" s="3">
        <f t="shared" si="90"/>
        <v>31.116</v>
      </c>
      <c r="AC102" s="3">
        <f>ROUND(((ES102*1)),6)</f>
        <v>0.18</v>
      </c>
      <c r="AD102" s="3">
        <f>ROUND(((((ET102*1.2))-((EU102*1.2)))+AE102),6)</f>
        <v>0</v>
      </c>
      <c r="AE102" s="3">
        <f>ROUND(((EU102*1.2)),6)</f>
        <v>0</v>
      </c>
      <c r="AF102" s="3">
        <f>ROUND(((EV102*1.2)),6)</f>
        <v>30.936</v>
      </c>
      <c r="AG102" s="3">
        <f t="shared" si="91"/>
        <v>0</v>
      </c>
      <c r="AH102" s="3">
        <f>((EW102*1.2))</f>
        <v>2.2799999999999998</v>
      </c>
      <c r="AI102" s="3">
        <f>((EX102*1.2))</f>
        <v>0</v>
      </c>
      <c r="AJ102" s="3">
        <f t="shared" si="92"/>
        <v>0</v>
      </c>
      <c r="AK102" s="3">
        <v>25.96</v>
      </c>
      <c r="AL102" s="3">
        <v>0.18</v>
      </c>
      <c r="AM102" s="3">
        <v>0</v>
      </c>
      <c r="AN102" s="3">
        <v>0</v>
      </c>
      <c r="AO102" s="3">
        <v>25.78</v>
      </c>
      <c r="AP102" s="3">
        <v>0</v>
      </c>
      <c r="AQ102" s="3">
        <v>1.9</v>
      </c>
      <c r="AR102" s="3">
        <v>0</v>
      </c>
      <c r="AS102" s="3">
        <v>0</v>
      </c>
      <c r="AT102" s="3">
        <v>95</v>
      </c>
      <c r="AU102" s="3">
        <v>53</v>
      </c>
      <c r="AV102" s="3">
        <v>1.087</v>
      </c>
      <c r="AW102" s="3">
        <v>1</v>
      </c>
      <c r="AZ102" s="3">
        <v>1</v>
      </c>
      <c r="BA102" s="3">
        <v>56.35</v>
      </c>
      <c r="BB102" s="3">
        <v>1</v>
      </c>
      <c r="BC102" s="3">
        <v>5.61</v>
      </c>
      <c r="BD102" s="3" t="s">
        <v>3</v>
      </c>
      <c r="BE102" s="3" t="s">
        <v>3</v>
      </c>
      <c r="BF102" s="3" t="s">
        <v>3</v>
      </c>
      <c r="BG102" s="3" t="s">
        <v>3</v>
      </c>
      <c r="BH102" s="3">
        <v>0</v>
      </c>
      <c r="BI102" s="3">
        <v>2</v>
      </c>
      <c r="BJ102" s="3" t="s">
        <v>44</v>
      </c>
      <c r="BM102" s="3">
        <v>69</v>
      </c>
      <c r="BN102" s="3">
        <v>0</v>
      </c>
      <c r="BO102" s="3" t="s">
        <v>42</v>
      </c>
      <c r="BP102" s="3">
        <v>1</v>
      </c>
      <c r="BQ102" s="3">
        <v>40</v>
      </c>
      <c r="BR102" s="3">
        <v>0</v>
      </c>
      <c r="BS102" s="3">
        <v>56.35</v>
      </c>
      <c r="BT102" s="3">
        <v>1</v>
      </c>
      <c r="BU102" s="3">
        <v>1</v>
      </c>
      <c r="BV102" s="3">
        <v>1</v>
      </c>
      <c r="BW102" s="3">
        <v>1</v>
      </c>
      <c r="BX102" s="3">
        <v>1</v>
      </c>
      <c r="BY102" s="3" t="s">
        <v>3</v>
      </c>
      <c r="BZ102" s="3">
        <v>95</v>
      </c>
      <c r="CA102" s="3">
        <v>53</v>
      </c>
      <c r="CB102" s="3" t="s">
        <v>3</v>
      </c>
      <c r="CE102" s="3">
        <v>1566</v>
      </c>
      <c r="CF102" s="3">
        <v>0</v>
      </c>
      <c r="CG102" s="3">
        <v>0</v>
      </c>
      <c r="CM102" s="3">
        <v>0</v>
      </c>
      <c r="CN102" s="3" t="s">
        <v>491</v>
      </c>
      <c r="CO102" s="3">
        <v>0</v>
      </c>
      <c r="CP102" s="3">
        <f t="shared" si="93"/>
        <v>1896.06</v>
      </c>
      <c r="CQ102" s="3">
        <f t="shared" si="94"/>
        <v>1.01</v>
      </c>
      <c r="CR102" s="3">
        <f>(ROUND((ROUND((((ET102*1.2))*AV102*1),2)*BB102),2)+ROUND((ROUND(((AE102-((EU102*1.2)))*AV102*1),2)*BS102),2))</f>
        <v>0</v>
      </c>
      <c r="CS102" s="3">
        <f>(ROUND((ROUND((((EU102*1.2))*AV102*1),2)*BS102),2)+ROUND((ROUND(((AE102-((EU102*1.2)))*AV102*1),2)*BS102),2))</f>
        <v>0</v>
      </c>
      <c r="CT102" s="3">
        <f t="shared" si="95"/>
        <v>1895.05</v>
      </c>
      <c r="CU102" s="3">
        <f t="shared" si="96"/>
        <v>0</v>
      </c>
      <c r="CV102" s="3">
        <f t="shared" si="97"/>
        <v>2.4783599999999999</v>
      </c>
      <c r="CW102" s="3">
        <f t="shared" si="98"/>
        <v>0</v>
      </c>
      <c r="CX102" s="3">
        <f t="shared" si="99"/>
        <v>0</v>
      </c>
      <c r="CY102" s="3">
        <f>(ROUND((((S102+ROUND((ROUND((((EU102*1.2))*AV102*1),2)*BS102),2))*AT102)/100),2)+ROUND(((ROUND((ROUND(((AE102-((EU102*1.2)))*AV102*1),2)*BS102),2)*AT102)/100),2))</f>
        <v>1800.3</v>
      </c>
      <c r="CZ102" s="3">
        <f>(ROUND((((S102+ROUND((ROUND((((EU102*1.2))*AV102*1),2)*BS102),2))*AU102)/100),2)+ROUND(((ROUND((ROUND(((AE102-((EU102*1.2)))*AV102*1),2)*BS102),2)*AU102)/100),2))</f>
        <v>1004.38</v>
      </c>
      <c r="DB102" s="3">
        <v>44</v>
      </c>
      <c r="DC102" s="3" t="s">
        <v>3</v>
      </c>
      <c r="DD102" s="3" t="s">
        <v>56</v>
      </c>
      <c r="DE102" s="3" t="s">
        <v>57</v>
      </c>
      <c r="DF102" s="3" t="s">
        <v>57</v>
      </c>
      <c r="DG102" s="3" t="s">
        <v>57</v>
      </c>
      <c r="DH102" s="3" t="s">
        <v>3</v>
      </c>
      <c r="DI102" s="3" t="s">
        <v>57</v>
      </c>
      <c r="DJ102" s="3" t="s">
        <v>57</v>
      </c>
      <c r="DK102" s="3" t="s">
        <v>3</v>
      </c>
      <c r="DL102" s="3" t="s">
        <v>3</v>
      </c>
      <c r="DM102" s="3" t="s">
        <v>3</v>
      </c>
      <c r="DN102" s="3">
        <v>0</v>
      </c>
      <c r="DO102" s="3">
        <v>0</v>
      </c>
      <c r="DP102" s="3">
        <v>1</v>
      </c>
      <c r="DQ102" s="3">
        <v>1</v>
      </c>
      <c r="DU102" s="3">
        <v>1013</v>
      </c>
      <c r="DV102" s="3" t="s">
        <v>33</v>
      </c>
      <c r="DW102" s="3" t="s">
        <v>33</v>
      </c>
      <c r="DX102" s="3">
        <v>1</v>
      </c>
      <c r="DZ102" s="3" t="s">
        <v>3</v>
      </c>
      <c r="EA102" s="3" t="s">
        <v>3</v>
      </c>
      <c r="EB102" s="3" t="s">
        <v>3</v>
      </c>
      <c r="EC102" s="3" t="s">
        <v>3</v>
      </c>
      <c r="EE102" s="3">
        <v>55393701</v>
      </c>
      <c r="EF102" s="3">
        <v>40</v>
      </c>
      <c r="EG102" s="3" t="s">
        <v>26</v>
      </c>
      <c r="EH102" s="3">
        <v>0</v>
      </c>
      <c r="EI102" s="3" t="s">
        <v>3</v>
      </c>
      <c r="EJ102" s="3">
        <v>2</v>
      </c>
      <c r="EK102" s="3">
        <v>69</v>
      </c>
      <c r="EL102" s="3" t="s">
        <v>27</v>
      </c>
      <c r="EM102" s="3" t="s">
        <v>28</v>
      </c>
      <c r="EO102" s="3" t="s">
        <v>61</v>
      </c>
      <c r="EQ102" s="3">
        <v>0</v>
      </c>
      <c r="ER102" s="3">
        <v>25.96</v>
      </c>
      <c r="ES102" s="3">
        <v>0.18</v>
      </c>
      <c r="ET102" s="3">
        <v>0</v>
      </c>
      <c r="EU102" s="3">
        <v>0</v>
      </c>
      <c r="EV102" s="3">
        <v>25.78</v>
      </c>
      <c r="EW102" s="3">
        <v>1.9</v>
      </c>
      <c r="EX102" s="3">
        <v>0</v>
      </c>
      <c r="EY102" s="3">
        <v>0</v>
      </c>
      <c r="FQ102" s="3">
        <v>0</v>
      </c>
      <c r="FR102" s="3">
        <v>0</v>
      </c>
      <c r="FS102" s="3">
        <v>0</v>
      </c>
      <c r="FX102" s="3">
        <v>95</v>
      </c>
      <c r="FY102" s="3">
        <v>53</v>
      </c>
      <c r="GA102" s="3" t="s">
        <v>3</v>
      </c>
      <c r="GD102" s="3">
        <v>1</v>
      </c>
      <c r="GF102" s="3">
        <v>2109770002</v>
      </c>
      <c r="GG102" s="3">
        <v>2</v>
      </c>
      <c r="GH102" s="3">
        <v>1</v>
      </c>
      <c r="GI102" s="3">
        <v>2</v>
      </c>
      <c r="GJ102" s="3">
        <v>0</v>
      </c>
      <c r="GK102" s="3">
        <v>0</v>
      </c>
      <c r="GL102" s="3">
        <f t="shared" si="100"/>
        <v>0</v>
      </c>
      <c r="GM102" s="3">
        <f t="shared" si="101"/>
        <v>4700.74</v>
      </c>
      <c r="GN102" s="3">
        <f t="shared" si="102"/>
        <v>0</v>
      </c>
      <c r="GO102" s="3">
        <f t="shared" si="103"/>
        <v>4700.74</v>
      </c>
      <c r="GP102" s="3">
        <f t="shared" si="104"/>
        <v>0</v>
      </c>
      <c r="GR102" s="3">
        <v>0</v>
      </c>
      <c r="GS102" s="3">
        <v>3</v>
      </c>
      <c r="GT102" s="3">
        <v>0</v>
      </c>
      <c r="GU102" s="3" t="s">
        <v>3</v>
      </c>
      <c r="GV102" s="3">
        <f t="shared" si="105"/>
        <v>0</v>
      </c>
      <c r="GW102" s="3">
        <v>1</v>
      </c>
      <c r="GX102" s="3">
        <f t="shared" si="106"/>
        <v>0</v>
      </c>
      <c r="HA102" s="3">
        <v>0</v>
      </c>
      <c r="HB102" s="3">
        <v>0</v>
      </c>
      <c r="HC102" s="3">
        <f t="shared" si="107"/>
        <v>0</v>
      </c>
      <c r="HE102" s="3" t="s">
        <v>3</v>
      </c>
      <c r="HF102" s="3" t="s">
        <v>3</v>
      </c>
      <c r="HM102" s="3" t="s">
        <v>3</v>
      </c>
      <c r="HN102" s="3" t="s">
        <v>3</v>
      </c>
      <c r="HO102" s="3" t="s">
        <v>3</v>
      </c>
      <c r="HP102" s="3" t="s">
        <v>3</v>
      </c>
      <c r="HQ102" s="3" t="s">
        <v>3</v>
      </c>
      <c r="HS102" s="3">
        <v>0</v>
      </c>
      <c r="IK102" s="3">
        <v>0</v>
      </c>
    </row>
    <row r="103" spans="1:255" x14ac:dyDescent="0.2">
      <c r="A103" s="2">
        <v>17</v>
      </c>
      <c r="B103" s="2">
        <v>1</v>
      </c>
      <c r="C103" s="2"/>
      <c r="D103" s="2"/>
      <c r="E103" s="2" t="s">
        <v>168</v>
      </c>
      <c r="F103" s="2" t="s">
        <v>169</v>
      </c>
      <c r="G103" s="2" t="s">
        <v>170</v>
      </c>
      <c r="H103" s="2" t="s">
        <v>135</v>
      </c>
      <c r="I103" s="2">
        <v>1</v>
      </c>
      <c r="J103" s="2">
        <v>0</v>
      </c>
      <c r="K103" s="2">
        <v>1</v>
      </c>
      <c r="L103" s="2"/>
      <c r="M103" s="2"/>
      <c r="N103" s="2"/>
      <c r="O103" s="2">
        <f t="shared" si="83"/>
        <v>120.7</v>
      </c>
      <c r="P103" s="2">
        <f t="shared" si="84"/>
        <v>120.7</v>
      </c>
      <c r="Q103" s="2">
        <f>(ROUND((ROUND(((ET103)*AV103*I103),2)*BB103),2)+ROUND((ROUND(((AE103-(EU103))*AV103*I103),2)*BS103),2))</f>
        <v>0</v>
      </c>
      <c r="R103" s="2">
        <f>(ROUND((ROUND(((EU103)*AV103*I103),2)*BS103),2)+ROUND((ROUND(((AE103-(EU103))*AV103*I103),2)*BS103),2))</f>
        <v>0</v>
      </c>
      <c r="S103" s="2">
        <f t="shared" si="85"/>
        <v>0</v>
      </c>
      <c r="T103" s="2">
        <f t="shared" si="86"/>
        <v>0</v>
      </c>
      <c r="U103" s="2">
        <f t="shared" si="87"/>
        <v>0</v>
      </c>
      <c r="V103" s="2">
        <f t="shared" si="88"/>
        <v>0</v>
      </c>
      <c r="W103" s="2">
        <f t="shared" si="89"/>
        <v>0</v>
      </c>
      <c r="X103" s="2">
        <f>(ROUND((((S103+ROUND((ROUND(((EU103)*AV103*I103),2)*BS103),2))*AT103)/100),2)+ROUND(((ROUND((ROUND(((AE103-(EU103))*AV103*I103),2)*BS103),2)*AT103)/100),2))</f>
        <v>0</v>
      </c>
      <c r="Y103" s="2">
        <f>(ROUND((((S103+ROUND((ROUND(((EU103)*AV103*I103),2)*BS103),2))*AU103)/100),2)+ROUND(((ROUND((ROUND(((AE103-(EU103))*AV103*I103),2)*BS103),2)*AU103)/100),2))</f>
        <v>0</v>
      </c>
      <c r="Z103" s="2"/>
      <c r="AA103" s="2">
        <v>55919547</v>
      </c>
      <c r="AB103" s="2">
        <f t="shared" si="90"/>
        <v>120.7</v>
      </c>
      <c r="AC103" s="2">
        <f>ROUND((ES103),6)</f>
        <v>120.7</v>
      </c>
      <c r="AD103" s="2">
        <f>ROUND((((ET103)-(EU103))+AE103),6)</f>
        <v>0</v>
      </c>
      <c r="AE103" s="2">
        <f>ROUND((EU103),6)</f>
        <v>0</v>
      </c>
      <c r="AF103" s="2">
        <f>ROUND((EV103),6)</f>
        <v>0</v>
      </c>
      <c r="AG103" s="2">
        <f t="shared" si="91"/>
        <v>0</v>
      </c>
      <c r="AH103" s="2">
        <f>(EW103)</f>
        <v>0</v>
      </c>
      <c r="AI103" s="2">
        <f>(EX103)</f>
        <v>0</v>
      </c>
      <c r="AJ103" s="2">
        <f t="shared" si="92"/>
        <v>0</v>
      </c>
      <c r="AK103" s="2">
        <v>120.7</v>
      </c>
      <c r="AL103" s="2">
        <v>120.7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3</v>
      </c>
      <c r="BJ103" s="2" t="s">
        <v>169</v>
      </c>
      <c r="BK103" s="2"/>
      <c r="BL103" s="2"/>
      <c r="BM103" s="2">
        <v>400007</v>
      </c>
      <c r="BN103" s="2">
        <v>0</v>
      </c>
      <c r="BO103" s="2" t="s">
        <v>3</v>
      </c>
      <c r="BP103" s="2">
        <v>0</v>
      </c>
      <c r="BQ103" s="2">
        <v>214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0</v>
      </c>
      <c r="CA103" s="2">
        <v>0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93"/>
        <v>120.7</v>
      </c>
      <c r="CQ103" s="2">
        <f t="shared" si="94"/>
        <v>120.7</v>
      </c>
      <c r="CR103" s="2">
        <f>(ROUND((ROUND(((ET103)*AV103*1),2)*BB103),2)+ROUND((ROUND(((AE103-(EU103))*AV103*1),2)*BS103),2))</f>
        <v>0</v>
      </c>
      <c r="CS103" s="2">
        <f>(ROUND((ROUND(((EU103)*AV103*1),2)*BS103),2)+ROUND((ROUND(((AE103-(EU103))*AV103*1),2)*BS103),2))</f>
        <v>0</v>
      </c>
      <c r="CT103" s="2">
        <f t="shared" si="95"/>
        <v>0</v>
      </c>
      <c r="CU103" s="2">
        <f t="shared" si="96"/>
        <v>0</v>
      </c>
      <c r="CV103" s="2">
        <f t="shared" si="97"/>
        <v>0</v>
      </c>
      <c r="CW103" s="2">
        <f t="shared" si="98"/>
        <v>0</v>
      </c>
      <c r="CX103" s="2">
        <f t="shared" si="99"/>
        <v>0</v>
      </c>
      <c r="CY103" s="2">
        <f>(ROUND((((S103+ROUND((ROUND(((EU103)*AV103*1),2)*BS103),2))*AT103)/100),2)+ROUND(((ROUND((ROUND(((AE103-(EU103))*AV103*1),2)*BS103),2)*AT103)/100),2))</f>
        <v>0</v>
      </c>
      <c r="CZ103" s="2">
        <f>(ROUND((((S103+ROUND((ROUND(((EU103)*AV103*1),2)*BS103),2))*AU103)/100),2)+ROUND(((ROUND((ROUND(((AE103-(EU103))*AV103*1),2)*BS103),2)*AU103)/100),2))</f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135</v>
      </c>
      <c r="DW103" s="2" t="s">
        <v>135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55393630</v>
      </c>
      <c r="EF103" s="2">
        <v>214</v>
      </c>
      <c r="EG103" s="2" t="s">
        <v>136</v>
      </c>
      <c r="EH103" s="2">
        <v>0</v>
      </c>
      <c r="EI103" s="2" t="s">
        <v>3</v>
      </c>
      <c r="EJ103" s="2">
        <v>3</v>
      </c>
      <c r="EK103" s="2">
        <v>400007</v>
      </c>
      <c r="EL103" s="2" t="s">
        <v>136</v>
      </c>
      <c r="EM103" s="2" t="s">
        <v>137</v>
      </c>
      <c r="EN103" s="2"/>
      <c r="EO103" s="2" t="s">
        <v>3</v>
      </c>
      <c r="EP103" s="2"/>
      <c r="EQ103" s="2">
        <v>16</v>
      </c>
      <c r="ER103" s="2">
        <v>0</v>
      </c>
      <c r="ES103" s="2">
        <v>120.7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f>P103</f>
        <v>120.7</v>
      </c>
      <c r="FS103" s="2">
        <v>0</v>
      </c>
      <c r="FT103" s="2"/>
      <c r="FU103" s="2"/>
      <c r="FV103" s="2"/>
      <c r="FW103" s="2"/>
      <c r="FX103" s="2">
        <v>0</v>
      </c>
      <c r="FY103" s="2">
        <v>0</v>
      </c>
      <c r="FZ103" s="2"/>
      <c r="GA103" s="2" t="s">
        <v>171</v>
      </c>
      <c r="GB103" s="2"/>
      <c r="GC103" s="2"/>
      <c r="GD103" s="2">
        <v>1</v>
      </c>
      <c r="GE103" s="2"/>
      <c r="GF103" s="2">
        <v>-1294044009</v>
      </c>
      <c r="GG103" s="2">
        <v>2</v>
      </c>
      <c r="GH103" s="2">
        <v>4</v>
      </c>
      <c r="GI103" s="2">
        <v>-2</v>
      </c>
      <c r="GJ103" s="2">
        <v>0</v>
      </c>
      <c r="GK103" s="2">
        <v>0</v>
      </c>
      <c r="GL103" s="2">
        <f t="shared" si="100"/>
        <v>0</v>
      </c>
      <c r="GM103" s="2">
        <f t="shared" si="101"/>
        <v>120.7</v>
      </c>
      <c r="GN103" s="2">
        <f t="shared" si="102"/>
        <v>0</v>
      </c>
      <c r="GO103" s="2">
        <f t="shared" si="103"/>
        <v>0</v>
      </c>
      <c r="GP103" s="2">
        <f t="shared" si="104"/>
        <v>0</v>
      </c>
      <c r="GQ103" s="2"/>
      <c r="GR103" s="2">
        <v>1</v>
      </c>
      <c r="GS103" s="2">
        <v>2</v>
      </c>
      <c r="GT103" s="2">
        <v>0</v>
      </c>
      <c r="GU103" s="2" t="s">
        <v>3</v>
      </c>
      <c r="GV103" s="2">
        <f t="shared" si="105"/>
        <v>0</v>
      </c>
      <c r="GW103" s="2">
        <v>1</v>
      </c>
      <c r="GX103" s="2">
        <f t="shared" si="106"/>
        <v>0</v>
      </c>
      <c r="GY103" s="2"/>
      <c r="GZ103" s="2"/>
      <c r="HA103" s="2">
        <v>0</v>
      </c>
      <c r="HB103" s="2">
        <v>0</v>
      </c>
      <c r="HC103" s="2">
        <f t="shared" si="107"/>
        <v>0</v>
      </c>
      <c r="HD103" s="2"/>
      <c r="HE103" s="2" t="s">
        <v>139</v>
      </c>
      <c r="HF103" s="2" t="s">
        <v>35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">
      <c r="A104" s="3">
        <v>17</v>
      </c>
      <c r="B104" s="3">
        <v>1</v>
      </c>
      <c r="E104" s="3" t="s">
        <v>168</v>
      </c>
      <c r="F104" s="3" t="s">
        <v>169</v>
      </c>
      <c r="G104" s="3" t="s">
        <v>170</v>
      </c>
      <c r="H104" s="3" t="s">
        <v>135</v>
      </c>
      <c r="I104" s="3">
        <v>1</v>
      </c>
      <c r="J104" s="3">
        <v>0</v>
      </c>
      <c r="K104" s="3">
        <v>1</v>
      </c>
      <c r="O104" s="3">
        <f t="shared" si="83"/>
        <v>1187.69</v>
      </c>
      <c r="P104" s="3">
        <f t="shared" si="84"/>
        <v>1187.69</v>
      </c>
      <c r="Q104" s="3">
        <f>(ROUND((ROUND(((ET104)*AV104*I104),2)*BB104),2)+ROUND((ROUND(((AE104-(EU104))*AV104*I104),2)*BS104),2))</f>
        <v>0</v>
      </c>
      <c r="R104" s="3">
        <f>(ROUND((ROUND(((EU104)*AV104*I104),2)*BS104),2)+ROUND((ROUND(((AE104-(EU104))*AV104*I104),2)*BS104),2))</f>
        <v>0</v>
      </c>
      <c r="S104" s="3">
        <f t="shared" si="85"/>
        <v>0</v>
      </c>
      <c r="T104" s="3">
        <f t="shared" si="86"/>
        <v>0</v>
      </c>
      <c r="U104" s="3">
        <f t="shared" si="87"/>
        <v>0</v>
      </c>
      <c r="V104" s="3">
        <f t="shared" si="88"/>
        <v>0</v>
      </c>
      <c r="W104" s="3">
        <f t="shared" si="89"/>
        <v>0</v>
      </c>
      <c r="X104" s="3">
        <f>(ROUND((((S104+ROUND((ROUND(((EU104)*AV104*I104),2)*BS104),2))*AT104)/100),2)+ROUND(((ROUND((ROUND(((AE104-(EU104))*AV104*I104),2)*BS104),2)*AT104)/100),2))</f>
        <v>0</v>
      </c>
      <c r="Y104" s="3">
        <f>(ROUND((((S104+ROUND((ROUND(((EU104)*AV104*I104),2)*BS104),2))*AU104)/100),2)+ROUND(((ROUND((ROUND(((AE104-(EU104))*AV104*I104),2)*BS104),2)*AU104)/100),2))</f>
        <v>0</v>
      </c>
      <c r="AA104" s="3">
        <v>55919549</v>
      </c>
      <c r="AB104" s="3">
        <f t="shared" si="90"/>
        <v>120.7</v>
      </c>
      <c r="AC104" s="3">
        <f>ROUND((ES104),6)</f>
        <v>120.7</v>
      </c>
      <c r="AD104" s="3">
        <f>ROUND((((ET104)-(EU104))+AE104),6)</f>
        <v>0</v>
      </c>
      <c r="AE104" s="3">
        <f>ROUND((EU104),6)</f>
        <v>0</v>
      </c>
      <c r="AF104" s="3">
        <f>ROUND((EV104),6)</f>
        <v>0</v>
      </c>
      <c r="AG104" s="3">
        <f t="shared" si="91"/>
        <v>0</v>
      </c>
      <c r="AH104" s="3">
        <f>(EW104)</f>
        <v>0</v>
      </c>
      <c r="AI104" s="3">
        <f>(EX104)</f>
        <v>0</v>
      </c>
      <c r="AJ104" s="3">
        <f t="shared" si="92"/>
        <v>0</v>
      </c>
      <c r="AK104" s="3">
        <v>120.7</v>
      </c>
      <c r="AL104" s="3">
        <v>120.7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1</v>
      </c>
      <c r="AW104" s="3">
        <v>1</v>
      </c>
      <c r="AZ104" s="3">
        <v>1</v>
      </c>
      <c r="BA104" s="3">
        <v>1</v>
      </c>
      <c r="BB104" s="3">
        <v>1</v>
      </c>
      <c r="BC104" s="3">
        <v>9.84</v>
      </c>
      <c r="BD104" s="3" t="s">
        <v>3</v>
      </c>
      <c r="BE104" s="3" t="s">
        <v>3</v>
      </c>
      <c r="BF104" s="3" t="s">
        <v>3</v>
      </c>
      <c r="BG104" s="3" t="s">
        <v>3</v>
      </c>
      <c r="BH104" s="3">
        <v>3</v>
      </c>
      <c r="BI104" s="3">
        <v>3</v>
      </c>
      <c r="BJ104" s="3" t="s">
        <v>169</v>
      </c>
      <c r="BM104" s="3">
        <v>400007</v>
      </c>
      <c r="BN104" s="3">
        <v>0</v>
      </c>
      <c r="BO104" s="3" t="s">
        <v>3</v>
      </c>
      <c r="BP104" s="3">
        <v>0</v>
      </c>
      <c r="BQ104" s="3">
        <v>214</v>
      </c>
      <c r="BR104" s="3">
        <v>0</v>
      </c>
      <c r="BS104" s="3">
        <v>1</v>
      </c>
      <c r="BT104" s="3">
        <v>1</v>
      </c>
      <c r="BU104" s="3">
        <v>1</v>
      </c>
      <c r="BV104" s="3">
        <v>1</v>
      </c>
      <c r="BW104" s="3">
        <v>1</v>
      </c>
      <c r="BX104" s="3">
        <v>1</v>
      </c>
      <c r="BY104" s="3" t="s">
        <v>3</v>
      </c>
      <c r="BZ104" s="3">
        <v>0</v>
      </c>
      <c r="CA104" s="3">
        <v>0</v>
      </c>
      <c r="CB104" s="3" t="s">
        <v>3</v>
      </c>
      <c r="CE104" s="3">
        <v>1566</v>
      </c>
      <c r="CF104" s="3">
        <v>0</v>
      </c>
      <c r="CG104" s="3">
        <v>0</v>
      </c>
      <c r="CM104" s="3">
        <v>0</v>
      </c>
      <c r="CN104" s="3" t="s">
        <v>3</v>
      </c>
      <c r="CO104" s="3">
        <v>0</v>
      </c>
      <c r="CP104" s="3">
        <f t="shared" si="93"/>
        <v>1187.69</v>
      </c>
      <c r="CQ104" s="3">
        <f t="shared" si="94"/>
        <v>1187.69</v>
      </c>
      <c r="CR104" s="3">
        <f>(ROUND((ROUND(((ET104)*AV104*1),2)*BB104),2)+ROUND((ROUND(((AE104-(EU104))*AV104*1),2)*BS104),2))</f>
        <v>0</v>
      </c>
      <c r="CS104" s="3">
        <f>(ROUND((ROUND(((EU104)*AV104*1),2)*BS104),2)+ROUND((ROUND(((AE104-(EU104))*AV104*1),2)*BS104),2))</f>
        <v>0</v>
      </c>
      <c r="CT104" s="3">
        <f t="shared" si="95"/>
        <v>0</v>
      </c>
      <c r="CU104" s="3">
        <f t="shared" si="96"/>
        <v>0</v>
      </c>
      <c r="CV104" s="3">
        <f t="shared" si="97"/>
        <v>0</v>
      </c>
      <c r="CW104" s="3">
        <f t="shared" si="98"/>
        <v>0</v>
      </c>
      <c r="CX104" s="3">
        <f t="shared" si="99"/>
        <v>0</v>
      </c>
      <c r="CY104" s="3">
        <f>(ROUND((((S104+ROUND((ROUND(((EU104)*AV104*1),2)*BS104),2))*AT104)/100),2)+ROUND(((ROUND((ROUND(((AE104-(EU104))*AV104*1),2)*BS104),2)*AT104)/100),2))</f>
        <v>0</v>
      </c>
      <c r="CZ104" s="3">
        <f>(ROUND((((S104+ROUND((ROUND(((EU104)*AV104*1),2)*BS104),2))*AU104)/100),2)+ROUND(((ROUND((ROUND(((AE104-(EU104))*AV104*1),2)*BS104),2)*AU104)/100),2))</f>
        <v>0</v>
      </c>
      <c r="DC104" s="3" t="s">
        <v>3</v>
      </c>
      <c r="DD104" s="3" t="s">
        <v>3</v>
      </c>
      <c r="DE104" s="3" t="s">
        <v>3</v>
      </c>
      <c r="DF104" s="3" t="s">
        <v>3</v>
      </c>
      <c r="DG104" s="3" t="s">
        <v>3</v>
      </c>
      <c r="DH104" s="3" t="s">
        <v>3</v>
      </c>
      <c r="DI104" s="3" t="s">
        <v>3</v>
      </c>
      <c r="DJ104" s="3" t="s">
        <v>3</v>
      </c>
      <c r="DK104" s="3" t="s">
        <v>3</v>
      </c>
      <c r="DL104" s="3" t="s">
        <v>3</v>
      </c>
      <c r="DM104" s="3" t="s">
        <v>3</v>
      </c>
      <c r="DN104" s="3">
        <v>0</v>
      </c>
      <c r="DO104" s="3">
        <v>0</v>
      </c>
      <c r="DP104" s="3">
        <v>1</v>
      </c>
      <c r="DQ104" s="3">
        <v>1</v>
      </c>
      <c r="DU104" s="3">
        <v>1013</v>
      </c>
      <c r="DV104" s="3" t="s">
        <v>135</v>
      </c>
      <c r="DW104" s="3" t="s">
        <v>135</v>
      </c>
      <c r="DX104" s="3">
        <v>1</v>
      </c>
      <c r="DZ104" s="3" t="s">
        <v>3</v>
      </c>
      <c r="EA104" s="3" t="s">
        <v>3</v>
      </c>
      <c r="EB104" s="3" t="s">
        <v>3</v>
      </c>
      <c r="EC104" s="3" t="s">
        <v>3</v>
      </c>
      <c r="EE104" s="3">
        <v>55393630</v>
      </c>
      <c r="EF104" s="3">
        <v>214</v>
      </c>
      <c r="EG104" s="3" t="s">
        <v>136</v>
      </c>
      <c r="EH104" s="3">
        <v>0</v>
      </c>
      <c r="EI104" s="3" t="s">
        <v>3</v>
      </c>
      <c r="EJ104" s="3">
        <v>3</v>
      </c>
      <c r="EK104" s="3">
        <v>400007</v>
      </c>
      <c r="EL104" s="3" t="s">
        <v>136</v>
      </c>
      <c r="EM104" s="3" t="s">
        <v>137</v>
      </c>
      <c r="EO104" s="3" t="s">
        <v>3</v>
      </c>
      <c r="EQ104" s="3">
        <v>16</v>
      </c>
      <c r="ER104" s="3">
        <v>0</v>
      </c>
      <c r="ES104" s="3">
        <v>120.7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5</v>
      </c>
      <c r="FC104" s="3">
        <v>1</v>
      </c>
      <c r="FD104" s="3">
        <v>18</v>
      </c>
      <c r="FF104" s="3">
        <v>1390</v>
      </c>
      <c r="FQ104" s="3">
        <v>0</v>
      </c>
      <c r="FR104" s="3">
        <f>P104</f>
        <v>1187.69</v>
      </c>
      <c r="FS104" s="3">
        <v>0</v>
      </c>
      <c r="FX104" s="3">
        <v>0</v>
      </c>
      <c r="FY104" s="3">
        <v>0</v>
      </c>
      <c r="GA104" s="3" t="s">
        <v>171</v>
      </c>
      <c r="GD104" s="3">
        <v>1</v>
      </c>
      <c r="GF104" s="3">
        <v>-1294044009</v>
      </c>
      <c r="GG104" s="3">
        <v>2</v>
      </c>
      <c r="GH104" s="3">
        <v>3</v>
      </c>
      <c r="GI104" s="3">
        <v>5</v>
      </c>
      <c r="GJ104" s="3">
        <v>0</v>
      </c>
      <c r="GK104" s="3">
        <v>0</v>
      </c>
      <c r="GL104" s="3">
        <f t="shared" si="100"/>
        <v>0</v>
      </c>
      <c r="GM104" s="3">
        <f t="shared" si="101"/>
        <v>1187.69</v>
      </c>
      <c r="GN104" s="3">
        <f t="shared" si="102"/>
        <v>0</v>
      </c>
      <c r="GO104" s="3">
        <f t="shared" si="103"/>
        <v>0</v>
      </c>
      <c r="GP104" s="3">
        <f t="shared" si="104"/>
        <v>0</v>
      </c>
      <c r="GR104" s="3">
        <v>1</v>
      </c>
      <c r="GS104" s="3">
        <v>1</v>
      </c>
      <c r="GT104" s="3">
        <v>0</v>
      </c>
      <c r="GU104" s="3" t="s">
        <v>3</v>
      </c>
      <c r="GV104" s="3">
        <f t="shared" si="105"/>
        <v>0</v>
      </c>
      <c r="GW104" s="3">
        <v>1</v>
      </c>
      <c r="GX104" s="3">
        <f t="shared" si="106"/>
        <v>0</v>
      </c>
      <c r="HA104" s="3">
        <v>0</v>
      </c>
      <c r="HB104" s="3">
        <v>0</v>
      </c>
      <c r="HC104" s="3">
        <f t="shared" si="107"/>
        <v>0</v>
      </c>
      <c r="HE104" s="3" t="s">
        <v>139</v>
      </c>
      <c r="HF104" s="3" t="s">
        <v>35</v>
      </c>
      <c r="HM104" s="3" t="s">
        <v>3</v>
      </c>
      <c r="HN104" s="3" t="s">
        <v>3</v>
      </c>
      <c r="HO104" s="3" t="s">
        <v>3</v>
      </c>
      <c r="HP104" s="3" t="s">
        <v>3</v>
      </c>
      <c r="HQ104" s="3" t="s">
        <v>3</v>
      </c>
      <c r="HS104" s="3">
        <v>0</v>
      </c>
      <c r="IK104" s="3">
        <v>0</v>
      </c>
    </row>
    <row r="105" spans="1:255" x14ac:dyDescent="0.2">
      <c r="A105" s="2">
        <v>17</v>
      </c>
      <c r="B105" s="2">
        <v>1</v>
      </c>
      <c r="C105" s="2">
        <f>ROW(SmtRes!A100)</f>
        <v>100</v>
      </c>
      <c r="D105" s="2">
        <f>ROW(EtalonRes!A114)</f>
        <v>114</v>
      </c>
      <c r="E105" s="2" t="s">
        <v>172</v>
      </c>
      <c r="F105" s="2" t="s">
        <v>46</v>
      </c>
      <c r="G105" s="2" t="s">
        <v>173</v>
      </c>
      <c r="H105" s="2" t="s">
        <v>33</v>
      </c>
      <c r="I105" s="2">
        <v>1</v>
      </c>
      <c r="J105" s="2">
        <v>0</v>
      </c>
      <c r="K105" s="2">
        <v>1</v>
      </c>
      <c r="L105" s="2"/>
      <c r="M105" s="2"/>
      <c r="N105" s="2"/>
      <c r="O105" s="2">
        <f t="shared" si="83"/>
        <v>33.22</v>
      </c>
      <c r="P105" s="2">
        <f t="shared" si="84"/>
        <v>0.3</v>
      </c>
      <c r="Q105" s="2">
        <f>(ROUND((ROUND((((ET105*1.2))*AV105*I105),2)*BB105),2)+ROUND((ROUND(((AE105-((EU105*1.2)))*AV105*I105),2)*BS105),2))</f>
        <v>0</v>
      </c>
      <c r="R105" s="2">
        <f>(ROUND((ROUND((((EU105*1.2))*AV105*I105),2)*BS105),2)+ROUND((ROUND(((AE105-((EU105*1.2)))*AV105*I105),2)*BS105),2))</f>
        <v>0</v>
      </c>
      <c r="S105" s="2">
        <f t="shared" si="85"/>
        <v>32.92</v>
      </c>
      <c r="T105" s="2">
        <f t="shared" si="86"/>
        <v>0</v>
      </c>
      <c r="U105" s="2">
        <f t="shared" si="87"/>
        <v>2.6088</v>
      </c>
      <c r="V105" s="2">
        <f t="shared" si="88"/>
        <v>0</v>
      </c>
      <c r="W105" s="2">
        <f t="shared" si="89"/>
        <v>0</v>
      </c>
      <c r="X105" s="2">
        <f>(ROUND((((S105+ROUND((ROUND((((EU105*1.2))*AV105*I105),2)*BS105),2))*AT105)/100),2)+ROUND(((ROUND((ROUND(((AE105-((EU105*1.2)))*AV105*I105),2)*BS105),2)*AT105)/100),2))</f>
        <v>31.27</v>
      </c>
      <c r="Y105" s="2">
        <f>(ROUND((((S105+ROUND((ROUND((((EU105*1.2))*AV105*I105),2)*BS105),2))*AU105)/100),2)+ROUND(((ROUND((ROUND(((AE105-((EU105*1.2)))*AV105*I105),2)*BS105),2)*AU105)/100),2))</f>
        <v>17.45</v>
      </c>
      <c r="Z105" s="2"/>
      <c r="AA105" s="2">
        <v>55919547</v>
      </c>
      <c r="AB105" s="2">
        <f t="shared" si="90"/>
        <v>30.588000000000001</v>
      </c>
      <c r="AC105" s="2">
        <f>ROUND(((ES105*1)),6)</f>
        <v>0.3</v>
      </c>
      <c r="AD105" s="2">
        <f>ROUND(((((ET105*1.2))-((EU105*1.2)))+AE105),6)</f>
        <v>0</v>
      </c>
      <c r="AE105" s="2">
        <f>ROUND(((EU105*1.2)),6)</f>
        <v>0</v>
      </c>
      <c r="AF105" s="2">
        <f>ROUND(((EV105*1.2)),6)</f>
        <v>30.288</v>
      </c>
      <c r="AG105" s="2">
        <f t="shared" si="91"/>
        <v>0</v>
      </c>
      <c r="AH105" s="2">
        <f>((EW105*1.2))</f>
        <v>2.4</v>
      </c>
      <c r="AI105" s="2">
        <f>((EX105*1.2))</f>
        <v>0</v>
      </c>
      <c r="AJ105" s="2">
        <f t="shared" si="92"/>
        <v>0</v>
      </c>
      <c r="AK105" s="2">
        <v>25.54</v>
      </c>
      <c r="AL105" s="2">
        <v>0.3</v>
      </c>
      <c r="AM105" s="2">
        <v>0</v>
      </c>
      <c r="AN105" s="2">
        <v>0</v>
      </c>
      <c r="AO105" s="2">
        <v>25.24</v>
      </c>
      <c r="AP105" s="2">
        <v>0</v>
      </c>
      <c r="AQ105" s="2">
        <v>2</v>
      </c>
      <c r="AR105" s="2">
        <v>0</v>
      </c>
      <c r="AS105" s="2">
        <v>0</v>
      </c>
      <c r="AT105" s="2">
        <v>95</v>
      </c>
      <c r="AU105" s="2">
        <v>53</v>
      </c>
      <c r="AV105" s="2">
        <v>1.087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0</v>
      </c>
      <c r="BI105" s="2">
        <v>2</v>
      </c>
      <c r="BJ105" s="2" t="s">
        <v>48</v>
      </c>
      <c r="BK105" s="2"/>
      <c r="BL105" s="2"/>
      <c r="BM105" s="2">
        <v>69</v>
      </c>
      <c r="BN105" s="2">
        <v>0</v>
      </c>
      <c r="BO105" s="2" t="s">
        <v>46</v>
      </c>
      <c r="BP105" s="2">
        <v>1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95</v>
      </c>
      <c r="CA105" s="2">
        <v>53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491</v>
      </c>
      <c r="CO105" s="2">
        <v>0</v>
      </c>
      <c r="CP105" s="2">
        <f t="shared" si="93"/>
        <v>33.22</v>
      </c>
      <c r="CQ105" s="2">
        <f t="shared" si="94"/>
        <v>0.3</v>
      </c>
      <c r="CR105" s="2">
        <f>(ROUND((ROUND((((ET105*1.2))*AV105*1),2)*BB105),2)+ROUND((ROUND(((AE105-((EU105*1.2)))*AV105*1),2)*BS105),2))</f>
        <v>0</v>
      </c>
      <c r="CS105" s="2">
        <f>(ROUND((ROUND((((EU105*1.2))*AV105*1),2)*BS105),2)+ROUND((ROUND(((AE105-((EU105*1.2)))*AV105*1),2)*BS105),2))</f>
        <v>0</v>
      </c>
      <c r="CT105" s="2">
        <f t="shared" si="95"/>
        <v>32.92</v>
      </c>
      <c r="CU105" s="2">
        <f t="shared" si="96"/>
        <v>0</v>
      </c>
      <c r="CV105" s="2">
        <f t="shared" si="97"/>
        <v>2.6088</v>
      </c>
      <c r="CW105" s="2">
        <f t="shared" si="98"/>
        <v>0</v>
      </c>
      <c r="CX105" s="2">
        <f t="shared" si="99"/>
        <v>0</v>
      </c>
      <c r="CY105" s="2">
        <f>(ROUND((((S105+ROUND((ROUND((((EU105*1.2))*AV105*1),2)*BS105),2))*AT105)/100),2)+ROUND(((ROUND((ROUND(((AE105-((EU105*1.2)))*AV105*1),2)*BS105),2)*AT105)/100),2))</f>
        <v>31.27</v>
      </c>
      <c r="CZ105" s="2">
        <f>(ROUND((((S105+ROUND((ROUND((((EU105*1.2))*AV105*1),2)*BS105),2))*AU105)/100),2)+ROUND(((ROUND((ROUND(((AE105-((EU105*1.2)))*AV105*1),2)*BS105),2)*AU105)/100),2))</f>
        <v>17.45</v>
      </c>
      <c r="DA105" s="2"/>
      <c r="DB105" s="2">
        <v>45</v>
      </c>
      <c r="DC105" s="2" t="s">
        <v>3</v>
      </c>
      <c r="DD105" s="2" t="s">
        <v>56</v>
      </c>
      <c r="DE105" s="2" t="s">
        <v>57</v>
      </c>
      <c r="DF105" s="2" t="s">
        <v>57</v>
      </c>
      <c r="DG105" s="2" t="s">
        <v>57</v>
      </c>
      <c r="DH105" s="2" t="s">
        <v>3</v>
      </c>
      <c r="DI105" s="2" t="s">
        <v>57</v>
      </c>
      <c r="DJ105" s="2" t="s">
        <v>57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33</v>
      </c>
      <c r="DW105" s="2" t="s">
        <v>33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55393701</v>
      </c>
      <c r="EF105" s="2">
        <v>40</v>
      </c>
      <c r="EG105" s="2" t="s">
        <v>26</v>
      </c>
      <c r="EH105" s="2">
        <v>0</v>
      </c>
      <c r="EI105" s="2" t="s">
        <v>3</v>
      </c>
      <c r="EJ105" s="2">
        <v>2</v>
      </c>
      <c r="EK105" s="2">
        <v>69</v>
      </c>
      <c r="EL105" s="2" t="s">
        <v>27</v>
      </c>
      <c r="EM105" s="2" t="s">
        <v>28</v>
      </c>
      <c r="EN105" s="2"/>
      <c r="EO105" s="2" t="s">
        <v>61</v>
      </c>
      <c r="EP105" s="2"/>
      <c r="EQ105" s="2">
        <v>0</v>
      </c>
      <c r="ER105" s="2">
        <v>25.54</v>
      </c>
      <c r="ES105" s="2">
        <v>0.3</v>
      </c>
      <c r="ET105" s="2">
        <v>0</v>
      </c>
      <c r="EU105" s="2">
        <v>0</v>
      </c>
      <c r="EV105" s="2">
        <v>25.24</v>
      </c>
      <c r="EW105" s="2">
        <v>2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95</v>
      </c>
      <c r="FY105" s="2">
        <v>53</v>
      </c>
      <c r="FZ105" s="2"/>
      <c r="GA105" s="2" t="s">
        <v>3</v>
      </c>
      <c r="GB105" s="2"/>
      <c r="GC105" s="2"/>
      <c r="GD105" s="2">
        <v>1</v>
      </c>
      <c r="GE105" s="2"/>
      <c r="GF105" s="2">
        <v>-950470050</v>
      </c>
      <c r="GG105" s="2">
        <v>2</v>
      </c>
      <c r="GH105" s="2">
        <v>1</v>
      </c>
      <c r="GI105" s="2">
        <v>2</v>
      </c>
      <c r="GJ105" s="2">
        <v>0</v>
      </c>
      <c r="GK105" s="2">
        <v>0</v>
      </c>
      <c r="GL105" s="2">
        <f t="shared" si="100"/>
        <v>0</v>
      </c>
      <c r="GM105" s="2">
        <f t="shared" si="101"/>
        <v>81.94</v>
      </c>
      <c r="GN105" s="2">
        <f t="shared" si="102"/>
        <v>0</v>
      </c>
      <c r="GO105" s="2">
        <f t="shared" si="103"/>
        <v>81.94</v>
      </c>
      <c r="GP105" s="2">
        <f t="shared" si="104"/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si="105"/>
        <v>0</v>
      </c>
      <c r="GW105" s="2">
        <v>1</v>
      </c>
      <c r="GX105" s="2">
        <f t="shared" si="106"/>
        <v>0</v>
      </c>
      <c r="GY105" s="2"/>
      <c r="GZ105" s="2"/>
      <c r="HA105" s="2">
        <v>0</v>
      </c>
      <c r="HB105" s="2">
        <v>0</v>
      </c>
      <c r="HC105" s="2">
        <f t="shared" si="107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">
      <c r="A106" s="3">
        <v>17</v>
      </c>
      <c r="B106" s="3">
        <v>1</v>
      </c>
      <c r="C106" s="3">
        <f>ROW(SmtRes!A102)</f>
        <v>102</v>
      </c>
      <c r="D106" s="3">
        <f>ROW(EtalonRes!A116)</f>
        <v>116</v>
      </c>
      <c r="E106" s="3" t="s">
        <v>172</v>
      </c>
      <c r="F106" s="3" t="s">
        <v>46</v>
      </c>
      <c r="G106" s="3" t="s">
        <v>173</v>
      </c>
      <c r="H106" s="3" t="s">
        <v>33</v>
      </c>
      <c r="I106" s="3">
        <v>1</v>
      </c>
      <c r="J106" s="3">
        <v>0</v>
      </c>
      <c r="K106" s="3">
        <v>1</v>
      </c>
      <c r="O106" s="3">
        <f t="shared" si="83"/>
        <v>1857.25</v>
      </c>
      <c r="P106" s="3">
        <f t="shared" si="84"/>
        <v>2.21</v>
      </c>
      <c r="Q106" s="3">
        <f>(ROUND((ROUND((((ET106*1.2))*AV106*I106),2)*BB106),2)+ROUND((ROUND(((AE106-((EU106*1.2)))*AV106*I106),2)*BS106),2))</f>
        <v>0</v>
      </c>
      <c r="R106" s="3">
        <f>(ROUND((ROUND((((EU106*1.2))*AV106*I106),2)*BS106),2)+ROUND((ROUND(((AE106-((EU106*1.2)))*AV106*I106),2)*BS106),2))</f>
        <v>0</v>
      </c>
      <c r="S106" s="3">
        <f t="shared" si="85"/>
        <v>1855.04</v>
      </c>
      <c r="T106" s="3">
        <f t="shared" si="86"/>
        <v>0</v>
      </c>
      <c r="U106" s="3">
        <f t="shared" si="87"/>
        <v>2.6088</v>
      </c>
      <c r="V106" s="3">
        <f t="shared" si="88"/>
        <v>0</v>
      </c>
      <c r="W106" s="3">
        <f t="shared" si="89"/>
        <v>0</v>
      </c>
      <c r="X106" s="3">
        <f>(ROUND((((S106+ROUND((ROUND((((EU106*1.2))*AV106*I106),2)*BS106),2))*AT106)/100),2)+ROUND(((ROUND((ROUND(((AE106-((EU106*1.2)))*AV106*I106),2)*BS106),2)*AT106)/100),2))</f>
        <v>1762.29</v>
      </c>
      <c r="Y106" s="3">
        <f>(ROUND((((S106+ROUND((ROUND((((EU106*1.2))*AV106*I106),2)*BS106),2))*AU106)/100),2)+ROUND(((ROUND((ROUND(((AE106-((EU106*1.2)))*AV106*I106),2)*BS106),2)*AU106)/100),2))</f>
        <v>983.17</v>
      </c>
      <c r="AA106" s="3">
        <v>55919549</v>
      </c>
      <c r="AB106" s="3">
        <f t="shared" si="90"/>
        <v>30.588000000000001</v>
      </c>
      <c r="AC106" s="3">
        <f>ROUND(((ES106*1)),6)</f>
        <v>0.3</v>
      </c>
      <c r="AD106" s="3">
        <f>ROUND(((((ET106*1.2))-((EU106*1.2)))+AE106),6)</f>
        <v>0</v>
      </c>
      <c r="AE106" s="3">
        <f>ROUND(((EU106*1.2)),6)</f>
        <v>0</v>
      </c>
      <c r="AF106" s="3">
        <f>ROUND(((EV106*1.2)),6)</f>
        <v>30.288</v>
      </c>
      <c r="AG106" s="3">
        <f t="shared" si="91"/>
        <v>0</v>
      </c>
      <c r="AH106" s="3">
        <f>((EW106*1.2))</f>
        <v>2.4</v>
      </c>
      <c r="AI106" s="3">
        <f>((EX106*1.2))</f>
        <v>0</v>
      </c>
      <c r="AJ106" s="3">
        <f t="shared" si="92"/>
        <v>0</v>
      </c>
      <c r="AK106" s="3">
        <v>25.54</v>
      </c>
      <c r="AL106" s="3">
        <v>0.3</v>
      </c>
      <c r="AM106" s="3">
        <v>0</v>
      </c>
      <c r="AN106" s="3">
        <v>0</v>
      </c>
      <c r="AO106" s="3">
        <v>25.24</v>
      </c>
      <c r="AP106" s="3">
        <v>0</v>
      </c>
      <c r="AQ106" s="3">
        <v>2</v>
      </c>
      <c r="AR106" s="3">
        <v>0</v>
      </c>
      <c r="AS106" s="3">
        <v>0</v>
      </c>
      <c r="AT106" s="3">
        <v>95</v>
      </c>
      <c r="AU106" s="3">
        <v>53</v>
      </c>
      <c r="AV106" s="3">
        <v>1.087</v>
      </c>
      <c r="AW106" s="3">
        <v>1</v>
      </c>
      <c r="AZ106" s="3">
        <v>1</v>
      </c>
      <c r="BA106" s="3">
        <v>56.35</v>
      </c>
      <c r="BB106" s="3">
        <v>1</v>
      </c>
      <c r="BC106" s="3">
        <v>7.37</v>
      </c>
      <c r="BD106" s="3" t="s">
        <v>3</v>
      </c>
      <c r="BE106" s="3" t="s">
        <v>3</v>
      </c>
      <c r="BF106" s="3" t="s">
        <v>3</v>
      </c>
      <c r="BG106" s="3" t="s">
        <v>3</v>
      </c>
      <c r="BH106" s="3">
        <v>0</v>
      </c>
      <c r="BI106" s="3">
        <v>2</v>
      </c>
      <c r="BJ106" s="3" t="s">
        <v>48</v>
      </c>
      <c r="BM106" s="3">
        <v>69</v>
      </c>
      <c r="BN106" s="3">
        <v>0</v>
      </c>
      <c r="BO106" s="3" t="s">
        <v>46</v>
      </c>
      <c r="BP106" s="3">
        <v>1</v>
      </c>
      <c r="BQ106" s="3">
        <v>40</v>
      </c>
      <c r="BR106" s="3">
        <v>0</v>
      </c>
      <c r="BS106" s="3">
        <v>56.35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 t="s">
        <v>3</v>
      </c>
      <c r="BZ106" s="3">
        <v>95</v>
      </c>
      <c r="CA106" s="3">
        <v>53</v>
      </c>
      <c r="CB106" s="3" t="s">
        <v>3</v>
      </c>
      <c r="CE106" s="3">
        <v>1566</v>
      </c>
      <c r="CF106" s="3">
        <v>0</v>
      </c>
      <c r="CG106" s="3">
        <v>0</v>
      </c>
      <c r="CM106" s="3">
        <v>0</v>
      </c>
      <c r="CN106" s="3" t="s">
        <v>491</v>
      </c>
      <c r="CO106" s="3">
        <v>0</v>
      </c>
      <c r="CP106" s="3">
        <f t="shared" si="93"/>
        <v>1857.25</v>
      </c>
      <c r="CQ106" s="3">
        <f t="shared" si="94"/>
        <v>2.21</v>
      </c>
      <c r="CR106" s="3">
        <f>(ROUND((ROUND((((ET106*1.2))*AV106*1),2)*BB106),2)+ROUND((ROUND(((AE106-((EU106*1.2)))*AV106*1),2)*BS106),2))</f>
        <v>0</v>
      </c>
      <c r="CS106" s="3">
        <f>(ROUND((ROUND((((EU106*1.2))*AV106*1),2)*BS106),2)+ROUND((ROUND(((AE106-((EU106*1.2)))*AV106*1),2)*BS106),2))</f>
        <v>0</v>
      </c>
      <c r="CT106" s="3">
        <f t="shared" si="95"/>
        <v>1855.04</v>
      </c>
      <c r="CU106" s="3">
        <f t="shared" si="96"/>
        <v>0</v>
      </c>
      <c r="CV106" s="3">
        <f t="shared" si="97"/>
        <v>2.6088</v>
      </c>
      <c r="CW106" s="3">
        <f t="shared" si="98"/>
        <v>0</v>
      </c>
      <c r="CX106" s="3">
        <f t="shared" si="99"/>
        <v>0</v>
      </c>
      <c r="CY106" s="3">
        <f>(ROUND((((S106+ROUND((ROUND((((EU106*1.2))*AV106*1),2)*BS106),2))*AT106)/100),2)+ROUND(((ROUND((ROUND(((AE106-((EU106*1.2)))*AV106*1),2)*BS106),2)*AT106)/100),2))</f>
        <v>1762.29</v>
      </c>
      <c r="CZ106" s="3">
        <f>(ROUND((((S106+ROUND((ROUND((((EU106*1.2))*AV106*1),2)*BS106),2))*AU106)/100),2)+ROUND(((ROUND((ROUND(((AE106-((EU106*1.2)))*AV106*1),2)*BS106),2)*AU106)/100),2))</f>
        <v>983.17</v>
      </c>
      <c r="DB106" s="3">
        <v>46</v>
      </c>
      <c r="DC106" s="3" t="s">
        <v>3</v>
      </c>
      <c r="DD106" s="3" t="s">
        <v>56</v>
      </c>
      <c r="DE106" s="3" t="s">
        <v>57</v>
      </c>
      <c r="DF106" s="3" t="s">
        <v>57</v>
      </c>
      <c r="DG106" s="3" t="s">
        <v>57</v>
      </c>
      <c r="DH106" s="3" t="s">
        <v>3</v>
      </c>
      <c r="DI106" s="3" t="s">
        <v>57</v>
      </c>
      <c r="DJ106" s="3" t="s">
        <v>57</v>
      </c>
      <c r="DK106" s="3" t="s">
        <v>3</v>
      </c>
      <c r="DL106" s="3" t="s">
        <v>3</v>
      </c>
      <c r="DM106" s="3" t="s">
        <v>3</v>
      </c>
      <c r="DN106" s="3">
        <v>0</v>
      </c>
      <c r="DO106" s="3">
        <v>0</v>
      </c>
      <c r="DP106" s="3">
        <v>1</v>
      </c>
      <c r="DQ106" s="3">
        <v>1</v>
      </c>
      <c r="DU106" s="3">
        <v>1013</v>
      </c>
      <c r="DV106" s="3" t="s">
        <v>33</v>
      </c>
      <c r="DW106" s="3" t="s">
        <v>33</v>
      </c>
      <c r="DX106" s="3">
        <v>1</v>
      </c>
      <c r="DZ106" s="3" t="s">
        <v>3</v>
      </c>
      <c r="EA106" s="3" t="s">
        <v>3</v>
      </c>
      <c r="EB106" s="3" t="s">
        <v>3</v>
      </c>
      <c r="EC106" s="3" t="s">
        <v>3</v>
      </c>
      <c r="EE106" s="3">
        <v>55393701</v>
      </c>
      <c r="EF106" s="3">
        <v>40</v>
      </c>
      <c r="EG106" s="3" t="s">
        <v>26</v>
      </c>
      <c r="EH106" s="3">
        <v>0</v>
      </c>
      <c r="EI106" s="3" t="s">
        <v>3</v>
      </c>
      <c r="EJ106" s="3">
        <v>2</v>
      </c>
      <c r="EK106" s="3">
        <v>69</v>
      </c>
      <c r="EL106" s="3" t="s">
        <v>27</v>
      </c>
      <c r="EM106" s="3" t="s">
        <v>28</v>
      </c>
      <c r="EO106" s="3" t="s">
        <v>61</v>
      </c>
      <c r="EQ106" s="3">
        <v>0</v>
      </c>
      <c r="ER106" s="3">
        <v>25.54</v>
      </c>
      <c r="ES106" s="3">
        <v>0.3</v>
      </c>
      <c r="ET106" s="3">
        <v>0</v>
      </c>
      <c r="EU106" s="3">
        <v>0</v>
      </c>
      <c r="EV106" s="3">
        <v>25.24</v>
      </c>
      <c r="EW106" s="3">
        <v>2</v>
      </c>
      <c r="EX106" s="3">
        <v>0</v>
      </c>
      <c r="EY106" s="3">
        <v>0</v>
      </c>
      <c r="FQ106" s="3">
        <v>0</v>
      </c>
      <c r="FR106" s="3">
        <v>0</v>
      </c>
      <c r="FS106" s="3">
        <v>0</v>
      </c>
      <c r="FX106" s="3">
        <v>95</v>
      </c>
      <c r="FY106" s="3">
        <v>53</v>
      </c>
      <c r="GA106" s="3" t="s">
        <v>3</v>
      </c>
      <c r="GD106" s="3">
        <v>1</v>
      </c>
      <c r="GF106" s="3">
        <v>-950470050</v>
      </c>
      <c r="GG106" s="3">
        <v>2</v>
      </c>
      <c r="GH106" s="3">
        <v>1</v>
      </c>
      <c r="GI106" s="3">
        <v>2</v>
      </c>
      <c r="GJ106" s="3">
        <v>0</v>
      </c>
      <c r="GK106" s="3">
        <v>0</v>
      </c>
      <c r="GL106" s="3">
        <f t="shared" si="100"/>
        <v>0</v>
      </c>
      <c r="GM106" s="3">
        <f t="shared" si="101"/>
        <v>4602.71</v>
      </c>
      <c r="GN106" s="3">
        <f t="shared" si="102"/>
        <v>0</v>
      </c>
      <c r="GO106" s="3">
        <f t="shared" si="103"/>
        <v>4602.71</v>
      </c>
      <c r="GP106" s="3">
        <f t="shared" si="104"/>
        <v>0</v>
      </c>
      <c r="GR106" s="3">
        <v>0</v>
      </c>
      <c r="GS106" s="3">
        <v>3</v>
      </c>
      <c r="GT106" s="3">
        <v>0</v>
      </c>
      <c r="GU106" s="3" t="s">
        <v>3</v>
      </c>
      <c r="GV106" s="3">
        <f t="shared" si="105"/>
        <v>0</v>
      </c>
      <c r="GW106" s="3">
        <v>1</v>
      </c>
      <c r="GX106" s="3">
        <f t="shared" si="106"/>
        <v>0</v>
      </c>
      <c r="HA106" s="3">
        <v>0</v>
      </c>
      <c r="HB106" s="3">
        <v>0</v>
      </c>
      <c r="HC106" s="3">
        <f t="shared" si="107"/>
        <v>0</v>
      </c>
      <c r="HE106" s="3" t="s">
        <v>3</v>
      </c>
      <c r="HF106" s="3" t="s">
        <v>3</v>
      </c>
      <c r="HM106" s="3" t="s">
        <v>3</v>
      </c>
      <c r="HN106" s="3" t="s">
        <v>3</v>
      </c>
      <c r="HO106" s="3" t="s">
        <v>3</v>
      </c>
      <c r="HP106" s="3" t="s">
        <v>3</v>
      </c>
      <c r="HQ106" s="3" t="s">
        <v>3</v>
      </c>
      <c r="HS106" s="3">
        <v>0</v>
      </c>
      <c r="IK106" s="3">
        <v>0</v>
      </c>
    </row>
    <row r="107" spans="1:255" x14ac:dyDescent="0.2">
      <c r="A107" s="2">
        <v>17</v>
      </c>
      <c r="B107" s="2">
        <v>1</v>
      </c>
      <c r="C107" s="2"/>
      <c r="D107" s="2"/>
      <c r="E107" s="2" t="s">
        <v>174</v>
      </c>
      <c r="F107" s="2" t="s">
        <v>175</v>
      </c>
      <c r="G107" s="2" t="s">
        <v>176</v>
      </c>
      <c r="H107" s="2" t="s">
        <v>135</v>
      </c>
      <c r="I107" s="2">
        <v>1</v>
      </c>
      <c r="J107" s="2">
        <v>0</v>
      </c>
      <c r="K107" s="2">
        <v>1</v>
      </c>
      <c r="L107" s="2"/>
      <c r="M107" s="2"/>
      <c r="N107" s="2"/>
      <c r="O107" s="2">
        <f t="shared" si="83"/>
        <v>156.29</v>
      </c>
      <c r="P107" s="2">
        <f t="shared" si="84"/>
        <v>156.29</v>
      </c>
      <c r="Q107" s="2">
        <f>(ROUND((ROUND(((ET107)*AV107*I107),2)*BB107),2)+ROUND((ROUND(((AE107-(EU107))*AV107*I107),2)*BS107),2))</f>
        <v>0</v>
      </c>
      <c r="R107" s="2">
        <f>(ROUND((ROUND(((EU107)*AV107*I107),2)*BS107),2)+ROUND((ROUND(((AE107-(EU107))*AV107*I107),2)*BS107),2))</f>
        <v>0</v>
      </c>
      <c r="S107" s="2">
        <f t="shared" si="85"/>
        <v>0</v>
      </c>
      <c r="T107" s="2">
        <f t="shared" si="86"/>
        <v>0</v>
      </c>
      <c r="U107" s="2">
        <f t="shared" si="87"/>
        <v>0</v>
      </c>
      <c r="V107" s="2">
        <f t="shared" si="88"/>
        <v>0</v>
      </c>
      <c r="W107" s="2">
        <f t="shared" si="89"/>
        <v>0</v>
      </c>
      <c r="X107" s="2">
        <f>(ROUND((((S107+ROUND((ROUND(((EU107)*AV107*I107),2)*BS107),2))*AT107)/100),2)+ROUND(((ROUND((ROUND(((AE107-(EU107))*AV107*I107),2)*BS107),2)*AT107)/100),2))</f>
        <v>0</v>
      </c>
      <c r="Y107" s="2">
        <f>(ROUND((((S107+ROUND((ROUND(((EU107)*AV107*I107),2)*BS107),2))*AU107)/100),2)+ROUND(((ROUND((ROUND(((AE107-(EU107))*AV107*I107),2)*BS107),2)*AU107)/100),2))</f>
        <v>0</v>
      </c>
      <c r="Z107" s="2"/>
      <c r="AA107" s="2">
        <v>55919547</v>
      </c>
      <c r="AB107" s="2">
        <f t="shared" si="90"/>
        <v>156.29</v>
      </c>
      <c r="AC107" s="2">
        <f>ROUND((ES107),6)</f>
        <v>156.29</v>
      </c>
      <c r="AD107" s="2">
        <f>ROUND((((ET107)-(EU107))+AE107),6)</f>
        <v>0</v>
      </c>
      <c r="AE107" s="2">
        <f>ROUND((EU107),6)</f>
        <v>0</v>
      </c>
      <c r="AF107" s="2">
        <f>ROUND((EV107),6)</f>
        <v>0</v>
      </c>
      <c r="AG107" s="2">
        <f t="shared" si="91"/>
        <v>0</v>
      </c>
      <c r="AH107" s="2">
        <f>(EW107)</f>
        <v>0</v>
      </c>
      <c r="AI107" s="2">
        <f>(EX107)</f>
        <v>0</v>
      </c>
      <c r="AJ107" s="2">
        <f t="shared" si="92"/>
        <v>0</v>
      </c>
      <c r="AK107" s="2">
        <v>156.29000000000002</v>
      </c>
      <c r="AL107" s="2">
        <v>156.29000000000002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3</v>
      </c>
      <c r="BJ107" s="2" t="s">
        <v>175</v>
      </c>
      <c r="BK107" s="2"/>
      <c r="BL107" s="2"/>
      <c r="BM107" s="2">
        <v>400007</v>
      </c>
      <c r="BN107" s="2">
        <v>0</v>
      </c>
      <c r="BO107" s="2" t="s">
        <v>3</v>
      </c>
      <c r="BP107" s="2">
        <v>0</v>
      </c>
      <c r="BQ107" s="2">
        <v>214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0</v>
      </c>
      <c r="CA107" s="2">
        <v>0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3</v>
      </c>
      <c r="CO107" s="2">
        <v>0</v>
      </c>
      <c r="CP107" s="2">
        <f t="shared" si="93"/>
        <v>156.29</v>
      </c>
      <c r="CQ107" s="2">
        <f t="shared" si="94"/>
        <v>156.29</v>
      </c>
      <c r="CR107" s="2">
        <f>(ROUND((ROUND(((ET107)*AV107*1),2)*BB107),2)+ROUND((ROUND(((AE107-(EU107))*AV107*1),2)*BS107),2))</f>
        <v>0</v>
      </c>
      <c r="CS107" s="2">
        <f>(ROUND((ROUND(((EU107)*AV107*1),2)*BS107),2)+ROUND((ROUND(((AE107-(EU107))*AV107*1),2)*BS107),2))</f>
        <v>0</v>
      </c>
      <c r="CT107" s="2">
        <f t="shared" si="95"/>
        <v>0</v>
      </c>
      <c r="CU107" s="2">
        <f t="shared" si="96"/>
        <v>0</v>
      </c>
      <c r="CV107" s="2">
        <f t="shared" si="97"/>
        <v>0</v>
      </c>
      <c r="CW107" s="2">
        <f t="shared" si="98"/>
        <v>0</v>
      </c>
      <c r="CX107" s="2">
        <f t="shared" si="99"/>
        <v>0</v>
      </c>
      <c r="CY107" s="2">
        <f>(ROUND((((S107+ROUND((ROUND(((EU107)*AV107*1),2)*BS107),2))*AT107)/100),2)+ROUND(((ROUND((ROUND(((AE107-(EU107))*AV107*1),2)*BS107),2)*AT107)/100),2))</f>
        <v>0</v>
      </c>
      <c r="CZ107" s="2">
        <f>(ROUND((((S107+ROUND((ROUND(((EU107)*AV107*1),2)*BS107),2))*AU107)/100),2)+ROUND(((ROUND((ROUND(((AE107-(EU107))*AV107*1),2)*BS107),2)*AU107)/100),2))</f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135</v>
      </c>
      <c r="DW107" s="2" t="s">
        <v>135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55393630</v>
      </c>
      <c r="EF107" s="2">
        <v>214</v>
      </c>
      <c r="EG107" s="2" t="s">
        <v>136</v>
      </c>
      <c r="EH107" s="2">
        <v>0</v>
      </c>
      <c r="EI107" s="2" t="s">
        <v>3</v>
      </c>
      <c r="EJ107" s="2">
        <v>3</v>
      </c>
      <c r="EK107" s="2">
        <v>400007</v>
      </c>
      <c r="EL107" s="2" t="s">
        <v>136</v>
      </c>
      <c r="EM107" s="2" t="s">
        <v>137</v>
      </c>
      <c r="EN107" s="2"/>
      <c r="EO107" s="2" t="s">
        <v>3</v>
      </c>
      <c r="EP107" s="2"/>
      <c r="EQ107" s="2">
        <v>16</v>
      </c>
      <c r="ER107" s="2">
        <v>0</v>
      </c>
      <c r="ES107" s="2">
        <v>156.29000000000002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f>P107</f>
        <v>156.29</v>
      </c>
      <c r="FS107" s="2">
        <v>0</v>
      </c>
      <c r="FT107" s="2"/>
      <c r="FU107" s="2"/>
      <c r="FV107" s="2"/>
      <c r="FW107" s="2"/>
      <c r="FX107" s="2">
        <v>0</v>
      </c>
      <c r="FY107" s="2">
        <v>0</v>
      </c>
      <c r="FZ107" s="2"/>
      <c r="GA107" s="2" t="s">
        <v>177</v>
      </c>
      <c r="GB107" s="2"/>
      <c r="GC107" s="2"/>
      <c r="GD107" s="2">
        <v>1</v>
      </c>
      <c r="GE107" s="2"/>
      <c r="GF107" s="2">
        <v>302699968</v>
      </c>
      <c r="GG107" s="2">
        <v>2</v>
      </c>
      <c r="GH107" s="2">
        <v>4</v>
      </c>
      <c r="GI107" s="2">
        <v>-2</v>
      </c>
      <c r="GJ107" s="2">
        <v>0</v>
      </c>
      <c r="GK107" s="2">
        <v>0</v>
      </c>
      <c r="GL107" s="2">
        <f t="shared" si="100"/>
        <v>0</v>
      </c>
      <c r="GM107" s="2">
        <f t="shared" si="101"/>
        <v>156.29</v>
      </c>
      <c r="GN107" s="2">
        <f t="shared" si="102"/>
        <v>0</v>
      </c>
      <c r="GO107" s="2">
        <f t="shared" si="103"/>
        <v>0</v>
      </c>
      <c r="GP107" s="2">
        <f t="shared" si="104"/>
        <v>0</v>
      </c>
      <c r="GQ107" s="2"/>
      <c r="GR107" s="2">
        <v>1</v>
      </c>
      <c r="GS107" s="2">
        <v>2</v>
      </c>
      <c r="GT107" s="2">
        <v>0</v>
      </c>
      <c r="GU107" s="2" t="s">
        <v>3</v>
      </c>
      <c r="GV107" s="2">
        <f t="shared" si="105"/>
        <v>0</v>
      </c>
      <c r="GW107" s="2">
        <v>1</v>
      </c>
      <c r="GX107" s="2">
        <f t="shared" si="106"/>
        <v>0</v>
      </c>
      <c r="GY107" s="2"/>
      <c r="GZ107" s="2"/>
      <c r="HA107" s="2">
        <v>0</v>
      </c>
      <c r="HB107" s="2">
        <v>0</v>
      </c>
      <c r="HC107" s="2">
        <f t="shared" si="107"/>
        <v>0</v>
      </c>
      <c r="HD107" s="2"/>
      <c r="HE107" s="2" t="s">
        <v>139</v>
      </c>
      <c r="HF107" s="2" t="s">
        <v>35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">
      <c r="A108" s="3">
        <v>17</v>
      </c>
      <c r="B108" s="3">
        <v>1</v>
      </c>
      <c r="E108" s="3" t="s">
        <v>174</v>
      </c>
      <c r="F108" s="3" t="s">
        <v>175</v>
      </c>
      <c r="G108" s="3" t="s">
        <v>176</v>
      </c>
      <c r="H108" s="3" t="s">
        <v>135</v>
      </c>
      <c r="I108" s="3">
        <v>1</v>
      </c>
      <c r="J108" s="3">
        <v>0</v>
      </c>
      <c r="K108" s="3">
        <v>1</v>
      </c>
      <c r="O108" s="3">
        <f t="shared" si="83"/>
        <v>1537.89</v>
      </c>
      <c r="P108" s="3">
        <f t="shared" si="84"/>
        <v>1537.89</v>
      </c>
      <c r="Q108" s="3">
        <f>(ROUND((ROUND(((ET108)*AV108*I108),2)*BB108),2)+ROUND((ROUND(((AE108-(EU108))*AV108*I108),2)*BS108),2))</f>
        <v>0</v>
      </c>
      <c r="R108" s="3">
        <f>(ROUND((ROUND(((EU108)*AV108*I108),2)*BS108),2)+ROUND((ROUND(((AE108-(EU108))*AV108*I108),2)*BS108),2))</f>
        <v>0</v>
      </c>
      <c r="S108" s="3">
        <f t="shared" si="85"/>
        <v>0</v>
      </c>
      <c r="T108" s="3">
        <f t="shared" si="86"/>
        <v>0</v>
      </c>
      <c r="U108" s="3">
        <f t="shared" si="87"/>
        <v>0</v>
      </c>
      <c r="V108" s="3">
        <f t="shared" si="88"/>
        <v>0</v>
      </c>
      <c r="W108" s="3">
        <f t="shared" si="89"/>
        <v>0</v>
      </c>
      <c r="X108" s="3">
        <f>(ROUND((((S108+ROUND((ROUND(((EU108)*AV108*I108),2)*BS108),2))*AT108)/100),2)+ROUND(((ROUND((ROUND(((AE108-(EU108))*AV108*I108),2)*BS108),2)*AT108)/100),2))</f>
        <v>0</v>
      </c>
      <c r="Y108" s="3">
        <f>(ROUND((((S108+ROUND((ROUND(((EU108)*AV108*I108),2)*BS108),2))*AU108)/100),2)+ROUND(((ROUND((ROUND(((AE108-(EU108))*AV108*I108),2)*BS108),2)*AU108)/100),2))</f>
        <v>0</v>
      </c>
      <c r="AA108" s="3">
        <v>55919549</v>
      </c>
      <c r="AB108" s="3">
        <f t="shared" si="90"/>
        <v>156.29</v>
      </c>
      <c r="AC108" s="3">
        <f>ROUND((ES108),6)</f>
        <v>156.29</v>
      </c>
      <c r="AD108" s="3">
        <f>ROUND((((ET108)-(EU108))+AE108),6)</f>
        <v>0</v>
      </c>
      <c r="AE108" s="3">
        <f>ROUND((EU108),6)</f>
        <v>0</v>
      </c>
      <c r="AF108" s="3">
        <f>ROUND((EV108),6)</f>
        <v>0</v>
      </c>
      <c r="AG108" s="3">
        <f t="shared" si="91"/>
        <v>0</v>
      </c>
      <c r="AH108" s="3">
        <f>(EW108)</f>
        <v>0</v>
      </c>
      <c r="AI108" s="3">
        <f>(EX108)</f>
        <v>0</v>
      </c>
      <c r="AJ108" s="3">
        <f t="shared" si="92"/>
        <v>0</v>
      </c>
      <c r="AK108" s="3">
        <v>156.29000000000002</v>
      </c>
      <c r="AL108" s="3">
        <v>156.29000000000002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1</v>
      </c>
      <c r="AW108" s="3">
        <v>1</v>
      </c>
      <c r="AZ108" s="3">
        <v>1</v>
      </c>
      <c r="BA108" s="3">
        <v>1</v>
      </c>
      <c r="BB108" s="3">
        <v>1</v>
      </c>
      <c r="BC108" s="3">
        <v>9.84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3</v>
      </c>
      <c r="BI108" s="3">
        <v>3</v>
      </c>
      <c r="BJ108" s="3" t="s">
        <v>175</v>
      </c>
      <c r="BM108" s="3">
        <v>400007</v>
      </c>
      <c r="BN108" s="3">
        <v>0</v>
      </c>
      <c r="BO108" s="3" t="s">
        <v>3</v>
      </c>
      <c r="BP108" s="3">
        <v>0</v>
      </c>
      <c r="BQ108" s="3">
        <v>214</v>
      </c>
      <c r="BR108" s="3">
        <v>0</v>
      </c>
      <c r="BS108" s="3">
        <v>1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0</v>
      </c>
      <c r="CA108" s="3">
        <v>0</v>
      </c>
      <c r="CB108" s="3" t="s">
        <v>3</v>
      </c>
      <c r="CE108" s="3">
        <v>1566</v>
      </c>
      <c r="CF108" s="3">
        <v>0</v>
      </c>
      <c r="CG108" s="3">
        <v>0</v>
      </c>
      <c r="CM108" s="3">
        <v>0</v>
      </c>
      <c r="CN108" s="3" t="s">
        <v>3</v>
      </c>
      <c r="CO108" s="3">
        <v>0</v>
      </c>
      <c r="CP108" s="3">
        <f t="shared" si="93"/>
        <v>1537.89</v>
      </c>
      <c r="CQ108" s="3">
        <f t="shared" si="94"/>
        <v>1537.89</v>
      </c>
      <c r="CR108" s="3">
        <f>(ROUND((ROUND(((ET108)*AV108*1),2)*BB108),2)+ROUND((ROUND(((AE108-(EU108))*AV108*1),2)*BS108),2))</f>
        <v>0</v>
      </c>
      <c r="CS108" s="3">
        <f>(ROUND((ROUND(((EU108)*AV108*1),2)*BS108),2)+ROUND((ROUND(((AE108-(EU108))*AV108*1),2)*BS108),2))</f>
        <v>0</v>
      </c>
      <c r="CT108" s="3">
        <f t="shared" si="95"/>
        <v>0</v>
      </c>
      <c r="CU108" s="3">
        <f t="shared" si="96"/>
        <v>0</v>
      </c>
      <c r="CV108" s="3">
        <f t="shared" si="97"/>
        <v>0</v>
      </c>
      <c r="CW108" s="3">
        <f t="shared" si="98"/>
        <v>0</v>
      </c>
      <c r="CX108" s="3">
        <f t="shared" si="99"/>
        <v>0</v>
      </c>
      <c r="CY108" s="3">
        <f>(ROUND((((S108+ROUND((ROUND(((EU108)*AV108*1),2)*BS108),2))*AT108)/100),2)+ROUND(((ROUND((ROUND(((AE108-(EU108))*AV108*1),2)*BS108),2)*AT108)/100),2))</f>
        <v>0</v>
      </c>
      <c r="CZ108" s="3">
        <f>(ROUND((((S108+ROUND((ROUND(((EU108)*AV108*1),2)*BS108),2))*AU108)/100),2)+ROUND(((ROUND((ROUND(((AE108-(EU108))*AV108*1),2)*BS108),2)*AU108)/100),2))</f>
        <v>0</v>
      </c>
      <c r="DC108" s="3" t="s">
        <v>3</v>
      </c>
      <c r="DD108" s="3" t="s">
        <v>3</v>
      </c>
      <c r="DE108" s="3" t="s">
        <v>3</v>
      </c>
      <c r="DF108" s="3" t="s">
        <v>3</v>
      </c>
      <c r="DG108" s="3" t="s">
        <v>3</v>
      </c>
      <c r="DH108" s="3" t="s">
        <v>3</v>
      </c>
      <c r="DI108" s="3" t="s">
        <v>3</v>
      </c>
      <c r="DJ108" s="3" t="s">
        <v>3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U108" s="3">
        <v>1013</v>
      </c>
      <c r="DV108" s="3" t="s">
        <v>135</v>
      </c>
      <c r="DW108" s="3" t="s">
        <v>135</v>
      </c>
      <c r="DX108" s="3">
        <v>1</v>
      </c>
      <c r="DZ108" s="3" t="s">
        <v>3</v>
      </c>
      <c r="EA108" s="3" t="s">
        <v>3</v>
      </c>
      <c r="EB108" s="3" t="s">
        <v>3</v>
      </c>
      <c r="EC108" s="3" t="s">
        <v>3</v>
      </c>
      <c r="EE108" s="3">
        <v>55393630</v>
      </c>
      <c r="EF108" s="3">
        <v>214</v>
      </c>
      <c r="EG108" s="3" t="s">
        <v>136</v>
      </c>
      <c r="EH108" s="3">
        <v>0</v>
      </c>
      <c r="EI108" s="3" t="s">
        <v>3</v>
      </c>
      <c r="EJ108" s="3">
        <v>3</v>
      </c>
      <c r="EK108" s="3">
        <v>400007</v>
      </c>
      <c r="EL108" s="3" t="s">
        <v>136</v>
      </c>
      <c r="EM108" s="3" t="s">
        <v>137</v>
      </c>
      <c r="EO108" s="3" t="s">
        <v>3</v>
      </c>
      <c r="EQ108" s="3">
        <v>16</v>
      </c>
      <c r="ER108" s="3">
        <v>0</v>
      </c>
      <c r="ES108" s="3">
        <v>156.29000000000002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5</v>
      </c>
      <c r="FC108" s="3">
        <v>1</v>
      </c>
      <c r="FD108" s="3">
        <v>18</v>
      </c>
      <c r="FF108" s="3">
        <v>1800</v>
      </c>
      <c r="FQ108" s="3">
        <v>0</v>
      </c>
      <c r="FR108" s="3">
        <f>P108</f>
        <v>1537.89</v>
      </c>
      <c r="FS108" s="3">
        <v>0</v>
      </c>
      <c r="FX108" s="3">
        <v>0</v>
      </c>
      <c r="FY108" s="3">
        <v>0</v>
      </c>
      <c r="GA108" s="3" t="s">
        <v>177</v>
      </c>
      <c r="GD108" s="3">
        <v>1</v>
      </c>
      <c r="GF108" s="3">
        <v>302699968</v>
      </c>
      <c r="GG108" s="3">
        <v>2</v>
      </c>
      <c r="GH108" s="3">
        <v>3</v>
      </c>
      <c r="GI108" s="3">
        <v>5</v>
      </c>
      <c r="GJ108" s="3">
        <v>0</v>
      </c>
      <c r="GK108" s="3">
        <v>0</v>
      </c>
      <c r="GL108" s="3">
        <f t="shared" si="100"/>
        <v>0</v>
      </c>
      <c r="GM108" s="3">
        <f t="shared" si="101"/>
        <v>1537.89</v>
      </c>
      <c r="GN108" s="3">
        <f t="shared" si="102"/>
        <v>0</v>
      </c>
      <c r="GO108" s="3">
        <f t="shared" si="103"/>
        <v>0</v>
      </c>
      <c r="GP108" s="3">
        <f t="shared" si="104"/>
        <v>0</v>
      </c>
      <c r="GR108" s="3">
        <v>1</v>
      </c>
      <c r="GS108" s="3">
        <v>1</v>
      </c>
      <c r="GT108" s="3">
        <v>0</v>
      </c>
      <c r="GU108" s="3" t="s">
        <v>3</v>
      </c>
      <c r="GV108" s="3">
        <f t="shared" si="105"/>
        <v>0</v>
      </c>
      <c r="GW108" s="3">
        <v>1</v>
      </c>
      <c r="GX108" s="3">
        <f t="shared" si="106"/>
        <v>0</v>
      </c>
      <c r="HA108" s="3">
        <v>0</v>
      </c>
      <c r="HB108" s="3">
        <v>0</v>
      </c>
      <c r="HC108" s="3">
        <f t="shared" si="107"/>
        <v>0</v>
      </c>
      <c r="HE108" s="3" t="s">
        <v>139</v>
      </c>
      <c r="HF108" s="3" t="s">
        <v>35</v>
      </c>
      <c r="HM108" s="3" t="s">
        <v>3</v>
      </c>
      <c r="HN108" s="3" t="s">
        <v>3</v>
      </c>
      <c r="HO108" s="3" t="s">
        <v>3</v>
      </c>
      <c r="HP108" s="3" t="s">
        <v>3</v>
      </c>
      <c r="HQ108" s="3" t="s">
        <v>3</v>
      </c>
      <c r="HS108" s="3">
        <v>0</v>
      </c>
      <c r="IK108" s="3">
        <v>0</v>
      </c>
    </row>
    <row r="110" spans="1:255" x14ac:dyDescent="0.2">
      <c r="A110" s="11">
        <v>51</v>
      </c>
      <c r="B110" s="11">
        <f>B79</f>
        <v>1</v>
      </c>
      <c r="C110" s="11">
        <f>A79</f>
        <v>4</v>
      </c>
      <c r="D110" s="11">
        <f>ROW(A79)</f>
        <v>79</v>
      </c>
      <c r="E110" s="11"/>
      <c r="F110" s="11" t="str">
        <f>IF(F79&lt;&gt;"",F79,"")</f>
        <v>1</v>
      </c>
      <c r="G110" s="11" t="str">
        <f>IF(G79&lt;&gt;"",G79,"")</f>
        <v>Комплект основного оборудования</v>
      </c>
      <c r="H110" s="11">
        <v>0</v>
      </c>
      <c r="I110" s="11"/>
      <c r="J110" s="11"/>
      <c r="K110" s="11"/>
      <c r="L110" s="11"/>
      <c r="M110" s="11"/>
      <c r="N110" s="11"/>
      <c r="O110" s="11">
        <f t="shared" ref="O110:T110" si="110">ROUND(AB110,2)</f>
        <v>10887.22</v>
      </c>
      <c r="P110" s="11">
        <f t="shared" si="110"/>
        <v>10505.78</v>
      </c>
      <c r="Q110" s="11">
        <f t="shared" si="110"/>
        <v>21.89</v>
      </c>
      <c r="R110" s="11">
        <f t="shared" si="110"/>
        <v>3.97</v>
      </c>
      <c r="S110" s="11">
        <f t="shared" si="110"/>
        <v>359.55</v>
      </c>
      <c r="T110" s="11">
        <f t="shared" si="110"/>
        <v>0</v>
      </c>
      <c r="U110" s="11">
        <f>AH110</f>
        <v>26.158691999999995</v>
      </c>
      <c r="V110" s="11">
        <f>AI110</f>
        <v>0</v>
      </c>
      <c r="W110" s="11">
        <f>ROUND(AJ110,2)</f>
        <v>0</v>
      </c>
      <c r="X110" s="11">
        <f>ROUND(AK110,2)</f>
        <v>346.09</v>
      </c>
      <c r="Y110" s="11">
        <f>ROUND(AL110,2)</f>
        <v>191.91</v>
      </c>
      <c r="Z110" s="11"/>
      <c r="AA110" s="11"/>
      <c r="AB110" s="11">
        <f>ROUND(SUMIF(AA83:AA108,"=55919547",O83:O108),2)</f>
        <v>10887.22</v>
      </c>
      <c r="AC110" s="11">
        <f>ROUND(SUMIF(AA83:AA108,"=55919547",P83:P108),2)</f>
        <v>10505.78</v>
      </c>
      <c r="AD110" s="11">
        <f>ROUND(SUMIF(AA83:AA108,"=55919547",Q83:Q108),2)</f>
        <v>21.89</v>
      </c>
      <c r="AE110" s="11">
        <f>ROUND(SUMIF(AA83:AA108,"=55919547",R83:R108),2)</f>
        <v>3.97</v>
      </c>
      <c r="AF110" s="11">
        <f>ROUND(SUMIF(AA83:AA108,"=55919547",S83:S108),2)</f>
        <v>359.55</v>
      </c>
      <c r="AG110" s="11">
        <f>ROUND(SUMIF(AA83:AA108,"=55919547",T83:T108),2)</f>
        <v>0</v>
      </c>
      <c r="AH110" s="11">
        <f>SUMIF(AA83:AA108,"=55919547",U83:U108)</f>
        <v>26.158691999999995</v>
      </c>
      <c r="AI110" s="11">
        <f>SUMIF(AA83:AA108,"=55919547",V83:V108)</f>
        <v>0</v>
      </c>
      <c r="AJ110" s="11">
        <f>ROUND(SUMIF(AA83:AA108,"=55919547",W83:W108),2)</f>
        <v>0</v>
      </c>
      <c r="AK110" s="11">
        <f>ROUND(SUMIF(AA83:AA108,"=55919547",X83:X108),2)</f>
        <v>346.09</v>
      </c>
      <c r="AL110" s="11">
        <f>ROUND(SUMIF(AA83:AA108,"=55919547",Y83:Y108),2)</f>
        <v>191.91</v>
      </c>
      <c r="AM110" s="11"/>
      <c r="AN110" s="11"/>
      <c r="AO110" s="11">
        <f t="shared" ref="AO110:BD110" si="111">ROUND(BX110,2)</f>
        <v>0</v>
      </c>
      <c r="AP110" s="11">
        <f t="shared" si="111"/>
        <v>8481.81</v>
      </c>
      <c r="AQ110" s="11">
        <f t="shared" si="111"/>
        <v>0</v>
      </c>
      <c r="AR110" s="11">
        <f t="shared" si="111"/>
        <v>11425.22</v>
      </c>
      <c r="AS110" s="11">
        <f t="shared" si="111"/>
        <v>0</v>
      </c>
      <c r="AT110" s="11">
        <f t="shared" si="111"/>
        <v>2943.41</v>
      </c>
      <c r="AU110" s="11">
        <f t="shared" si="111"/>
        <v>0</v>
      </c>
      <c r="AV110" s="11">
        <f t="shared" si="111"/>
        <v>10505.78</v>
      </c>
      <c r="AW110" s="11">
        <f t="shared" si="111"/>
        <v>2023.97</v>
      </c>
      <c r="AX110" s="11">
        <f t="shared" si="111"/>
        <v>0</v>
      </c>
      <c r="AY110" s="11">
        <f t="shared" si="111"/>
        <v>2023.97</v>
      </c>
      <c r="AZ110" s="11">
        <f t="shared" si="111"/>
        <v>8481.81</v>
      </c>
      <c r="BA110" s="11">
        <f t="shared" si="111"/>
        <v>0</v>
      </c>
      <c r="BB110" s="11">
        <f t="shared" si="111"/>
        <v>0</v>
      </c>
      <c r="BC110" s="11">
        <f t="shared" si="111"/>
        <v>0</v>
      </c>
      <c r="BD110" s="11">
        <f t="shared" si="111"/>
        <v>0</v>
      </c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>
        <f>ROUND(SUMIF(AA83:AA108,"=55919547",FQ83:FQ108),2)</f>
        <v>0</v>
      </c>
      <c r="BY110" s="11">
        <f>ROUND(SUMIF(AA83:AA108,"=55919547",FR83:FR108),2)</f>
        <v>8481.81</v>
      </c>
      <c r="BZ110" s="11">
        <f>ROUND(SUMIF(AA83:AA108,"=55919547",GL83:GL108),2)</f>
        <v>0</v>
      </c>
      <c r="CA110" s="11">
        <f>ROUND(SUMIF(AA83:AA108,"=55919547",GM83:GM108),2)</f>
        <v>11425.22</v>
      </c>
      <c r="CB110" s="11">
        <f>ROUND(SUMIF(AA83:AA108,"=55919547",GN83:GN108),2)</f>
        <v>0</v>
      </c>
      <c r="CC110" s="11">
        <f>ROUND(SUMIF(AA83:AA108,"=55919547",GO83:GO108),2)</f>
        <v>2943.41</v>
      </c>
      <c r="CD110" s="11">
        <f>ROUND(SUMIF(AA83:AA108,"=55919547",GP83:GP108),2)</f>
        <v>0</v>
      </c>
      <c r="CE110" s="11">
        <f>AC110-BX110</f>
        <v>10505.78</v>
      </c>
      <c r="CF110" s="11">
        <f>AC110-BY110</f>
        <v>2023.9700000000012</v>
      </c>
      <c r="CG110" s="11">
        <f>BX110-BZ110</f>
        <v>0</v>
      </c>
      <c r="CH110" s="11">
        <f>AC110-BX110-BY110+BZ110</f>
        <v>2023.9700000000012</v>
      </c>
      <c r="CI110" s="11">
        <f>BY110-BZ110</f>
        <v>8481.81</v>
      </c>
      <c r="CJ110" s="11">
        <f>ROUND(SUMIF(AA83:AA108,"=55919547",GX83:GX108),2)</f>
        <v>0</v>
      </c>
      <c r="CK110" s="11">
        <f>ROUND(SUMIF(AA83:AA108,"=55919547",GY83:GY108),2)</f>
        <v>0</v>
      </c>
      <c r="CL110" s="11">
        <f>ROUND(SUMIF(AA83:AA108,"=55919547",GZ83:GZ108),2)</f>
        <v>0</v>
      </c>
      <c r="CM110" s="11">
        <f>ROUND(SUMIF(AA83:AA108,"=55919547",HD83:HD108),2)</f>
        <v>0</v>
      </c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2">
        <f t="shared" ref="DG110:DL110" si="112">ROUND(DT110,2)</f>
        <v>112225.44</v>
      </c>
      <c r="DH110" s="12">
        <f t="shared" si="112"/>
        <v>91529.4</v>
      </c>
      <c r="DI110" s="12">
        <f t="shared" si="112"/>
        <v>435.39</v>
      </c>
      <c r="DJ110" s="12">
        <f t="shared" si="112"/>
        <v>223.71</v>
      </c>
      <c r="DK110" s="12">
        <f t="shared" si="112"/>
        <v>20260.650000000001</v>
      </c>
      <c r="DL110" s="12">
        <f t="shared" si="112"/>
        <v>0</v>
      </c>
      <c r="DM110" s="12">
        <f>DZ110</f>
        <v>26.158691999999995</v>
      </c>
      <c r="DN110" s="12">
        <f>EA110</f>
        <v>0</v>
      </c>
      <c r="DO110" s="12">
        <f>ROUND(EB110,2)</f>
        <v>0</v>
      </c>
      <c r="DP110" s="12">
        <f>ROUND(EC110,2)</f>
        <v>19502.509999999998</v>
      </c>
      <c r="DQ110" s="12">
        <f>ROUND(ED110,2)</f>
        <v>10814.35</v>
      </c>
      <c r="DR110" s="12"/>
      <c r="DS110" s="12"/>
      <c r="DT110" s="12">
        <f>ROUND(SUMIF(AA83:AA108,"=55919549",O83:O108),2)</f>
        <v>112225.44</v>
      </c>
      <c r="DU110" s="12">
        <f>ROUND(SUMIF(AA83:AA108,"=55919549",P83:P108),2)</f>
        <v>91529.4</v>
      </c>
      <c r="DV110" s="12">
        <f>ROUND(SUMIF(AA83:AA108,"=55919549",Q83:Q108),2)</f>
        <v>435.39</v>
      </c>
      <c r="DW110" s="12">
        <f>ROUND(SUMIF(AA83:AA108,"=55919549",R83:R108),2)</f>
        <v>223.71</v>
      </c>
      <c r="DX110" s="12">
        <f>ROUND(SUMIF(AA83:AA108,"=55919549",S83:S108),2)</f>
        <v>20260.650000000001</v>
      </c>
      <c r="DY110" s="12">
        <f>ROUND(SUMIF(AA83:AA108,"=55919549",T83:T108),2)</f>
        <v>0</v>
      </c>
      <c r="DZ110" s="12">
        <f>SUMIF(AA83:AA108,"=55919549",U83:U108)</f>
        <v>26.158691999999995</v>
      </c>
      <c r="EA110" s="12">
        <f>SUMIF(AA83:AA108,"=55919549",V83:V108)</f>
        <v>0</v>
      </c>
      <c r="EB110" s="12">
        <f>ROUND(SUMIF(AA83:AA108,"=55919549",W83:W108),2)</f>
        <v>0</v>
      </c>
      <c r="EC110" s="12">
        <f>ROUND(SUMIF(AA83:AA108,"=55919549",X83:X108),2)</f>
        <v>19502.509999999998</v>
      </c>
      <c r="ED110" s="12">
        <f>ROUND(SUMIF(AA83:AA108,"=55919549",Y83:Y108),2)</f>
        <v>10814.35</v>
      </c>
      <c r="EE110" s="12"/>
      <c r="EF110" s="12"/>
      <c r="EG110" s="12">
        <f t="shared" ref="EG110:EV110" si="113">ROUND(FP110,2)</f>
        <v>0</v>
      </c>
      <c r="EH110" s="12">
        <f t="shared" si="113"/>
        <v>83461.009999999995</v>
      </c>
      <c r="EI110" s="12">
        <f t="shared" si="113"/>
        <v>0</v>
      </c>
      <c r="EJ110" s="12">
        <f t="shared" si="113"/>
        <v>142542.29999999999</v>
      </c>
      <c r="EK110" s="12">
        <f t="shared" si="113"/>
        <v>0</v>
      </c>
      <c r="EL110" s="12">
        <f t="shared" si="113"/>
        <v>59081.29</v>
      </c>
      <c r="EM110" s="12">
        <f t="shared" si="113"/>
        <v>0</v>
      </c>
      <c r="EN110" s="12">
        <f t="shared" si="113"/>
        <v>91529.4</v>
      </c>
      <c r="EO110" s="12">
        <f t="shared" si="113"/>
        <v>8068.39</v>
      </c>
      <c r="EP110" s="12">
        <f t="shared" si="113"/>
        <v>0</v>
      </c>
      <c r="EQ110" s="12">
        <f t="shared" si="113"/>
        <v>8068.39</v>
      </c>
      <c r="ER110" s="12">
        <f t="shared" si="113"/>
        <v>83461.009999999995</v>
      </c>
      <c r="ES110" s="12">
        <f t="shared" si="113"/>
        <v>0</v>
      </c>
      <c r="ET110" s="12">
        <f t="shared" si="113"/>
        <v>0</v>
      </c>
      <c r="EU110" s="12">
        <f t="shared" si="113"/>
        <v>0</v>
      </c>
      <c r="EV110" s="12">
        <f t="shared" si="113"/>
        <v>0</v>
      </c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>
        <f>ROUND(SUMIF(AA83:AA108,"=55919549",FQ83:FQ108),2)</f>
        <v>0</v>
      </c>
      <c r="FQ110" s="12">
        <f>ROUND(SUMIF(AA83:AA108,"=55919549",FR83:FR108),2)</f>
        <v>83461.009999999995</v>
      </c>
      <c r="FR110" s="12">
        <f>ROUND(SUMIF(AA83:AA108,"=55919549",GL83:GL108),2)</f>
        <v>0</v>
      </c>
      <c r="FS110" s="12">
        <f>ROUND(SUMIF(AA83:AA108,"=55919549",GM83:GM108),2)</f>
        <v>142542.29999999999</v>
      </c>
      <c r="FT110" s="12">
        <f>ROUND(SUMIF(AA83:AA108,"=55919549",GN83:GN108),2)</f>
        <v>0</v>
      </c>
      <c r="FU110" s="12">
        <f>ROUND(SUMIF(AA83:AA108,"=55919549",GO83:GO108),2)</f>
        <v>59081.29</v>
      </c>
      <c r="FV110" s="12">
        <f>ROUND(SUMIF(AA83:AA108,"=55919549",GP83:GP108),2)</f>
        <v>0</v>
      </c>
      <c r="FW110" s="12">
        <f>DU110-FP110</f>
        <v>91529.4</v>
      </c>
      <c r="FX110" s="12">
        <f>DU110-FQ110</f>
        <v>8068.3899999999994</v>
      </c>
      <c r="FY110" s="12">
        <f>FP110-FR110</f>
        <v>0</v>
      </c>
      <c r="FZ110" s="12">
        <f>DU110-FP110-FQ110+FR110</f>
        <v>8068.3899999999994</v>
      </c>
      <c r="GA110" s="12">
        <f>FQ110-FR110</f>
        <v>83461.009999999995</v>
      </c>
      <c r="GB110" s="12">
        <f>ROUND(SUMIF(AA83:AA108,"=55919549",GX83:GX108),2)</f>
        <v>0</v>
      </c>
      <c r="GC110" s="12">
        <f>ROUND(SUMIF(AA83:AA108,"=55919549",GY83:GY108),2)</f>
        <v>0</v>
      </c>
      <c r="GD110" s="12">
        <f>ROUND(SUMIF(AA83:AA108,"=55919549",GZ83:GZ108),2)</f>
        <v>0</v>
      </c>
      <c r="GE110" s="12">
        <f>ROUND(SUMIF(AA83:AA108,"=55919549",HD83:HD108),2)</f>
        <v>0</v>
      </c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>
        <v>0</v>
      </c>
    </row>
    <row r="112" spans="1:255" x14ac:dyDescent="0.2">
      <c r="A112" s="13">
        <v>50</v>
      </c>
      <c r="B112" s="13">
        <v>0</v>
      </c>
      <c r="C112" s="13">
        <v>0</v>
      </c>
      <c r="D112" s="13">
        <v>1</v>
      </c>
      <c r="E112" s="13">
        <v>201</v>
      </c>
      <c r="F112" s="13">
        <f>ROUND(Source!O110,O112)</f>
        <v>10887.22</v>
      </c>
      <c r="G112" s="13" t="s">
        <v>75</v>
      </c>
      <c r="H112" s="13" t="s">
        <v>76</v>
      </c>
      <c r="I112" s="13"/>
      <c r="J112" s="13"/>
      <c r="K112" s="13">
        <v>201</v>
      </c>
      <c r="L112" s="13">
        <v>1</v>
      </c>
      <c r="M112" s="13">
        <v>3</v>
      </c>
      <c r="N112" s="13" t="s">
        <v>3</v>
      </c>
      <c r="O112" s="13">
        <v>2</v>
      </c>
      <c r="P112" s="13">
        <f>ROUND(Source!DG110,O112)</f>
        <v>112225.44</v>
      </c>
      <c r="Q112" s="13"/>
      <c r="R112" s="13"/>
      <c r="S112" s="13"/>
      <c r="T112" s="13"/>
      <c r="U112" s="13"/>
      <c r="V112" s="13"/>
      <c r="W112" s="13">
        <v>10887.22</v>
      </c>
      <c r="X112" s="13">
        <v>1</v>
      </c>
      <c r="Y112" s="13">
        <v>10887.22</v>
      </c>
      <c r="Z112" s="13">
        <v>112225.44</v>
      </c>
      <c r="AA112" s="13">
        <v>1</v>
      </c>
      <c r="AB112" s="13">
        <v>112225.44</v>
      </c>
    </row>
    <row r="113" spans="1:28" x14ac:dyDescent="0.2">
      <c r="A113" s="13">
        <v>50</v>
      </c>
      <c r="B113" s="13">
        <v>0</v>
      </c>
      <c r="C113" s="13">
        <v>0</v>
      </c>
      <c r="D113" s="13">
        <v>1</v>
      </c>
      <c r="E113" s="13">
        <v>202</v>
      </c>
      <c r="F113" s="13">
        <f>ROUND(Source!P110,O113)</f>
        <v>10505.78</v>
      </c>
      <c r="G113" s="13" t="s">
        <v>77</v>
      </c>
      <c r="H113" s="13" t="s">
        <v>78</v>
      </c>
      <c r="I113" s="13"/>
      <c r="J113" s="13"/>
      <c r="K113" s="13">
        <v>202</v>
      </c>
      <c r="L113" s="13">
        <v>2</v>
      </c>
      <c r="M113" s="13">
        <v>3</v>
      </c>
      <c r="N113" s="13" t="s">
        <v>3</v>
      </c>
      <c r="O113" s="13">
        <v>2</v>
      </c>
      <c r="P113" s="13">
        <f>ROUND(Source!DH110,O113)</f>
        <v>91529.4</v>
      </c>
      <c r="Q113" s="13"/>
      <c r="R113" s="13"/>
      <c r="S113" s="13"/>
      <c r="T113" s="13"/>
      <c r="U113" s="13"/>
      <c r="V113" s="13"/>
      <c r="W113" s="13">
        <v>10505.78</v>
      </c>
      <c r="X113" s="13">
        <v>1</v>
      </c>
      <c r="Y113" s="13">
        <v>10505.78</v>
      </c>
      <c r="Z113" s="13">
        <v>91529.4</v>
      </c>
      <c r="AA113" s="13">
        <v>1</v>
      </c>
      <c r="AB113" s="13">
        <v>91529.4</v>
      </c>
    </row>
    <row r="114" spans="1:28" x14ac:dyDescent="0.2">
      <c r="A114" s="13">
        <v>50</v>
      </c>
      <c r="B114" s="13">
        <v>0</v>
      </c>
      <c r="C114" s="13">
        <v>0</v>
      </c>
      <c r="D114" s="13">
        <v>1</v>
      </c>
      <c r="E114" s="13">
        <v>222</v>
      </c>
      <c r="F114" s="13">
        <f>ROUND(Source!AO110,O114)</f>
        <v>0</v>
      </c>
      <c r="G114" s="13" t="s">
        <v>79</v>
      </c>
      <c r="H114" s="13" t="s">
        <v>80</v>
      </c>
      <c r="I114" s="13"/>
      <c r="J114" s="13"/>
      <c r="K114" s="13">
        <v>222</v>
      </c>
      <c r="L114" s="13">
        <v>3</v>
      </c>
      <c r="M114" s="13">
        <v>3</v>
      </c>
      <c r="N114" s="13" t="s">
        <v>3</v>
      </c>
      <c r="O114" s="13">
        <v>2</v>
      </c>
      <c r="P114" s="13">
        <f>ROUND(Source!EG110,O114)</f>
        <v>0</v>
      </c>
      <c r="Q114" s="13"/>
      <c r="R114" s="13"/>
      <c r="S114" s="13"/>
      <c r="T114" s="13"/>
      <c r="U114" s="13"/>
      <c r="V114" s="13"/>
      <c r="W114" s="13">
        <v>0</v>
      </c>
      <c r="X114" s="13">
        <v>1</v>
      </c>
      <c r="Y114" s="13">
        <v>0</v>
      </c>
      <c r="Z114" s="13">
        <v>0</v>
      </c>
      <c r="AA114" s="13">
        <v>1</v>
      </c>
      <c r="AB114" s="13">
        <v>0</v>
      </c>
    </row>
    <row r="115" spans="1:28" x14ac:dyDescent="0.2">
      <c r="A115" s="13">
        <v>50</v>
      </c>
      <c r="B115" s="13">
        <v>0</v>
      </c>
      <c r="C115" s="13">
        <v>0</v>
      </c>
      <c r="D115" s="13">
        <v>1</v>
      </c>
      <c r="E115" s="13">
        <v>225</v>
      </c>
      <c r="F115" s="13">
        <f>ROUND(Source!AV110,O115)</f>
        <v>10505.78</v>
      </c>
      <c r="G115" s="13" t="s">
        <v>81</v>
      </c>
      <c r="H115" s="13" t="s">
        <v>82</v>
      </c>
      <c r="I115" s="13"/>
      <c r="J115" s="13"/>
      <c r="K115" s="13">
        <v>225</v>
      </c>
      <c r="L115" s="13">
        <v>4</v>
      </c>
      <c r="M115" s="13">
        <v>3</v>
      </c>
      <c r="N115" s="13" t="s">
        <v>3</v>
      </c>
      <c r="O115" s="13">
        <v>2</v>
      </c>
      <c r="P115" s="13">
        <f>ROUND(Source!EN110,O115)</f>
        <v>91529.4</v>
      </c>
      <c r="Q115" s="13"/>
      <c r="R115" s="13"/>
      <c r="S115" s="13"/>
      <c r="T115" s="13"/>
      <c r="U115" s="13"/>
      <c r="V115" s="13"/>
      <c r="W115" s="13">
        <v>10505.78</v>
      </c>
      <c r="X115" s="13">
        <v>1</v>
      </c>
      <c r="Y115" s="13">
        <v>10505.78</v>
      </c>
      <c r="Z115" s="13">
        <v>91529.4</v>
      </c>
      <c r="AA115" s="13">
        <v>1</v>
      </c>
      <c r="AB115" s="13">
        <v>91529.4</v>
      </c>
    </row>
    <row r="116" spans="1:28" x14ac:dyDescent="0.2">
      <c r="A116" s="13">
        <v>50</v>
      </c>
      <c r="B116" s="13">
        <v>0</v>
      </c>
      <c r="C116" s="13">
        <v>0</v>
      </c>
      <c r="D116" s="13">
        <v>1</v>
      </c>
      <c r="E116" s="13">
        <v>226</v>
      </c>
      <c r="F116" s="13">
        <f>ROUND(Source!AW110,O116)</f>
        <v>2023.97</v>
      </c>
      <c r="G116" s="13" t="s">
        <v>83</v>
      </c>
      <c r="H116" s="13" t="s">
        <v>84</v>
      </c>
      <c r="I116" s="13"/>
      <c r="J116" s="13"/>
      <c r="K116" s="13">
        <v>226</v>
      </c>
      <c r="L116" s="13">
        <v>5</v>
      </c>
      <c r="M116" s="13">
        <v>3</v>
      </c>
      <c r="N116" s="13" t="s">
        <v>3</v>
      </c>
      <c r="O116" s="13">
        <v>2</v>
      </c>
      <c r="P116" s="13">
        <f>ROUND(Source!EO110,O116)</f>
        <v>8068.39</v>
      </c>
      <c r="Q116" s="13"/>
      <c r="R116" s="13"/>
      <c r="S116" s="13"/>
      <c r="T116" s="13"/>
      <c r="U116" s="13"/>
      <c r="V116" s="13"/>
      <c r="W116" s="13">
        <v>2023.97</v>
      </c>
      <c r="X116" s="13">
        <v>1</v>
      </c>
      <c r="Y116" s="13">
        <v>2023.97</v>
      </c>
      <c r="Z116" s="13">
        <v>8068.39</v>
      </c>
      <c r="AA116" s="13">
        <v>1</v>
      </c>
      <c r="AB116" s="13">
        <v>8068.39</v>
      </c>
    </row>
    <row r="117" spans="1:28" x14ac:dyDescent="0.2">
      <c r="A117" s="13">
        <v>50</v>
      </c>
      <c r="B117" s="13">
        <v>0</v>
      </c>
      <c r="C117" s="13">
        <v>0</v>
      </c>
      <c r="D117" s="13">
        <v>1</v>
      </c>
      <c r="E117" s="13">
        <v>227</v>
      </c>
      <c r="F117" s="13">
        <f>ROUND(Source!AX110,O117)</f>
        <v>0</v>
      </c>
      <c r="G117" s="13" t="s">
        <v>85</v>
      </c>
      <c r="H117" s="13" t="s">
        <v>86</v>
      </c>
      <c r="I117" s="13"/>
      <c r="J117" s="13"/>
      <c r="K117" s="13">
        <v>227</v>
      </c>
      <c r="L117" s="13">
        <v>6</v>
      </c>
      <c r="M117" s="13">
        <v>3</v>
      </c>
      <c r="N117" s="13" t="s">
        <v>3</v>
      </c>
      <c r="O117" s="13">
        <v>2</v>
      </c>
      <c r="P117" s="13">
        <f>ROUND(Source!EP110,O117)</f>
        <v>0</v>
      </c>
      <c r="Q117" s="13"/>
      <c r="R117" s="13"/>
      <c r="S117" s="13"/>
      <c r="T117" s="13"/>
      <c r="U117" s="13"/>
      <c r="V117" s="13"/>
      <c r="W117" s="13">
        <v>0</v>
      </c>
      <c r="X117" s="13">
        <v>1</v>
      </c>
      <c r="Y117" s="13">
        <v>0</v>
      </c>
      <c r="Z117" s="13">
        <v>0</v>
      </c>
      <c r="AA117" s="13">
        <v>1</v>
      </c>
      <c r="AB117" s="13">
        <v>0</v>
      </c>
    </row>
    <row r="118" spans="1:28" x14ac:dyDescent="0.2">
      <c r="A118" s="13">
        <v>50</v>
      </c>
      <c r="B118" s="13">
        <v>0</v>
      </c>
      <c r="C118" s="13">
        <v>0</v>
      </c>
      <c r="D118" s="13">
        <v>1</v>
      </c>
      <c r="E118" s="13">
        <v>228</v>
      </c>
      <c r="F118" s="13">
        <f>ROUND(Source!AY110,O118)</f>
        <v>2023.97</v>
      </c>
      <c r="G118" s="13" t="s">
        <v>87</v>
      </c>
      <c r="H118" s="13" t="s">
        <v>88</v>
      </c>
      <c r="I118" s="13"/>
      <c r="J118" s="13"/>
      <c r="K118" s="13">
        <v>228</v>
      </c>
      <c r="L118" s="13">
        <v>7</v>
      </c>
      <c r="M118" s="13">
        <v>3</v>
      </c>
      <c r="N118" s="13" t="s">
        <v>3</v>
      </c>
      <c r="O118" s="13">
        <v>2</v>
      </c>
      <c r="P118" s="13">
        <f>ROUND(Source!EQ110,O118)</f>
        <v>8068.39</v>
      </c>
      <c r="Q118" s="13"/>
      <c r="R118" s="13"/>
      <c r="S118" s="13"/>
      <c r="T118" s="13"/>
      <c r="U118" s="13"/>
      <c r="V118" s="13"/>
      <c r="W118" s="13">
        <v>2023.97</v>
      </c>
      <c r="X118" s="13">
        <v>1</v>
      </c>
      <c r="Y118" s="13">
        <v>2023.97</v>
      </c>
      <c r="Z118" s="13">
        <v>8068.39</v>
      </c>
      <c r="AA118" s="13">
        <v>1</v>
      </c>
      <c r="AB118" s="13">
        <v>8068.39</v>
      </c>
    </row>
    <row r="119" spans="1:28" x14ac:dyDescent="0.2">
      <c r="A119" s="13">
        <v>50</v>
      </c>
      <c r="B119" s="13">
        <v>0</v>
      </c>
      <c r="C119" s="13">
        <v>0</v>
      </c>
      <c r="D119" s="13">
        <v>1</v>
      </c>
      <c r="E119" s="13">
        <v>216</v>
      </c>
      <c r="F119" s="13">
        <f>ROUND(Source!AP110,O119)</f>
        <v>8481.81</v>
      </c>
      <c r="G119" s="13" t="s">
        <v>89</v>
      </c>
      <c r="H119" s="13" t="s">
        <v>90</v>
      </c>
      <c r="I119" s="13"/>
      <c r="J119" s="13"/>
      <c r="K119" s="13">
        <v>216</v>
      </c>
      <c r="L119" s="13">
        <v>8</v>
      </c>
      <c r="M119" s="13">
        <v>3</v>
      </c>
      <c r="N119" s="13" t="s">
        <v>3</v>
      </c>
      <c r="O119" s="13">
        <v>2</v>
      </c>
      <c r="P119" s="13">
        <f>ROUND(Source!EH110,O119)</f>
        <v>83461.009999999995</v>
      </c>
      <c r="Q119" s="13"/>
      <c r="R119" s="13"/>
      <c r="S119" s="13"/>
      <c r="T119" s="13"/>
      <c r="U119" s="13"/>
      <c r="V119" s="13"/>
      <c r="W119" s="13">
        <v>8481.81</v>
      </c>
      <c r="X119" s="13">
        <v>1</v>
      </c>
      <c r="Y119" s="13">
        <v>8481.81</v>
      </c>
      <c r="Z119" s="13">
        <v>83461.009999999995</v>
      </c>
      <c r="AA119" s="13">
        <v>1</v>
      </c>
      <c r="AB119" s="13">
        <v>83461.009999999995</v>
      </c>
    </row>
    <row r="120" spans="1:28" x14ac:dyDescent="0.2">
      <c r="A120" s="13">
        <v>50</v>
      </c>
      <c r="B120" s="13">
        <v>0</v>
      </c>
      <c r="C120" s="13">
        <v>0</v>
      </c>
      <c r="D120" s="13">
        <v>1</v>
      </c>
      <c r="E120" s="13">
        <v>223</v>
      </c>
      <c r="F120" s="13">
        <f>ROUND(Source!AQ110,O120)</f>
        <v>0</v>
      </c>
      <c r="G120" s="13" t="s">
        <v>91</v>
      </c>
      <c r="H120" s="13" t="s">
        <v>92</v>
      </c>
      <c r="I120" s="13"/>
      <c r="J120" s="13"/>
      <c r="K120" s="13">
        <v>223</v>
      </c>
      <c r="L120" s="13">
        <v>9</v>
      </c>
      <c r="M120" s="13">
        <v>3</v>
      </c>
      <c r="N120" s="13" t="s">
        <v>3</v>
      </c>
      <c r="O120" s="13">
        <v>2</v>
      </c>
      <c r="P120" s="13">
        <f>ROUND(Source!EI110,O120)</f>
        <v>0</v>
      </c>
      <c r="Q120" s="13"/>
      <c r="R120" s="13"/>
      <c r="S120" s="13"/>
      <c r="T120" s="13"/>
      <c r="U120" s="13"/>
      <c r="V120" s="13"/>
      <c r="W120" s="13">
        <v>0</v>
      </c>
      <c r="X120" s="13">
        <v>1</v>
      </c>
      <c r="Y120" s="13">
        <v>0</v>
      </c>
      <c r="Z120" s="13">
        <v>0</v>
      </c>
      <c r="AA120" s="13">
        <v>1</v>
      </c>
      <c r="AB120" s="13">
        <v>0</v>
      </c>
    </row>
    <row r="121" spans="1:28" x14ac:dyDescent="0.2">
      <c r="A121" s="13">
        <v>50</v>
      </c>
      <c r="B121" s="13">
        <v>0</v>
      </c>
      <c r="C121" s="13">
        <v>0</v>
      </c>
      <c r="D121" s="13">
        <v>1</v>
      </c>
      <c r="E121" s="13">
        <v>229</v>
      </c>
      <c r="F121" s="13">
        <f>ROUND(Source!AZ110,O121)</f>
        <v>8481.81</v>
      </c>
      <c r="G121" s="13" t="s">
        <v>93</v>
      </c>
      <c r="H121" s="13" t="s">
        <v>94</v>
      </c>
      <c r="I121" s="13"/>
      <c r="J121" s="13"/>
      <c r="K121" s="13">
        <v>229</v>
      </c>
      <c r="L121" s="13">
        <v>10</v>
      </c>
      <c r="M121" s="13">
        <v>3</v>
      </c>
      <c r="N121" s="13" t="s">
        <v>3</v>
      </c>
      <c r="O121" s="13">
        <v>2</v>
      </c>
      <c r="P121" s="13">
        <f>ROUND(Source!ER110,O121)</f>
        <v>83461.009999999995</v>
      </c>
      <c r="Q121" s="13"/>
      <c r="R121" s="13"/>
      <c r="S121" s="13"/>
      <c r="T121" s="13"/>
      <c r="U121" s="13"/>
      <c r="V121" s="13"/>
      <c r="W121" s="13">
        <v>8481.81</v>
      </c>
      <c r="X121" s="13">
        <v>1</v>
      </c>
      <c r="Y121" s="13">
        <v>8481.81</v>
      </c>
      <c r="Z121" s="13">
        <v>83461.009999999995</v>
      </c>
      <c r="AA121" s="13">
        <v>1</v>
      </c>
      <c r="AB121" s="13">
        <v>83461.009999999995</v>
      </c>
    </row>
    <row r="122" spans="1:28" x14ac:dyDescent="0.2">
      <c r="A122" s="13">
        <v>50</v>
      </c>
      <c r="B122" s="13">
        <v>0</v>
      </c>
      <c r="C122" s="13">
        <v>0</v>
      </c>
      <c r="D122" s="13">
        <v>1</v>
      </c>
      <c r="E122" s="13">
        <v>203</v>
      </c>
      <c r="F122" s="13">
        <f>ROUND(Source!Q110,O122)</f>
        <v>21.89</v>
      </c>
      <c r="G122" s="13" t="s">
        <v>95</v>
      </c>
      <c r="H122" s="13" t="s">
        <v>96</v>
      </c>
      <c r="I122" s="13"/>
      <c r="J122" s="13"/>
      <c r="K122" s="13">
        <v>203</v>
      </c>
      <c r="L122" s="13">
        <v>11</v>
      </c>
      <c r="M122" s="13">
        <v>3</v>
      </c>
      <c r="N122" s="13" t="s">
        <v>3</v>
      </c>
      <c r="O122" s="13">
        <v>2</v>
      </c>
      <c r="P122" s="13">
        <f>ROUND(Source!DI110,O122)</f>
        <v>435.39</v>
      </c>
      <c r="Q122" s="13"/>
      <c r="R122" s="13"/>
      <c r="S122" s="13"/>
      <c r="T122" s="13"/>
      <c r="U122" s="13"/>
      <c r="V122" s="13"/>
      <c r="W122" s="13">
        <v>21.89</v>
      </c>
      <c r="X122" s="13">
        <v>1</v>
      </c>
      <c r="Y122" s="13">
        <v>21.89</v>
      </c>
      <c r="Z122" s="13">
        <v>435.39</v>
      </c>
      <c r="AA122" s="13">
        <v>1</v>
      </c>
      <c r="AB122" s="13">
        <v>435.39</v>
      </c>
    </row>
    <row r="123" spans="1:28" x14ac:dyDescent="0.2">
      <c r="A123" s="13">
        <v>50</v>
      </c>
      <c r="B123" s="13">
        <v>0</v>
      </c>
      <c r="C123" s="13">
        <v>0</v>
      </c>
      <c r="D123" s="13">
        <v>1</v>
      </c>
      <c r="E123" s="13">
        <v>231</v>
      </c>
      <c r="F123" s="13">
        <f>ROUND(Source!BB110,O123)</f>
        <v>0</v>
      </c>
      <c r="G123" s="13" t="s">
        <v>97</v>
      </c>
      <c r="H123" s="13" t="s">
        <v>98</v>
      </c>
      <c r="I123" s="13"/>
      <c r="J123" s="13"/>
      <c r="K123" s="13">
        <v>231</v>
      </c>
      <c r="L123" s="13">
        <v>12</v>
      </c>
      <c r="M123" s="13">
        <v>3</v>
      </c>
      <c r="N123" s="13" t="s">
        <v>3</v>
      </c>
      <c r="O123" s="13">
        <v>2</v>
      </c>
      <c r="P123" s="13">
        <f>ROUND(Source!ET110,O123)</f>
        <v>0</v>
      </c>
      <c r="Q123" s="13"/>
      <c r="R123" s="13"/>
      <c r="S123" s="13"/>
      <c r="T123" s="13"/>
      <c r="U123" s="13"/>
      <c r="V123" s="13"/>
      <c r="W123" s="13">
        <v>0</v>
      </c>
      <c r="X123" s="13">
        <v>1</v>
      </c>
      <c r="Y123" s="13">
        <v>0</v>
      </c>
      <c r="Z123" s="13">
        <v>0</v>
      </c>
      <c r="AA123" s="13">
        <v>1</v>
      </c>
      <c r="AB123" s="13">
        <v>0</v>
      </c>
    </row>
    <row r="124" spans="1:28" x14ac:dyDescent="0.2">
      <c r="A124" s="13">
        <v>50</v>
      </c>
      <c r="B124" s="13">
        <v>0</v>
      </c>
      <c r="C124" s="13">
        <v>0</v>
      </c>
      <c r="D124" s="13">
        <v>1</v>
      </c>
      <c r="E124" s="13">
        <v>204</v>
      </c>
      <c r="F124" s="13">
        <f>ROUND(Source!R110,O124)</f>
        <v>3.97</v>
      </c>
      <c r="G124" s="13" t="s">
        <v>99</v>
      </c>
      <c r="H124" s="13" t="s">
        <v>100</v>
      </c>
      <c r="I124" s="13"/>
      <c r="J124" s="13"/>
      <c r="K124" s="13">
        <v>204</v>
      </c>
      <c r="L124" s="13">
        <v>13</v>
      </c>
      <c r="M124" s="13">
        <v>3</v>
      </c>
      <c r="N124" s="13" t="s">
        <v>3</v>
      </c>
      <c r="O124" s="13">
        <v>2</v>
      </c>
      <c r="P124" s="13">
        <f>ROUND(Source!DJ110,O124)</f>
        <v>223.71</v>
      </c>
      <c r="Q124" s="13"/>
      <c r="R124" s="13"/>
      <c r="S124" s="13"/>
      <c r="T124" s="13"/>
      <c r="U124" s="13"/>
      <c r="V124" s="13"/>
      <c r="W124" s="13">
        <v>3.97</v>
      </c>
      <c r="X124" s="13">
        <v>1</v>
      </c>
      <c r="Y124" s="13">
        <v>3.97</v>
      </c>
      <c r="Z124" s="13">
        <v>223.71</v>
      </c>
      <c r="AA124" s="13">
        <v>1</v>
      </c>
      <c r="AB124" s="13">
        <v>223.71</v>
      </c>
    </row>
    <row r="125" spans="1:28" x14ac:dyDescent="0.2">
      <c r="A125" s="13">
        <v>50</v>
      </c>
      <c r="B125" s="13">
        <v>0</v>
      </c>
      <c r="C125" s="13">
        <v>0</v>
      </c>
      <c r="D125" s="13">
        <v>1</v>
      </c>
      <c r="E125" s="13">
        <v>205</v>
      </c>
      <c r="F125" s="13">
        <f>ROUND(Source!S110,O125)</f>
        <v>359.55</v>
      </c>
      <c r="G125" s="13" t="s">
        <v>101</v>
      </c>
      <c r="H125" s="13" t="s">
        <v>102</v>
      </c>
      <c r="I125" s="13"/>
      <c r="J125" s="13"/>
      <c r="K125" s="13">
        <v>205</v>
      </c>
      <c r="L125" s="13">
        <v>14</v>
      </c>
      <c r="M125" s="13">
        <v>3</v>
      </c>
      <c r="N125" s="13" t="s">
        <v>3</v>
      </c>
      <c r="O125" s="13">
        <v>2</v>
      </c>
      <c r="P125" s="13">
        <f>ROUND(Source!DK110,O125)</f>
        <v>20260.650000000001</v>
      </c>
      <c r="Q125" s="13"/>
      <c r="R125" s="13"/>
      <c r="S125" s="13"/>
      <c r="T125" s="13"/>
      <c r="U125" s="13"/>
      <c r="V125" s="13"/>
      <c r="W125" s="13">
        <v>359.55</v>
      </c>
      <c r="X125" s="13">
        <v>1</v>
      </c>
      <c r="Y125" s="13">
        <v>359.55</v>
      </c>
      <c r="Z125" s="13">
        <v>20260.650000000001</v>
      </c>
      <c r="AA125" s="13">
        <v>1</v>
      </c>
      <c r="AB125" s="13">
        <v>20260.650000000001</v>
      </c>
    </row>
    <row r="126" spans="1:28" x14ac:dyDescent="0.2">
      <c r="A126" s="13">
        <v>50</v>
      </c>
      <c r="B126" s="13">
        <v>0</v>
      </c>
      <c r="C126" s="13">
        <v>0</v>
      </c>
      <c r="D126" s="13">
        <v>1</v>
      </c>
      <c r="E126" s="13">
        <v>232</v>
      </c>
      <c r="F126" s="13">
        <f>ROUND(Source!BC110,O126)</f>
        <v>0</v>
      </c>
      <c r="G126" s="13" t="s">
        <v>103</v>
      </c>
      <c r="H126" s="13" t="s">
        <v>104</v>
      </c>
      <c r="I126" s="13"/>
      <c r="J126" s="13"/>
      <c r="K126" s="13">
        <v>232</v>
      </c>
      <c r="L126" s="13">
        <v>15</v>
      </c>
      <c r="M126" s="13">
        <v>3</v>
      </c>
      <c r="N126" s="13" t="s">
        <v>3</v>
      </c>
      <c r="O126" s="13">
        <v>2</v>
      </c>
      <c r="P126" s="13">
        <f>ROUND(Source!EU110,O126)</f>
        <v>0</v>
      </c>
      <c r="Q126" s="13"/>
      <c r="R126" s="13"/>
      <c r="S126" s="13"/>
      <c r="T126" s="13"/>
      <c r="U126" s="13"/>
      <c r="V126" s="13"/>
      <c r="W126" s="13">
        <v>0</v>
      </c>
      <c r="X126" s="13">
        <v>1</v>
      </c>
      <c r="Y126" s="13">
        <v>0</v>
      </c>
      <c r="Z126" s="13">
        <v>0</v>
      </c>
      <c r="AA126" s="13">
        <v>1</v>
      </c>
      <c r="AB126" s="13">
        <v>0</v>
      </c>
    </row>
    <row r="127" spans="1:28" x14ac:dyDescent="0.2">
      <c r="A127" s="13">
        <v>50</v>
      </c>
      <c r="B127" s="13">
        <v>0</v>
      </c>
      <c r="C127" s="13">
        <v>0</v>
      </c>
      <c r="D127" s="13">
        <v>1</v>
      </c>
      <c r="E127" s="13">
        <v>214</v>
      </c>
      <c r="F127" s="13">
        <f>ROUND(Source!AS110,O127)</f>
        <v>0</v>
      </c>
      <c r="G127" s="13" t="s">
        <v>105</v>
      </c>
      <c r="H127" s="13" t="s">
        <v>106</v>
      </c>
      <c r="I127" s="13"/>
      <c r="J127" s="13"/>
      <c r="K127" s="13">
        <v>214</v>
      </c>
      <c r="L127" s="13">
        <v>16</v>
      </c>
      <c r="M127" s="13">
        <v>3</v>
      </c>
      <c r="N127" s="13" t="s">
        <v>3</v>
      </c>
      <c r="O127" s="13">
        <v>2</v>
      </c>
      <c r="P127" s="13">
        <f>ROUND(Source!EK110,O127)</f>
        <v>0</v>
      </c>
      <c r="Q127" s="13"/>
      <c r="R127" s="13"/>
      <c r="S127" s="13"/>
      <c r="T127" s="13"/>
      <c r="U127" s="13"/>
      <c r="V127" s="13"/>
      <c r="W127" s="13">
        <v>0</v>
      </c>
      <c r="X127" s="13">
        <v>1</v>
      </c>
      <c r="Y127" s="13">
        <v>0</v>
      </c>
      <c r="Z127" s="13">
        <v>0</v>
      </c>
      <c r="AA127" s="13">
        <v>1</v>
      </c>
      <c r="AB127" s="13">
        <v>0</v>
      </c>
    </row>
    <row r="128" spans="1:28" x14ac:dyDescent="0.2">
      <c r="A128" s="13">
        <v>50</v>
      </c>
      <c r="B128" s="13">
        <v>0</v>
      </c>
      <c r="C128" s="13">
        <v>0</v>
      </c>
      <c r="D128" s="13">
        <v>1</v>
      </c>
      <c r="E128" s="13">
        <v>215</v>
      </c>
      <c r="F128" s="13">
        <f>ROUND(Source!AT110,O128)</f>
        <v>2943.41</v>
      </c>
      <c r="G128" s="13" t="s">
        <v>107</v>
      </c>
      <c r="H128" s="13" t="s">
        <v>108</v>
      </c>
      <c r="I128" s="13"/>
      <c r="J128" s="13"/>
      <c r="K128" s="13">
        <v>215</v>
      </c>
      <c r="L128" s="13">
        <v>17</v>
      </c>
      <c r="M128" s="13">
        <v>3</v>
      </c>
      <c r="N128" s="13" t="s">
        <v>3</v>
      </c>
      <c r="O128" s="13">
        <v>2</v>
      </c>
      <c r="P128" s="13">
        <f>ROUND(Source!EL110,O128)</f>
        <v>59081.29</v>
      </c>
      <c r="Q128" s="13"/>
      <c r="R128" s="13"/>
      <c r="S128" s="13"/>
      <c r="T128" s="13"/>
      <c r="U128" s="13"/>
      <c r="V128" s="13"/>
      <c r="W128" s="13">
        <v>2943.41</v>
      </c>
      <c r="X128" s="13">
        <v>1</v>
      </c>
      <c r="Y128" s="13">
        <v>2943.41</v>
      </c>
      <c r="Z128" s="13">
        <v>59081.29</v>
      </c>
      <c r="AA128" s="13">
        <v>1</v>
      </c>
      <c r="AB128" s="13">
        <v>59081.29</v>
      </c>
    </row>
    <row r="129" spans="1:255" x14ac:dyDescent="0.2">
      <c r="A129" s="13">
        <v>50</v>
      </c>
      <c r="B129" s="13">
        <v>0</v>
      </c>
      <c r="C129" s="13">
        <v>0</v>
      </c>
      <c r="D129" s="13">
        <v>1</v>
      </c>
      <c r="E129" s="13">
        <v>217</v>
      </c>
      <c r="F129" s="13">
        <f>ROUND(Source!AU110,O129)</f>
        <v>0</v>
      </c>
      <c r="G129" s="13" t="s">
        <v>109</v>
      </c>
      <c r="H129" s="13" t="s">
        <v>110</v>
      </c>
      <c r="I129" s="13"/>
      <c r="J129" s="13"/>
      <c r="K129" s="13">
        <v>217</v>
      </c>
      <c r="L129" s="13">
        <v>18</v>
      </c>
      <c r="M129" s="13">
        <v>3</v>
      </c>
      <c r="N129" s="13" t="s">
        <v>3</v>
      </c>
      <c r="O129" s="13">
        <v>2</v>
      </c>
      <c r="P129" s="13">
        <f>ROUND(Source!EM110,O129)</f>
        <v>0</v>
      </c>
      <c r="Q129" s="13"/>
      <c r="R129" s="13"/>
      <c r="S129" s="13"/>
      <c r="T129" s="13"/>
      <c r="U129" s="13"/>
      <c r="V129" s="13"/>
      <c r="W129" s="13">
        <v>0</v>
      </c>
      <c r="X129" s="13">
        <v>1</v>
      </c>
      <c r="Y129" s="13">
        <v>0</v>
      </c>
      <c r="Z129" s="13">
        <v>0</v>
      </c>
      <c r="AA129" s="13">
        <v>1</v>
      </c>
      <c r="AB129" s="13">
        <v>0</v>
      </c>
    </row>
    <row r="130" spans="1:255" x14ac:dyDescent="0.2">
      <c r="A130" s="13">
        <v>50</v>
      </c>
      <c r="B130" s="13">
        <v>0</v>
      </c>
      <c r="C130" s="13">
        <v>0</v>
      </c>
      <c r="D130" s="13">
        <v>1</v>
      </c>
      <c r="E130" s="13">
        <v>230</v>
      </c>
      <c r="F130" s="13">
        <f>ROUND(Source!BA110,O130)</f>
        <v>0</v>
      </c>
      <c r="G130" s="13" t="s">
        <v>111</v>
      </c>
      <c r="H130" s="13" t="s">
        <v>112</v>
      </c>
      <c r="I130" s="13"/>
      <c r="J130" s="13"/>
      <c r="K130" s="13">
        <v>230</v>
      </c>
      <c r="L130" s="13">
        <v>19</v>
      </c>
      <c r="M130" s="13">
        <v>3</v>
      </c>
      <c r="N130" s="13" t="s">
        <v>3</v>
      </c>
      <c r="O130" s="13">
        <v>2</v>
      </c>
      <c r="P130" s="13">
        <f>ROUND(Source!ES110,O130)</f>
        <v>0</v>
      </c>
      <c r="Q130" s="13"/>
      <c r="R130" s="13"/>
      <c r="S130" s="13"/>
      <c r="T130" s="13"/>
      <c r="U130" s="13"/>
      <c r="V130" s="13"/>
      <c r="W130" s="13">
        <v>0</v>
      </c>
      <c r="X130" s="13">
        <v>1</v>
      </c>
      <c r="Y130" s="13">
        <v>0</v>
      </c>
      <c r="Z130" s="13">
        <v>0</v>
      </c>
      <c r="AA130" s="13">
        <v>1</v>
      </c>
      <c r="AB130" s="13">
        <v>0</v>
      </c>
    </row>
    <row r="131" spans="1:255" x14ac:dyDescent="0.2">
      <c r="A131" s="13">
        <v>50</v>
      </c>
      <c r="B131" s="13">
        <v>0</v>
      </c>
      <c r="C131" s="13">
        <v>0</v>
      </c>
      <c r="D131" s="13">
        <v>1</v>
      </c>
      <c r="E131" s="13">
        <v>206</v>
      </c>
      <c r="F131" s="13">
        <f>ROUND(Source!T110,O131)</f>
        <v>0</v>
      </c>
      <c r="G131" s="13" t="s">
        <v>113</v>
      </c>
      <c r="H131" s="13" t="s">
        <v>114</v>
      </c>
      <c r="I131" s="13"/>
      <c r="J131" s="13"/>
      <c r="K131" s="13">
        <v>206</v>
      </c>
      <c r="L131" s="13">
        <v>20</v>
      </c>
      <c r="M131" s="13">
        <v>3</v>
      </c>
      <c r="N131" s="13" t="s">
        <v>3</v>
      </c>
      <c r="O131" s="13">
        <v>2</v>
      </c>
      <c r="P131" s="13">
        <f>ROUND(Source!DL110,O131)</f>
        <v>0</v>
      </c>
      <c r="Q131" s="13"/>
      <c r="R131" s="13"/>
      <c r="S131" s="13"/>
      <c r="T131" s="13"/>
      <c r="U131" s="13"/>
      <c r="V131" s="13"/>
      <c r="W131" s="13">
        <v>0</v>
      </c>
      <c r="X131" s="13">
        <v>1</v>
      </c>
      <c r="Y131" s="13">
        <v>0</v>
      </c>
      <c r="Z131" s="13">
        <v>0</v>
      </c>
      <c r="AA131" s="13">
        <v>1</v>
      </c>
      <c r="AB131" s="13">
        <v>0</v>
      </c>
    </row>
    <row r="132" spans="1:255" x14ac:dyDescent="0.2">
      <c r="A132" s="13">
        <v>50</v>
      </c>
      <c r="B132" s="13">
        <v>0</v>
      </c>
      <c r="C132" s="13">
        <v>0</v>
      </c>
      <c r="D132" s="13">
        <v>1</v>
      </c>
      <c r="E132" s="13">
        <v>207</v>
      </c>
      <c r="F132" s="13">
        <f>Source!U110</f>
        <v>26.158691999999995</v>
      </c>
      <c r="G132" s="13" t="s">
        <v>115</v>
      </c>
      <c r="H132" s="13" t="s">
        <v>116</v>
      </c>
      <c r="I132" s="13"/>
      <c r="J132" s="13"/>
      <c r="K132" s="13">
        <v>207</v>
      </c>
      <c r="L132" s="13">
        <v>21</v>
      </c>
      <c r="M132" s="13">
        <v>3</v>
      </c>
      <c r="N132" s="13" t="s">
        <v>3</v>
      </c>
      <c r="O132" s="13">
        <v>-1</v>
      </c>
      <c r="P132" s="13">
        <f>Source!DM110</f>
        <v>26.158691999999995</v>
      </c>
      <c r="Q132" s="13"/>
      <c r="R132" s="13"/>
      <c r="S132" s="13"/>
      <c r="T132" s="13"/>
      <c r="U132" s="13"/>
      <c r="V132" s="13"/>
      <c r="W132" s="13">
        <v>26.158691999999999</v>
      </c>
      <c r="X132" s="13">
        <v>1</v>
      </c>
      <c r="Y132" s="13">
        <v>26.158691999999999</v>
      </c>
      <c r="Z132" s="13">
        <v>26.158691999999999</v>
      </c>
      <c r="AA132" s="13">
        <v>1</v>
      </c>
      <c r="AB132" s="13">
        <v>26.158691999999999</v>
      </c>
    </row>
    <row r="133" spans="1:255" x14ac:dyDescent="0.2">
      <c r="A133" s="13">
        <v>50</v>
      </c>
      <c r="B133" s="13">
        <v>0</v>
      </c>
      <c r="C133" s="13">
        <v>0</v>
      </c>
      <c r="D133" s="13">
        <v>1</v>
      </c>
      <c r="E133" s="13">
        <v>208</v>
      </c>
      <c r="F133" s="13">
        <f>Source!V110</f>
        <v>0</v>
      </c>
      <c r="G133" s="13" t="s">
        <v>117</v>
      </c>
      <c r="H133" s="13" t="s">
        <v>118</v>
      </c>
      <c r="I133" s="13"/>
      <c r="J133" s="13"/>
      <c r="K133" s="13">
        <v>208</v>
      </c>
      <c r="L133" s="13">
        <v>22</v>
      </c>
      <c r="M133" s="13">
        <v>3</v>
      </c>
      <c r="N133" s="13" t="s">
        <v>3</v>
      </c>
      <c r="O133" s="13">
        <v>-1</v>
      </c>
      <c r="P133" s="13">
        <f>Source!DN110</f>
        <v>0</v>
      </c>
      <c r="Q133" s="13"/>
      <c r="R133" s="13"/>
      <c r="S133" s="13"/>
      <c r="T133" s="13"/>
      <c r="U133" s="13"/>
      <c r="V133" s="13"/>
      <c r="W133" s="13">
        <v>0</v>
      </c>
      <c r="X133" s="13">
        <v>1</v>
      </c>
      <c r="Y133" s="13">
        <v>0</v>
      </c>
      <c r="Z133" s="13">
        <v>0</v>
      </c>
      <c r="AA133" s="13">
        <v>1</v>
      </c>
      <c r="AB133" s="13">
        <v>0</v>
      </c>
    </row>
    <row r="134" spans="1:255" x14ac:dyDescent="0.2">
      <c r="A134" s="13">
        <v>50</v>
      </c>
      <c r="B134" s="13">
        <v>0</v>
      </c>
      <c r="C134" s="13">
        <v>0</v>
      </c>
      <c r="D134" s="13">
        <v>1</v>
      </c>
      <c r="E134" s="13">
        <v>209</v>
      </c>
      <c r="F134" s="13">
        <f>ROUND(Source!W110,O134)</f>
        <v>0</v>
      </c>
      <c r="G134" s="13" t="s">
        <v>119</v>
      </c>
      <c r="H134" s="13" t="s">
        <v>120</v>
      </c>
      <c r="I134" s="13"/>
      <c r="J134" s="13"/>
      <c r="K134" s="13">
        <v>209</v>
      </c>
      <c r="L134" s="13">
        <v>23</v>
      </c>
      <c r="M134" s="13">
        <v>3</v>
      </c>
      <c r="N134" s="13" t="s">
        <v>3</v>
      </c>
      <c r="O134" s="13">
        <v>2</v>
      </c>
      <c r="P134" s="13">
        <f>ROUND(Source!DO110,O134)</f>
        <v>0</v>
      </c>
      <c r="Q134" s="13"/>
      <c r="R134" s="13"/>
      <c r="S134" s="13"/>
      <c r="T134" s="13"/>
      <c r="U134" s="13"/>
      <c r="V134" s="13"/>
      <c r="W134" s="13">
        <v>0</v>
      </c>
      <c r="X134" s="13">
        <v>1</v>
      </c>
      <c r="Y134" s="13">
        <v>0</v>
      </c>
      <c r="Z134" s="13">
        <v>0</v>
      </c>
      <c r="AA134" s="13">
        <v>1</v>
      </c>
      <c r="AB134" s="13">
        <v>0</v>
      </c>
    </row>
    <row r="135" spans="1:255" x14ac:dyDescent="0.2">
      <c r="A135" s="13">
        <v>50</v>
      </c>
      <c r="B135" s="13">
        <v>0</v>
      </c>
      <c r="C135" s="13">
        <v>0</v>
      </c>
      <c r="D135" s="13">
        <v>1</v>
      </c>
      <c r="E135" s="13">
        <v>233</v>
      </c>
      <c r="F135" s="13">
        <f>ROUND(Source!BD110,O135)</f>
        <v>0</v>
      </c>
      <c r="G135" s="13" t="s">
        <v>121</v>
      </c>
      <c r="H135" s="13" t="s">
        <v>122</v>
      </c>
      <c r="I135" s="13"/>
      <c r="J135" s="13"/>
      <c r="K135" s="13">
        <v>233</v>
      </c>
      <c r="L135" s="13">
        <v>24</v>
      </c>
      <c r="M135" s="13">
        <v>3</v>
      </c>
      <c r="N135" s="13" t="s">
        <v>3</v>
      </c>
      <c r="O135" s="13">
        <v>2</v>
      </c>
      <c r="P135" s="13">
        <f>ROUND(Source!EV110,O135)</f>
        <v>0</v>
      </c>
      <c r="Q135" s="13"/>
      <c r="R135" s="13"/>
      <c r="S135" s="13"/>
      <c r="T135" s="13"/>
      <c r="U135" s="13"/>
      <c r="V135" s="13"/>
      <c r="W135" s="13">
        <v>0</v>
      </c>
      <c r="X135" s="13">
        <v>1</v>
      </c>
      <c r="Y135" s="13">
        <v>0</v>
      </c>
      <c r="Z135" s="13">
        <v>0</v>
      </c>
      <c r="AA135" s="13">
        <v>1</v>
      </c>
      <c r="AB135" s="13">
        <v>0</v>
      </c>
    </row>
    <row r="136" spans="1:255" x14ac:dyDescent="0.2">
      <c r="A136" s="13">
        <v>50</v>
      </c>
      <c r="B136" s="13">
        <v>0</v>
      </c>
      <c r="C136" s="13">
        <v>0</v>
      </c>
      <c r="D136" s="13">
        <v>1</v>
      </c>
      <c r="E136" s="13">
        <v>210</v>
      </c>
      <c r="F136" s="13">
        <f>ROUND(Source!X110,O136)</f>
        <v>346.09</v>
      </c>
      <c r="G136" s="13" t="s">
        <v>123</v>
      </c>
      <c r="H136" s="13" t="s">
        <v>124</v>
      </c>
      <c r="I136" s="13"/>
      <c r="J136" s="13"/>
      <c r="K136" s="13">
        <v>210</v>
      </c>
      <c r="L136" s="13">
        <v>25</v>
      </c>
      <c r="M136" s="13">
        <v>3</v>
      </c>
      <c r="N136" s="13" t="s">
        <v>3</v>
      </c>
      <c r="O136" s="13">
        <v>2</v>
      </c>
      <c r="P136" s="13">
        <f>ROUND(Source!DP110,O136)</f>
        <v>19502.509999999998</v>
      </c>
      <c r="Q136" s="13"/>
      <c r="R136" s="13"/>
      <c r="S136" s="13"/>
      <c r="T136" s="13"/>
      <c r="U136" s="13"/>
      <c r="V136" s="13"/>
      <c r="W136" s="13">
        <v>346.09</v>
      </c>
      <c r="X136" s="13">
        <v>1</v>
      </c>
      <c r="Y136" s="13">
        <v>346.09</v>
      </c>
      <c r="Z136" s="13">
        <v>19502.509999999998</v>
      </c>
      <c r="AA136" s="13">
        <v>1</v>
      </c>
      <c r="AB136" s="13">
        <v>19502.509999999998</v>
      </c>
    </row>
    <row r="137" spans="1:255" x14ac:dyDescent="0.2">
      <c r="A137" s="13">
        <v>50</v>
      </c>
      <c r="B137" s="13">
        <v>0</v>
      </c>
      <c r="C137" s="13">
        <v>0</v>
      </c>
      <c r="D137" s="13">
        <v>1</v>
      </c>
      <c r="E137" s="13">
        <v>211</v>
      </c>
      <c r="F137" s="13">
        <f>ROUND(Source!Y110,O137)</f>
        <v>191.91</v>
      </c>
      <c r="G137" s="13" t="s">
        <v>125</v>
      </c>
      <c r="H137" s="13" t="s">
        <v>126</v>
      </c>
      <c r="I137" s="13"/>
      <c r="J137" s="13"/>
      <c r="K137" s="13">
        <v>211</v>
      </c>
      <c r="L137" s="13">
        <v>26</v>
      </c>
      <c r="M137" s="13">
        <v>3</v>
      </c>
      <c r="N137" s="13" t="s">
        <v>3</v>
      </c>
      <c r="O137" s="13">
        <v>2</v>
      </c>
      <c r="P137" s="13">
        <f>ROUND(Source!DQ110,O137)</f>
        <v>10814.35</v>
      </c>
      <c r="Q137" s="13"/>
      <c r="R137" s="13"/>
      <c r="S137" s="13"/>
      <c r="T137" s="13"/>
      <c r="U137" s="13"/>
      <c r="V137" s="13"/>
      <c r="W137" s="13">
        <v>191.91</v>
      </c>
      <c r="X137" s="13">
        <v>1</v>
      </c>
      <c r="Y137" s="13">
        <v>191.91</v>
      </c>
      <c r="Z137" s="13">
        <v>10814.35</v>
      </c>
      <c r="AA137" s="13">
        <v>1</v>
      </c>
      <c r="AB137" s="13">
        <v>10814.35</v>
      </c>
    </row>
    <row r="138" spans="1:255" x14ac:dyDescent="0.2">
      <c r="A138" s="13">
        <v>50</v>
      </c>
      <c r="B138" s="13">
        <v>0</v>
      </c>
      <c r="C138" s="13">
        <v>0</v>
      </c>
      <c r="D138" s="13">
        <v>1</v>
      </c>
      <c r="E138" s="13">
        <v>224</v>
      </c>
      <c r="F138" s="13">
        <f>ROUND(Source!AR110,O138)</f>
        <v>11425.22</v>
      </c>
      <c r="G138" s="13" t="s">
        <v>127</v>
      </c>
      <c r="H138" s="13" t="s">
        <v>128</v>
      </c>
      <c r="I138" s="13"/>
      <c r="J138" s="13"/>
      <c r="K138" s="13">
        <v>224</v>
      </c>
      <c r="L138" s="13">
        <v>27</v>
      </c>
      <c r="M138" s="13">
        <v>3</v>
      </c>
      <c r="N138" s="13" t="s">
        <v>3</v>
      </c>
      <c r="O138" s="13">
        <v>2</v>
      </c>
      <c r="P138" s="13">
        <f>ROUND(Source!EJ110,O138)</f>
        <v>142542.29999999999</v>
      </c>
      <c r="Q138" s="13"/>
      <c r="R138" s="13"/>
      <c r="S138" s="13"/>
      <c r="T138" s="13"/>
      <c r="U138" s="13"/>
      <c r="V138" s="13"/>
      <c r="W138" s="13">
        <v>11425.22</v>
      </c>
      <c r="X138" s="13">
        <v>1</v>
      </c>
      <c r="Y138" s="13">
        <v>11425.22</v>
      </c>
      <c r="Z138" s="13">
        <v>142542.29999999999</v>
      </c>
      <c r="AA138" s="13">
        <v>1</v>
      </c>
      <c r="AB138" s="13">
        <v>142542.29999999999</v>
      </c>
    </row>
    <row r="140" spans="1:255" x14ac:dyDescent="0.2">
      <c r="A140" s="10">
        <v>4</v>
      </c>
      <c r="B140" s="10">
        <v>1</v>
      </c>
      <c r="C140" s="10"/>
      <c r="D140" s="10">
        <f>ROW(A155)</f>
        <v>155</v>
      </c>
      <c r="E140" s="10"/>
      <c r="F140" s="10" t="s">
        <v>30</v>
      </c>
      <c r="G140" s="10" t="s">
        <v>178</v>
      </c>
      <c r="H140" s="10" t="s">
        <v>3</v>
      </c>
      <c r="I140" s="10">
        <v>0</v>
      </c>
      <c r="J140" s="10"/>
      <c r="K140" s="10">
        <v>-1</v>
      </c>
      <c r="L140" s="10"/>
      <c r="M140" s="10" t="s">
        <v>3</v>
      </c>
      <c r="N140" s="10"/>
      <c r="O140" s="10"/>
      <c r="P140" s="10"/>
      <c r="Q140" s="10"/>
      <c r="R140" s="10"/>
      <c r="S140" s="10">
        <v>0</v>
      </c>
      <c r="T140" s="10">
        <v>0</v>
      </c>
      <c r="U140" s="10" t="s">
        <v>3</v>
      </c>
      <c r="V140" s="10">
        <v>0</v>
      </c>
      <c r="W140" s="10"/>
      <c r="X140" s="10"/>
      <c r="Y140" s="10"/>
      <c r="Z140" s="10"/>
      <c r="AA140" s="10"/>
      <c r="AB140" s="10" t="s">
        <v>3</v>
      </c>
      <c r="AC140" s="10" t="s">
        <v>3</v>
      </c>
      <c r="AD140" s="10" t="s">
        <v>3</v>
      </c>
      <c r="AE140" s="10" t="s">
        <v>3</v>
      </c>
      <c r="AF140" s="10" t="s">
        <v>3</v>
      </c>
      <c r="AG140" s="10" t="s">
        <v>3</v>
      </c>
      <c r="AH140" s="10"/>
      <c r="AI140" s="10"/>
      <c r="AJ140" s="10"/>
      <c r="AK140" s="10"/>
      <c r="AL140" s="10"/>
      <c r="AM140" s="10"/>
      <c r="AN140" s="10"/>
      <c r="AO140" s="10"/>
      <c r="AP140" s="10" t="s">
        <v>3</v>
      </c>
      <c r="AQ140" s="10" t="s">
        <v>3</v>
      </c>
      <c r="AR140" s="10" t="s">
        <v>3</v>
      </c>
      <c r="AS140" s="10"/>
      <c r="AT140" s="10"/>
      <c r="AU140" s="10"/>
      <c r="AV140" s="10"/>
      <c r="AW140" s="10"/>
      <c r="AX140" s="10"/>
      <c r="AY140" s="10"/>
      <c r="AZ140" s="10" t="s">
        <v>3</v>
      </c>
      <c r="BA140" s="10"/>
      <c r="BB140" s="10" t="s">
        <v>3</v>
      </c>
      <c r="BC140" s="10" t="s">
        <v>3</v>
      </c>
      <c r="BD140" s="10" t="s">
        <v>3</v>
      </c>
      <c r="BE140" s="10" t="s">
        <v>3</v>
      </c>
      <c r="BF140" s="10" t="s">
        <v>3</v>
      </c>
      <c r="BG140" s="10" t="s">
        <v>3</v>
      </c>
      <c r="BH140" s="10" t="s">
        <v>3</v>
      </c>
      <c r="BI140" s="10" t="s">
        <v>3</v>
      </c>
      <c r="BJ140" s="10" t="s">
        <v>3</v>
      </c>
      <c r="BK140" s="10" t="s">
        <v>3</v>
      </c>
      <c r="BL140" s="10" t="s">
        <v>3</v>
      </c>
      <c r="BM140" s="10" t="s">
        <v>3</v>
      </c>
      <c r="BN140" s="10" t="s">
        <v>3</v>
      </c>
      <c r="BO140" s="10" t="s">
        <v>3</v>
      </c>
      <c r="BP140" s="10" t="s">
        <v>3</v>
      </c>
      <c r="BQ140" s="10"/>
      <c r="BR140" s="10"/>
      <c r="BS140" s="10"/>
      <c r="BT140" s="10"/>
      <c r="BU140" s="10"/>
      <c r="BV140" s="10"/>
      <c r="BW140" s="10"/>
      <c r="BX140" s="10">
        <v>0</v>
      </c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>
        <v>0</v>
      </c>
    </row>
    <row r="142" spans="1:255" x14ac:dyDescent="0.2">
      <c r="A142" s="11">
        <v>52</v>
      </c>
      <c r="B142" s="11">
        <f t="shared" ref="B142:G142" si="114">B155</f>
        <v>1</v>
      </c>
      <c r="C142" s="11">
        <f t="shared" si="114"/>
        <v>4</v>
      </c>
      <c r="D142" s="11">
        <f t="shared" si="114"/>
        <v>140</v>
      </c>
      <c r="E142" s="11">
        <f t="shared" si="114"/>
        <v>0</v>
      </c>
      <c r="F142" s="11" t="str">
        <f t="shared" si="114"/>
        <v>2</v>
      </c>
      <c r="G142" s="11" t="str">
        <f t="shared" si="114"/>
        <v>Оборудование устанавливаемое по месту</v>
      </c>
      <c r="H142" s="11"/>
      <c r="I142" s="11"/>
      <c r="J142" s="11"/>
      <c r="K142" s="11"/>
      <c r="L142" s="11"/>
      <c r="M142" s="11"/>
      <c r="N142" s="11"/>
      <c r="O142" s="11">
        <f t="shared" ref="O142:AT142" si="115">O155</f>
        <v>3147.61</v>
      </c>
      <c r="P142" s="11">
        <f t="shared" si="115"/>
        <v>3045.43</v>
      </c>
      <c r="Q142" s="11">
        <f t="shared" si="115"/>
        <v>0.06</v>
      </c>
      <c r="R142" s="11">
        <f t="shared" si="115"/>
        <v>0.01</v>
      </c>
      <c r="S142" s="11">
        <f t="shared" si="115"/>
        <v>102.12</v>
      </c>
      <c r="T142" s="11">
        <f t="shared" si="115"/>
        <v>0</v>
      </c>
      <c r="U142" s="11">
        <f t="shared" si="115"/>
        <v>7.6813545599999999</v>
      </c>
      <c r="V142" s="11">
        <f t="shared" si="115"/>
        <v>0</v>
      </c>
      <c r="W142" s="11">
        <f t="shared" si="115"/>
        <v>0</v>
      </c>
      <c r="X142" s="11">
        <f t="shared" si="115"/>
        <v>97.34</v>
      </c>
      <c r="Y142" s="11">
        <f t="shared" si="115"/>
        <v>53.81</v>
      </c>
      <c r="Z142" s="11">
        <f t="shared" si="115"/>
        <v>0</v>
      </c>
      <c r="AA142" s="11">
        <f t="shared" si="115"/>
        <v>0</v>
      </c>
      <c r="AB142" s="11">
        <f t="shared" si="115"/>
        <v>3147.61</v>
      </c>
      <c r="AC142" s="11">
        <f t="shared" si="115"/>
        <v>3045.43</v>
      </c>
      <c r="AD142" s="11">
        <f t="shared" si="115"/>
        <v>0.06</v>
      </c>
      <c r="AE142" s="11">
        <f t="shared" si="115"/>
        <v>0.01</v>
      </c>
      <c r="AF142" s="11">
        <f t="shared" si="115"/>
        <v>102.12</v>
      </c>
      <c r="AG142" s="11">
        <f t="shared" si="115"/>
        <v>0</v>
      </c>
      <c r="AH142" s="11">
        <f t="shared" si="115"/>
        <v>7.6813545599999999</v>
      </c>
      <c r="AI142" s="11">
        <f t="shared" si="115"/>
        <v>0</v>
      </c>
      <c r="AJ142" s="11">
        <f t="shared" si="115"/>
        <v>0</v>
      </c>
      <c r="AK142" s="11">
        <f t="shared" si="115"/>
        <v>97.34</v>
      </c>
      <c r="AL142" s="11">
        <f t="shared" si="115"/>
        <v>53.81</v>
      </c>
      <c r="AM142" s="11">
        <f t="shared" si="115"/>
        <v>0</v>
      </c>
      <c r="AN142" s="11">
        <f t="shared" si="115"/>
        <v>0</v>
      </c>
      <c r="AO142" s="11">
        <f t="shared" si="115"/>
        <v>0</v>
      </c>
      <c r="AP142" s="11">
        <f t="shared" si="115"/>
        <v>0</v>
      </c>
      <c r="AQ142" s="11">
        <f t="shared" si="115"/>
        <v>0</v>
      </c>
      <c r="AR142" s="11">
        <f t="shared" si="115"/>
        <v>3298.76</v>
      </c>
      <c r="AS142" s="11">
        <f t="shared" si="115"/>
        <v>0</v>
      </c>
      <c r="AT142" s="11">
        <f t="shared" si="115"/>
        <v>3298.76</v>
      </c>
      <c r="AU142" s="11">
        <f t="shared" ref="AU142:BZ142" si="116">AU155</f>
        <v>0</v>
      </c>
      <c r="AV142" s="11">
        <f t="shared" si="116"/>
        <v>3045.43</v>
      </c>
      <c r="AW142" s="11">
        <f t="shared" si="116"/>
        <v>3045.43</v>
      </c>
      <c r="AX142" s="11">
        <f t="shared" si="116"/>
        <v>0</v>
      </c>
      <c r="AY142" s="11">
        <f t="shared" si="116"/>
        <v>3045.43</v>
      </c>
      <c r="AZ142" s="11">
        <f t="shared" si="116"/>
        <v>0</v>
      </c>
      <c r="BA142" s="11">
        <f t="shared" si="116"/>
        <v>0</v>
      </c>
      <c r="BB142" s="11">
        <f t="shared" si="116"/>
        <v>0</v>
      </c>
      <c r="BC142" s="11">
        <f t="shared" si="116"/>
        <v>0</v>
      </c>
      <c r="BD142" s="11">
        <f t="shared" si="116"/>
        <v>0</v>
      </c>
      <c r="BE142" s="11">
        <f t="shared" si="116"/>
        <v>0</v>
      </c>
      <c r="BF142" s="11">
        <f t="shared" si="116"/>
        <v>0</v>
      </c>
      <c r="BG142" s="11">
        <f t="shared" si="116"/>
        <v>0</v>
      </c>
      <c r="BH142" s="11">
        <f t="shared" si="116"/>
        <v>0</v>
      </c>
      <c r="BI142" s="11">
        <f t="shared" si="116"/>
        <v>0</v>
      </c>
      <c r="BJ142" s="11">
        <f t="shared" si="116"/>
        <v>0</v>
      </c>
      <c r="BK142" s="11">
        <f t="shared" si="116"/>
        <v>0</v>
      </c>
      <c r="BL142" s="11">
        <f t="shared" si="116"/>
        <v>0</v>
      </c>
      <c r="BM142" s="11">
        <f t="shared" si="116"/>
        <v>0</v>
      </c>
      <c r="BN142" s="11">
        <f t="shared" si="116"/>
        <v>0</v>
      </c>
      <c r="BO142" s="11">
        <f t="shared" si="116"/>
        <v>0</v>
      </c>
      <c r="BP142" s="11">
        <f t="shared" si="116"/>
        <v>0</v>
      </c>
      <c r="BQ142" s="11">
        <f t="shared" si="116"/>
        <v>0</v>
      </c>
      <c r="BR142" s="11">
        <f t="shared" si="116"/>
        <v>0</v>
      </c>
      <c r="BS142" s="11">
        <f t="shared" si="116"/>
        <v>0</v>
      </c>
      <c r="BT142" s="11">
        <f t="shared" si="116"/>
        <v>0</v>
      </c>
      <c r="BU142" s="11">
        <f t="shared" si="116"/>
        <v>0</v>
      </c>
      <c r="BV142" s="11">
        <f t="shared" si="116"/>
        <v>0</v>
      </c>
      <c r="BW142" s="11">
        <f t="shared" si="116"/>
        <v>0</v>
      </c>
      <c r="BX142" s="11">
        <f t="shared" si="116"/>
        <v>0</v>
      </c>
      <c r="BY142" s="11">
        <f t="shared" si="116"/>
        <v>0</v>
      </c>
      <c r="BZ142" s="11">
        <f t="shared" si="116"/>
        <v>0</v>
      </c>
      <c r="CA142" s="11">
        <f t="shared" ref="CA142:DF142" si="117">CA155</f>
        <v>3298.76</v>
      </c>
      <c r="CB142" s="11">
        <f t="shared" si="117"/>
        <v>0</v>
      </c>
      <c r="CC142" s="11">
        <f t="shared" si="117"/>
        <v>3298.76</v>
      </c>
      <c r="CD142" s="11">
        <f t="shared" si="117"/>
        <v>0</v>
      </c>
      <c r="CE142" s="11">
        <f t="shared" si="117"/>
        <v>3045.43</v>
      </c>
      <c r="CF142" s="11">
        <f t="shared" si="117"/>
        <v>3045.43</v>
      </c>
      <c r="CG142" s="11">
        <f t="shared" si="117"/>
        <v>0</v>
      </c>
      <c r="CH142" s="11">
        <f t="shared" si="117"/>
        <v>3045.43</v>
      </c>
      <c r="CI142" s="11">
        <f t="shared" si="117"/>
        <v>0</v>
      </c>
      <c r="CJ142" s="11">
        <f t="shared" si="117"/>
        <v>0</v>
      </c>
      <c r="CK142" s="11">
        <f t="shared" si="117"/>
        <v>0</v>
      </c>
      <c r="CL142" s="11">
        <f t="shared" si="117"/>
        <v>0</v>
      </c>
      <c r="CM142" s="11">
        <f t="shared" si="117"/>
        <v>0</v>
      </c>
      <c r="CN142" s="11">
        <f t="shared" si="117"/>
        <v>0</v>
      </c>
      <c r="CO142" s="11">
        <f t="shared" si="117"/>
        <v>0</v>
      </c>
      <c r="CP142" s="11">
        <f t="shared" si="117"/>
        <v>0</v>
      </c>
      <c r="CQ142" s="11">
        <f t="shared" si="117"/>
        <v>0</v>
      </c>
      <c r="CR142" s="11">
        <f t="shared" si="117"/>
        <v>0</v>
      </c>
      <c r="CS142" s="11">
        <f t="shared" si="117"/>
        <v>0</v>
      </c>
      <c r="CT142" s="11">
        <f t="shared" si="117"/>
        <v>0</v>
      </c>
      <c r="CU142" s="11">
        <f t="shared" si="117"/>
        <v>0</v>
      </c>
      <c r="CV142" s="11">
        <f t="shared" si="117"/>
        <v>0</v>
      </c>
      <c r="CW142" s="11">
        <f t="shared" si="117"/>
        <v>0</v>
      </c>
      <c r="CX142" s="11">
        <f t="shared" si="117"/>
        <v>0</v>
      </c>
      <c r="CY142" s="11">
        <f t="shared" si="117"/>
        <v>0</v>
      </c>
      <c r="CZ142" s="11">
        <f t="shared" si="117"/>
        <v>0</v>
      </c>
      <c r="DA142" s="11">
        <f t="shared" si="117"/>
        <v>0</v>
      </c>
      <c r="DB142" s="11">
        <f t="shared" si="117"/>
        <v>0</v>
      </c>
      <c r="DC142" s="11">
        <f t="shared" si="117"/>
        <v>0</v>
      </c>
      <c r="DD142" s="11">
        <f t="shared" si="117"/>
        <v>0</v>
      </c>
      <c r="DE142" s="11">
        <f t="shared" si="117"/>
        <v>0</v>
      </c>
      <c r="DF142" s="11">
        <f t="shared" si="117"/>
        <v>0</v>
      </c>
      <c r="DG142" s="12">
        <f t="shared" ref="DG142:EL142" si="118">DG155</f>
        <v>16283.03</v>
      </c>
      <c r="DH142" s="12">
        <f t="shared" si="118"/>
        <v>10527.54</v>
      </c>
      <c r="DI142" s="12">
        <f t="shared" si="118"/>
        <v>1.03</v>
      </c>
      <c r="DJ142" s="12">
        <f t="shared" si="118"/>
        <v>0.56000000000000005</v>
      </c>
      <c r="DK142" s="12">
        <f t="shared" si="118"/>
        <v>5754.46</v>
      </c>
      <c r="DL142" s="12">
        <f t="shared" si="118"/>
        <v>0</v>
      </c>
      <c r="DM142" s="12">
        <f t="shared" si="118"/>
        <v>7.6813545599999999</v>
      </c>
      <c r="DN142" s="12">
        <f t="shared" si="118"/>
        <v>0</v>
      </c>
      <c r="DO142" s="12">
        <f t="shared" si="118"/>
        <v>0</v>
      </c>
      <c r="DP142" s="12">
        <f t="shared" si="118"/>
        <v>5485.17</v>
      </c>
      <c r="DQ142" s="12">
        <f t="shared" si="118"/>
        <v>3032.26</v>
      </c>
      <c r="DR142" s="12">
        <f t="shared" si="118"/>
        <v>0</v>
      </c>
      <c r="DS142" s="12">
        <f t="shared" si="118"/>
        <v>0</v>
      </c>
      <c r="DT142" s="12">
        <f t="shared" si="118"/>
        <v>16283.03</v>
      </c>
      <c r="DU142" s="12">
        <f t="shared" si="118"/>
        <v>10527.54</v>
      </c>
      <c r="DV142" s="12">
        <f t="shared" si="118"/>
        <v>1.03</v>
      </c>
      <c r="DW142" s="12">
        <f t="shared" si="118"/>
        <v>0.56000000000000005</v>
      </c>
      <c r="DX142" s="12">
        <f t="shared" si="118"/>
        <v>5754.46</v>
      </c>
      <c r="DY142" s="12">
        <f t="shared" si="118"/>
        <v>0</v>
      </c>
      <c r="DZ142" s="12">
        <f t="shared" si="118"/>
        <v>7.6813545599999999</v>
      </c>
      <c r="EA142" s="12">
        <f t="shared" si="118"/>
        <v>0</v>
      </c>
      <c r="EB142" s="12">
        <f t="shared" si="118"/>
        <v>0</v>
      </c>
      <c r="EC142" s="12">
        <f t="shared" si="118"/>
        <v>5485.17</v>
      </c>
      <c r="ED142" s="12">
        <f t="shared" si="118"/>
        <v>3032.26</v>
      </c>
      <c r="EE142" s="12">
        <f t="shared" si="118"/>
        <v>0</v>
      </c>
      <c r="EF142" s="12">
        <f t="shared" si="118"/>
        <v>0</v>
      </c>
      <c r="EG142" s="12">
        <f t="shared" si="118"/>
        <v>0</v>
      </c>
      <c r="EH142" s="12">
        <f t="shared" si="118"/>
        <v>0</v>
      </c>
      <c r="EI142" s="12">
        <f t="shared" si="118"/>
        <v>0</v>
      </c>
      <c r="EJ142" s="12">
        <f t="shared" si="118"/>
        <v>24800.46</v>
      </c>
      <c r="EK142" s="12">
        <f t="shared" si="118"/>
        <v>0</v>
      </c>
      <c r="EL142" s="12">
        <f t="shared" si="118"/>
        <v>24800.46</v>
      </c>
      <c r="EM142" s="12">
        <f t="shared" ref="EM142:FR142" si="119">EM155</f>
        <v>0</v>
      </c>
      <c r="EN142" s="12">
        <f t="shared" si="119"/>
        <v>10527.54</v>
      </c>
      <c r="EO142" s="12">
        <f t="shared" si="119"/>
        <v>10527.54</v>
      </c>
      <c r="EP142" s="12">
        <f t="shared" si="119"/>
        <v>0</v>
      </c>
      <c r="EQ142" s="12">
        <f t="shared" si="119"/>
        <v>10527.54</v>
      </c>
      <c r="ER142" s="12">
        <f t="shared" si="119"/>
        <v>0</v>
      </c>
      <c r="ES142" s="12">
        <f t="shared" si="119"/>
        <v>0</v>
      </c>
      <c r="ET142" s="12">
        <f t="shared" si="119"/>
        <v>0</v>
      </c>
      <c r="EU142" s="12">
        <f t="shared" si="119"/>
        <v>0</v>
      </c>
      <c r="EV142" s="12">
        <f t="shared" si="119"/>
        <v>0</v>
      </c>
      <c r="EW142" s="12">
        <f t="shared" si="119"/>
        <v>0</v>
      </c>
      <c r="EX142" s="12">
        <f t="shared" si="119"/>
        <v>0</v>
      </c>
      <c r="EY142" s="12">
        <f t="shared" si="119"/>
        <v>0</v>
      </c>
      <c r="EZ142" s="12">
        <f t="shared" si="119"/>
        <v>0</v>
      </c>
      <c r="FA142" s="12">
        <f t="shared" si="119"/>
        <v>0</v>
      </c>
      <c r="FB142" s="12">
        <f t="shared" si="119"/>
        <v>0</v>
      </c>
      <c r="FC142" s="12">
        <f t="shared" si="119"/>
        <v>0</v>
      </c>
      <c r="FD142" s="12">
        <f t="shared" si="119"/>
        <v>0</v>
      </c>
      <c r="FE142" s="12">
        <f t="shared" si="119"/>
        <v>0</v>
      </c>
      <c r="FF142" s="12">
        <f t="shared" si="119"/>
        <v>0</v>
      </c>
      <c r="FG142" s="12">
        <f t="shared" si="119"/>
        <v>0</v>
      </c>
      <c r="FH142" s="12">
        <f t="shared" si="119"/>
        <v>0</v>
      </c>
      <c r="FI142" s="12">
        <f t="shared" si="119"/>
        <v>0</v>
      </c>
      <c r="FJ142" s="12">
        <f t="shared" si="119"/>
        <v>0</v>
      </c>
      <c r="FK142" s="12">
        <f t="shared" si="119"/>
        <v>0</v>
      </c>
      <c r="FL142" s="12">
        <f t="shared" si="119"/>
        <v>0</v>
      </c>
      <c r="FM142" s="12">
        <f t="shared" si="119"/>
        <v>0</v>
      </c>
      <c r="FN142" s="12">
        <f t="shared" si="119"/>
        <v>0</v>
      </c>
      <c r="FO142" s="12">
        <f t="shared" si="119"/>
        <v>0</v>
      </c>
      <c r="FP142" s="12">
        <f t="shared" si="119"/>
        <v>0</v>
      </c>
      <c r="FQ142" s="12">
        <f t="shared" si="119"/>
        <v>0</v>
      </c>
      <c r="FR142" s="12">
        <f t="shared" si="119"/>
        <v>0</v>
      </c>
      <c r="FS142" s="12">
        <f t="shared" ref="FS142:GX142" si="120">FS155</f>
        <v>24800.46</v>
      </c>
      <c r="FT142" s="12">
        <f t="shared" si="120"/>
        <v>0</v>
      </c>
      <c r="FU142" s="12">
        <f t="shared" si="120"/>
        <v>24800.46</v>
      </c>
      <c r="FV142" s="12">
        <f t="shared" si="120"/>
        <v>0</v>
      </c>
      <c r="FW142" s="12">
        <f t="shared" si="120"/>
        <v>10527.54</v>
      </c>
      <c r="FX142" s="12">
        <f t="shared" si="120"/>
        <v>10527.54</v>
      </c>
      <c r="FY142" s="12">
        <f t="shared" si="120"/>
        <v>0</v>
      </c>
      <c r="FZ142" s="12">
        <f t="shared" si="120"/>
        <v>10527.54</v>
      </c>
      <c r="GA142" s="12">
        <f t="shared" si="120"/>
        <v>0</v>
      </c>
      <c r="GB142" s="12">
        <f t="shared" si="120"/>
        <v>0</v>
      </c>
      <c r="GC142" s="12">
        <f t="shared" si="120"/>
        <v>0</v>
      </c>
      <c r="GD142" s="12">
        <f t="shared" si="120"/>
        <v>0</v>
      </c>
      <c r="GE142" s="12">
        <f t="shared" si="120"/>
        <v>0</v>
      </c>
      <c r="GF142" s="12">
        <f t="shared" si="120"/>
        <v>0</v>
      </c>
      <c r="GG142" s="12">
        <f t="shared" si="120"/>
        <v>0</v>
      </c>
      <c r="GH142" s="12">
        <f t="shared" si="120"/>
        <v>0</v>
      </c>
      <c r="GI142" s="12">
        <f t="shared" si="120"/>
        <v>0</v>
      </c>
      <c r="GJ142" s="12">
        <f t="shared" si="120"/>
        <v>0</v>
      </c>
      <c r="GK142" s="12">
        <f t="shared" si="120"/>
        <v>0</v>
      </c>
      <c r="GL142" s="12">
        <f t="shared" si="120"/>
        <v>0</v>
      </c>
      <c r="GM142" s="12">
        <f t="shared" si="120"/>
        <v>0</v>
      </c>
      <c r="GN142" s="12">
        <f t="shared" si="120"/>
        <v>0</v>
      </c>
      <c r="GO142" s="12">
        <f t="shared" si="120"/>
        <v>0</v>
      </c>
      <c r="GP142" s="12">
        <f t="shared" si="120"/>
        <v>0</v>
      </c>
      <c r="GQ142" s="12">
        <f t="shared" si="120"/>
        <v>0</v>
      </c>
      <c r="GR142" s="12">
        <f t="shared" si="120"/>
        <v>0</v>
      </c>
      <c r="GS142" s="12">
        <f t="shared" si="120"/>
        <v>0</v>
      </c>
      <c r="GT142" s="12">
        <f t="shared" si="120"/>
        <v>0</v>
      </c>
      <c r="GU142" s="12">
        <f t="shared" si="120"/>
        <v>0</v>
      </c>
      <c r="GV142" s="12">
        <f t="shared" si="120"/>
        <v>0</v>
      </c>
      <c r="GW142" s="12">
        <f t="shared" si="120"/>
        <v>0</v>
      </c>
      <c r="GX142" s="12">
        <f t="shared" si="120"/>
        <v>0</v>
      </c>
    </row>
    <row r="144" spans="1:255" x14ac:dyDescent="0.2">
      <c r="A144" s="2">
        <v>17</v>
      </c>
      <c r="B144" s="2">
        <v>1</v>
      </c>
      <c r="C144" s="2">
        <f>ROW(SmtRes!A104)</f>
        <v>104</v>
      </c>
      <c r="D144" s="2">
        <f>ROW(EtalonRes!A118)</f>
        <v>118</v>
      </c>
      <c r="E144" s="2" t="s">
        <v>179</v>
      </c>
      <c r="F144" s="2" t="s">
        <v>31</v>
      </c>
      <c r="G144" s="2" t="s">
        <v>141</v>
      </c>
      <c r="H144" s="2" t="s">
        <v>33</v>
      </c>
      <c r="I144" s="2">
        <v>6</v>
      </c>
      <c r="J144" s="2">
        <v>0</v>
      </c>
      <c r="K144" s="2">
        <v>6</v>
      </c>
      <c r="L144" s="2"/>
      <c r="M144" s="2"/>
      <c r="N144" s="2"/>
      <c r="O144" s="2">
        <f t="shared" ref="O144:O153" si="121">ROUND(CP144,2)</f>
        <v>88.05</v>
      </c>
      <c r="P144" s="2">
        <f t="shared" ref="P144:P153" si="122">ROUND((ROUND((AC144*AW144*I144),2)*BC144),2)</f>
        <v>1.8</v>
      </c>
      <c r="Q144" s="2">
        <f>(ROUND((ROUND((((ET144*1.2))*AV144*I144),2)*BB144),2)+ROUND((ROUND(((AE144-((EU144*1.2)))*AV144*I144),2)*BS144),2))</f>
        <v>0</v>
      </c>
      <c r="R144" s="2">
        <f>(ROUND((ROUND((((EU144*1.2))*AV144*I144),2)*BS144),2)+ROUND((ROUND(((AE144-((EU144*1.2)))*AV144*I144),2)*BS144),2))</f>
        <v>0</v>
      </c>
      <c r="S144" s="2">
        <f t="shared" ref="S144:S153" si="123">ROUND((ROUND((AF144*AV144*I144),2)*BA144),2)</f>
        <v>86.25</v>
      </c>
      <c r="T144" s="2">
        <f t="shared" ref="T144:T153" si="124">ROUND(CU144*I144,2)</f>
        <v>0</v>
      </c>
      <c r="U144" s="2">
        <f t="shared" ref="U144:U153" si="125">CV144*I144</f>
        <v>6.26112</v>
      </c>
      <c r="V144" s="2">
        <f t="shared" ref="V144:V153" si="126">CW144*I144</f>
        <v>0</v>
      </c>
      <c r="W144" s="2">
        <f t="shared" ref="W144:W153" si="127">ROUND(CX144*I144,2)</f>
        <v>0</v>
      </c>
      <c r="X144" s="2">
        <f>(ROUND((((S144+ROUND((ROUND((((EU144*1.2))*AV144*I144),2)*BS144),2))*AT144)/100),2)+ROUND(((ROUND((ROUND(((AE144-((EU144*1.2)))*AV144*I144),2)*BS144),2)*AT144)/100),2))</f>
        <v>81.94</v>
      </c>
      <c r="Y144" s="2">
        <f>(ROUND((((S144+ROUND((ROUND((((EU144*1.2))*AV144*I144),2)*BS144),2))*AU144)/100),2)+ROUND(((ROUND((ROUND(((AE144-((EU144*1.2)))*AV144*I144),2)*BS144),2)*AU144)/100),2))</f>
        <v>45.71</v>
      </c>
      <c r="Z144" s="2"/>
      <c r="AA144" s="2">
        <v>55919547</v>
      </c>
      <c r="AB144" s="2">
        <f t="shared" ref="AB144:AB153" si="128">ROUND((AC144+AD144+AF144),6)</f>
        <v>13.523999999999999</v>
      </c>
      <c r="AC144" s="2">
        <f>ROUND(((ES144*1)),6)</f>
        <v>0.3</v>
      </c>
      <c r="AD144" s="2">
        <f>ROUND(((((ET144*1.2))-((EU144*1.2)))+AE144),6)</f>
        <v>0</v>
      </c>
      <c r="AE144" s="2">
        <f>ROUND(((EU144*1.2)),6)</f>
        <v>0</v>
      </c>
      <c r="AF144" s="2">
        <f>ROUND(((EV144*1.2)),6)</f>
        <v>13.224</v>
      </c>
      <c r="AG144" s="2">
        <f t="shared" ref="AG144:AG153" si="129">ROUND((AP144),6)</f>
        <v>0</v>
      </c>
      <c r="AH144" s="2">
        <f>((EW144*1.2))</f>
        <v>0.96</v>
      </c>
      <c r="AI144" s="2">
        <f>((EX144*1.2))</f>
        <v>0</v>
      </c>
      <c r="AJ144" s="2">
        <f t="shared" ref="AJ144:AJ153" si="130">(AS144)</f>
        <v>0</v>
      </c>
      <c r="AK144" s="2">
        <v>11.32</v>
      </c>
      <c r="AL144" s="2">
        <v>0.3</v>
      </c>
      <c r="AM144" s="2">
        <v>0</v>
      </c>
      <c r="AN144" s="2">
        <v>0</v>
      </c>
      <c r="AO144" s="2">
        <v>11.02</v>
      </c>
      <c r="AP144" s="2">
        <v>0</v>
      </c>
      <c r="AQ144" s="2">
        <v>0.8</v>
      </c>
      <c r="AR144" s="2">
        <v>0</v>
      </c>
      <c r="AS144" s="2">
        <v>0</v>
      </c>
      <c r="AT144" s="2">
        <v>95</v>
      </c>
      <c r="AU144" s="2">
        <v>53</v>
      </c>
      <c r="AV144" s="2">
        <v>1.087</v>
      </c>
      <c r="AW144" s="2">
        <v>1</v>
      </c>
      <c r="AX144" s="2"/>
      <c r="AY144" s="2"/>
      <c r="AZ144" s="2">
        <v>1</v>
      </c>
      <c r="BA144" s="2">
        <v>1</v>
      </c>
      <c r="BB144" s="2">
        <v>1</v>
      </c>
      <c r="BC144" s="2">
        <v>1</v>
      </c>
      <c r="BD144" s="2" t="s">
        <v>3</v>
      </c>
      <c r="BE144" s="2" t="s">
        <v>3</v>
      </c>
      <c r="BF144" s="2" t="s">
        <v>3</v>
      </c>
      <c r="BG144" s="2" t="s">
        <v>3</v>
      </c>
      <c r="BH144" s="2">
        <v>0</v>
      </c>
      <c r="BI144" s="2">
        <v>2</v>
      </c>
      <c r="BJ144" s="2" t="s">
        <v>34</v>
      </c>
      <c r="BK144" s="2"/>
      <c r="BL144" s="2"/>
      <c r="BM144" s="2">
        <v>69</v>
      </c>
      <c r="BN144" s="2">
        <v>0</v>
      </c>
      <c r="BO144" s="2" t="s">
        <v>31</v>
      </c>
      <c r="BP144" s="2">
        <v>1</v>
      </c>
      <c r="BQ144" s="2">
        <v>40</v>
      </c>
      <c r="BR144" s="2">
        <v>0</v>
      </c>
      <c r="BS144" s="2">
        <v>1</v>
      </c>
      <c r="BT144" s="2">
        <v>1</v>
      </c>
      <c r="BU144" s="2">
        <v>1</v>
      </c>
      <c r="BV144" s="2">
        <v>1</v>
      </c>
      <c r="BW144" s="2">
        <v>1</v>
      </c>
      <c r="BX144" s="2">
        <v>1</v>
      </c>
      <c r="BY144" s="2" t="s">
        <v>3</v>
      </c>
      <c r="BZ144" s="2">
        <v>95</v>
      </c>
      <c r="CA144" s="2">
        <v>53</v>
      </c>
      <c r="CB144" s="2" t="s">
        <v>3</v>
      </c>
      <c r="CC144" s="2"/>
      <c r="CD144" s="2"/>
      <c r="CE144" s="2">
        <v>1566</v>
      </c>
      <c r="CF144" s="2">
        <v>0</v>
      </c>
      <c r="CG144" s="2">
        <v>0</v>
      </c>
      <c r="CH144" s="2"/>
      <c r="CI144" s="2"/>
      <c r="CJ144" s="2"/>
      <c r="CK144" s="2"/>
      <c r="CL144" s="2"/>
      <c r="CM144" s="2">
        <v>0</v>
      </c>
      <c r="CN144" s="2" t="s">
        <v>491</v>
      </c>
      <c r="CO144" s="2">
        <v>0</v>
      </c>
      <c r="CP144" s="2">
        <f t="shared" ref="CP144:CP153" si="131">(P144+Q144+S144)</f>
        <v>88.05</v>
      </c>
      <c r="CQ144" s="2">
        <f t="shared" ref="CQ144:CQ153" si="132">ROUND((ROUND((AC144*AW144*1),2)*BC144),2)</f>
        <v>0.3</v>
      </c>
      <c r="CR144" s="2">
        <f>(ROUND((ROUND((((ET144*1.2))*AV144*1),2)*BB144),2)+ROUND((ROUND(((AE144-((EU144*1.2)))*AV144*1),2)*BS144),2))</f>
        <v>0</v>
      </c>
      <c r="CS144" s="2">
        <f>(ROUND((ROUND((((EU144*1.2))*AV144*1),2)*BS144),2)+ROUND((ROUND(((AE144-((EU144*1.2)))*AV144*1),2)*BS144),2))</f>
        <v>0</v>
      </c>
      <c r="CT144" s="2">
        <f t="shared" ref="CT144:CT153" si="133">ROUND((ROUND((AF144*AV144*1),2)*BA144),2)</f>
        <v>14.37</v>
      </c>
      <c r="CU144" s="2">
        <f t="shared" ref="CU144:CU153" si="134">AG144</f>
        <v>0</v>
      </c>
      <c r="CV144" s="2">
        <f t="shared" ref="CV144:CV153" si="135">(AH144*AV144)</f>
        <v>1.04352</v>
      </c>
      <c r="CW144" s="2">
        <f t="shared" ref="CW144:CW153" si="136">AI144</f>
        <v>0</v>
      </c>
      <c r="CX144" s="2">
        <f t="shared" ref="CX144:CX153" si="137">AJ144</f>
        <v>0</v>
      </c>
      <c r="CY144" s="2">
        <f>(ROUND((((S144+ROUND((ROUND((((EU144*1.2))*AV144*1),2)*BS144),2))*AT144)/100),2)+ROUND(((ROUND((ROUND(((AE144-((EU144*1.2)))*AV144*1),2)*BS144),2)*AT144)/100),2))</f>
        <v>81.94</v>
      </c>
      <c r="CZ144" s="2">
        <f>(ROUND((((S144+ROUND((ROUND((((EU144*1.2))*AV144*1),2)*BS144),2))*AU144)/100),2)+ROUND(((ROUND((ROUND(((AE144-((EU144*1.2)))*AV144*1),2)*BS144),2)*AU144)/100),2))</f>
        <v>45.71</v>
      </c>
      <c r="DA144" s="2"/>
      <c r="DB144" s="2">
        <v>47</v>
      </c>
      <c r="DC144" s="2" t="s">
        <v>3</v>
      </c>
      <c r="DD144" s="2" t="s">
        <v>56</v>
      </c>
      <c r="DE144" s="2" t="s">
        <v>57</v>
      </c>
      <c r="DF144" s="2" t="s">
        <v>57</v>
      </c>
      <c r="DG144" s="2" t="s">
        <v>57</v>
      </c>
      <c r="DH144" s="2" t="s">
        <v>3</v>
      </c>
      <c r="DI144" s="2" t="s">
        <v>57</v>
      </c>
      <c r="DJ144" s="2" t="s">
        <v>57</v>
      </c>
      <c r="DK144" s="2" t="s">
        <v>3</v>
      </c>
      <c r="DL144" s="2" t="s">
        <v>3</v>
      </c>
      <c r="DM144" s="2" t="s">
        <v>3</v>
      </c>
      <c r="DN144" s="2">
        <v>0</v>
      </c>
      <c r="DO144" s="2">
        <v>0</v>
      </c>
      <c r="DP144" s="2">
        <v>1</v>
      </c>
      <c r="DQ144" s="2">
        <v>1</v>
      </c>
      <c r="DR144" s="2"/>
      <c r="DS144" s="2"/>
      <c r="DT144" s="2"/>
      <c r="DU144" s="2">
        <v>1013</v>
      </c>
      <c r="DV144" s="2" t="s">
        <v>33</v>
      </c>
      <c r="DW144" s="2" t="s">
        <v>33</v>
      </c>
      <c r="DX144" s="2">
        <v>1</v>
      </c>
      <c r="DY144" s="2"/>
      <c r="DZ144" s="2" t="s">
        <v>3</v>
      </c>
      <c r="EA144" s="2" t="s">
        <v>3</v>
      </c>
      <c r="EB144" s="2" t="s">
        <v>3</v>
      </c>
      <c r="EC144" s="2" t="s">
        <v>3</v>
      </c>
      <c r="ED144" s="2"/>
      <c r="EE144" s="2">
        <v>55393701</v>
      </c>
      <c r="EF144" s="2">
        <v>40</v>
      </c>
      <c r="EG144" s="2" t="s">
        <v>26</v>
      </c>
      <c r="EH144" s="2">
        <v>0</v>
      </c>
      <c r="EI144" s="2" t="s">
        <v>3</v>
      </c>
      <c r="EJ144" s="2">
        <v>2</v>
      </c>
      <c r="EK144" s="2">
        <v>69</v>
      </c>
      <c r="EL144" s="2" t="s">
        <v>27</v>
      </c>
      <c r="EM144" s="2" t="s">
        <v>28</v>
      </c>
      <c r="EN144" s="2"/>
      <c r="EO144" s="2" t="s">
        <v>61</v>
      </c>
      <c r="EP144" s="2"/>
      <c r="EQ144" s="2">
        <v>0</v>
      </c>
      <c r="ER144" s="2">
        <v>11.32</v>
      </c>
      <c r="ES144" s="2">
        <v>0.3</v>
      </c>
      <c r="ET144" s="2">
        <v>0</v>
      </c>
      <c r="EU144" s="2">
        <v>0</v>
      </c>
      <c r="EV144" s="2">
        <v>11.02</v>
      </c>
      <c r="EW144" s="2">
        <v>0.8</v>
      </c>
      <c r="EX144" s="2">
        <v>0</v>
      </c>
      <c r="EY144" s="2">
        <v>0</v>
      </c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>
        <v>0</v>
      </c>
      <c r="FR144" s="2">
        <v>0</v>
      </c>
      <c r="FS144" s="2">
        <v>0</v>
      </c>
      <c r="FT144" s="2"/>
      <c r="FU144" s="2"/>
      <c r="FV144" s="2"/>
      <c r="FW144" s="2"/>
      <c r="FX144" s="2">
        <v>95</v>
      </c>
      <c r="FY144" s="2">
        <v>53</v>
      </c>
      <c r="FZ144" s="2"/>
      <c r="GA144" s="2" t="s">
        <v>3</v>
      </c>
      <c r="GB144" s="2"/>
      <c r="GC144" s="2"/>
      <c r="GD144" s="2">
        <v>1</v>
      </c>
      <c r="GE144" s="2"/>
      <c r="GF144" s="2">
        <v>765090221</v>
      </c>
      <c r="GG144" s="2">
        <v>2</v>
      </c>
      <c r="GH144" s="2">
        <v>1</v>
      </c>
      <c r="GI144" s="2">
        <v>2</v>
      </c>
      <c r="GJ144" s="2">
        <v>0</v>
      </c>
      <c r="GK144" s="2">
        <v>0</v>
      </c>
      <c r="GL144" s="2">
        <f t="shared" ref="GL144:GL153" si="138">ROUND(IF(AND(BH144=3,BI144=3,FS144&lt;&gt;0),P144,0),2)</f>
        <v>0</v>
      </c>
      <c r="GM144" s="2">
        <f t="shared" ref="GM144:GM153" si="139">ROUND(O144+X144+Y144,2)+GX144</f>
        <v>215.7</v>
      </c>
      <c r="GN144" s="2">
        <f t="shared" ref="GN144:GN153" si="140">IF(OR(BI144=0,BI144=1),GM144-GX144,0)</f>
        <v>0</v>
      </c>
      <c r="GO144" s="2">
        <f t="shared" ref="GO144:GO153" si="141">IF(BI144=2,GM144-GX144,0)</f>
        <v>215.7</v>
      </c>
      <c r="GP144" s="2">
        <f t="shared" ref="GP144:GP153" si="142">IF(BI144=4,GM144-GX144,0)</f>
        <v>0</v>
      </c>
      <c r="GQ144" s="2"/>
      <c r="GR144" s="2">
        <v>0</v>
      </c>
      <c r="GS144" s="2">
        <v>3</v>
      </c>
      <c r="GT144" s="2">
        <v>0</v>
      </c>
      <c r="GU144" s="2" t="s">
        <v>3</v>
      </c>
      <c r="GV144" s="2">
        <f t="shared" ref="GV144:GV153" si="143">ROUND((GT144),6)</f>
        <v>0</v>
      </c>
      <c r="GW144" s="2">
        <v>1</v>
      </c>
      <c r="GX144" s="2">
        <f t="shared" ref="GX144:GX153" si="144">ROUND(HC144*I144,2)</f>
        <v>0</v>
      </c>
      <c r="GY144" s="2"/>
      <c r="GZ144" s="2"/>
      <c r="HA144" s="2">
        <v>0</v>
      </c>
      <c r="HB144" s="2">
        <v>0</v>
      </c>
      <c r="HC144" s="2">
        <f t="shared" ref="HC144:HC153" si="145">GV144*GW144</f>
        <v>0</v>
      </c>
      <c r="HD144" s="2"/>
      <c r="HE144" s="2" t="s">
        <v>3</v>
      </c>
      <c r="HF144" s="2" t="s">
        <v>3</v>
      </c>
      <c r="HG144" s="2"/>
      <c r="HH144" s="2"/>
      <c r="HI144" s="2"/>
      <c r="HJ144" s="2"/>
      <c r="HK144" s="2"/>
      <c r="HL144" s="2"/>
      <c r="HM144" s="2" t="s">
        <v>3</v>
      </c>
      <c r="HN144" s="2" t="s">
        <v>3</v>
      </c>
      <c r="HO144" s="2" t="s">
        <v>3</v>
      </c>
      <c r="HP144" s="2" t="s">
        <v>3</v>
      </c>
      <c r="HQ144" s="2" t="s">
        <v>3</v>
      </c>
      <c r="HR144" s="2"/>
      <c r="HS144" s="2">
        <v>0</v>
      </c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>
        <v>0</v>
      </c>
      <c r="IL144" s="2"/>
      <c r="IM144" s="2"/>
      <c r="IN144" s="2"/>
      <c r="IO144" s="2"/>
      <c r="IP144" s="2"/>
      <c r="IQ144" s="2"/>
      <c r="IR144" s="2"/>
      <c r="IS144" s="2"/>
      <c r="IT144" s="2"/>
      <c r="IU144" s="2"/>
    </row>
    <row r="145" spans="1:255" x14ac:dyDescent="0.2">
      <c r="A145" s="3">
        <v>17</v>
      </c>
      <c r="B145" s="3">
        <v>1</v>
      </c>
      <c r="C145" s="3">
        <f>ROW(SmtRes!A106)</f>
        <v>106</v>
      </c>
      <c r="D145" s="3">
        <f>ROW(EtalonRes!A120)</f>
        <v>120</v>
      </c>
      <c r="E145" s="3" t="s">
        <v>179</v>
      </c>
      <c r="F145" s="3" t="s">
        <v>31</v>
      </c>
      <c r="G145" s="3" t="s">
        <v>141</v>
      </c>
      <c r="H145" s="3" t="s">
        <v>33</v>
      </c>
      <c r="I145" s="3">
        <v>6</v>
      </c>
      <c r="J145" s="3">
        <v>0</v>
      </c>
      <c r="K145" s="3">
        <v>6</v>
      </c>
      <c r="O145" s="3">
        <f t="shared" si="121"/>
        <v>4873.46</v>
      </c>
      <c r="P145" s="3">
        <f t="shared" si="122"/>
        <v>13.27</v>
      </c>
      <c r="Q145" s="3">
        <f>(ROUND((ROUND((((ET145*1.2))*AV145*I145),2)*BB145),2)+ROUND((ROUND(((AE145-((EU145*1.2)))*AV145*I145),2)*BS145),2))</f>
        <v>0</v>
      </c>
      <c r="R145" s="3">
        <f>(ROUND((ROUND((((EU145*1.2))*AV145*I145),2)*BS145),2)+ROUND((ROUND(((AE145-((EU145*1.2)))*AV145*I145),2)*BS145),2))</f>
        <v>0</v>
      </c>
      <c r="S145" s="3">
        <f t="shared" si="123"/>
        <v>4860.1899999999996</v>
      </c>
      <c r="T145" s="3">
        <f t="shared" si="124"/>
        <v>0</v>
      </c>
      <c r="U145" s="3">
        <f t="shared" si="125"/>
        <v>6.26112</v>
      </c>
      <c r="V145" s="3">
        <f t="shared" si="126"/>
        <v>0</v>
      </c>
      <c r="W145" s="3">
        <f t="shared" si="127"/>
        <v>0</v>
      </c>
      <c r="X145" s="3">
        <f>(ROUND((((S145+ROUND((ROUND((((EU145*1.2))*AV145*I145),2)*BS145),2))*AT145)/100),2)+ROUND(((ROUND((ROUND(((AE145-((EU145*1.2)))*AV145*I145),2)*BS145),2)*AT145)/100),2))</f>
        <v>4617.18</v>
      </c>
      <c r="Y145" s="3">
        <f>(ROUND((((S145+ROUND((ROUND((((EU145*1.2))*AV145*I145),2)*BS145),2))*AU145)/100),2)+ROUND(((ROUND((ROUND(((AE145-((EU145*1.2)))*AV145*I145),2)*BS145),2)*AU145)/100),2))</f>
        <v>2575.9</v>
      </c>
      <c r="AA145" s="3">
        <v>55919549</v>
      </c>
      <c r="AB145" s="3">
        <f t="shared" si="128"/>
        <v>13.523999999999999</v>
      </c>
      <c r="AC145" s="3">
        <f>ROUND(((ES145*1)),6)</f>
        <v>0.3</v>
      </c>
      <c r="AD145" s="3">
        <f>ROUND(((((ET145*1.2))-((EU145*1.2)))+AE145),6)</f>
        <v>0</v>
      </c>
      <c r="AE145" s="3">
        <f>ROUND(((EU145*1.2)),6)</f>
        <v>0</v>
      </c>
      <c r="AF145" s="3">
        <f>ROUND(((EV145*1.2)),6)</f>
        <v>13.224</v>
      </c>
      <c r="AG145" s="3">
        <f t="shared" si="129"/>
        <v>0</v>
      </c>
      <c r="AH145" s="3">
        <f>((EW145*1.2))</f>
        <v>0.96</v>
      </c>
      <c r="AI145" s="3">
        <f>((EX145*1.2))</f>
        <v>0</v>
      </c>
      <c r="AJ145" s="3">
        <f t="shared" si="130"/>
        <v>0</v>
      </c>
      <c r="AK145" s="3">
        <v>11.32</v>
      </c>
      <c r="AL145" s="3">
        <v>0.3</v>
      </c>
      <c r="AM145" s="3">
        <v>0</v>
      </c>
      <c r="AN145" s="3">
        <v>0</v>
      </c>
      <c r="AO145" s="3">
        <v>11.02</v>
      </c>
      <c r="AP145" s="3">
        <v>0</v>
      </c>
      <c r="AQ145" s="3">
        <v>0.8</v>
      </c>
      <c r="AR145" s="3">
        <v>0</v>
      </c>
      <c r="AS145" s="3">
        <v>0</v>
      </c>
      <c r="AT145" s="3">
        <v>95</v>
      </c>
      <c r="AU145" s="3">
        <v>53</v>
      </c>
      <c r="AV145" s="3">
        <v>1.087</v>
      </c>
      <c r="AW145" s="3">
        <v>1</v>
      </c>
      <c r="AZ145" s="3">
        <v>1</v>
      </c>
      <c r="BA145" s="3">
        <v>56.35</v>
      </c>
      <c r="BB145" s="3">
        <v>1</v>
      </c>
      <c r="BC145" s="3">
        <v>7.37</v>
      </c>
      <c r="BD145" s="3" t="s">
        <v>3</v>
      </c>
      <c r="BE145" s="3" t="s">
        <v>3</v>
      </c>
      <c r="BF145" s="3" t="s">
        <v>3</v>
      </c>
      <c r="BG145" s="3" t="s">
        <v>3</v>
      </c>
      <c r="BH145" s="3">
        <v>0</v>
      </c>
      <c r="BI145" s="3">
        <v>2</v>
      </c>
      <c r="BJ145" s="3" t="s">
        <v>34</v>
      </c>
      <c r="BM145" s="3">
        <v>69</v>
      </c>
      <c r="BN145" s="3">
        <v>0</v>
      </c>
      <c r="BO145" s="3" t="s">
        <v>31</v>
      </c>
      <c r="BP145" s="3">
        <v>1</v>
      </c>
      <c r="BQ145" s="3">
        <v>40</v>
      </c>
      <c r="BR145" s="3">
        <v>0</v>
      </c>
      <c r="BS145" s="3">
        <v>56.35</v>
      </c>
      <c r="BT145" s="3">
        <v>1</v>
      </c>
      <c r="BU145" s="3">
        <v>1</v>
      </c>
      <c r="BV145" s="3">
        <v>1</v>
      </c>
      <c r="BW145" s="3">
        <v>1</v>
      </c>
      <c r="BX145" s="3">
        <v>1</v>
      </c>
      <c r="BY145" s="3" t="s">
        <v>3</v>
      </c>
      <c r="BZ145" s="3">
        <v>95</v>
      </c>
      <c r="CA145" s="3">
        <v>53</v>
      </c>
      <c r="CB145" s="3" t="s">
        <v>3</v>
      </c>
      <c r="CE145" s="3">
        <v>1566</v>
      </c>
      <c r="CF145" s="3">
        <v>0</v>
      </c>
      <c r="CG145" s="3">
        <v>0</v>
      </c>
      <c r="CM145" s="3">
        <v>0</v>
      </c>
      <c r="CN145" s="3" t="s">
        <v>491</v>
      </c>
      <c r="CO145" s="3">
        <v>0</v>
      </c>
      <c r="CP145" s="3">
        <f t="shared" si="131"/>
        <v>4873.46</v>
      </c>
      <c r="CQ145" s="3">
        <f t="shared" si="132"/>
        <v>2.21</v>
      </c>
      <c r="CR145" s="3">
        <f>(ROUND((ROUND((((ET145*1.2))*AV145*1),2)*BB145),2)+ROUND((ROUND(((AE145-((EU145*1.2)))*AV145*1),2)*BS145),2))</f>
        <v>0</v>
      </c>
      <c r="CS145" s="3">
        <f>(ROUND((ROUND((((EU145*1.2))*AV145*1),2)*BS145),2)+ROUND((ROUND(((AE145-((EU145*1.2)))*AV145*1),2)*BS145),2))</f>
        <v>0</v>
      </c>
      <c r="CT145" s="3">
        <f t="shared" si="133"/>
        <v>809.75</v>
      </c>
      <c r="CU145" s="3">
        <f t="shared" si="134"/>
        <v>0</v>
      </c>
      <c r="CV145" s="3">
        <f t="shared" si="135"/>
        <v>1.04352</v>
      </c>
      <c r="CW145" s="3">
        <f t="shared" si="136"/>
        <v>0</v>
      </c>
      <c r="CX145" s="3">
        <f t="shared" si="137"/>
        <v>0</v>
      </c>
      <c r="CY145" s="3">
        <f>(ROUND((((S145+ROUND((ROUND((((EU145*1.2))*AV145*1),2)*BS145),2))*AT145)/100),2)+ROUND(((ROUND((ROUND(((AE145-((EU145*1.2)))*AV145*1),2)*BS145),2)*AT145)/100),2))</f>
        <v>4617.18</v>
      </c>
      <c r="CZ145" s="3">
        <f>(ROUND((((S145+ROUND((ROUND((((EU145*1.2))*AV145*1),2)*BS145),2))*AU145)/100),2)+ROUND(((ROUND((ROUND(((AE145-((EU145*1.2)))*AV145*1),2)*BS145),2)*AU145)/100),2))</f>
        <v>2575.9</v>
      </c>
      <c r="DB145" s="3">
        <v>48</v>
      </c>
      <c r="DC145" s="3" t="s">
        <v>3</v>
      </c>
      <c r="DD145" s="3" t="s">
        <v>56</v>
      </c>
      <c r="DE145" s="3" t="s">
        <v>57</v>
      </c>
      <c r="DF145" s="3" t="s">
        <v>57</v>
      </c>
      <c r="DG145" s="3" t="s">
        <v>57</v>
      </c>
      <c r="DH145" s="3" t="s">
        <v>3</v>
      </c>
      <c r="DI145" s="3" t="s">
        <v>57</v>
      </c>
      <c r="DJ145" s="3" t="s">
        <v>57</v>
      </c>
      <c r="DK145" s="3" t="s">
        <v>3</v>
      </c>
      <c r="DL145" s="3" t="s">
        <v>3</v>
      </c>
      <c r="DM145" s="3" t="s">
        <v>3</v>
      </c>
      <c r="DN145" s="3">
        <v>0</v>
      </c>
      <c r="DO145" s="3">
        <v>0</v>
      </c>
      <c r="DP145" s="3">
        <v>1</v>
      </c>
      <c r="DQ145" s="3">
        <v>1</v>
      </c>
      <c r="DU145" s="3">
        <v>1013</v>
      </c>
      <c r="DV145" s="3" t="s">
        <v>33</v>
      </c>
      <c r="DW145" s="3" t="s">
        <v>33</v>
      </c>
      <c r="DX145" s="3">
        <v>1</v>
      </c>
      <c r="DZ145" s="3" t="s">
        <v>3</v>
      </c>
      <c r="EA145" s="3" t="s">
        <v>3</v>
      </c>
      <c r="EB145" s="3" t="s">
        <v>3</v>
      </c>
      <c r="EC145" s="3" t="s">
        <v>3</v>
      </c>
      <c r="EE145" s="3">
        <v>55393701</v>
      </c>
      <c r="EF145" s="3">
        <v>40</v>
      </c>
      <c r="EG145" s="3" t="s">
        <v>26</v>
      </c>
      <c r="EH145" s="3">
        <v>0</v>
      </c>
      <c r="EI145" s="3" t="s">
        <v>3</v>
      </c>
      <c r="EJ145" s="3">
        <v>2</v>
      </c>
      <c r="EK145" s="3">
        <v>69</v>
      </c>
      <c r="EL145" s="3" t="s">
        <v>27</v>
      </c>
      <c r="EM145" s="3" t="s">
        <v>28</v>
      </c>
      <c r="EO145" s="3" t="s">
        <v>61</v>
      </c>
      <c r="EQ145" s="3">
        <v>0</v>
      </c>
      <c r="ER145" s="3">
        <v>11.32</v>
      </c>
      <c r="ES145" s="3">
        <v>0.3</v>
      </c>
      <c r="ET145" s="3">
        <v>0</v>
      </c>
      <c r="EU145" s="3">
        <v>0</v>
      </c>
      <c r="EV145" s="3">
        <v>11.02</v>
      </c>
      <c r="EW145" s="3">
        <v>0.8</v>
      </c>
      <c r="EX145" s="3">
        <v>0</v>
      </c>
      <c r="EY145" s="3">
        <v>0</v>
      </c>
      <c r="FQ145" s="3">
        <v>0</v>
      </c>
      <c r="FR145" s="3">
        <v>0</v>
      </c>
      <c r="FS145" s="3">
        <v>0</v>
      </c>
      <c r="FX145" s="3">
        <v>95</v>
      </c>
      <c r="FY145" s="3">
        <v>53</v>
      </c>
      <c r="GA145" s="3" t="s">
        <v>3</v>
      </c>
      <c r="GD145" s="3">
        <v>1</v>
      </c>
      <c r="GF145" s="3">
        <v>765090221</v>
      </c>
      <c r="GG145" s="3">
        <v>2</v>
      </c>
      <c r="GH145" s="3">
        <v>1</v>
      </c>
      <c r="GI145" s="3">
        <v>2</v>
      </c>
      <c r="GJ145" s="3">
        <v>0</v>
      </c>
      <c r="GK145" s="3">
        <v>0</v>
      </c>
      <c r="GL145" s="3">
        <f t="shared" si="138"/>
        <v>0</v>
      </c>
      <c r="GM145" s="3">
        <f t="shared" si="139"/>
        <v>12066.54</v>
      </c>
      <c r="GN145" s="3">
        <f t="shared" si="140"/>
        <v>0</v>
      </c>
      <c r="GO145" s="3">
        <f t="shared" si="141"/>
        <v>12066.54</v>
      </c>
      <c r="GP145" s="3">
        <f t="shared" si="142"/>
        <v>0</v>
      </c>
      <c r="GR145" s="3">
        <v>0</v>
      </c>
      <c r="GS145" s="3">
        <v>3</v>
      </c>
      <c r="GT145" s="3">
        <v>0</v>
      </c>
      <c r="GU145" s="3" t="s">
        <v>3</v>
      </c>
      <c r="GV145" s="3">
        <f t="shared" si="143"/>
        <v>0</v>
      </c>
      <c r="GW145" s="3">
        <v>1</v>
      </c>
      <c r="GX145" s="3">
        <f t="shared" si="144"/>
        <v>0</v>
      </c>
      <c r="HA145" s="3">
        <v>0</v>
      </c>
      <c r="HB145" s="3">
        <v>0</v>
      </c>
      <c r="HC145" s="3">
        <f t="shared" si="145"/>
        <v>0</v>
      </c>
      <c r="HE145" s="3" t="s">
        <v>3</v>
      </c>
      <c r="HF145" s="3" t="s">
        <v>3</v>
      </c>
      <c r="HM145" s="3" t="s">
        <v>3</v>
      </c>
      <c r="HN145" s="3" t="s">
        <v>3</v>
      </c>
      <c r="HO145" s="3" t="s">
        <v>3</v>
      </c>
      <c r="HP145" s="3" t="s">
        <v>3</v>
      </c>
      <c r="HQ145" s="3" t="s">
        <v>3</v>
      </c>
      <c r="HS145" s="3">
        <v>0</v>
      </c>
      <c r="IK145" s="3">
        <v>0</v>
      </c>
    </row>
    <row r="146" spans="1:255" x14ac:dyDescent="0.2">
      <c r="A146" s="2">
        <v>17</v>
      </c>
      <c r="B146" s="2">
        <v>1</v>
      </c>
      <c r="C146" s="2"/>
      <c r="D146" s="2"/>
      <c r="E146" s="2" t="s">
        <v>180</v>
      </c>
      <c r="F146" s="2" t="s">
        <v>181</v>
      </c>
      <c r="G146" s="2" t="s">
        <v>182</v>
      </c>
      <c r="H146" s="2" t="s">
        <v>156</v>
      </c>
      <c r="I146" s="2">
        <v>6</v>
      </c>
      <c r="J146" s="2">
        <v>0</v>
      </c>
      <c r="K146" s="2">
        <v>6</v>
      </c>
      <c r="L146" s="2"/>
      <c r="M146" s="2"/>
      <c r="N146" s="2"/>
      <c r="O146" s="2">
        <f t="shared" si="121"/>
        <v>1985.52</v>
      </c>
      <c r="P146" s="2">
        <f t="shared" si="122"/>
        <v>1985.52</v>
      </c>
      <c r="Q146" s="2">
        <f>(ROUND((ROUND(((ET146)*AV146*I146),2)*BB146),2)+ROUND((ROUND(((AE146-(EU146))*AV146*I146),2)*BS146),2))</f>
        <v>0</v>
      </c>
      <c r="R146" s="2">
        <f>(ROUND((ROUND(((EU146)*AV146*I146),2)*BS146),2)+ROUND((ROUND(((AE146-(EU146))*AV146*I146),2)*BS146),2))</f>
        <v>0</v>
      </c>
      <c r="S146" s="2">
        <f t="shared" si="123"/>
        <v>0</v>
      </c>
      <c r="T146" s="2">
        <f t="shared" si="124"/>
        <v>0</v>
      </c>
      <c r="U146" s="2">
        <f t="shared" si="125"/>
        <v>0</v>
      </c>
      <c r="V146" s="2">
        <f t="shared" si="126"/>
        <v>0</v>
      </c>
      <c r="W146" s="2">
        <f t="shared" si="127"/>
        <v>0</v>
      </c>
      <c r="X146" s="2">
        <f>(ROUND((((S146+ROUND((ROUND(((EU146)*AV146*I146),2)*BS146),2))*AT146)/100),2)+ROUND(((ROUND((ROUND(((AE146-(EU146))*AV146*I146),2)*BS146),2)*AT146)/100),2))</f>
        <v>0</v>
      </c>
      <c r="Y146" s="2">
        <f>(ROUND((((S146+ROUND((ROUND(((EU146)*AV146*I146),2)*BS146),2))*AU146)/100),2)+ROUND(((ROUND((ROUND(((AE146-(EU146))*AV146*I146),2)*BS146),2)*AU146)/100),2))</f>
        <v>0</v>
      </c>
      <c r="Z146" s="2"/>
      <c r="AA146" s="2">
        <v>55919547</v>
      </c>
      <c r="AB146" s="2">
        <f t="shared" si="128"/>
        <v>330.92</v>
      </c>
      <c r="AC146" s="2">
        <f>ROUND((ES146),6)</f>
        <v>330.92</v>
      </c>
      <c r="AD146" s="2">
        <f>ROUND((((ET146)-(EU146))+AE146),6)</f>
        <v>0</v>
      </c>
      <c r="AE146" s="2">
        <f>ROUND((EU146),6)</f>
        <v>0</v>
      </c>
      <c r="AF146" s="2">
        <f>ROUND((EV146),6)</f>
        <v>0</v>
      </c>
      <c r="AG146" s="2">
        <f t="shared" si="129"/>
        <v>0</v>
      </c>
      <c r="AH146" s="2">
        <f>(EW146)</f>
        <v>0</v>
      </c>
      <c r="AI146" s="2">
        <f>(EX146)</f>
        <v>0</v>
      </c>
      <c r="AJ146" s="2">
        <f t="shared" si="130"/>
        <v>0</v>
      </c>
      <c r="AK146" s="2">
        <v>330.92</v>
      </c>
      <c r="AL146" s="2">
        <v>330.92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1</v>
      </c>
      <c r="AW146" s="2">
        <v>1</v>
      </c>
      <c r="AX146" s="2"/>
      <c r="AY146" s="2"/>
      <c r="AZ146" s="2">
        <v>1</v>
      </c>
      <c r="BA146" s="2">
        <v>1</v>
      </c>
      <c r="BB146" s="2">
        <v>1</v>
      </c>
      <c r="BC146" s="2">
        <v>1</v>
      </c>
      <c r="BD146" s="2" t="s">
        <v>3</v>
      </c>
      <c r="BE146" s="2" t="s">
        <v>3</v>
      </c>
      <c r="BF146" s="2" t="s">
        <v>3</v>
      </c>
      <c r="BG146" s="2" t="s">
        <v>3</v>
      </c>
      <c r="BH146" s="2">
        <v>3</v>
      </c>
      <c r="BI146" s="2">
        <v>2</v>
      </c>
      <c r="BJ146" s="2" t="s">
        <v>183</v>
      </c>
      <c r="BK146" s="2"/>
      <c r="BL146" s="2"/>
      <c r="BM146" s="2">
        <v>1618</v>
      </c>
      <c r="BN146" s="2">
        <v>0</v>
      </c>
      <c r="BO146" s="2" t="s">
        <v>3</v>
      </c>
      <c r="BP146" s="2">
        <v>0</v>
      </c>
      <c r="BQ146" s="2">
        <v>201</v>
      </c>
      <c r="BR146" s="2">
        <v>0</v>
      </c>
      <c r="BS146" s="2">
        <v>1</v>
      </c>
      <c r="BT146" s="2">
        <v>1</v>
      </c>
      <c r="BU146" s="2">
        <v>1</v>
      </c>
      <c r="BV146" s="2">
        <v>1</v>
      </c>
      <c r="BW146" s="2">
        <v>1</v>
      </c>
      <c r="BX146" s="2">
        <v>1</v>
      </c>
      <c r="BY146" s="2" t="s">
        <v>3</v>
      </c>
      <c r="BZ146" s="2">
        <v>0</v>
      </c>
      <c r="CA146" s="2">
        <v>0</v>
      </c>
      <c r="CB146" s="2" t="s">
        <v>3</v>
      </c>
      <c r="CC146" s="2"/>
      <c r="CD146" s="2"/>
      <c r="CE146" s="2">
        <v>1566</v>
      </c>
      <c r="CF146" s="2">
        <v>0</v>
      </c>
      <c r="CG146" s="2">
        <v>0</v>
      </c>
      <c r="CH146" s="2"/>
      <c r="CI146" s="2"/>
      <c r="CJ146" s="2"/>
      <c r="CK146" s="2"/>
      <c r="CL146" s="2"/>
      <c r="CM146" s="2">
        <v>0</v>
      </c>
      <c r="CN146" s="2" t="s">
        <v>3</v>
      </c>
      <c r="CO146" s="2">
        <v>0</v>
      </c>
      <c r="CP146" s="2">
        <f t="shared" si="131"/>
        <v>1985.52</v>
      </c>
      <c r="CQ146" s="2">
        <f t="shared" si="132"/>
        <v>330.92</v>
      </c>
      <c r="CR146" s="2">
        <f>(ROUND((ROUND(((ET146)*AV146*1),2)*BB146),2)+ROUND((ROUND(((AE146-(EU146))*AV146*1),2)*BS146),2))</f>
        <v>0</v>
      </c>
      <c r="CS146" s="2">
        <f>(ROUND((ROUND(((EU146)*AV146*1),2)*BS146),2)+ROUND((ROUND(((AE146-(EU146))*AV146*1),2)*BS146),2))</f>
        <v>0</v>
      </c>
      <c r="CT146" s="2">
        <f t="shared" si="133"/>
        <v>0</v>
      </c>
      <c r="CU146" s="2">
        <f t="shared" si="134"/>
        <v>0</v>
      </c>
      <c r="CV146" s="2">
        <f t="shared" si="135"/>
        <v>0</v>
      </c>
      <c r="CW146" s="2">
        <f t="shared" si="136"/>
        <v>0</v>
      </c>
      <c r="CX146" s="2">
        <f t="shared" si="137"/>
        <v>0</v>
      </c>
      <c r="CY146" s="2">
        <f>(ROUND((((S146+ROUND((ROUND(((EU146)*AV146*1),2)*BS146),2))*AT146)/100),2)+ROUND(((ROUND((ROUND(((AE146-(EU146))*AV146*1),2)*BS146),2)*AT146)/100),2))</f>
        <v>0</v>
      </c>
      <c r="CZ146" s="2">
        <f>(ROUND((((S146+ROUND((ROUND(((EU146)*AV146*1),2)*BS146),2))*AU146)/100),2)+ROUND(((ROUND((ROUND(((AE146-(EU146))*AV146*1),2)*BS146),2)*AU146)/100),2))</f>
        <v>0</v>
      </c>
      <c r="DA146" s="2"/>
      <c r="DB146" s="2"/>
      <c r="DC146" s="2" t="s">
        <v>3</v>
      </c>
      <c r="DD146" s="2" t="s">
        <v>3</v>
      </c>
      <c r="DE146" s="2" t="s">
        <v>3</v>
      </c>
      <c r="DF146" s="2" t="s">
        <v>3</v>
      </c>
      <c r="DG146" s="2" t="s">
        <v>3</v>
      </c>
      <c r="DH146" s="2" t="s">
        <v>3</v>
      </c>
      <c r="DI146" s="2" t="s">
        <v>3</v>
      </c>
      <c r="DJ146" s="2" t="s">
        <v>3</v>
      </c>
      <c r="DK146" s="2" t="s">
        <v>3</v>
      </c>
      <c r="DL146" s="2" t="s">
        <v>3</v>
      </c>
      <c r="DM146" s="2" t="s">
        <v>3</v>
      </c>
      <c r="DN146" s="2">
        <v>0</v>
      </c>
      <c r="DO146" s="2">
        <v>0</v>
      </c>
      <c r="DP146" s="2">
        <v>1</v>
      </c>
      <c r="DQ146" s="2">
        <v>1</v>
      </c>
      <c r="DR146" s="2"/>
      <c r="DS146" s="2"/>
      <c r="DT146" s="2"/>
      <c r="DU146" s="2">
        <v>1010</v>
      </c>
      <c r="DV146" s="2" t="s">
        <v>156</v>
      </c>
      <c r="DW146" s="2" t="s">
        <v>156</v>
      </c>
      <c r="DX146" s="2">
        <v>1</v>
      </c>
      <c r="DY146" s="2"/>
      <c r="DZ146" s="2" t="s">
        <v>3</v>
      </c>
      <c r="EA146" s="2" t="s">
        <v>3</v>
      </c>
      <c r="EB146" s="2" t="s">
        <v>3</v>
      </c>
      <c r="EC146" s="2" t="s">
        <v>3</v>
      </c>
      <c r="ED146" s="2"/>
      <c r="EE146" s="2">
        <v>55393729</v>
      </c>
      <c r="EF146" s="2">
        <v>201</v>
      </c>
      <c r="EG146" s="2" t="s">
        <v>184</v>
      </c>
      <c r="EH146" s="2">
        <v>0</v>
      </c>
      <c r="EI146" s="2" t="s">
        <v>3</v>
      </c>
      <c r="EJ146" s="2">
        <v>2</v>
      </c>
      <c r="EK146" s="2">
        <v>1618</v>
      </c>
      <c r="EL146" s="2" t="s">
        <v>185</v>
      </c>
      <c r="EM146" s="2" t="s">
        <v>186</v>
      </c>
      <c r="EN146" s="2"/>
      <c r="EO146" s="2" t="s">
        <v>3</v>
      </c>
      <c r="EP146" s="2"/>
      <c r="EQ146" s="2">
        <v>0</v>
      </c>
      <c r="ER146" s="2">
        <v>330.92</v>
      </c>
      <c r="ES146" s="2">
        <v>330.92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>
        <v>0</v>
      </c>
      <c r="FR146" s="2">
        <v>0</v>
      </c>
      <c r="FS146" s="2">
        <v>0</v>
      </c>
      <c r="FT146" s="2"/>
      <c r="FU146" s="2"/>
      <c r="FV146" s="2"/>
      <c r="FW146" s="2"/>
      <c r="FX146" s="2">
        <v>0</v>
      </c>
      <c r="FY146" s="2">
        <v>0</v>
      </c>
      <c r="FZ146" s="2"/>
      <c r="GA146" s="2" t="s">
        <v>3</v>
      </c>
      <c r="GB146" s="2"/>
      <c r="GC146" s="2"/>
      <c r="GD146" s="2">
        <v>1</v>
      </c>
      <c r="GE146" s="2"/>
      <c r="GF146" s="2">
        <v>330167590</v>
      </c>
      <c r="GG146" s="2">
        <v>2</v>
      </c>
      <c r="GH146" s="2">
        <v>1</v>
      </c>
      <c r="GI146" s="2">
        <v>-2</v>
      </c>
      <c r="GJ146" s="2">
        <v>0</v>
      </c>
      <c r="GK146" s="2">
        <v>0</v>
      </c>
      <c r="GL146" s="2">
        <f t="shared" si="138"/>
        <v>0</v>
      </c>
      <c r="GM146" s="2">
        <f t="shared" si="139"/>
        <v>1985.52</v>
      </c>
      <c r="GN146" s="2">
        <f t="shared" si="140"/>
        <v>0</v>
      </c>
      <c r="GO146" s="2">
        <f t="shared" si="141"/>
        <v>1985.52</v>
      </c>
      <c r="GP146" s="2">
        <f t="shared" si="142"/>
        <v>0</v>
      </c>
      <c r="GQ146" s="2"/>
      <c r="GR146" s="2">
        <v>0</v>
      </c>
      <c r="GS146" s="2">
        <v>3</v>
      </c>
      <c r="GT146" s="2">
        <v>0</v>
      </c>
      <c r="GU146" s="2" t="s">
        <v>3</v>
      </c>
      <c r="GV146" s="2">
        <f t="shared" si="143"/>
        <v>0</v>
      </c>
      <c r="GW146" s="2">
        <v>1</v>
      </c>
      <c r="GX146" s="2">
        <f t="shared" si="144"/>
        <v>0</v>
      </c>
      <c r="GY146" s="2"/>
      <c r="GZ146" s="2"/>
      <c r="HA146" s="2">
        <v>0</v>
      </c>
      <c r="HB146" s="2">
        <v>0</v>
      </c>
      <c r="HC146" s="2">
        <f t="shared" si="145"/>
        <v>0</v>
      </c>
      <c r="HD146" s="2"/>
      <c r="HE146" s="2" t="s">
        <v>3</v>
      </c>
      <c r="HF146" s="2" t="s">
        <v>3</v>
      </c>
      <c r="HG146" s="2"/>
      <c r="HH146" s="2"/>
      <c r="HI146" s="2"/>
      <c r="HJ146" s="2"/>
      <c r="HK146" s="2"/>
      <c r="HL146" s="2"/>
      <c r="HM146" s="2" t="s">
        <v>3</v>
      </c>
      <c r="HN146" s="2" t="s">
        <v>3</v>
      </c>
      <c r="HO146" s="2" t="s">
        <v>3</v>
      </c>
      <c r="HP146" s="2" t="s">
        <v>3</v>
      </c>
      <c r="HQ146" s="2" t="s">
        <v>3</v>
      </c>
      <c r="HR146" s="2"/>
      <c r="HS146" s="2">
        <v>0</v>
      </c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>
        <v>0</v>
      </c>
      <c r="IL146" s="2"/>
      <c r="IM146" s="2"/>
      <c r="IN146" s="2"/>
      <c r="IO146" s="2"/>
      <c r="IP146" s="2"/>
      <c r="IQ146" s="2"/>
      <c r="IR146" s="2"/>
      <c r="IS146" s="2"/>
      <c r="IT146" s="2"/>
      <c r="IU146" s="2"/>
    </row>
    <row r="147" spans="1:255" x14ac:dyDescent="0.2">
      <c r="A147" s="3">
        <v>17</v>
      </c>
      <c r="B147" s="3">
        <v>1</v>
      </c>
      <c r="E147" s="3" t="s">
        <v>180</v>
      </c>
      <c r="F147" s="3" t="s">
        <v>181</v>
      </c>
      <c r="G147" s="3" t="s">
        <v>182</v>
      </c>
      <c r="H147" s="3" t="s">
        <v>156</v>
      </c>
      <c r="I147" s="3">
        <v>6</v>
      </c>
      <c r="J147" s="3">
        <v>0</v>
      </c>
      <c r="K147" s="3">
        <v>6</v>
      </c>
      <c r="O147" s="3">
        <f t="shared" si="121"/>
        <v>1250.8800000000001</v>
      </c>
      <c r="P147" s="3">
        <f t="shared" si="122"/>
        <v>1250.8800000000001</v>
      </c>
      <c r="Q147" s="3">
        <f>(ROUND((ROUND(((ET147)*AV147*I147),2)*BB147),2)+ROUND((ROUND(((AE147-(EU147))*AV147*I147),2)*BS147),2))</f>
        <v>0</v>
      </c>
      <c r="R147" s="3">
        <f>(ROUND((ROUND(((EU147)*AV147*I147),2)*BS147),2)+ROUND((ROUND(((AE147-(EU147))*AV147*I147),2)*BS147),2))</f>
        <v>0</v>
      </c>
      <c r="S147" s="3">
        <f t="shared" si="123"/>
        <v>0</v>
      </c>
      <c r="T147" s="3">
        <f t="shared" si="124"/>
        <v>0</v>
      </c>
      <c r="U147" s="3">
        <f t="shared" si="125"/>
        <v>0</v>
      </c>
      <c r="V147" s="3">
        <f t="shared" si="126"/>
        <v>0</v>
      </c>
      <c r="W147" s="3">
        <f t="shared" si="127"/>
        <v>0</v>
      </c>
      <c r="X147" s="3">
        <f>(ROUND((((S147+ROUND((ROUND(((EU147)*AV147*I147),2)*BS147),2))*AT147)/100),2)+ROUND(((ROUND((ROUND(((AE147-(EU147))*AV147*I147),2)*BS147),2)*AT147)/100),2))</f>
        <v>0</v>
      </c>
      <c r="Y147" s="3">
        <f>(ROUND((((S147+ROUND((ROUND(((EU147)*AV147*I147),2)*BS147),2))*AU147)/100),2)+ROUND(((ROUND((ROUND(((AE147-(EU147))*AV147*I147),2)*BS147),2)*AU147)/100),2))</f>
        <v>0</v>
      </c>
      <c r="AA147" s="3">
        <v>55919549</v>
      </c>
      <c r="AB147" s="3">
        <f t="shared" si="128"/>
        <v>330.92</v>
      </c>
      <c r="AC147" s="3">
        <f>ROUND((ES147),6)</f>
        <v>330.92</v>
      </c>
      <c r="AD147" s="3">
        <f>ROUND((((ET147)-(EU147))+AE147),6)</f>
        <v>0</v>
      </c>
      <c r="AE147" s="3">
        <f>ROUND((EU147),6)</f>
        <v>0</v>
      </c>
      <c r="AF147" s="3">
        <f>ROUND((EV147),6)</f>
        <v>0</v>
      </c>
      <c r="AG147" s="3">
        <f t="shared" si="129"/>
        <v>0</v>
      </c>
      <c r="AH147" s="3">
        <f>(EW147)</f>
        <v>0</v>
      </c>
      <c r="AI147" s="3">
        <f>(EX147)</f>
        <v>0</v>
      </c>
      <c r="AJ147" s="3">
        <f t="shared" si="130"/>
        <v>0</v>
      </c>
      <c r="AK147" s="3">
        <v>330.92</v>
      </c>
      <c r="AL147" s="3">
        <v>330.92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1</v>
      </c>
      <c r="AW147" s="3">
        <v>1</v>
      </c>
      <c r="AZ147" s="3">
        <v>1</v>
      </c>
      <c r="BA147" s="3">
        <v>1</v>
      </c>
      <c r="BB147" s="3">
        <v>1</v>
      </c>
      <c r="BC147" s="3">
        <v>0.63</v>
      </c>
      <c r="BD147" s="3" t="s">
        <v>3</v>
      </c>
      <c r="BE147" s="3" t="s">
        <v>3</v>
      </c>
      <c r="BF147" s="3" t="s">
        <v>3</v>
      </c>
      <c r="BG147" s="3" t="s">
        <v>3</v>
      </c>
      <c r="BH147" s="3">
        <v>3</v>
      </c>
      <c r="BI147" s="3">
        <v>2</v>
      </c>
      <c r="BJ147" s="3" t="s">
        <v>183</v>
      </c>
      <c r="BM147" s="3">
        <v>1618</v>
      </c>
      <c r="BN147" s="3">
        <v>0</v>
      </c>
      <c r="BO147" s="3" t="s">
        <v>181</v>
      </c>
      <c r="BP147" s="3">
        <v>1</v>
      </c>
      <c r="BQ147" s="3">
        <v>201</v>
      </c>
      <c r="BR147" s="3">
        <v>0</v>
      </c>
      <c r="BS147" s="3">
        <v>1</v>
      </c>
      <c r="BT147" s="3">
        <v>1</v>
      </c>
      <c r="BU147" s="3">
        <v>1</v>
      </c>
      <c r="BV147" s="3">
        <v>1</v>
      </c>
      <c r="BW147" s="3">
        <v>1</v>
      </c>
      <c r="BX147" s="3">
        <v>1</v>
      </c>
      <c r="BY147" s="3" t="s">
        <v>3</v>
      </c>
      <c r="BZ147" s="3">
        <v>0</v>
      </c>
      <c r="CA147" s="3">
        <v>0</v>
      </c>
      <c r="CB147" s="3" t="s">
        <v>3</v>
      </c>
      <c r="CE147" s="3">
        <v>1566</v>
      </c>
      <c r="CF147" s="3">
        <v>0</v>
      </c>
      <c r="CG147" s="3">
        <v>0</v>
      </c>
      <c r="CM147" s="3">
        <v>0</v>
      </c>
      <c r="CN147" s="3" t="s">
        <v>3</v>
      </c>
      <c r="CO147" s="3">
        <v>0</v>
      </c>
      <c r="CP147" s="3">
        <f t="shared" si="131"/>
        <v>1250.8800000000001</v>
      </c>
      <c r="CQ147" s="3">
        <f t="shared" si="132"/>
        <v>208.48</v>
      </c>
      <c r="CR147" s="3">
        <f>(ROUND((ROUND(((ET147)*AV147*1),2)*BB147),2)+ROUND((ROUND(((AE147-(EU147))*AV147*1),2)*BS147),2))</f>
        <v>0</v>
      </c>
      <c r="CS147" s="3">
        <f>(ROUND((ROUND(((EU147)*AV147*1),2)*BS147),2)+ROUND((ROUND(((AE147-(EU147))*AV147*1),2)*BS147),2))</f>
        <v>0</v>
      </c>
      <c r="CT147" s="3">
        <f t="shared" si="133"/>
        <v>0</v>
      </c>
      <c r="CU147" s="3">
        <f t="shared" si="134"/>
        <v>0</v>
      </c>
      <c r="CV147" s="3">
        <f t="shared" si="135"/>
        <v>0</v>
      </c>
      <c r="CW147" s="3">
        <f t="shared" si="136"/>
        <v>0</v>
      </c>
      <c r="CX147" s="3">
        <f t="shared" si="137"/>
        <v>0</v>
      </c>
      <c r="CY147" s="3">
        <f>(ROUND((((S147+ROUND((ROUND(((EU147)*AV147*1),2)*BS147),2))*AT147)/100),2)+ROUND(((ROUND((ROUND(((AE147-(EU147))*AV147*1),2)*BS147),2)*AT147)/100),2))</f>
        <v>0</v>
      </c>
      <c r="CZ147" s="3">
        <f>(ROUND((((S147+ROUND((ROUND(((EU147)*AV147*1),2)*BS147),2))*AU147)/100),2)+ROUND(((ROUND((ROUND(((AE147-(EU147))*AV147*1),2)*BS147),2)*AU147)/100),2))</f>
        <v>0</v>
      </c>
      <c r="DC147" s="3" t="s">
        <v>3</v>
      </c>
      <c r="DD147" s="3" t="s">
        <v>3</v>
      </c>
      <c r="DE147" s="3" t="s">
        <v>3</v>
      </c>
      <c r="DF147" s="3" t="s">
        <v>3</v>
      </c>
      <c r="DG147" s="3" t="s">
        <v>3</v>
      </c>
      <c r="DH147" s="3" t="s">
        <v>3</v>
      </c>
      <c r="DI147" s="3" t="s">
        <v>3</v>
      </c>
      <c r="DJ147" s="3" t="s">
        <v>3</v>
      </c>
      <c r="DK147" s="3" t="s">
        <v>3</v>
      </c>
      <c r="DL147" s="3" t="s">
        <v>3</v>
      </c>
      <c r="DM147" s="3" t="s">
        <v>3</v>
      </c>
      <c r="DN147" s="3">
        <v>0</v>
      </c>
      <c r="DO147" s="3">
        <v>0</v>
      </c>
      <c r="DP147" s="3">
        <v>1</v>
      </c>
      <c r="DQ147" s="3">
        <v>1</v>
      </c>
      <c r="DU147" s="3">
        <v>1010</v>
      </c>
      <c r="DV147" s="3" t="s">
        <v>156</v>
      </c>
      <c r="DW147" s="3" t="s">
        <v>156</v>
      </c>
      <c r="DX147" s="3">
        <v>1</v>
      </c>
      <c r="DZ147" s="3" t="s">
        <v>3</v>
      </c>
      <c r="EA147" s="3" t="s">
        <v>3</v>
      </c>
      <c r="EB147" s="3" t="s">
        <v>3</v>
      </c>
      <c r="EC147" s="3" t="s">
        <v>3</v>
      </c>
      <c r="EE147" s="3">
        <v>55393729</v>
      </c>
      <c r="EF147" s="3">
        <v>201</v>
      </c>
      <c r="EG147" s="3" t="s">
        <v>184</v>
      </c>
      <c r="EH147" s="3">
        <v>0</v>
      </c>
      <c r="EI147" s="3" t="s">
        <v>3</v>
      </c>
      <c r="EJ147" s="3">
        <v>2</v>
      </c>
      <c r="EK147" s="3">
        <v>1618</v>
      </c>
      <c r="EL147" s="3" t="s">
        <v>185</v>
      </c>
      <c r="EM147" s="3" t="s">
        <v>186</v>
      </c>
      <c r="EO147" s="3" t="s">
        <v>3</v>
      </c>
      <c r="EQ147" s="3">
        <v>0</v>
      </c>
      <c r="ER147" s="3">
        <v>330.92</v>
      </c>
      <c r="ES147" s="3">
        <v>330.92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FQ147" s="3">
        <v>0</v>
      </c>
      <c r="FR147" s="3">
        <v>0</v>
      </c>
      <c r="FS147" s="3">
        <v>0</v>
      </c>
      <c r="FX147" s="3">
        <v>0</v>
      </c>
      <c r="FY147" s="3">
        <v>0</v>
      </c>
      <c r="GA147" s="3" t="s">
        <v>3</v>
      </c>
      <c r="GD147" s="3">
        <v>1</v>
      </c>
      <c r="GF147" s="3">
        <v>330167590</v>
      </c>
      <c r="GG147" s="3">
        <v>2</v>
      </c>
      <c r="GH147" s="3">
        <v>1</v>
      </c>
      <c r="GI147" s="3">
        <v>2</v>
      </c>
      <c r="GJ147" s="3">
        <v>0</v>
      </c>
      <c r="GK147" s="3">
        <v>0</v>
      </c>
      <c r="GL147" s="3">
        <f t="shared" si="138"/>
        <v>0</v>
      </c>
      <c r="GM147" s="3">
        <f t="shared" si="139"/>
        <v>1250.8800000000001</v>
      </c>
      <c r="GN147" s="3">
        <f t="shared" si="140"/>
        <v>0</v>
      </c>
      <c r="GO147" s="3">
        <f t="shared" si="141"/>
        <v>1250.8800000000001</v>
      </c>
      <c r="GP147" s="3">
        <f t="shared" si="142"/>
        <v>0</v>
      </c>
      <c r="GR147" s="3">
        <v>0</v>
      </c>
      <c r="GS147" s="3">
        <v>3</v>
      </c>
      <c r="GT147" s="3">
        <v>0</v>
      </c>
      <c r="GU147" s="3" t="s">
        <v>3</v>
      </c>
      <c r="GV147" s="3">
        <f t="shared" si="143"/>
        <v>0</v>
      </c>
      <c r="GW147" s="3">
        <v>1</v>
      </c>
      <c r="GX147" s="3">
        <f t="shared" si="144"/>
        <v>0</v>
      </c>
      <c r="HA147" s="3">
        <v>0</v>
      </c>
      <c r="HB147" s="3">
        <v>0</v>
      </c>
      <c r="HC147" s="3">
        <f t="shared" si="145"/>
        <v>0</v>
      </c>
      <c r="HE147" s="3" t="s">
        <v>3</v>
      </c>
      <c r="HF147" s="3" t="s">
        <v>3</v>
      </c>
      <c r="HM147" s="3" t="s">
        <v>3</v>
      </c>
      <c r="HN147" s="3" t="s">
        <v>3</v>
      </c>
      <c r="HO147" s="3" t="s">
        <v>3</v>
      </c>
      <c r="HP147" s="3" t="s">
        <v>3</v>
      </c>
      <c r="HQ147" s="3" t="s">
        <v>3</v>
      </c>
      <c r="HS147" s="3">
        <v>0</v>
      </c>
      <c r="IK147" s="3">
        <v>0</v>
      </c>
    </row>
    <row r="148" spans="1:255" x14ac:dyDescent="0.2">
      <c r="A148" s="2">
        <v>17</v>
      </c>
      <c r="B148" s="2">
        <v>1</v>
      </c>
      <c r="C148" s="2">
        <f>ROW(SmtRes!A109)</f>
        <v>109</v>
      </c>
      <c r="D148" s="2">
        <f>ROW(EtalonRes!A123)</f>
        <v>123</v>
      </c>
      <c r="E148" s="2" t="s">
        <v>187</v>
      </c>
      <c r="F148" s="2" t="s">
        <v>188</v>
      </c>
      <c r="G148" s="2" t="s">
        <v>189</v>
      </c>
      <c r="H148" s="2" t="s">
        <v>54</v>
      </c>
      <c r="I148" s="2">
        <f>ROUND(6/100,9)</f>
        <v>0.06</v>
      </c>
      <c r="J148" s="2">
        <v>0</v>
      </c>
      <c r="K148" s="2">
        <f>ROUND(6/100,9)</f>
        <v>0.06</v>
      </c>
      <c r="L148" s="2"/>
      <c r="M148" s="2"/>
      <c r="N148" s="2"/>
      <c r="O148" s="2">
        <f t="shared" si="121"/>
        <v>15.93</v>
      </c>
      <c r="P148" s="2">
        <f t="shared" si="122"/>
        <v>0</v>
      </c>
      <c r="Q148" s="2">
        <f>(ROUND((ROUND((((ET148*1.2))*AV148*I148),2)*BB148),2)+ROUND((ROUND(((AE148-((EU148*1.2)))*AV148*I148),2)*BS148),2))</f>
        <v>0.06</v>
      </c>
      <c r="R148" s="2">
        <f>(ROUND((ROUND((((EU148*1.2))*AV148*I148),2)*BS148),2)+ROUND((ROUND(((AE148-((EU148*1.2)))*AV148*I148),2)*BS148),2))</f>
        <v>0.01</v>
      </c>
      <c r="S148" s="2">
        <f t="shared" si="123"/>
        <v>15.87</v>
      </c>
      <c r="T148" s="2">
        <f t="shared" si="124"/>
        <v>0</v>
      </c>
      <c r="U148" s="2">
        <f t="shared" si="125"/>
        <v>1.4202345599999999</v>
      </c>
      <c r="V148" s="2">
        <f t="shared" si="126"/>
        <v>0</v>
      </c>
      <c r="W148" s="2">
        <f t="shared" si="127"/>
        <v>0</v>
      </c>
      <c r="X148" s="2">
        <f>(ROUND((((S148+ROUND((ROUND((((EU148*1.2))*AV148*I148),2)*BS148),2))*AT148)/100),2)+ROUND(((ROUND((ROUND(((AE148-((EU148*1.2)))*AV148*I148),2)*BS148),2)*AT148)/100),2))</f>
        <v>15.4</v>
      </c>
      <c r="Y148" s="2">
        <f>(ROUND((((S148+ROUND((ROUND((((EU148*1.2))*AV148*I148),2)*BS148),2))*AU148)/100),2)+ROUND(((ROUND((ROUND(((AE148-((EU148*1.2)))*AV148*I148),2)*BS148),2)*AU148)/100),2))</f>
        <v>8.1</v>
      </c>
      <c r="Z148" s="2"/>
      <c r="AA148" s="2">
        <v>55919547</v>
      </c>
      <c r="AB148" s="2">
        <f t="shared" si="128"/>
        <v>253.68</v>
      </c>
      <c r="AC148" s="2">
        <f>ROUND(((ES148*1)),6)</f>
        <v>0</v>
      </c>
      <c r="AD148" s="2">
        <f>ROUND(((((ET148*1.2))-((EU148*1.2)))+AE148),6)</f>
        <v>0.996</v>
      </c>
      <c r="AE148" s="2">
        <f>ROUND(((EU148*1.2)),6)</f>
        <v>0.156</v>
      </c>
      <c r="AF148" s="2">
        <f>ROUND(((EV148*1.2)),6)</f>
        <v>252.684</v>
      </c>
      <c r="AG148" s="2">
        <f t="shared" si="129"/>
        <v>0</v>
      </c>
      <c r="AH148" s="2">
        <f>((EW148*1.2))</f>
        <v>22.608000000000001</v>
      </c>
      <c r="AI148" s="2">
        <f>((EX148*1.2))</f>
        <v>0</v>
      </c>
      <c r="AJ148" s="2">
        <f t="shared" si="130"/>
        <v>0</v>
      </c>
      <c r="AK148" s="2">
        <v>211.4</v>
      </c>
      <c r="AL148" s="2">
        <v>0</v>
      </c>
      <c r="AM148" s="2">
        <v>0.83</v>
      </c>
      <c r="AN148" s="2">
        <v>0.13</v>
      </c>
      <c r="AO148" s="2">
        <v>210.57</v>
      </c>
      <c r="AP148" s="2">
        <v>0</v>
      </c>
      <c r="AQ148" s="2">
        <v>18.84</v>
      </c>
      <c r="AR148" s="2">
        <v>0</v>
      </c>
      <c r="AS148" s="2">
        <v>0</v>
      </c>
      <c r="AT148" s="2">
        <v>97</v>
      </c>
      <c r="AU148" s="2">
        <v>51</v>
      </c>
      <c r="AV148" s="2">
        <v>1.0469999999999999</v>
      </c>
      <c r="AW148" s="2">
        <v>1</v>
      </c>
      <c r="AX148" s="2"/>
      <c r="AY148" s="2"/>
      <c r="AZ148" s="2">
        <v>1</v>
      </c>
      <c r="BA148" s="2">
        <v>1</v>
      </c>
      <c r="BB148" s="2">
        <v>1</v>
      </c>
      <c r="BC148" s="2">
        <v>1</v>
      </c>
      <c r="BD148" s="2" t="s">
        <v>3</v>
      </c>
      <c r="BE148" s="2" t="s">
        <v>3</v>
      </c>
      <c r="BF148" s="2" t="s">
        <v>3</v>
      </c>
      <c r="BG148" s="2" t="s">
        <v>3</v>
      </c>
      <c r="BH148" s="2">
        <v>0</v>
      </c>
      <c r="BI148" s="2">
        <v>2</v>
      </c>
      <c r="BJ148" s="2" t="s">
        <v>190</v>
      </c>
      <c r="BK148" s="2"/>
      <c r="BL148" s="2"/>
      <c r="BM148" s="2">
        <v>67</v>
      </c>
      <c r="BN148" s="2">
        <v>0</v>
      </c>
      <c r="BO148" s="2" t="s">
        <v>188</v>
      </c>
      <c r="BP148" s="2">
        <v>1</v>
      </c>
      <c r="BQ148" s="2">
        <v>40</v>
      </c>
      <c r="BR148" s="2">
        <v>0</v>
      </c>
      <c r="BS148" s="2">
        <v>1</v>
      </c>
      <c r="BT148" s="2">
        <v>1</v>
      </c>
      <c r="BU148" s="2">
        <v>1</v>
      </c>
      <c r="BV148" s="2">
        <v>1</v>
      </c>
      <c r="BW148" s="2">
        <v>1</v>
      </c>
      <c r="BX148" s="2">
        <v>1</v>
      </c>
      <c r="BY148" s="2" t="s">
        <v>3</v>
      </c>
      <c r="BZ148" s="2">
        <v>97</v>
      </c>
      <c r="CA148" s="2">
        <v>51</v>
      </c>
      <c r="CB148" s="2" t="s">
        <v>3</v>
      </c>
      <c r="CC148" s="2"/>
      <c r="CD148" s="2"/>
      <c r="CE148" s="2">
        <v>1566</v>
      </c>
      <c r="CF148" s="2">
        <v>0</v>
      </c>
      <c r="CG148" s="2">
        <v>0</v>
      </c>
      <c r="CH148" s="2"/>
      <c r="CI148" s="2"/>
      <c r="CJ148" s="2"/>
      <c r="CK148" s="2"/>
      <c r="CL148" s="2"/>
      <c r="CM148" s="2">
        <v>0</v>
      </c>
      <c r="CN148" s="2" t="s">
        <v>491</v>
      </c>
      <c r="CO148" s="2">
        <v>0</v>
      </c>
      <c r="CP148" s="2">
        <f t="shared" si="131"/>
        <v>15.93</v>
      </c>
      <c r="CQ148" s="2">
        <f t="shared" si="132"/>
        <v>0</v>
      </c>
      <c r="CR148" s="2">
        <f>(ROUND((ROUND((((ET148*1.2))*AV148*1),2)*BB148),2)+ROUND((ROUND(((AE148-((EU148*1.2)))*AV148*1),2)*BS148),2))</f>
        <v>1.04</v>
      </c>
      <c r="CS148" s="2">
        <f>(ROUND((ROUND((((EU148*1.2))*AV148*1),2)*BS148),2)+ROUND((ROUND(((AE148-((EU148*1.2)))*AV148*1),2)*BS148),2))</f>
        <v>0.16</v>
      </c>
      <c r="CT148" s="2">
        <f t="shared" si="133"/>
        <v>264.56</v>
      </c>
      <c r="CU148" s="2">
        <f t="shared" si="134"/>
        <v>0</v>
      </c>
      <c r="CV148" s="2">
        <f t="shared" si="135"/>
        <v>23.670576000000001</v>
      </c>
      <c r="CW148" s="2">
        <f t="shared" si="136"/>
        <v>0</v>
      </c>
      <c r="CX148" s="2">
        <f t="shared" si="137"/>
        <v>0</v>
      </c>
      <c r="CY148" s="2">
        <f>(ROUND((((S148+ROUND((ROUND((((EU148*1.2))*AV148*1),2)*BS148),2))*AT148)/100),2)+ROUND(((ROUND((ROUND(((AE148-((EU148*1.2)))*AV148*1),2)*BS148),2)*AT148)/100),2))</f>
        <v>15.55</v>
      </c>
      <c r="CZ148" s="2">
        <f>(ROUND((((S148+ROUND((ROUND((((EU148*1.2))*AV148*1),2)*BS148),2))*AU148)/100),2)+ROUND(((ROUND((ROUND(((AE148-((EU148*1.2)))*AV148*1),2)*BS148),2)*AU148)/100),2))</f>
        <v>8.18</v>
      </c>
      <c r="DA148" s="2"/>
      <c r="DB148" s="2">
        <v>49</v>
      </c>
      <c r="DC148" s="2" t="s">
        <v>3</v>
      </c>
      <c r="DD148" s="2" t="s">
        <v>56</v>
      </c>
      <c r="DE148" s="2" t="s">
        <v>57</v>
      </c>
      <c r="DF148" s="2" t="s">
        <v>57</v>
      </c>
      <c r="DG148" s="2" t="s">
        <v>57</v>
      </c>
      <c r="DH148" s="2" t="s">
        <v>3</v>
      </c>
      <c r="DI148" s="2" t="s">
        <v>57</v>
      </c>
      <c r="DJ148" s="2" t="s">
        <v>57</v>
      </c>
      <c r="DK148" s="2" t="s">
        <v>3</v>
      </c>
      <c r="DL148" s="2" t="s">
        <v>3</v>
      </c>
      <c r="DM148" s="2" t="s">
        <v>3</v>
      </c>
      <c r="DN148" s="2">
        <v>0</v>
      </c>
      <c r="DO148" s="2">
        <v>0</v>
      </c>
      <c r="DP148" s="2">
        <v>1</v>
      </c>
      <c r="DQ148" s="2">
        <v>1</v>
      </c>
      <c r="DR148" s="2"/>
      <c r="DS148" s="2"/>
      <c r="DT148" s="2"/>
      <c r="DU148" s="2">
        <v>1010</v>
      </c>
      <c r="DV148" s="2" t="s">
        <v>54</v>
      </c>
      <c r="DW148" s="2" t="s">
        <v>54</v>
      </c>
      <c r="DX148" s="2">
        <v>100</v>
      </c>
      <c r="DY148" s="2"/>
      <c r="DZ148" s="2" t="s">
        <v>3</v>
      </c>
      <c r="EA148" s="2" t="s">
        <v>3</v>
      </c>
      <c r="EB148" s="2" t="s">
        <v>3</v>
      </c>
      <c r="EC148" s="2" t="s">
        <v>3</v>
      </c>
      <c r="ED148" s="2"/>
      <c r="EE148" s="2">
        <v>55393699</v>
      </c>
      <c r="EF148" s="2">
        <v>40</v>
      </c>
      <c r="EG148" s="2" t="s">
        <v>26</v>
      </c>
      <c r="EH148" s="2">
        <v>0</v>
      </c>
      <c r="EI148" s="2" t="s">
        <v>3</v>
      </c>
      <c r="EJ148" s="2">
        <v>2</v>
      </c>
      <c r="EK148" s="2">
        <v>67</v>
      </c>
      <c r="EL148" s="2" t="s">
        <v>39</v>
      </c>
      <c r="EM148" s="2" t="s">
        <v>40</v>
      </c>
      <c r="EN148" s="2"/>
      <c r="EO148" s="2" t="s">
        <v>61</v>
      </c>
      <c r="EP148" s="2"/>
      <c r="EQ148" s="2">
        <v>0</v>
      </c>
      <c r="ER148" s="2">
        <v>211.4</v>
      </c>
      <c r="ES148" s="2">
        <v>0</v>
      </c>
      <c r="ET148" s="2">
        <v>0.83</v>
      </c>
      <c r="EU148" s="2">
        <v>0.13</v>
      </c>
      <c r="EV148" s="2">
        <v>210.57</v>
      </c>
      <c r="EW148" s="2">
        <v>18.84</v>
      </c>
      <c r="EX148" s="2">
        <v>0</v>
      </c>
      <c r="EY148" s="2">
        <v>0</v>
      </c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>
        <v>0</v>
      </c>
      <c r="FR148" s="2">
        <v>0</v>
      </c>
      <c r="FS148" s="2">
        <v>0</v>
      </c>
      <c r="FT148" s="2"/>
      <c r="FU148" s="2"/>
      <c r="FV148" s="2"/>
      <c r="FW148" s="2"/>
      <c r="FX148" s="2">
        <v>97</v>
      </c>
      <c r="FY148" s="2">
        <v>51</v>
      </c>
      <c r="FZ148" s="2"/>
      <c r="GA148" s="2" t="s">
        <v>3</v>
      </c>
      <c r="GB148" s="2"/>
      <c r="GC148" s="2"/>
      <c r="GD148" s="2">
        <v>1</v>
      </c>
      <c r="GE148" s="2"/>
      <c r="GF148" s="2">
        <v>2144643513</v>
      </c>
      <c r="GG148" s="2">
        <v>2</v>
      </c>
      <c r="GH148" s="2">
        <v>1</v>
      </c>
      <c r="GI148" s="2">
        <v>2</v>
      </c>
      <c r="GJ148" s="2">
        <v>0</v>
      </c>
      <c r="GK148" s="2">
        <v>0</v>
      </c>
      <c r="GL148" s="2">
        <f t="shared" si="138"/>
        <v>0</v>
      </c>
      <c r="GM148" s="2">
        <f t="shared" si="139"/>
        <v>39.43</v>
      </c>
      <c r="GN148" s="2">
        <f t="shared" si="140"/>
        <v>0</v>
      </c>
      <c r="GO148" s="2">
        <f t="shared" si="141"/>
        <v>39.43</v>
      </c>
      <c r="GP148" s="2">
        <f t="shared" si="142"/>
        <v>0</v>
      </c>
      <c r="GQ148" s="2"/>
      <c r="GR148" s="2">
        <v>0</v>
      </c>
      <c r="GS148" s="2">
        <v>3</v>
      </c>
      <c r="GT148" s="2">
        <v>0</v>
      </c>
      <c r="GU148" s="2" t="s">
        <v>3</v>
      </c>
      <c r="GV148" s="2">
        <f t="shared" si="143"/>
        <v>0</v>
      </c>
      <c r="GW148" s="2">
        <v>1</v>
      </c>
      <c r="GX148" s="2">
        <f t="shared" si="144"/>
        <v>0</v>
      </c>
      <c r="GY148" s="2"/>
      <c r="GZ148" s="2"/>
      <c r="HA148" s="2">
        <v>0</v>
      </c>
      <c r="HB148" s="2">
        <v>0</v>
      </c>
      <c r="HC148" s="2">
        <f t="shared" si="145"/>
        <v>0</v>
      </c>
      <c r="HD148" s="2"/>
      <c r="HE148" s="2" t="s">
        <v>3</v>
      </c>
      <c r="HF148" s="2" t="s">
        <v>3</v>
      </c>
      <c r="HG148" s="2"/>
      <c r="HH148" s="2"/>
      <c r="HI148" s="2"/>
      <c r="HJ148" s="2"/>
      <c r="HK148" s="2"/>
      <c r="HL148" s="2"/>
      <c r="HM148" s="2" t="s">
        <v>3</v>
      </c>
      <c r="HN148" s="2" t="s">
        <v>3</v>
      </c>
      <c r="HO148" s="2" t="s">
        <v>3</v>
      </c>
      <c r="HP148" s="2" t="s">
        <v>3</v>
      </c>
      <c r="HQ148" s="2" t="s">
        <v>3</v>
      </c>
      <c r="HR148" s="2"/>
      <c r="HS148" s="2">
        <v>0</v>
      </c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>
        <v>0</v>
      </c>
      <c r="IL148" s="2"/>
      <c r="IM148" s="2"/>
      <c r="IN148" s="2"/>
      <c r="IO148" s="2"/>
      <c r="IP148" s="2"/>
      <c r="IQ148" s="2"/>
      <c r="IR148" s="2"/>
      <c r="IS148" s="2"/>
      <c r="IT148" s="2"/>
      <c r="IU148" s="2"/>
    </row>
    <row r="149" spans="1:255" x14ac:dyDescent="0.2">
      <c r="A149" s="3">
        <v>17</v>
      </c>
      <c r="B149" s="3">
        <v>1</v>
      </c>
      <c r="C149" s="3">
        <f>ROW(SmtRes!A112)</f>
        <v>112</v>
      </c>
      <c r="D149" s="3">
        <f>ROW(EtalonRes!A126)</f>
        <v>126</v>
      </c>
      <c r="E149" s="3" t="s">
        <v>187</v>
      </c>
      <c r="F149" s="3" t="s">
        <v>188</v>
      </c>
      <c r="G149" s="3" t="s">
        <v>189</v>
      </c>
      <c r="H149" s="3" t="s">
        <v>54</v>
      </c>
      <c r="I149" s="3">
        <f>ROUND(6/100,9)</f>
        <v>0.06</v>
      </c>
      <c r="J149" s="3">
        <v>0</v>
      </c>
      <c r="K149" s="3">
        <f>ROUND(6/100,9)</f>
        <v>0.06</v>
      </c>
      <c r="O149" s="3">
        <f t="shared" si="121"/>
        <v>895.3</v>
      </c>
      <c r="P149" s="3">
        <f t="shared" si="122"/>
        <v>0</v>
      </c>
      <c r="Q149" s="3">
        <f>(ROUND((ROUND((((ET149*1.2))*AV149*I149),2)*BB149),2)+ROUND((ROUND(((AE149-((EU149*1.2)))*AV149*I149),2)*BS149),2))</f>
        <v>1.03</v>
      </c>
      <c r="R149" s="3">
        <f>(ROUND((ROUND((((EU149*1.2))*AV149*I149),2)*BS149),2)+ROUND((ROUND(((AE149-((EU149*1.2)))*AV149*I149),2)*BS149),2))</f>
        <v>0.56000000000000005</v>
      </c>
      <c r="S149" s="3">
        <f t="shared" si="123"/>
        <v>894.27</v>
      </c>
      <c r="T149" s="3">
        <f t="shared" si="124"/>
        <v>0</v>
      </c>
      <c r="U149" s="3">
        <f t="shared" si="125"/>
        <v>1.4202345599999999</v>
      </c>
      <c r="V149" s="3">
        <f t="shared" si="126"/>
        <v>0</v>
      </c>
      <c r="W149" s="3">
        <f t="shared" si="127"/>
        <v>0</v>
      </c>
      <c r="X149" s="3">
        <f>(ROUND((((S149+ROUND((ROUND((((EU149*1.2))*AV149*I149),2)*BS149),2))*AT149)/100),2)+ROUND(((ROUND((ROUND(((AE149-((EU149*1.2)))*AV149*I149),2)*BS149),2)*AT149)/100),2))</f>
        <v>867.99</v>
      </c>
      <c r="Y149" s="3">
        <f>(ROUND((((S149+ROUND((ROUND((((EU149*1.2))*AV149*I149),2)*BS149),2))*AU149)/100),2)+ROUND(((ROUND((ROUND(((AE149-((EU149*1.2)))*AV149*I149),2)*BS149),2)*AU149)/100),2))</f>
        <v>456.36</v>
      </c>
      <c r="AA149" s="3">
        <v>55919549</v>
      </c>
      <c r="AB149" s="3">
        <f t="shared" si="128"/>
        <v>253.68</v>
      </c>
      <c r="AC149" s="3">
        <f>ROUND(((ES149*1)),6)</f>
        <v>0</v>
      </c>
      <c r="AD149" s="3">
        <f>ROUND(((((ET149*1.2))-((EU149*1.2)))+AE149),6)</f>
        <v>0.996</v>
      </c>
      <c r="AE149" s="3">
        <f>ROUND(((EU149*1.2)),6)</f>
        <v>0.156</v>
      </c>
      <c r="AF149" s="3">
        <f>ROUND(((EV149*1.2)),6)</f>
        <v>252.684</v>
      </c>
      <c r="AG149" s="3">
        <f t="shared" si="129"/>
        <v>0</v>
      </c>
      <c r="AH149" s="3">
        <f>((EW149*1.2))</f>
        <v>22.608000000000001</v>
      </c>
      <c r="AI149" s="3">
        <f>((EX149*1.2))</f>
        <v>0</v>
      </c>
      <c r="AJ149" s="3">
        <f t="shared" si="130"/>
        <v>0</v>
      </c>
      <c r="AK149" s="3">
        <v>211.4</v>
      </c>
      <c r="AL149" s="3">
        <v>0</v>
      </c>
      <c r="AM149" s="3">
        <v>0.83</v>
      </c>
      <c r="AN149" s="3">
        <v>0.13</v>
      </c>
      <c r="AO149" s="3">
        <v>210.57</v>
      </c>
      <c r="AP149" s="3">
        <v>0</v>
      </c>
      <c r="AQ149" s="3">
        <v>18.84</v>
      </c>
      <c r="AR149" s="3">
        <v>0</v>
      </c>
      <c r="AS149" s="3">
        <v>0</v>
      </c>
      <c r="AT149" s="3">
        <v>97</v>
      </c>
      <c r="AU149" s="3">
        <v>51</v>
      </c>
      <c r="AV149" s="3">
        <v>1.0469999999999999</v>
      </c>
      <c r="AW149" s="3">
        <v>1</v>
      </c>
      <c r="AZ149" s="3">
        <v>1</v>
      </c>
      <c r="BA149" s="3">
        <v>56.35</v>
      </c>
      <c r="BB149" s="3">
        <v>17.100000000000001</v>
      </c>
      <c r="BC149" s="3">
        <v>1</v>
      </c>
      <c r="BD149" s="3" t="s">
        <v>3</v>
      </c>
      <c r="BE149" s="3" t="s">
        <v>3</v>
      </c>
      <c r="BF149" s="3" t="s">
        <v>3</v>
      </c>
      <c r="BG149" s="3" t="s">
        <v>3</v>
      </c>
      <c r="BH149" s="3">
        <v>0</v>
      </c>
      <c r="BI149" s="3">
        <v>2</v>
      </c>
      <c r="BJ149" s="3" t="s">
        <v>190</v>
      </c>
      <c r="BM149" s="3">
        <v>67</v>
      </c>
      <c r="BN149" s="3">
        <v>0</v>
      </c>
      <c r="BO149" s="3" t="s">
        <v>188</v>
      </c>
      <c r="BP149" s="3">
        <v>1</v>
      </c>
      <c r="BQ149" s="3">
        <v>40</v>
      </c>
      <c r="BR149" s="3">
        <v>0</v>
      </c>
      <c r="BS149" s="3">
        <v>56.35</v>
      </c>
      <c r="BT149" s="3">
        <v>1</v>
      </c>
      <c r="BU149" s="3">
        <v>1</v>
      </c>
      <c r="BV149" s="3">
        <v>1</v>
      </c>
      <c r="BW149" s="3">
        <v>1</v>
      </c>
      <c r="BX149" s="3">
        <v>1</v>
      </c>
      <c r="BY149" s="3" t="s">
        <v>3</v>
      </c>
      <c r="BZ149" s="3">
        <v>97</v>
      </c>
      <c r="CA149" s="3">
        <v>51</v>
      </c>
      <c r="CB149" s="3" t="s">
        <v>3</v>
      </c>
      <c r="CE149" s="3">
        <v>1566</v>
      </c>
      <c r="CF149" s="3">
        <v>0</v>
      </c>
      <c r="CG149" s="3">
        <v>0</v>
      </c>
      <c r="CM149" s="3">
        <v>0</v>
      </c>
      <c r="CN149" s="3" t="s">
        <v>491</v>
      </c>
      <c r="CO149" s="3">
        <v>0</v>
      </c>
      <c r="CP149" s="3">
        <f t="shared" si="131"/>
        <v>895.3</v>
      </c>
      <c r="CQ149" s="3">
        <f t="shared" si="132"/>
        <v>0</v>
      </c>
      <c r="CR149" s="3">
        <f>(ROUND((ROUND((((ET149*1.2))*AV149*1),2)*BB149),2)+ROUND((ROUND(((AE149-((EU149*1.2)))*AV149*1),2)*BS149),2))</f>
        <v>17.78</v>
      </c>
      <c r="CS149" s="3">
        <f>(ROUND((ROUND((((EU149*1.2))*AV149*1),2)*BS149),2)+ROUND((ROUND(((AE149-((EU149*1.2)))*AV149*1),2)*BS149),2))</f>
        <v>9.02</v>
      </c>
      <c r="CT149" s="3">
        <f t="shared" si="133"/>
        <v>14907.96</v>
      </c>
      <c r="CU149" s="3">
        <f t="shared" si="134"/>
        <v>0</v>
      </c>
      <c r="CV149" s="3">
        <f t="shared" si="135"/>
        <v>23.670576000000001</v>
      </c>
      <c r="CW149" s="3">
        <f t="shared" si="136"/>
        <v>0</v>
      </c>
      <c r="CX149" s="3">
        <f t="shared" si="137"/>
        <v>0</v>
      </c>
      <c r="CY149" s="3">
        <f>(ROUND((((S149+ROUND((ROUND((((EU149*1.2))*AV149*1),2)*BS149),2))*AT149)/100),2)+ROUND(((ROUND((ROUND(((AE149-((EU149*1.2)))*AV149*1),2)*BS149),2)*AT149)/100),2))</f>
        <v>876.19</v>
      </c>
      <c r="CZ149" s="3">
        <f>(ROUND((((S149+ROUND((ROUND((((EU149*1.2))*AV149*1),2)*BS149),2))*AU149)/100),2)+ROUND(((ROUND((ROUND(((AE149-((EU149*1.2)))*AV149*1),2)*BS149),2)*AU149)/100),2))</f>
        <v>460.68</v>
      </c>
      <c r="DB149" s="3">
        <v>50</v>
      </c>
      <c r="DC149" s="3" t="s">
        <v>3</v>
      </c>
      <c r="DD149" s="3" t="s">
        <v>56</v>
      </c>
      <c r="DE149" s="3" t="s">
        <v>57</v>
      </c>
      <c r="DF149" s="3" t="s">
        <v>57</v>
      </c>
      <c r="DG149" s="3" t="s">
        <v>57</v>
      </c>
      <c r="DH149" s="3" t="s">
        <v>3</v>
      </c>
      <c r="DI149" s="3" t="s">
        <v>57</v>
      </c>
      <c r="DJ149" s="3" t="s">
        <v>57</v>
      </c>
      <c r="DK149" s="3" t="s">
        <v>3</v>
      </c>
      <c r="DL149" s="3" t="s">
        <v>3</v>
      </c>
      <c r="DM149" s="3" t="s">
        <v>3</v>
      </c>
      <c r="DN149" s="3">
        <v>0</v>
      </c>
      <c r="DO149" s="3">
        <v>0</v>
      </c>
      <c r="DP149" s="3">
        <v>1</v>
      </c>
      <c r="DQ149" s="3">
        <v>1</v>
      </c>
      <c r="DU149" s="3">
        <v>1010</v>
      </c>
      <c r="DV149" s="3" t="s">
        <v>54</v>
      </c>
      <c r="DW149" s="3" t="s">
        <v>54</v>
      </c>
      <c r="DX149" s="3">
        <v>100</v>
      </c>
      <c r="DZ149" s="3" t="s">
        <v>3</v>
      </c>
      <c r="EA149" s="3" t="s">
        <v>3</v>
      </c>
      <c r="EB149" s="3" t="s">
        <v>3</v>
      </c>
      <c r="EC149" s="3" t="s">
        <v>3</v>
      </c>
      <c r="EE149" s="3">
        <v>55393699</v>
      </c>
      <c r="EF149" s="3">
        <v>40</v>
      </c>
      <c r="EG149" s="3" t="s">
        <v>26</v>
      </c>
      <c r="EH149" s="3">
        <v>0</v>
      </c>
      <c r="EI149" s="3" t="s">
        <v>3</v>
      </c>
      <c r="EJ149" s="3">
        <v>2</v>
      </c>
      <c r="EK149" s="3">
        <v>67</v>
      </c>
      <c r="EL149" s="3" t="s">
        <v>39</v>
      </c>
      <c r="EM149" s="3" t="s">
        <v>40</v>
      </c>
      <c r="EO149" s="3" t="s">
        <v>61</v>
      </c>
      <c r="EQ149" s="3">
        <v>0</v>
      </c>
      <c r="ER149" s="3">
        <v>211.4</v>
      </c>
      <c r="ES149" s="3">
        <v>0</v>
      </c>
      <c r="ET149" s="3">
        <v>0.83</v>
      </c>
      <c r="EU149" s="3">
        <v>0.13</v>
      </c>
      <c r="EV149" s="3">
        <v>210.57</v>
      </c>
      <c r="EW149" s="3">
        <v>18.84</v>
      </c>
      <c r="EX149" s="3">
        <v>0</v>
      </c>
      <c r="EY149" s="3">
        <v>0</v>
      </c>
      <c r="FQ149" s="3">
        <v>0</v>
      </c>
      <c r="FR149" s="3">
        <v>0</v>
      </c>
      <c r="FS149" s="3">
        <v>0</v>
      </c>
      <c r="FX149" s="3">
        <v>97</v>
      </c>
      <c r="FY149" s="3">
        <v>51</v>
      </c>
      <c r="GA149" s="3" t="s">
        <v>3</v>
      </c>
      <c r="GD149" s="3">
        <v>1</v>
      </c>
      <c r="GF149" s="3">
        <v>2144643513</v>
      </c>
      <c r="GG149" s="3">
        <v>2</v>
      </c>
      <c r="GH149" s="3">
        <v>1</v>
      </c>
      <c r="GI149" s="3">
        <v>2</v>
      </c>
      <c r="GJ149" s="3">
        <v>0</v>
      </c>
      <c r="GK149" s="3">
        <v>0</v>
      </c>
      <c r="GL149" s="3">
        <f t="shared" si="138"/>
        <v>0</v>
      </c>
      <c r="GM149" s="3">
        <f t="shared" si="139"/>
        <v>2219.65</v>
      </c>
      <c r="GN149" s="3">
        <f t="shared" si="140"/>
        <v>0</v>
      </c>
      <c r="GO149" s="3">
        <f t="shared" si="141"/>
        <v>2219.65</v>
      </c>
      <c r="GP149" s="3">
        <f t="shared" si="142"/>
        <v>0</v>
      </c>
      <c r="GR149" s="3">
        <v>0</v>
      </c>
      <c r="GS149" s="3">
        <v>3</v>
      </c>
      <c r="GT149" s="3">
        <v>0</v>
      </c>
      <c r="GU149" s="3" t="s">
        <v>3</v>
      </c>
      <c r="GV149" s="3">
        <f t="shared" si="143"/>
        <v>0</v>
      </c>
      <c r="GW149" s="3">
        <v>1</v>
      </c>
      <c r="GX149" s="3">
        <f t="shared" si="144"/>
        <v>0</v>
      </c>
      <c r="HA149" s="3">
        <v>0</v>
      </c>
      <c r="HB149" s="3">
        <v>0</v>
      </c>
      <c r="HC149" s="3">
        <f t="shared" si="145"/>
        <v>0</v>
      </c>
      <c r="HE149" s="3" t="s">
        <v>3</v>
      </c>
      <c r="HF149" s="3" t="s">
        <v>3</v>
      </c>
      <c r="HM149" s="3" t="s">
        <v>3</v>
      </c>
      <c r="HN149" s="3" t="s">
        <v>3</v>
      </c>
      <c r="HO149" s="3" t="s">
        <v>3</v>
      </c>
      <c r="HP149" s="3" t="s">
        <v>3</v>
      </c>
      <c r="HQ149" s="3" t="s">
        <v>3</v>
      </c>
      <c r="HS149" s="3">
        <v>0</v>
      </c>
      <c r="IK149" s="3">
        <v>0</v>
      </c>
    </row>
    <row r="150" spans="1:255" x14ac:dyDescent="0.2">
      <c r="A150" s="2">
        <v>18</v>
      </c>
      <c r="B150" s="2">
        <v>1</v>
      </c>
      <c r="C150" s="2">
        <v>109</v>
      </c>
      <c r="D150" s="2"/>
      <c r="E150" s="2" t="s">
        <v>191</v>
      </c>
      <c r="F150" s="2" t="s">
        <v>192</v>
      </c>
      <c r="G150" s="2" t="s">
        <v>493</v>
      </c>
      <c r="H150" s="2" t="s">
        <v>156</v>
      </c>
      <c r="I150" s="2">
        <f>I148*J150</f>
        <v>6.12</v>
      </c>
      <c r="J150" s="2">
        <v>102</v>
      </c>
      <c r="K150" s="2">
        <v>102</v>
      </c>
      <c r="L150" s="2"/>
      <c r="M150" s="2"/>
      <c r="N150" s="2"/>
      <c r="O150" s="2">
        <f t="shared" si="121"/>
        <v>814.27</v>
      </c>
      <c r="P150" s="2">
        <f t="shared" si="122"/>
        <v>814.27</v>
      </c>
      <c r="Q150" s="2">
        <f>(ROUND((ROUND(((ET150)*AV150*I150),2)*BB150),2)+ROUND((ROUND(((AE150-(EU150))*AV150*I150),2)*BS150),2))</f>
        <v>0</v>
      </c>
      <c r="R150" s="2">
        <f>(ROUND((ROUND(((EU150)*AV150*I150),2)*BS150),2)+ROUND((ROUND(((AE150-(EU150))*AV150*I150),2)*BS150),2))</f>
        <v>0</v>
      </c>
      <c r="S150" s="2">
        <f t="shared" si="123"/>
        <v>0</v>
      </c>
      <c r="T150" s="2">
        <f t="shared" si="124"/>
        <v>0</v>
      </c>
      <c r="U150" s="2">
        <f t="shared" si="125"/>
        <v>0</v>
      </c>
      <c r="V150" s="2">
        <f t="shared" si="126"/>
        <v>0</v>
      </c>
      <c r="W150" s="2">
        <f t="shared" si="127"/>
        <v>0</v>
      </c>
      <c r="X150" s="2">
        <f>(ROUND((((S150+ROUND((ROUND(((EU150)*AV150*I150),2)*BS150),2))*AT150)/100),2)+ROUND(((ROUND((ROUND(((AE150-(EU150))*AV150*I150),2)*BS150),2)*AT150)/100),2))</f>
        <v>0</v>
      </c>
      <c r="Y150" s="2">
        <f>(ROUND((((S150+ROUND((ROUND(((EU150)*AV150*I150),2)*BS150),2))*AU150)/100),2)+ROUND(((ROUND((ROUND(((AE150-(EU150))*AV150*I150),2)*BS150),2)*AU150)/100),2))</f>
        <v>0</v>
      </c>
      <c r="Z150" s="2"/>
      <c r="AA150" s="2">
        <v>55919547</v>
      </c>
      <c r="AB150" s="2">
        <f t="shared" si="128"/>
        <v>133.05000000000001</v>
      </c>
      <c r="AC150" s="2">
        <f>ROUND((ES150),6)</f>
        <v>133.05000000000001</v>
      </c>
      <c r="AD150" s="2">
        <f>ROUND((((ET150)-(EU150))+AE150),6)</f>
        <v>0</v>
      </c>
      <c r="AE150" s="2">
        <f t="shared" ref="AE150:AF153" si="146">ROUND((EU150),6)</f>
        <v>0</v>
      </c>
      <c r="AF150" s="2">
        <f t="shared" si="146"/>
        <v>0</v>
      </c>
      <c r="AG150" s="2">
        <f t="shared" si="129"/>
        <v>0</v>
      </c>
      <c r="AH150" s="2">
        <f t="shared" ref="AH150:AI153" si="147">(EW150)</f>
        <v>0</v>
      </c>
      <c r="AI150" s="2">
        <f t="shared" si="147"/>
        <v>0</v>
      </c>
      <c r="AJ150" s="2">
        <f t="shared" si="130"/>
        <v>0</v>
      </c>
      <c r="AK150" s="2">
        <v>133.05000000000001</v>
      </c>
      <c r="AL150" s="2">
        <v>133.05000000000001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97</v>
      </c>
      <c r="AU150" s="2">
        <v>51</v>
      </c>
      <c r="AV150" s="2">
        <v>1</v>
      </c>
      <c r="AW150" s="2">
        <v>1</v>
      </c>
      <c r="AX150" s="2"/>
      <c r="AY150" s="2"/>
      <c r="AZ150" s="2">
        <v>1</v>
      </c>
      <c r="BA150" s="2">
        <v>1</v>
      </c>
      <c r="BB150" s="2">
        <v>1</v>
      </c>
      <c r="BC150" s="2">
        <v>1</v>
      </c>
      <c r="BD150" s="2" t="s">
        <v>3</v>
      </c>
      <c r="BE150" s="2" t="s">
        <v>3</v>
      </c>
      <c r="BF150" s="2" t="s">
        <v>3</v>
      </c>
      <c r="BG150" s="2" t="s">
        <v>3</v>
      </c>
      <c r="BH150" s="2">
        <v>3</v>
      </c>
      <c r="BI150" s="2">
        <v>2</v>
      </c>
      <c r="BJ150" s="2" t="s">
        <v>193</v>
      </c>
      <c r="BK150" s="2"/>
      <c r="BL150" s="2"/>
      <c r="BM150" s="2">
        <v>67</v>
      </c>
      <c r="BN150" s="2">
        <v>0</v>
      </c>
      <c r="BO150" s="2" t="s">
        <v>3</v>
      </c>
      <c r="BP150" s="2">
        <v>0</v>
      </c>
      <c r="BQ150" s="2">
        <v>40</v>
      </c>
      <c r="BR150" s="2">
        <v>0</v>
      </c>
      <c r="BS150" s="2">
        <v>1</v>
      </c>
      <c r="BT150" s="2">
        <v>1</v>
      </c>
      <c r="BU150" s="2">
        <v>1</v>
      </c>
      <c r="BV150" s="2">
        <v>1</v>
      </c>
      <c r="BW150" s="2">
        <v>1</v>
      </c>
      <c r="BX150" s="2">
        <v>1</v>
      </c>
      <c r="BY150" s="2" t="s">
        <v>3</v>
      </c>
      <c r="BZ150" s="2">
        <v>97</v>
      </c>
      <c r="CA150" s="2">
        <v>51</v>
      </c>
      <c r="CB150" s="2" t="s">
        <v>3</v>
      </c>
      <c r="CC150" s="2"/>
      <c r="CD150" s="2"/>
      <c r="CE150" s="2">
        <v>1566</v>
      </c>
      <c r="CF150" s="2">
        <v>0</v>
      </c>
      <c r="CG150" s="2">
        <v>0</v>
      </c>
      <c r="CH150" s="2"/>
      <c r="CI150" s="2"/>
      <c r="CJ150" s="2"/>
      <c r="CK150" s="2"/>
      <c r="CL150" s="2"/>
      <c r="CM150" s="2">
        <v>0</v>
      </c>
      <c r="CN150" s="2" t="s">
        <v>492</v>
      </c>
      <c r="CO150" s="2">
        <v>0</v>
      </c>
      <c r="CP150" s="2">
        <f t="shared" si="131"/>
        <v>814.27</v>
      </c>
      <c r="CQ150" s="2">
        <f t="shared" si="132"/>
        <v>133.05000000000001</v>
      </c>
      <c r="CR150" s="2">
        <f>(ROUND((ROUND(((ET150)*AV150*1),2)*BB150),2)+ROUND((ROUND(((AE150-(EU150))*AV150*1),2)*BS150),2))</f>
        <v>0</v>
      </c>
      <c r="CS150" s="2">
        <f>(ROUND((ROUND(((EU150)*AV150*1),2)*BS150),2)+ROUND((ROUND(((AE150-(EU150))*AV150*1),2)*BS150),2))</f>
        <v>0</v>
      </c>
      <c r="CT150" s="2">
        <f t="shared" si="133"/>
        <v>0</v>
      </c>
      <c r="CU150" s="2">
        <f t="shared" si="134"/>
        <v>0</v>
      </c>
      <c r="CV150" s="2">
        <f t="shared" si="135"/>
        <v>0</v>
      </c>
      <c r="CW150" s="2">
        <f t="shared" si="136"/>
        <v>0</v>
      </c>
      <c r="CX150" s="2">
        <f t="shared" si="137"/>
        <v>0</v>
      </c>
      <c r="CY150" s="2">
        <f>(ROUND((((S150+ROUND((ROUND(((EU150)*AV150*1),2)*BS150),2))*AT150)/100),2)+ROUND(((ROUND((ROUND(((AE150-(EU150))*AV150*1),2)*BS150),2)*AT150)/100),2))</f>
        <v>0</v>
      </c>
      <c r="CZ150" s="2">
        <f>(ROUND((((S150+ROUND((ROUND(((EU150)*AV150*1),2)*BS150),2))*AU150)/100),2)+ROUND(((ROUND((ROUND(((AE150-(EU150))*AV150*1),2)*BS150),2)*AU150)/100),2))</f>
        <v>0</v>
      </c>
      <c r="DA150" s="2"/>
      <c r="DB150" s="2"/>
      <c r="DC150" s="2" t="s">
        <v>3</v>
      </c>
      <c r="DD150" s="2" t="s">
        <v>3</v>
      </c>
      <c r="DE150" s="2" t="s">
        <v>3</v>
      </c>
      <c r="DF150" s="2" t="s">
        <v>3</v>
      </c>
      <c r="DG150" s="2" t="s">
        <v>3</v>
      </c>
      <c r="DH150" s="2" t="s">
        <v>3</v>
      </c>
      <c r="DI150" s="2" t="s">
        <v>3</v>
      </c>
      <c r="DJ150" s="2" t="s">
        <v>3</v>
      </c>
      <c r="DK150" s="2" t="s">
        <v>3</v>
      </c>
      <c r="DL150" s="2" t="s">
        <v>3</v>
      </c>
      <c r="DM150" s="2" t="s">
        <v>3</v>
      </c>
      <c r="DN150" s="2">
        <v>0</v>
      </c>
      <c r="DO150" s="2">
        <v>0</v>
      </c>
      <c r="DP150" s="2">
        <v>1</v>
      </c>
      <c r="DQ150" s="2">
        <v>1</v>
      </c>
      <c r="DR150" s="2"/>
      <c r="DS150" s="2"/>
      <c r="DT150" s="2"/>
      <c r="DU150" s="2">
        <v>1010</v>
      </c>
      <c r="DV150" s="2" t="s">
        <v>156</v>
      </c>
      <c r="DW150" s="2" t="s">
        <v>156</v>
      </c>
      <c r="DX150" s="2">
        <v>1</v>
      </c>
      <c r="DY150" s="2"/>
      <c r="DZ150" s="2" t="s">
        <v>3</v>
      </c>
      <c r="EA150" s="2" t="s">
        <v>3</v>
      </c>
      <c r="EB150" s="2" t="s">
        <v>3</v>
      </c>
      <c r="EC150" s="2" t="s">
        <v>3</v>
      </c>
      <c r="ED150" s="2"/>
      <c r="EE150" s="2">
        <v>55393699</v>
      </c>
      <c r="EF150" s="2">
        <v>40</v>
      </c>
      <c r="EG150" s="2" t="s">
        <v>26</v>
      </c>
      <c r="EH150" s="2">
        <v>0</v>
      </c>
      <c r="EI150" s="2" t="s">
        <v>3</v>
      </c>
      <c r="EJ150" s="2">
        <v>2</v>
      </c>
      <c r="EK150" s="2">
        <v>67</v>
      </c>
      <c r="EL150" s="2" t="s">
        <v>39</v>
      </c>
      <c r="EM150" s="2" t="s">
        <v>40</v>
      </c>
      <c r="EN150" s="2"/>
      <c r="EO150" s="2" t="s">
        <v>61</v>
      </c>
      <c r="EP150" s="2"/>
      <c r="EQ150" s="2">
        <v>0</v>
      </c>
      <c r="ER150" s="2">
        <v>133.05000000000001</v>
      </c>
      <c r="ES150" s="2">
        <v>133.05000000000001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>
        <v>0</v>
      </c>
      <c r="FR150" s="2">
        <v>0</v>
      </c>
      <c r="FS150" s="2">
        <v>0</v>
      </c>
      <c r="FT150" s="2"/>
      <c r="FU150" s="2"/>
      <c r="FV150" s="2"/>
      <c r="FW150" s="2"/>
      <c r="FX150" s="2">
        <v>97</v>
      </c>
      <c r="FY150" s="2">
        <v>51</v>
      </c>
      <c r="FZ150" s="2"/>
      <c r="GA150" s="2" t="s">
        <v>3</v>
      </c>
      <c r="GB150" s="2"/>
      <c r="GC150" s="2"/>
      <c r="GD150" s="2">
        <v>1</v>
      </c>
      <c r="GE150" s="2"/>
      <c r="GF150" s="2">
        <v>653291748</v>
      </c>
      <c r="GG150" s="2">
        <v>2</v>
      </c>
      <c r="GH150" s="2">
        <v>1</v>
      </c>
      <c r="GI150" s="2">
        <v>-2</v>
      </c>
      <c r="GJ150" s="2">
        <v>0</v>
      </c>
      <c r="GK150" s="2">
        <v>0</v>
      </c>
      <c r="GL150" s="2">
        <f t="shared" si="138"/>
        <v>0</v>
      </c>
      <c r="GM150" s="2">
        <f t="shared" si="139"/>
        <v>814.27</v>
      </c>
      <c r="GN150" s="2">
        <f t="shared" si="140"/>
        <v>0</v>
      </c>
      <c r="GO150" s="2">
        <f t="shared" si="141"/>
        <v>814.27</v>
      </c>
      <c r="GP150" s="2">
        <f t="shared" si="142"/>
        <v>0</v>
      </c>
      <c r="GQ150" s="2"/>
      <c r="GR150" s="2">
        <v>0</v>
      </c>
      <c r="GS150" s="2">
        <v>3</v>
      </c>
      <c r="GT150" s="2">
        <v>0</v>
      </c>
      <c r="GU150" s="2" t="s">
        <v>3</v>
      </c>
      <c r="GV150" s="2">
        <f t="shared" si="143"/>
        <v>0</v>
      </c>
      <c r="GW150" s="2">
        <v>1</v>
      </c>
      <c r="GX150" s="2">
        <f t="shared" si="144"/>
        <v>0</v>
      </c>
      <c r="GY150" s="2"/>
      <c r="GZ150" s="2"/>
      <c r="HA150" s="2">
        <v>0</v>
      </c>
      <c r="HB150" s="2">
        <v>0</v>
      </c>
      <c r="HC150" s="2">
        <f t="shared" si="145"/>
        <v>0</v>
      </c>
      <c r="HD150" s="2"/>
      <c r="HE150" s="2" t="s">
        <v>3</v>
      </c>
      <c r="HF150" s="2" t="s">
        <v>3</v>
      </c>
      <c r="HG150" s="2"/>
      <c r="HH150" s="2"/>
      <c r="HI150" s="2"/>
      <c r="HJ150" s="2"/>
      <c r="HK150" s="2"/>
      <c r="HL150" s="2"/>
      <c r="HM150" s="2" t="s">
        <v>3</v>
      </c>
      <c r="HN150" s="2" t="s">
        <v>3</v>
      </c>
      <c r="HO150" s="2" t="s">
        <v>3</v>
      </c>
      <c r="HP150" s="2" t="s">
        <v>3</v>
      </c>
      <c r="HQ150" s="2" t="s">
        <v>3</v>
      </c>
      <c r="HR150" s="2"/>
      <c r="HS150" s="2">
        <v>0</v>
      </c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>
        <v>0</v>
      </c>
      <c r="IL150" s="2"/>
      <c r="IM150" s="2"/>
      <c r="IN150" s="2"/>
      <c r="IO150" s="2"/>
      <c r="IP150" s="2"/>
      <c r="IQ150" s="2"/>
      <c r="IR150" s="2"/>
      <c r="IS150" s="2"/>
      <c r="IT150" s="2"/>
      <c r="IU150" s="2"/>
    </row>
    <row r="151" spans="1:255" x14ac:dyDescent="0.2">
      <c r="A151" s="3">
        <v>18</v>
      </c>
      <c r="B151" s="3">
        <v>1</v>
      </c>
      <c r="C151" s="3">
        <v>112</v>
      </c>
      <c r="E151" s="3" t="s">
        <v>191</v>
      </c>
      <c r="F151" s="3" t="s">
        <v>192</v>
      </c>
      <c r="G151" s="3" t="s">
        <v>493</v>
      </c>
      <c r="H151" s="3" t="s">
        <v>156</v>
      </c>
      <c r="I151" s="3">
        <f>I149*J151</f>
        <v>6.12</v>
      </c>
      <c r="J151" s="3">
        <v>102</v>
      </c>
      <c r="K151" s="3">
        <v>102</v>
      </c>
      <c r="O151" s="3">
        <f t="shared" si="121"/>
        <v>7605.28</v>
      </c>
      <c r="P151" s="3">
        <f t="shared" si="122"/>
        <v>7605.28</v>
      </c>
      <c r="Q151" s="3">
        <f>(ROUND((ROUND(((ET151)*AV151*I151),2)*BB151),2)+ROUND((ROUND(((AE151-(EU151))*AV151*I151),2)*BS151),2))</f>
        <v>0</v>
      </c>
      <c r="R151" s="3">
        <f>(ROUND((ROUND(((EU151)*AV151*I151),2)*BS151),2)+ROUND((ROUND(((AE151-(EU151))*AV151*I151),2)*BS151),2))</f>
        <v>0</v>
      </c>
      <c r="S151" s="3">
        <f t="shared" si="123"/>
        <v>0</v>
      </c>
      <c r="T151" s="3">
        <f t="shared" si="124"/>
        <v>0</v>
      </c>
      <c r="U151" s="3">
        <f t="shared" si="125"/>
        <v>0</v>
      </c>
      <c r="V151" s="3">
        <f t="shared" si="126"/>
        <v>0</v>
      </c>
      <c r="W151" s="3">
        <f t="shared" si="127"/>
        <v>0</v>
      </c>
      <c r="X151" s="3">
        <f>(ROUND((((S151+ROUND((ROUND(((EU151)*AV151*I151),2)*BS151),2))*AT151)/100),2)+ROUND(((ROUND((ROUND(((AE151-(EU151))*AV151*I151),2)*BS151),2)*AT151)/100),2))</f>
        <v>0</v>
      </c>
      <c r="Y151" s="3">
        <f>(ROUND((((S151+ROUND((ROUND(((EU151)*AV151*I151),2)*BS151),2))*AU151)/100),2)+ROUND(((ROUND((ROUND(((AE151-(EU151))*AV151*I151),2)*BS151),2)*AU151)/100),2))</f>
        <v>0</v>
      </c>
      <c r="AA151" s="3">
        <v>55919549</v>
      </c>
      <c r="AB151" s="3">
        <f t="shared" si="128"/>
        <v>133.05000000000001</v>
      </c>
      <c r="AC151" s="3">
        <f>ROUND((ES151),6)</f>
        <v>133.05000000000001</v>
      </c>
      <c r="AD151" s="3">
        <f>ROUND((((ET151)-(EU151))+AE151),6)</f>
        <v>0</v>
      </c>
      <c r="AE151" s="3">
        <f t="shared" si="146"/>
        <v>0</v>
      </c>
      <c r="AF151" s="3">
        <f t="shared" si="146"/>
        <v>0</v>
      </c>
      <c r="AG151" s="3">
        <f t="shared" si="129"/>
        <v>0</v>
      </c>
      <c r="AH151" s="3">
        <f t="shared" si="147"/>
        <v>0</v>
      </c>
      <c r="AI151" s="3">
        <f t="shared" si="147"/>
        <v>0</v>
      </c>
      <c r="AJ151" s="3">
        <f t="shared" si="130"/>
        <v>0</v>
      </c>
      <c r="AK151" s="3">
        <v>133.05000000000001</v>
      </c>
      <c r="AL151" s="3">
        <v>133.05000000000001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97</v>
      </c>
      <c r="AU151" s="3">
        <v>51</v>
      </c>
      <c r="AV151" s="3">
        <v>1</v>
      </c>
      <c r="AW151" s="3">
        <v>1</v>
      </c>
      <c r="AZ151" s="3">
        <v>1</v>
      </c>
      <c r="BA151" s="3">
        <v>1</v>
      </c>
      <c r="BB151" s="3">
        <v>1</v>
      </c>
      <c r="BC151" s="3">
        <v>9.34</v>
      </c>
      <c r="BD151" s="3" t="s">
        <v>3</v>
      </c>
      <c r="BE151" s="3" t="s">
        <v>3</v>
      </c>
      <c r="BF151" s="3" t="s">
        <v>3</v>
      </c>
      <c r="BG151" s="3" t="s">
        <v>3</v>
      </c>
      <c r="BH151" s="3">
        <v>3</v>
      </c>
      <c r="BI151" s="3">
        <v>2</v>
      </c>
      <c r="BJ151" s="3" t="s">
        <v>193</v>
      </c>
      <c r="BM151" s="3">
        <v>67</v>
      </c>
      <c r="BN151" s="3">
        <v>0</v>
      </c>
      <c r="BO151" s="3" t="s">
        <v>192</v>
      </c>
      <c r="BP151" s="3">
        <v>1</v>
      </c>
      <c r="BQ151" s="3">
        <v>40</v>
      </c>
      <c r="BR151" s="3">
        <v>0</v>
      </c>
      <c r="BS151" s="3">
        <v>1</v>
      </c>
      <c r="BT151" s="3">
        <v>1</v>
      </c>
      <c r="BU151" s="3">
        <v>1</v>
      </c>
      <c r="BV151" s="3">
        <v>1</v>
      </c>
      <c r="BW151" s="3">
        <v>1</v>
      </c>
      <c r="BX151" s="3">
        <v>1</v>
      </c>
      <c r="BY151" s="3" t="s">
        <v>3</v>
      </c>
      <c r="BZ151" s="3">
        <v>97</v>
      </c>
      <c r="CA151" s="3">
        <v>51</v>
      </c>
      <c r="CB151" s="3" t="s">
        <v>3</v>
      </c>
      <c r="CE151" s="3">
        <v>1566</v>
      </c>
      <c r="CF151" s="3">
        <v>0</v>
      </c>
      <c r="CG151" s="3">
        <v>0</v>
      </c>
      <c r="CM151" s="3">
        <v>0</v>
      </c>
      <c r="CN151" s="3" t="s">
        <v>492</v>
      </c>
      <c r="CO151" s="3">
        <v>0</v>
      </c>
      <c r="CP151" s="3">
        <f t="shared" si="131"/>
        <v>7605.28</v>
      </c>
      <c r="CQ151" s="3">
        <f t="shared" si="132"/>
        <v>1242.69</v>
      </c>
      <c r="CR151" s="3">
        <f>(ROUND((ROUND(((ET151)*AV151*1),2)*BB151),2)+ROUND((ROUND(((AE151-(EU151))*AV151*1),2)*BS151),2))</f>
        <v>0</v>
      </c>
      <c r="CS151" s="3">
        <f>(ROUND((ROUND(((EU151)*AV151*1),2)*BS151),2)+ROUND((ROUND(((AE151-(EU151))*AV151*1),2)*BS151),2))</f>
        <v>0</v>
      </c>
      <c r="CT151" s="3">
        <f t="shared" si="133"/>
        <v>0</v>
      </c>
      <c r="CU151" s="3">
        <f t="shared" si="134"/>
        <v>0</v>
      </c>
      <c r="CV151" s="3">
        <f t="shared" si="135"/>
        <v>0</v>
      </c>
      <c r="CW151" s="3">
        <f t="shared" si="136"/>
        <v>0</v>
      </c>
      <c r="CX151" s="3">
        <f t="shared" si="137"/>
        <v>0</v>
      </c>
      <c r="CY151" s="3">
        <f>(ROUND((((S151+ROUND((ROUND(((EU151)*AV151*1),2)*BS151),2))*AT151)/100),2)+ROUND(((ROUND((ROUND(((AE151-(EU151))*AV151*1),2)*BS151),2)*AT151)/100),2))</f>
        <v>0</v>
      </c>
      <c r="CZ151" s="3">
        <f>(ROUND((((S151+ROUND((ROUND(((EU151)*AV151*1),2)*BS151),2))*AU151)/100),2)+ROUND(((ROUND((ROUND(((AE151-(EU151))*AV151*1),2)*BS151),2)*AU151)/100),2))</f>
        <v>0</v>
      </c>
      <c r="DC151" s="3" t="s">
        <v>3</v>
      </c>
      <c r="DD151" s="3" t="s">
        <v>3</v>
      </c>
      <c r="DE151" s="3" t="s">
        <v>3</v>
      </c>
      <c r="DF151" s="3" t="s">
        <v>3</v>
      </c>
      <c r="DG151" s="3" t="s">
        <v>3</v>
      </c>
      <c r="DH151" s="3" t="s">
        <v>3</v>
      </c>
      <c r="DI151" s="3" t="s">
        <v>3</v>
      </c>
      <c r="DJ151" s="3" t="s">
        <v>3</v>
      </c>
      <c r="DK151" s="3" t="s">
        <v>3</v>
      </c>
      <c r="DL151" s="3" t="s">
        <v>3</v>
      </c>
      <c r="DM151" s="3" t="s">
        <v>3</v>
      </c>
      <c r="DN151" s="3">
        <v>0</v>
      </c>
      <c r="DO151" s="3">
        <v>0</v>
      </c>
      <c r="DP151" s="3">
        <v>1</v>
      </c>
      <c r="DQ151" s="3">
        <v>1</v>
      </c>
      <c r="DU151" s="3">
        <v>1010</v>
      </c>
      <c r="DV151" s="3" t="s">
        <v>156</v>
      </c>
      <c r="DW151" s="3" t="s">
        <v>156</v>
      </c>
      <c r="DX151" s="3">
        <v>1</v>
      </c>
      <c r="DZ151" s="3" t="s">
        <v>3</v>
      </c>
      <c r="EA151" s="3" t="s">
        <v>3</v>
      </c>
      <c r="EB151" s="3" t="s">
        <v>3</v>
      </c>
      <c r="EC151" s="3" t="s">
        <v>3</v>
      </c>
      <c r="EE151" s="3">
        <v>55393699</v>
      </c>
      <c r="EF151" s="3">
        <v>40</v>
      </c>
      <c r="EG151" s="3" t="s">
        <v>26</v>
      </c>
      <c r="EH151" s="3">
        <v>0</v>
      </c>
      <c r="EI151" s="3" t="s">
        <v>3</v>
      </c>
      <c r="EJ151" s="3">
        <v>2</v>
      </c>
      <c r="EK151" s="3">
        <v>67</v>
      </c>
      <c r="EL151" s="3" t="s">
        <v>39</v>
      </c>
      <c r="EM151" s="3" t="s">
        <v>40</v>
      </c>
      <c r="EO151" s="3" t="s">
        <v>61</v>
      </c>
      <c r="EQ151" s="3">
        <v>0</v>
      </c>
      <c r="ER151" s="3">
        <v>133.05000000000001</v>
      </c>
      <c r="ES151" s="3">
        <v>133.05000000000001</v>
      </c>
      <c r="ET151" s="3">
        <v>0</v>
      </c>
      <c r="EU151" s="3">
        <v>0</v>
      </c>
      <c r="EV151" s="3">
        <v>0</v>
      </c>
      <c r="EW151" s="3">
        <v>0</v>
      </c>
      <c r="EX151" s="3">
        <v>0</v>
      </c>
      <c r="FQ151" s="3">
        <v>0</v>
      </c>
      <c r="FR151" s="3">
        <v>0</v>
      </c>
      <c r="FS151" s="3">
        <v>0</v>
      </c>
      <c r="FX151" s="3">
        <v>97</v>
      </c>
      <c r="FY151" s="3">
        <v>51</v>
      </c>
      <c r="GA151" s="3" t="s">
        <v>3</v>
      </c>
      <c r="GD151" s="3">
        <v>1</v>
      </c>
      <c r="GF151" s="3">
        <v>653291748</v>
      </c>
      <c r="GG151" s="3">
        <v>2</v>
      </c>
      <c r="GH151" s="3">
        <v>1</v>
      </c>
      <c r="GI151" s="3">
        <v>2</v>
      </c>
      <c r="GJ151" s="3">
        <v>0</v>
      </c>
      <c r="GK151" s="3">
        <v>0</v>
      </c>
      <c r="GL151" s="3">
        <f t="shared" si="138"/>
        <v>0</v>
      </c>
      <c r="GM151" s="3">
        <f t="shared" si="139"/>
        <v>7605.28</v>
      </c>
      <c r="GN151" s="3">
        <f t="shared" si="140"/>
        <v>0</v>
      </c>
      <c r="GO151" s="3">
        <f t="shared" si="141"/>
        <v>7605.28</v>
      </c>
      <c r="GP151" s="3">
        <f t="shared" si="142"/>
        <v>0</v>
      </c>
      <c r="GR151" s="3">
        <v>0</v>
      </c>
      <c r="GS151" s="3">
        <v>3</v>
      </c>
      <c r="GT151" s="3">
        <v>0</v>
      </c>
      <c r="GU151" s="3" t="s">
        <v>3</v>
      </c>
      <c r="GV151" s="3">
        <f t="shared" si="143"/>
        <v>0</v>
      </c>
      <c r="GW151" s="3">
        <v>1</v>
      </c>
      <c r="GX151" s="3">
        <f t="shared" si="144"/>
        <v>0</v>
      </c>
      <c r="HA151" s="3">
        <v>0</v>
      </c>
      <c r="HB151" s="3">
        <v>0</v>
      </c>
      <c r="HC151" s="3">
        <f t="shared" si="145"/>
        <v>0</v>
      </c>
      <c r="HE151" s="3" t="s">
        <v>3</v>
      </c>
      <c r="HF151" s="3" t="s">
        <v>3</v>
      </c>
      <c r="HM151" s="3" t="s">
        <v>3</v>
      </c>
      <c r="HN151" s="3" t="s">
        <v>3</v>
      </c>
      <c r="HO151" s="3" t="s">
        <v>3</v>
      </c>
      <c r="HP151" s="3" t="s">
        <v>3</v>
      </c>
      <c r="HQ151" s="3" t="s">
        <v>3</v>
      </c>
      <c r="HS151" s="3">
        <v>0</v>
      </c>
      <c r="IK151" s="3">
        <v>0</v>
      </c>
    </row>
    <row r="152" spans="1:255" x14ac:dyDescent="0.2">
      <c r="A152" s="2">
        <v>17</v>
      </c>
      <c r="B152" s="2">
        <v>1</v>
      </c>
      <c r="C152" s="2"/>
      <c r="D152" s="2"/>
      <c r="E152" s="2" t="s">
        <v>194</v>
      </c>
      <c r="F152" s="2" t="s">
        <v>195</v>
      </c>
      <c r="G152" s="2" t="s">
        <v>196</v>
      </c>
      <c r="H152" s="2" t="s">
        <v>156</v>
      </c>
      <c r="I152" s="2">
        <v>6</v>
      </c>
      <c r="J152" s="2">
        <v>0</v>
      </c>
      <c r="K152" s="2">
        <v>6</v>
      </c>
      <c r="L152" s="2"/>
      <c r="M152" s="2"/>
      <c r="N152" s="2"/>
      <c r="O152" s="2">
        <f t="shared" si="121"/>
        <v>243.84</v>
      </c>
      <c r="P152" s="2">
        <f t="shared" si="122"/>
        <v>243.84</v>
      </c>
      <c r="Q152" s="2">
        <f>(ROUND((ROUND(((ET152)*AV152*I152),2)*BB152),2)+ROUND((ROUND(((AE152-(EU152))*AV152*I152),2)*BS152),2))</f>
        <v>0</v>
      </c>
      <c r="R152" s="2">
        <f>(ROUND((ROUND(((EU152)*AV152*I152),2)*BS152),2)+ROUND((ROUND(((AE152-(EU152))*AV152*I152),2)*BS152),2))</f>
        <v>0</v>
      </c>
      <c r="S152" s="2">
        <f t="shared" si="123"/>
        <v>0</v>
      </c>
      <c r="T152" s="2">
        <f t="shared" si="124"/>
        <v>0</v>
      </c>
      <c r="U152" s="2">
        <f t="shared" si="125"/>
        <v>0</v>
      </c>
      <c r="V152" s="2">
        <f t="shared" si="126"/>
        <v>0</v>
      </c>
      <c r="W152" s="2">
        <f t="shared" si="127"/>
        <v>0</v>
      </c>
      <c r="X152" s="2">
        <f>(ROUND((((S152+ROUND((ROUND(((EU152)*AV152*I152),2)*BS152),2))*AT152)/100),2)+ROUND(((ROUND((ROUND(((AE152-(EU152))*AV152*I152),2)*BS152),2)*AT152)/100),2))</f>
        <v>0</v>
      </c>
      <c r="Y152" s="2">
        <f>(ROUND((((S152+ROUND((ROUND(((EU152)*AV152*I152),2)*BS152),2))*AU152)/100),2)+ROUND(((ROUND((ROUND(((AE152-(EU152))*AV152*I152),2)*BS152),2)*AU152)/100),2))</f>
        <v>0</v>
      </c>
      <c r="Z152" s="2"/>
      <c r="AA152" s="2">
        <v>55919547</v>
      </c>
      <c r="AB152" s="2">
        <f t="shared" si="128"/>
        <v>40.64</v>
      </c>
      <c r="AC152" s="2">
        <f>ROUND((ES152),6)</f>
        <v>40.64</v>
      </c>
      <c r="AD152" s="2">
        <f>ROUND((((ET152)-(EU152))+AE152),6)</f>
        <v>0</v>
      </c>
      <c r="AE152" s="2">
        <f t="shared" si="146"/>
        <v>0</v>
      </c>
      <c r="AF152" s="2">
        <f t="shared" si="146"/>
        <v>0</v>
      </c>
      <c r="AG152" s="2">
        <f t="shared" si="129"/>
        <v>0</v>
      </c>
      <c r="AH152" s="2">
        <f t="shared" si="147"/>
        <v>0</v>
      </c>
      <c r="AI152" s="2">
        <f t="shared" si="147"/>
        <v>0</v>
      </c>
      <c r="AJ152" s="2">
        <f t="shared" si="130"/>
        <v>0</v>
      </c>
      <c r="AK152" s="2">
        <v>40.64</v>
      </c>
      <c r="AL152" s="2">
        <v>40.64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1</v>
      </c>
      <c r="AW152" s="2">
        <v>1</v>
      </c>
      <c r="AX152" s="2"/>
      <c r="AY152" s="2"/>
      <c r="AZ152" s="2">
        <v>1</v>
      </c>
      <c r="BA152" s="2">
        <v>1</v>
      </c>
      <c r="BB152" s="2">
        <v>1</v>
      </c>
      <c r="BC152" s="2">
        <v>1</v>
      </c>
      <c r="BD152" s="2" t="s">
        <v>3</v>
      </c>
      <c r="BE152" s="2" t="s">
        <v>3</v>
      </c>
      <c r="BF152" s="2" t="s">
        <v>3</v>
      </c>
      <c r="BG152" s="2" t="s">
        <v>3</v>
      </c>
      <c r="BH152" s="2">
        <v>3</v>
      </c>
      <c r="BI152" s="2">
        <v>2</v>
      </c>
      <c r="BJ152" s="2" t="s">
        <v>197</v>
      </c>
      <c r="BK152" s="2"/>
      <c r="BL152" s="2"/>
      <c r="BM152" s="2">
        <v>1618</v>
      </c>
      <c r="BN152" s="2">
        <v>0</v>
      </c>
      <c r="BO152" s="2" t="s">
        <v>3</v>
      </c>
      <c r="BP152" s="2">
        <v>0</v>
      </c>
      <c r="BQ152" s="2">
        <v>201</v>
      </c>
      <c r="BR152" s="2">
        <v>0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 t="s">
        <v>3</v>
      </c>
      <c r="BZ152" s="2">
        <v>0</v>
      </c>
      <c r="CA152" s="2">
        <v>0</v>
      </c>
      <c r="CB152" s="2" t="s">
        <v>3</v>
      </c>
      <c r="CC152" s="2"/>
      <c r="CD152" s="2"/>
      <c r="CE152" s="2">
        <v>1566</v>
      </c>
      <c r="CF152" s="2">
        <v>0</v>
      </c>
      <c r="CG152" s="2">
        <v>0</v>
      </c>
      <c r="CH152" s="2"/>
      <c r="CI152" s="2"/>
      <c r="CJ152" s="2"/>
      <c r="CK152" s="2"/>
      <c r="CL152" s="2"/>
      <c r="CM152" s="2">
        <v>0</v>
      </c>
      <c r="CN152" s="2" t="s">
        <v>3</v>
      </c>
      <c r="CO152" s="2">
        <v>0</v>
      </c>
      <c r="CP152" s="2">
        <f t="shared" si="131"/>
        <v>243.84</v>
      </c>
      <c r="CQ152" s="2">
        <f t="shared" si="132"/>
        <v>40.64</v>
      </c>
      <c r="CR152" s="2">
        <f>(ROUND((ROUND(((ET152)*AV152*1),2)*BB152),2)+ROUND((ROUND(((AE152-(EU152))*AV152*1),2)*BS152),2))</f>
        <v>0</v>
      </c>
      <c r="CS152" s="2">
        <f>(ROUND((ROUND(((EU152)*AV152*1),2)*BS152),2)+ROUND((ROUND(((AE152-(EU152))*AV152*1),2)*BS152),2))</f>
        <v>0</v>
      </c>
      <c r="CT152" s="2">
        <f t="shared" si="133"/>
        <v>0</v>
      </c>
      <c r="CU152" s="2">
        <f t="shared" si="134"/>
        <v>0</v>
      </c>
      <c r="CV152" s="2">
        <f t="shared" si="135"/>
        <v>0</v>
      </c>
      <c r="CW152" s="2">
        <f t="shared" si="136"/>
        <v>0</v>
      </c>
      <c r="CX152" s="2">
        <f t="shared" si="137"/>
        <v>0</v>
      </c>
      <c r="CY152" s="2">
        <f>(ROUND((((S152+ROUND((ROUND(((EU152)*AV152*1),2)*BS152),2))*AT152)/100),2)+ROUND(((ROUND((ROUND(((AE152-(EU152))*AV152*1),2)*BS152),2)*AT152)/100),2))</f>
        <v>0</v>
      </c>
      <c r="CZ152" s="2">
        <f>(ROUND((((S152+ROUND((ROUND(((EU152)*AV152*1),2)*BS152),2))*AU152)/100),2)+ROUND(((ROUND((ROUND(((AE152-(EU152))*AV152*1),2)*BS152),2)*AU152)/100),2))</f>
        <v>0</v>
      </c>
      <c r="DA152" s="2"/>
      <c r="DB152" s="2"/>
      <c r="DC152" s="2" t="s">
        <v>3</v>
      </c>
      <c r="DD152" s="2" t="s">
        <v>3</v>
      </c>
      <c r="DE152" s="2" t="s">
        <v>3</v>
      </c>
      <c r="DF152" s="2" t="s">
        <v>3</v>
      </c>
      <c r="DG152" s="2" t="s">
        <v>3</v>
      </c>
      <c r="DH152" s="2" t="s">
        <v>3</v>
      </c>
      <c r="DI152" s="2" t="s">
        <v>3</v>
      </c>
      <c r="DJ152" s="2" t="s">
        <v>3</v>
      </c>
      <c r="DK152" s="2" t="s">
        <v>3</v>
      </c>
      <c r="DL152" s="2" t="s">
        <v>3</v>
      </c>
      <c r="DM152" s="2" t="s">
        <v>3</v>
      </c>
      <c r="DN152" s="2">
        <v>0</v>
      </c>
      <c r="DO152" s="2">
        <v>0</v>
      </c>
      <c r="DP152" s="2">
        <v>1</v>
      </c>
      <c r="DQ152" s="2">
        <v>1</v>
      </c>
      <c r="DR152" s="2"/>
      <c r="DS152" s="2"/>
      <c r="DT152" s="2"/>
      <c r="DU152" s="2">
        <v>1010</v>
      </c>
      <c r="DV152" s="2" t="s">
        <v>156</v>
      </c>
      <c r="DW152" s="2" t="s">
        <v>156</v>
      </c>
      <c r="DX152" s="2">
        <v>1</v>
      </c>
      <c r="DY152" s="2"/>
      <c r="DZ152" s="2" t="s">
        <v>3</v>
      </c>
      <c r="EA152" s="2" t="s">
        <v>3</v>
      </c>
      <c r="EB152" s="2" t="s">
        <v>3</v>
      </c>
      <c r="EC152" s="2" t="s">
        <v>3</v>
      </c>
      <c r="ED152" s="2"/>
      <c r="EE152" s="2">
        <v>55393729</v>
      </c>
      <c r="EF152" s="2">
        <v>201</v>
      </c>
      <c r="EG152" s="2" t="s">
        <v>184</v>
      </c>
      <c r="EH152" s="2">
        <v>0</v>
      </c>
      <c r="EI152" s="2" t="s">
        <v>3</v>
      </c>
      <c r="EJ152" s="2">
        <v>2</v>
      </c>
      <c r="EK152" s="2">
        <v>1618</v>
      </c>
      <c r="EL152" s="2" t="s">
        <v>185</v>
      </c>
      <c r="EM152" s="2" t="s">
        <v>186</v>
      </c>
      <c r="EN152" s="2"/>
      <c r="EO152" s="2" t="s">
        <v>3</v>
      </c>
      <c r="EP152" s="2"/>
      <c r="EQ152" s="2">
        <v>0</v>
      </c>
      <c r="ER152" s="2">
        <v>40.64</v>
      </c>
      <c r="ES152" s="2">
        <v>40.64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>
        <v>0</v>
      </c>
      <c r="FR152" s="2">
        <v>0</v>
      </c>
      <c r="FS152" s="2">
        <v>0</v>
      </c>
      <c r="FT152" s="2"/>
      <c r="FU152" s="2"/>
      <c r="FV152" s="2"/>
      <c r="FW152" s="2"/>
      <c r="FX152" s="2">
        <v>0</v>
      </c>
      <c r="FY152" s="2">
        <v>0</v>
      </c>
      <c r="FZ152" s="2"/>
      <c r="GA152" s="2" t="s">
        <v>3</v>
      </c>
      <c r="GB152" s="2"/>
      <c r="GC152" s="2"/>
      <c r="GD152" s="2">
        <v>1</v>
      </c>
      <c r="GE152" s="2"/>
      <c r="GF152" s="2">
        <v>-13064215</v>
      </c>
      <c r="GG152" s="2">
        <v>2</v>
      </c>
      <c r="GH152" s="2">
        <v>1</v>
      </c>
      <c r="GI152" s="2">
        <v>-2</v>
      </c>
      <c r="GJ152" s="2">
        <v>0</v>
      </c>
      <c r="GK152" s="2">
        <v>0</v>
      </c>
      <c r="GL152" s="2">
        <f t="shared" si="138"/>
        <v>0</v>
      </c>
      <c r="GM152" s="2">
        <f t="shared" si="139"/>
        <v>243.84</v>
      </c>
      <c r="GN152" s="2">
        <f t="shared" si="140"/>
        <v>0</v>
      </c>
      <c r="GO152" s="2">
        <f t="shared" si="141"/>
        <v>243.84</v>
      </c>
      <c r="GP152" s="2">
        <f t="shared" si="142"/>
        <v>0</v>
      </c>
      <c r="GQ152" s="2"/>
      <c r="GR152" s="2">
        <v>0</v>
      </c>
      <c r="GS152" s="2">
        <v>3</v>
      </c>
      <c r="GT152" s="2">
        <v>0</v>
      </c>
      <c r="GU152" s="2" t="s">
        <v>3</v>
      </c>
      <c r="GV152" s="2">
        <f t="shared" si="143"/>
        <v>0</v>
      </c>
      <c r="GW152" s="2">
        <v>1</v>
      </c>
      <c r="GX152" s="2">
        <f t="shared" si="144"/>
        <v>0</v>
      </c>
      <c r="GY152" s="2"/>
      <c r="GZ152" s="2"/>
      <c r="HA152" s="2">
        <v>0</v>
      </c>
      <c r="HB152" s="2">
        <v>0</v>
      </c>
      <c r="HC152" s="2">
        <f t="shared" si="145"/>
        <v>0</v>
      </c>
      <c r="HD152" s="2"/>
      <c r="HE152" s="2" t="s">
        <v>3</v>
      </c>
      <c r="HF152" s="2" t="s">
        <v>3</v>
      </c>
      <c r="HG152" s="2"/>
      <c r="HH152" s="2"/>
      <c r="HI152" s="2"/>
      <c r="HJ152" s="2"/>
      <c r="HK152" s="2"/>
      <c r="HL152" s="2"/>
      <c r="HM152" s="2" t="s">
        <v>3</v>
      </c>
      <c r="HN152" s="2" t="s">
        <v>3</v>
      </c>
      <c r="HO152" s="2" t="s">
        <v>3</v>
      </c>
      <c r="HP152" s="2" t="s">
        <v>3</v>
      </c>
      <c r="HQ152" s="2" t="s">
        <v>3</v>
      </c>
      <c r="HR152" s="2"/>
      <c r="HS152" s="2">
        <v>0</v>
      </c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>
        <v>0</v>
      </c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x14ac:dyDescent="0.2">
      <c r="A153" s="3">
        <v>17</v>
      </c>
      <c r="B153" s="3">
        <v>1</v>
      </c>
      <c r="E153" s="3" t="s">
        <v>194</v>
      </c>
      <c r="F153" s="3" t="s">
        <v>195</v>
      </c>
      <c r="G153" s="3" t="s">
        <v>196</v>
      </c>
      <c r="H153" s="3" t="s">
        <v>156</v>
      </c>
      <c r="I153" s="3">
        <v>6</v>
      </c>
      <c r="J153" s="3">
        <v>0</v>
      </c>
      <c r="K153" s="3">
        <v>6</v>
      </c>
      <c r="O153" s="3">
        <f t="shared" si="121"/>
        <v>1658.11</v>
      </c>
      <c r="P153" s="3">
        <f t="shared" si="122"/>
        <v>1658.11</v>
      </c>
      <c r="Q153" s="3">
        <f>(ROUND((ROUND(((ET153)*AV153*I153),2)*BB153),2)+ROUND((ROUND(((AE153-(EU153))*AV153*I153),2)*BS153),2))</f>
        <v>0</v>
      </c>
      <c r="R153" s="3">
        <f>(ROUND((ROUND(((EU153)*AV153*I153),2)*BS153),2)+ROUND((ROUND(((AE153-(EU153))*AV153*I153),2)*BS153),2))</f>
        <v>0</v>
      </c>
      <c r="S153" s="3">
        <f t="shared" si="123"/>
        <v>0</v>
      </c>
      <c r="T153" s="3">
        <f t="shared" si="124"/>
        <v>0</v>
      </c>
      <c r="U153" s="3">
        <f t="shared" si="125"/>
        <v>0</v>
      </c>
      <c r="V153" s="3">
        <f t="shared" si="126"/>
        <v>0</v>
      </c>
      <c r="W153" s="3">
        <f t="shared" si="127"/>
        <v>0</v>
      </c>
      <c r="X153" s="3">
        <f>(ROUND((((S153+ROUND((ROUND(((EU153)*AV153*I153),2)*BS153),2))*AT153)/100),2)+ROUND(((ROUND((ROUND(((AE153-(EU153))*AV153*I153),2)*BS153),2)*AT153)/100),2))</f>
        <v>0</v>
      </c>
      <c r="Y153" s="3">
        <f>(ROUND((((S153+ROUND((ROUND(((EU153)*AV153*I153),2)*BS153),2))*AU153)/100),2)+ROUND(((ROUND((ROUND(((AE153-(EU153))*AV153*I153),2)*BS153),2)*AU153)/100),2))</f>
        <v>0</v>
      </c>
      <c r="AA153" s="3">
        <v>55919549</v>
      </c>
      <c r="AB153" s="3">
        <f t="shared" si="128"/>
        <v>40.64</v>
      </c>
      <c r="AC153" s="3">
        <f>ROUND((ES153),6)</f>
        <v>40.64</v>
      </c>
      <c r="AD153" s="3">
        <f>ROUND((((ET153)-(EU153))+AE153),6)</f>
        <v>0</v>
      </c>
      <c r="AE153" s="3">
        <f t="shared" si="146"/>
        <v>0</v>
      </c>
      <c r="AF153" s="3">
        <f t="shared" si="146"/>
        <v>0</v>
      </c>
      <c r="AG153" s="3">
        <f t="shared" si="129"/>
        <v>0</v>
      </c>
      <c r="AH153" s="3">
        <f t="shared" si="147"/>
        <v>0</v>
      </c>
      <c r="AI153" s="3">
        <f t="shared" si="147"/>
        <v>0</v>
      </c>
      <c r="AJ153" s="3">
        <f t="shared" si="130"/>
        <v>0</v>
      </c>
      <c r="AK153" s="3">
        <v>40.64</v>
      </c>
      <c r="AL153" s="3">
        <v>40.64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1</v>
      </c>
      <c r="AW153" s="3">
        <v>1</v>
      </c>
      <c r="AZ153" s="3">
        <v>1</v>
      </c>
      <c r="BA153" s="3">
        <v>1</v>
      </c>
      <c r="BB153" s="3">
        <v>1</v>
      </c>
      <c r="BC153" s="3">
        <v>6.8</v>
      </c>
      <c r="BD153" s="3" t="s">
        <v>3</v>
      </c>
      <c r="BE153" s="3" t="s">
        <v>3</v>
      </c>
      <c r="BF153" s="3" t="s">
        <v>3</v>
      </c>
      <c r="BG153" s="3" t="s">
        <v>3</v>
      </c>
      <c r="BH153" s="3">
        <v>3</v>
      </c>
      <c r="BI153" s="3">
        <v>2</v>
      </c>
      <c r="BJ153" s="3" t="s">
        <v>197</v>
      </c>
      <c r="BM153" s="3">
        <v>1618</v>
      </c>
      <c r="BN153" s="3">
        <v>0</v>
      </c>
      <c r="BO153" s="3" t="s">
        <v>195</v>
      </c>
      <c r="BP153" s="3">
        <v>1</v>
      </c>
      <c r="BQ153" s="3">
        <v>201</v>
      </c>
      <c r="BR153" s="3">
        <v>0</v>
      </c>
      <c r="BS153" s="3">
        <v>1</v>
      </c>
      <c r="BT153" s="3">
        <v>1</v>
      </c>
      <c r="BU153" s="3">
        <v>1</v>
      </c>
      <c r="BV153" s="3">
        <v>1</v>
      </c>
      <c r="BW153" s="3">
        <v>1</v>
      </c>
      <c r="BX153" s="3">
        <v>1</v>
      </c>
      <c r="BY153" s="3" t="s">
        <v>3</v>
      </c>
      <c r="BZ153" s="3">
        <v>0</v>
      </c>
      <c r="CA153" s="3">
        <v>0</v>
      </c>
      <c r="CB153" s="3" t="s">
        <v>3</v>
      </c>
      <c r="CE153" s="3">
        <v>1566</v>
      </c>
      <c r="CF153" s="3">
        <v>0</v>
      </c>
      <c r="CG153" s="3">
        <v>0</v>
      </c>
      <c r="CM153" s="3">
        <v>0</v>
      </c>
      <c r="CN153" s="3" t="s">
        <v>3</v>
      </c>
      <c r="CO153" s="3">
        <v>0</v>
      </c>
      <c r="CP153" s="3">
        <f t="shared" si="131"/>
        <v>1658.11</v>
      </c>
      <c r="CQ153" s="3">
        <f t="shared" si="132"/>
        <v>276.35000000000002</v>
      </c>
      <c r="CR153" s="3">
        <f>(ROUND((ROUND(((ET153)*AV153*1),2)*BB153),2)+ROUND((ROUND(((AE153-(EU153))*AV153*1),2)*BS153),2))</f>
        <v>0</v>
      </c>
      <c r="CS153" s="3">
        <f>(ROUND((ROUND(((EU153)*AV153*1),2)*BS153),2)+ROUND((ROUND(((AE153-(EU153))*AV153*1),2)*BS153),2))</f>
        <v>0</v>
      </c>
      <c r="CT153" s="3">
        <f t="shared" si="133"/>
        <v>0</v>
      </c>
      <c r="CU153" s="3">
        <f t="shared" si="134"/>
        <v>0</v>
      </c>
      <c r="CV153" s="3">
        <f t="shared" si="135"/>
        <v>0</v>
      </c>
      <c r="CW153" s="3">
        <f t="shared" si="136"/>
        <v>0</v>
      </c>
      <c r="CX153" s="3">
        <f t="shared" si="137"/>
        <v>0</v>
      </c>
      <c r="CY153" s="3">
        <f>(ROUND((((S153+ROUND((ROUND(((EU153)*AV153*1),2)*BS153),2))*AT153)/100),2)+ROUND(((ROUND((ROUND(((AE153-(EU153))*AV153*1),2)*BS153),2)*AT153)/100),2))</f>
        <v>0</v>
      </c>
      <c r="CZ153" s="3">
        <f>(ROUND((((S153+ROUND((ROUND(((EU153)*AV153*1),2)*BS153),2))*AU153)/100),2)+ROUND(((ROUND((ROUND(((AE153-(EU153))*AV153*1),2)*BS153),2)*AU153)/100),2))</f>
        <v>0</v>
      </c>
      <c r="DC153" s="3" t="s">
        <v>3</v>
      </c>
      <c r="DD153" s="3" t="s">
        <v>3</v>
      </c>
      <c r="DE153" s="3" t="s">
        <v>3</v>
      </c>
      <c r="DF153" s="3" t="s">
        <v>3</v>
      </c>
      <c r="DG153" s="3" t="s">
        <v>3</v>
      </c>
      <c r="DH153" s="3" t="s">
        <v>3</v>
      </c>
      <c r="DI153" s="3" t="s">
        <v>3</v>
      </c>
      <c r="DJ153" s="3" t="s">
        <v>3</v>
      </c>
      <c r="DK153" s="3" t="s">
        <v>3</v>
      </c>
      <c r="DL153" s="3" t="s">
        <v>3</v>
      </c>
      <c r="DM153" s="3" t="s">
        <v>3</v>
      </c>
      <c r="DN153" s="3">
        <v>0</v>
      </c>
      <c r="DO153" s="3">
        <v>0</v>
      </c>
      <c r="DP153" s="3">
        <v>1</v>
      </c>
      <c r="DQ153" s="3">
        <v>1</v>
      </c>
      <c r="DU153" s="3">
        <v>1010</v>
      </c>
      <c r="DV153" s="3" t="s">
        <v>156</v>
      </c>
      <c r="DW153" s="3" t="s">
        <v>156</v>
      </c>
      <c r="DX153" s="3">
        <v>1</v>
      </c>
      <c r="DZ153" s="3" t="s">
        <v>3</v>
      </c>
      <c r="EA153" s="3" t="s">
        <v>3</v>
      </c>
      <c r="EB153" s="3" t="s">
        <v>3</v>
      </c>
      <c r="EC153" s="3" t="s">
        <v>3</v>
      </c>
      <c r="EE153" s="3">
        <v>55393729</v>
      </c>
      <c r="EF153" s="3">
        <v>201</v>
      </c>
      <c r="EG153" s="3" t="s">
        <v>184</v>
      </c>
      <c r="EH153" s="3">
        <v>0</v>
      </c>
      <c r="EI153" s="3" t="s">
        <v>3</v>
      </c>
      <c r="EJ153" s="3">
        <v>2</v>
      </c>
      <c r="EK153" s="3">
        <v>1618</v>
      </c>
      <c r="EL153" s="3" t="s">
        <v>185</v>
      </c>
      <c r="EM153" s="3" t="s">
        <v>186</v>
      </c>
      <c r="EO153" s="3" t="s">
        <v>3</v>
      </c>
      <c r="EQ153" s="3">
        <v>0</v>
      </c>
      <c r="ER153" s="3">
        <v>40.64</v>
      </c>
      <c r="ES153" s="3">
        <v>40.64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Y153" s="3">
        <v>0</v>
      </c>
      <c r="FQ153" s="3">
        <v>0</v>
      </c>
      <c r="FR153" s="3">
        <v>0</v>
      </c>
      <c r="FS153" s="3">
        <v>0</v>
      </c>
      <c r="FX153" s="3">
        <v>0</v>
      </c>
      <c r="FY153" s="3">
        <v>0</v>
      </c>
      <c r="GA153" s="3" t="s">
        <v>3</v>
      </c>
      <c r="GD153" s="3">
        <v>1</v>
      </c>
      <c r="GF153" s="3">
        <v>-13064215</v>
      </c>
      <c r="GG153" s="3">
        <v>2</v>
      </c>
      <c r="GH153" s="3">
        <v>1</v>
      </c>
      <c r="GI153" s="3">
        <v>2</v>
      </c>
      <c r="GJ153" s="3">
        <v>0</v>
      </c>
      <c r="GK153" s="3">
        <v>0</v>
      </c>
      <c r="GL153" s="3">
        <f t="shared" si="138"/>
        <v>0</v>
      </c>
      <c r="GM153" s="3">
        <f t="shared" si="139"/>
        <v>1658.11</v>
      </c>
      <c r="GN153" s="3">
        <f t="shared" si="140"/>
        <v>0</v>
      </c>
      <c r="GO153" s="3">
        <f t="shared" si="141"/>
        <v>1658.11</v>
      </c>
      <c r="GP153" s="3">
        <f t="shared" si="142"/>
        <v>0</v>
      </c>
      <c r="GR153" s="3">
        <v>0</v>
      </c>
      <c r="GS153" s="3">
        <v>3</v>
      </c>
      <c r="GT153" s="3">
        <v>0</v>
      </c>
      <c r="GU153" s="3" t="s">
        <v>3</v>
      </c>
      <c r="GV153" s="3">
        <f t="shared" si="143"/>
        <v>0</v>
      </c>
      <c r="GW153" s="3">
        <v>1</v>
      </c>
      <c r="GX153" s="3">
        <f t="shared" si="144"/>
        <v>0</v>
      </c>
      <c r="HA153" s="3">
        <v>0</v>
      </c>
      <c r="HB153" s="3">
        <v>0</v>
      </c>
      <c r="HC153" s="3">
        <f t="shared" si="145"/>
        <v>0</v>
      </c>
      <c r="HE153" s="3" t="s">
        <v>3</v>
      </c>
      <c r="HF153" s="3" t="s">
        <v>3</v>
      </c>
      <c r="HM153" s="3" t="s">
        <v>3</v>
      </c>
      <c r="HN153" s="3" t="s">
        <v>3</v>
      </c>
      <c r="HO153" s="3" t="s">
        <v>3</v>
      </c>
      <c r="HP153" s="3" t="s">
        <v>3</v>
      </c>
      <c r="HQ153" s="3" t="s">
        <v>3</v>
      </c>
      <c r="HS153" s="3">
        <v>0</v>
      </c>
      <c r="IK153" s="3">
        <v>0</v>
      </c>
    </row>
    <row r="155" spans="1:255" x14ac:dyDescent="0.2">
      <c r="A155" s="11">
        <v>51</v>
      </c>
      <c r="B155" s="11">
        <f>B140</f>
        <v>1</v>
      </c>
      <c r="C155" s="11">
        <f>A140</f>
        <v>4</v>
      </c>
      <c r="D155" s="11">
        <f>ROW(A140)</f>
        <v>140</v>
      </c>
      <c r="E155" s="11"/>
      <c r="F155" s="11" t="str">
        <f>IF(F140&lt;&gt;"",F140,"")</f>
        <v>2</v>
      </c>
      <c r="G155" s="11" t="str">
        <f>IF(G140&lt;&gt;"",G140,"")</f>
        <v>Оборудование устанавливаемое по месту</v>
      </c>
      <c r="H155" s="11">
        <v>0</v>
      </c>
      <c r="I155" s="11"/>
      <c r="J155" s="11"/>
      <c r="K155" s="11"/>
      <c r="L155" s="11"/>
      <c r="M155" s="11"/>
      <c r="N155" s="11"/>
      <c r="O155" s="11">
        <f t="shared" ref="O155:T155" si="148">ROUND(AB155,2)</f>
        <v>3147.61</v>
      </c>
      <c r="P155" s="11">
        <f t="shared" si="148"/>
        <v>3045.43</v>
      </c>
      <c r="Q155" s="11">
        <f t="shared" si="148"/>
        <v>0.06</v>
      </c>
      <c r="R155" s="11">
        <f t="shared" si="148"/>
        <v>0.01</v>
      </c>
      <c r="S155" s="11">
        <f t="shared" si="148"/>
        <v>102.12</v>
      </c>
      <c r="T155" s="11">
        <f t="shared" si="148"/>
        <v>0</v>
      </c>
      <c r="U155" s="11">
        <f>AH155</f>
        <v>7.6813545599999999</v>
      </c>
      <c r="V155" s="11">
        <f>AI155</f>
        <v>0</v>
      </c>
      <c r="W155" s="11">
        <f>ROUND(AJ155,2)</f>
        <v>0</v>
      </c>
      <c r="X155" s="11">
        <f>ROUND(AK155,2)</f>
        <v>97.34</v>
      </c>
      <c r="Y155" s="11">
        <f>ROUND(AL155,2)</f>
        <v>53.81</v>
      </c>
      <c r="Z155" s="11"/>
      <c r="AA155" s="11"/>
      <c r="AB155" s="11">
        <f>ROUND(SUMIF(AA144:AA153,"=55919547",O144:O153),2)</f>
        <v>3147.61</v>
      </c>
      <c r="AC155" s="11">
        <f>ROUND(SUMIF(AA144:AA153,"=55919547",P144:P153),2)</f>
        <v>3045.43</v>
      </c>
      <c r="AD155" s="11">
        <f>ROUND(SUMIF(AA144:AA153,"=55919547",Q144:Q153),2)</f>
        <v>0.06</v>
      </c>
      <c r="AE155" s="11">
        <f>ROUND(SUMIF(AA144:AA153,"=55919547",R144:R153),2)</f>
        <v>0.01</v>
      </c>
      <c r="AF155" s="11">
        <f>ROUND(SUMIF(AA144:AA153,"=55919547",S144:S153),2)</f>
        <v>102.12</v>
      </c>
      <c r="AG155" s="11">
        <f>ROUND(SUMIF(AA144:AA153,"=55919547",T144:T153),2)</f>
        <v>0</v>
      </c>
      <c r="AH155" s="11">
        <f>SUMIF(AA144:AA153,"=55919547",U144:U153)</f>
        <v>7.6813545599999999</v>
      </c>
      <c r="AI155" s="11">
        <f>SUMIF(AA144:AA153,"=55919547",V144:V153)</f>
        <v>0</v>
      </c>
      <c r="AJ155" s="11">
        <f>ROUND(SUMIF(AA144:AA153,"=55919547",W144:W153),2)</f>
        <v>0</v>
      </c>
      <c r="AK155" s="11">
        <f>ROUND(SUMIF(AA144:AA153,"=55919547",X144:X153),2)</f>
        <v>97.34</v>
      </c>
      <c r="AL155" s="11">
        <f>ROUND(SUMIF(AA144:AA153,"=55919547",Y144:Y153),2)</f>
        <v>53.81</v>
      </c>
      <c r="AM155" s="11"/>
      <c r="AN155" s="11"/>
      <c r="AO155" s="11">
        <f t="shared" ref="AO155:BD155" si="149">ROUND(BX155,2)</f>
        <v>0</v>
      </c>
      <c r="AP155" s="11">
        <f t="shared" si="149"/>
        <v>0</v>
      </c>
      <c r="AQ155" s="11">
        <f t="shared" si="149"/>
        <v>0</v>
      </c>
      <c r="AR155" s="11">
        <f t="shared" si="149"/>
        <v>3298.76</v>
      </c>
      <c r="AS155" s="11">
        <f t="shared" si="149"/>
        <v>0</v>
      </c>
      <c r="AT155" s="11">
        <f t="shared" si="149"/>
        <v>3298.76</v>
      </c>
      <c r="AU155" s="11">
        <f t="shared" si="149"/>
        <v>0</v>
      </c>
      <c r="AV155" s="11">
        <f t="shared" si="149"/>
        <v>3045.43</v>
      </c>
      <c r="AW155" s="11">
        <f t="shared" si="149"/>
        <v>3045.43</v>
      </c>
      <c r="AX155" s="11">
        <f t="shared" si="149"/>
        <v>0</v>
      </c>
      <c r="AY155" s="11">
        <f t="shared" si="149"/>
        <v>3045.43</v>
      </c>
      <c r="AZ155" s="11">
        <f t="shared" si="149"/>
        <v>0</v>
      </c>
      <c r="BA155" s="11">
        <f t="shared" si="149"/>
        <v>0</v>
      </c>
      <c r="BB155" s="11">
        <f t="shared" si="149"/>
        <v>0</v>
      </c>
      <c r="BC155" s="11">
        <f t="shared" si="149"/>
        <v>0</v>
      </c>
      <c r="BD155" s="11">
        <f t="shared" si="149"/>
        <v>0</v>
      </c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>
        <f>ROUND(SUMIF(AA144:AA153,"=55919547",FQ144:FQ153),2)</f>
        <v>0</v>
      </c>
      <c r="BY155" s="11">
        <f>ROUND(SUMIF(AA144:AA153,"=55919547",FR144:FR153),2)</f>
        <v>0</v>
      </c>
      <c r="BZ155" s="11">
        <f>ROUND(SUMIF(AA144:AA153,"=55919547",GL144:GL153),2)</f>
        <v>0</v>
      </c>
      <c r="CA155" s="11">
        <f>ROUND(SUMIF(AA144:AA153,"=55919547",GM144:GM153),2)</f>
        <v>3298.76</v>
      </c>
      <c r="CB155" s="11">
        <f>ROUND(SUMIF(AA144:AA153,"=55919547",GN144:GN153),2)</f>
        <v>0</v>
      </c>
      <c r="CC155" s="11">
        <f>ROUND(SUMIF(AA144:AA153,"=55919547",GO144:GO153),2)</f>
        <v>3298.76</v>
      </c>
      <c r="CD155" s="11">
        <f>ROUND(SUMIF(AA144:AA153,"=55919547",GP144:GP153),2)</f>
        <v>0</v>
      </c>
      <c r="CE155" s="11">
        <f>AC155-BX155</f>
        <v>3045.43</v>
      </c>
      <c r="CF155" s="11">
        <f>AC155-BY155</f>
        <v>3045.43</v>
      </c>
      <c r="CG155" s="11">
        <f>BX155-BZ155</f>
        <v>0</v>
      </c>
      <c r="CH155" s="11">
        <f>AC155-BX155-BY155+BZ155</f>
        <v>3045.43</v>
      </c>
      <c r="CI155" s="11">
        <f>BY155-BZ155</f>
        <v>0</v>
      </c>
      <c r="CJ155" s="11">
        <f>ROUND(SUMIF(AA144:AA153,"=55919547",GX144:GX153),2)</f>
        <v>0</v>
      </c>
      <c r="CK155" s="11">
        <f>ROUND(SUMIF(AA144:AA153,"=55919547",GY144:GY153),2)</f>
        <v>0</v>
      </c>
      <c r="CL155" s="11">
        <f>ROUND(SUMIF(AA144:AA153,"=55919547",GZ144:GZ153),2)</f>
        <v>0</v>
      </c>
      <c r="CM155" s="11">
        <f>ROUND(SUMIF(AA144:AA153,"=55919547",HD144:HD153),2)</f>
        <v>0</v>
      </c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2">
        <f t="shared" ref="DG155:DL155" si="150">ROUND(DT155,2)</f>
        <v>16283.03</v>
      </c>
      <c r="DH155" s="12">
        <f t="shared" si="150"/>
        <v>10527.54</v>
      </c>
      <c r="DI155" s="12">
        <f t="shared" si="150"/>
        <v>1.03</v>
      </c>
      <c r="DJ155" s="12">
        <f t="shared" si="150"/>
        <v>0.56000000000000005</v>
      </c>
      <c r="DK155" s="12">
        <f t="shared" si="150"/>
        <v>5754.46</v>
      </c>
      <c r="DL155" s="12">
        <f t="shared" si="150"/>
        <v>0</v>
      </c>
      <c r="DM155" s="12">
        <f>DZ155</f>
        <v>7.6813545599999999</v>
      </c>
      <c r="DN155" s="12">
        <f>EA155</f>
        <v>0</v>
      </c>
      <c r="DO155" s="12">
        <f>ROUND(EB155,2)</f>
        <v>0</v>
      </c>
      <c r="DP155" s="12">
        <f>ROUND(EC155,2)</f>
        <v>5485.17</v>
      </c>
      <c r="DQ155" s="12">
        <f>ROUND(ED155,2)</f>
        <v>3032.26</v>
      </c>
      <c r="DR155" s="12"/>
      <c r="DS155" s="12"/>
      <c r="DT155" s="12">
        <f>ROUND(SUMIF(AA144:AA153,"=55919549",O144:O153),2)</f>
        <v>16283.03</v>
      </c>
      <c r="DU155" s="12">
        <f>ROUND(SUMIF(AA144:AA153,"=55919549",P144:P153),2)</f>
        <v>10527.54</v>
      </c>
      <c r="DV155" s="12">
        <f>ROUND(SUMIF(AA144:AA153,"=55919549",Q144:Q153),2)</f>
        <v>1.03</v>
      </c>
      <c r="DW155" s="12">
        <f>ROUND(SUMIF(AA144:AA153,"=55919549",R144:R153),2)</f>
        <v>0.56000000000000005</v>
      </c>
      <c r="DX155" s="12">
        <f>ROUND(SUMIF(AA144:AA153,"=55919549",S144:S153),2)</f>
        <v>5754.46</v>
      </c>
      <c r="DY155" s="12">
        <f>ROUND(SUMIF(AA144:AA153,"=55919549",T144:T153),2)</f>
        <v>0</v>
      </c>
      <c r="DZ155" s="12">
        <f>SUMIF(AA144:AA153,"=55919549",U144:U153)</f>
        <v>7.6813545599999999</v>
      </c>
      <c r="EA155" s="12">
        <f>SUMIF(AA144:AA153,"=55919549",V144:V153)</f>
        <v>0</v>
      </c>
      <c r="EB155" s="12">
        <f>ROUND(SUMIF(AA144:AA153,"=55919549",W144:W153),2)</f>
        <v>0</v>
      </c>
      <c r="EC155" s="12">
        <f>ROUND(SUMIF(AA144:AA153,"=55919549",X144:X153),2)</f>
        <v>5485.17</v>
      </c>
      <c r="ED155" s="12">
        <f>ROUND(SUMIF(AA144:AA153,"=55919549",Y144:Y153),2)</f>
        <v>3032.26</v>
      </c>
      <c r="EE155" s="12"/>
      <c r="EF155" s="12"/>
      <c r="EG155" s="12">
        <f t="shared" ref="EG155:EV155" si="151">ROUND(FP155,2)</f>
        <v>0</v>
      </c>
      <c r="EH155" s="12">
        <f t="shared" si="151"/>
        <v>0</v>
      </c>
      <c r="EI155" s="12">
        <f t="shared" si="151"/>
        <v>0</v>
      </c>
      <c r="EJ155" s="12">
        <f t="shared" si="151"/>
        <v>24800.46</v>
      </c>
      <c r="EK155" s="12">
        <f t="shared" si="151"/>
        <v>0</v>
      </c>
      <c r="EL155" s="12">
        <f t="shared" si="151"/>
        <v>24800.46</v>
      </c>
      <c r="EM155" s="12">
        <f t="shared" si="151"/>
        <v>0</v>
      </c>
      <c r="EN155" s="12">
        <f t="shared" si="151"/>
        <v>10527.54</v>
      </c>
      <c r="EO155" s="12">
        <f t="shared" si="151"/>
        <v>10527.54</v>
      </c>
      <c r="EP155" s="12">
        <f t="shared" si="151"/>
        <v>0</v>
      </c>
      <c r="EQ155" s="12">
        <f t="shared" si="151"/>
        <v>10527.54</v>
      </c>
      <c r="ER155" s="12">
        <f t="shared" si="151"/>
        <v>0</v>
      </c>
      <c r="ES155" s="12">
        <f t="shared" si="151"/>
        <v>0</v>
      </c>
      <c r="ET155" s="12">
        <f t="shared" si="151"/>
        <v>0</v>
      </c>
      <c r="EU155" s="12">
        <f t="shared" si="151"/>
        <v>0</v>
      </c>
      <c r="EV155" s="12">
        <f t="shared" si="151"/>
        <v>0</v>
      </c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>
        <f>ROUND(SUMIF(AA144:AA153,"=55919549",FQ144:FQ153),2)</f>
        <v>0</v>
      </c>
      <c r="FQ155" s="12">
        <f>ROUND(SUMIF(AA144:AA153,"=55919549",FR144:FR153),2)</f>
        <v>0</v>
      </c>
      <c r="FR155" s="12">
        <f>ROUND(SUMIF(AA144:AA153,"=55919549",GL144:GL153),2)</f>
        <v>0</v>
      </c>
      <c r="FS155" s="12">
        <f>ROUND(SUMIF(AA144:AA153,"=55919549",GM144:GM153),2)</f>
        <v>24800.46</v>
      </c>
      <c r="FT155" s="12">
        <f>ROUND(SUMIF(AA144:AA153,"=55919549",GN144:GN153),2)</f>
        <v>0</v>
      </c>
      <c r="FU155" s="12">
        <f>ROUND(SUMIF(AA144:AA153,"=55919549",GO144:GO153),2)</f>
        <v>24800.46</v>
      </c>
      <c r="FV155" s="12">
        <f>ROUND(SUMIF(AA144:AA153,"=55919549",GP144:GP153),2)</f>
        <v>0</v>
      </c>
      <c r="FW155" s="12">
        <f>DU155-FP155</f>
        <v>10527.54</v>
      </c>
      <c r="FX155" s="12">
        <f>DU155-FQ155</f>
        <v>10527.54</v>
      </c>
      <c r="FY155" s="12">
        <f>FP155-FR155</f>
        <v>0</v>
      </c>
      <c r="FZ155" s="12">
        <f>DU155-FP155-FQ155+FR155</f>
        <v>10527.54</v>
      </c>
      <c r="GA155" s="12">
        <f>FQ155-FR155</f>
        <v>0</v>
      </c>
      <c r="GB155" s="12">
        <f>ROUND(SUMIF(AA144:AA153,"=55919549",GX144:GX153),2)</f>
        <v>0</v>
      </c>
      <c r="GC155" s="12">
        <f>ROUND(SUMIF(AA144:AA153,"=55919549",GY144:GY153),2)</f>
        <v>0</v>
      </c>
      <c r="GD155" s="12">
        <f>ROUND(SUMIF(AA144:AA153,"=55919549",GZ144:GZ153),2)</f>
        <v>0</v>
      </c>
      <c r="GE155" s="12">
        <f>ROUND(SUMIF(AA144:AA153,"=55919549",HD144:HD153),2)</f>
        <v>0</v>
      </c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>
        <v>0</v>
      </c>
    </row>
    <row r="157" spans="1:255" x14ac:dyDescent="0.2">
      <c r="A157" s="13">
        <v>50</v>
      </c>
      <c r="B157" s="13">
        <v>0</v>
      </c>
      <c r="C157" s="13">
        <v>0</v>
      </c>
      <c r="D157" s="13">
        <v>1</v>
      </c>
      <c r="E157" s="13">
        <v>201</v>
      </c>
      <c r="F157" s="13">
        <f>ROUND(Source!O155,O157)</f>
        <v>3147.61</v>
      </c>
      <c r="G157" s="13" t="s">
        <v>75</v>
      </c>
      <c r="H157" s="13" t="s">
        <v>76</v>
      </c>
      <c r="I157" s="13"/>
      <c r="J157" s="13"/>
      <c r="K157" s="13">
        <v>201</v>
      </c>
      <c r="L157" s="13">
        <v>1</v>
      </c>
      <c r="M157" s="13">
        <v>3</v>
      </c>
      <c r="N157" s="13" t="s">
        <v>3</v>
      </c>
      <c r="O157" s="13">
        <v>2</v>
      </c>
      <c r="P157" s="13">
        <f>ROUND(Source!DG155,O157)</f>
        <v>16283.03</v>
      </c>
      <c r="Q157" s="13"/>
      <c r="R157" s="13"/>
      <c r="S157" s="13"/>
      <c r="T157" s="13"/>
      <c r="U157" s="13"/>
      <c r="V157" s="13"/>
      <c r="W157" s="13">
        <v>3147.61</v>
      </c>
      <c r="X157" s="13">
        <v>1</v>
      </c>
      <c r="Y157" s="13">
        <v>3147.61</v>
      </c>
      <c r="Z157" s="13">
        <v>16283.03</v>
      </c>
      <c r="AA157" s="13">
        <v>1</v>
      </c>
      <c r="AB157" s="13">
        <v>16283.03</v>
      </c>
    </row>
    <row r="158" spans="1:255" x14ac:dyDescent="0.2">
      <c r="A158" s="13">
        <v>50</v>
      </c>
      <c r="B158" s="13">
        <v>0</v>
      </c>
      <c r="C158" s="13">
        <v>0</v>
      </c>
      <c r="D158" s="13">
        <v>1</v>
      </c>
      <c r="E158" s="13">
        <v>202</v>
      </c>
      <c r="F158" s="13">
        <f>ROUND(Source!P155,O158)</f>
        <v>3045.43</v>
      </c>
      <c r="G158" s="13" t="s">
        <v>77</v>
      </c>
      <c r="H158" s="13" t="s">
        <v>78</v>
      </c>
      <c r="I158" s="13"/>
      <c r="J158" s="13"/>
      <c r="K158" s="13">
        <v>202</v>
      </c>
      <c r="L158" s="13">
        <v>2</v>
      </c>
      <c r="M158" s="13">
        <v>3</v>
      </c>
      <c r="N158" s="13" t="s">
        <v>3</v>
      </c>
      <c r="O158" s="13">
        <v>2</v>
      </c>
      <c r="P158" s="13">
        <f>ROUND(Source!DH155,O158)</f>
        <v>10527.54</v>
      </c>
      <c r="Q158" s="13"/>
      <c r="R158" s="13"/>
      <c r="S158" s="13"/>
      <c r="T158" s="13"/>
      <c r="U158" s="13"/>
      <c r="V158" s="13"/>
      <c r="W158" s="13">
        <v>3045.43</v>
      </c>
      <c r="X158" s="13">
        <v>1</v>
      </c>
      <c r="Y158" s="13">
        <v>3045.43</v>
      </c>
      <c r="Z158" s="13">
        <v>10527.54</v>
      </c>
      <c r="AA158" s="13">
        <v>1</v>
      </c>
      <c r="AB158" s="13">
        <v>10527.54</v>
      </c>
    </row>
    <row r="159" spans="1:255" x14ac:dyDescent="0.2">
      <c r="A159" s="13">
        <v>50</v>
      </c>
      <c r="B159" s="13">
        <v>0</v>
      </c>
      <c r="C159" s="13">
        <v>0</v>
      </c>
      <c r="D159" s="13">
        <v>1</v>
      </c>
      <c r="E159" s="13">
        <v>222</v>
      </c>
      <c r="F159" s="13">
        <f>ROUND(Source!AO155,O159)</f>
        <v>0</v>
      </c>
      <c r="G159" s="13" t="s">
        <v>79</v>
      </c>
      <c r="H159" s="13" t="s">
        <v>80</v>
      </c>
      <c r="I159" s="13"/>
      <c r="J159" s="13"/>
      <c r="K159" s="13">
        <v>222</v>
      </c>
      <c r="L159" s="13">
        <v>3</v>
      </c>
      <c r="M159" s="13">
        <v>3</v>
      </c>
      <c r="N159" s="13" t="s">
        <v>3</v>
      </c>
      <c r="O159" s="13">
        <v>2</v>
      </c>
      <c r="P159" s="13">
        <f>ROUND(Source!EG155,O159)</f>
        <v>0</v>
      </c>
      <c r="Q159" s="13"/>
      <c r="R159" s="13"/>
      <c r="S159" s="13"/>
      <c r="T159" s="13"/>
      <c r="U159" s="13"/>
      <c r="V159" s="13"/>
      <c r="W159" s="13">
        <v>0</v>
      </c>
      <c r="X159" s="13">
        <v>1</v>
      </c>
      <c r="Y159" s="13">
        <v>0</v>
      </c>
      <c r="Z159" s="13">
        <v>0</v>
      </c>
      <c r="AA159" s="13">
        <v>1</v>
      </c>
      <c r="AB159" s="13">
        <v>0</v>
      </c>
    </row>
    <row r="160" spans="1:255" x14ac:dyDescent="0.2">
      <c r="A160" s="13">
        <v>50</v>
      </c>
      <c r="B160" s="13">
        <v>0</v>
      </c>
      <c r="C160" s="13">
        <v>0</v>
      </c>
      <c r="D160" s="13">
        <v>1</v>
      </c>
      <c r="E160" s="13">
        <v>225</v>
      </c>
      <c r="F160" s="13">
        <f>ROUND(Source!AV155,O160)</f>
        <v>3045.43</v>
      </c>
      <c r="G160" s="13" t="s">
        <v>81</v>
      </c>
      <c r="H160" s="13" t="s">
        <v>82</v>
      </c>
      <c r="I160" s="13"/>
      <c r="J160" s="13"/>
      <c r="K160" s="13">
        <v>225</v>
      </c>
      <c r="L160" s="13">
        <v>4</v>
      </c>
      <c r="M160" s="13">
        <v>3</v>
      </c>
      <c r="N160" s="13" t="s">
        <v>3</v>
      </c>
      <c r="O160" s="13">
        <v>2</v>
      </c>
      <c r="P160" s="13">
        <f>ROUND(Source!EN155,O160)</f>
        <v>10527.54</v>
      </c>
      <c r="Q160" s="13"/>
      <c r="R160" s="13"/>
      <c r="S160" s="13"/>
      <c r="T160" s="13"/>
      <c r="U160" s="13"/>
      <c r="V160" s="13"/>
      <c r="W160" s="13">
        <v>3045.43</v>
      </c>
      <c r="X160" s="13">
        <v>1</v>
      </c>
      <c r="Y160" s="13">
        <v>3045.43</v>
      </c>
      <c r="Z160" s="13">
        <v>10527.54</v>
      </c>
      <c r="AA160" s="13">
        <v>1</v>
      </c>
      <c r="AB160" s="13">
        <v>10527.54</v>
      </c>
    </row>
    <row r="161" spans="1:28" x14ac:dyDescent="0.2">
      <c r="A161" s="13">
        <v>50</v>
      </c>
      <c r="B161" s="13">
        <v>0</v>
      </c>
      <c r="C161" s="13">
        <v>0</v>
      </c>
      <c r="D161" s="13">
        <v>1</v>
      </c>
      <c r="E161" s="13">
        <v>226</v>
      </c>
      <c r="F161" s="13">
        <f>ROUND(Source!AW155,O161)</f>
        <v>3045.43</v>
      </c>
      <c r="G161" s="13" t="s">
        <v>83</v>
      </c>
      <c r="H161" s="13" t="s">
        <v>84</v>
      </c>
      <c r="I161" s="13"/>
      <c r="J161" s="13"/>
      <c r="K161" s="13">
        <v>226</v>
      </c>
      <c r="L161" s="13">
        <v>5</v>
      </c>
      <c r="M161" s="13">
        <v>3</v>
      </c>
      <c r="N161" s="13" t="s">
        <v>3</v>
      </c>
      <c r="O161" s="13">
        <v>2</v>
      </c>
      <c r="P161" s="13">
        <f>ROUND(Source!EO155,O161)</f>
        <v>10527.54</v>
      </c>
      <c r="Q161" s="13"/>
      <c r="R161" s="13"/>
      <c r="S161" s="13"/>
      <c r="T161" s="13"/>
      <c r="U161" s="13"/>
      <c r="V161" s="13"/>
      <c r="W161" s="13">
        <v>3045.43</v>
      </c>
      <c r="X161" s="13">
        <v>1</v>
      </c>
      <c r="Y161" s="13">
        <v>3045.43</v>
      </c>
      <c r="Z161" s="13">
        <v>10527.54</v>
      </c>
      <c r="AA161" s="13">
        <v>1</v>
      </c>
      <c r="AB161" s="13">
        <v>10527.54</v>
      </c>
    </row>
    <row r="162" spans="1:28" x14ac:dyDescent="0.2">
      <c r="A162" s="13">
        <v>50</v>
      </c>
      <c r="B162" s="13">
        <v>0</v>
      </c>
      <c r="C162" s="13">
        <v>0</v>
      </c>
      <c r="D162" s="13">
        <v>1</v>
      </c>
      <c r="E162" s="13">
        <v>227</v>
      </c>
      <c r="F162" s="13">
        <f>ROUND(Source!AX155,O162)</f>
        <v>0</v>
      </c>
      <c r="G162" s="13" t="s">
        <v>85</v>
      </c>
      <c r="H162" s="13" t="s">
        <v>86</v>
      </c>
      <c r="I162" s="13"/>
      <c r="J162" s="13"/>
      <c r="K162" s="13">
        <v>227</v>
      </c>
      <c r="L162" s="13">
        <v>6</v>
      </c>
      <c r="M162" s="13">
        <v>3</v>
      </c>
      <c r="N162" s="13" t="s">
        <v>3</v>
      </c>
      <c r="O162" s="13">
        <v>2</v>
      </c>
      <c r="P162" s="13">
        <f>ROUND(Source!EP155,O162)</f>
        <v>0</v>
      </c>
      <c r="Q162" s="13"/>
      <c r="R162" s="13"/>
      <c r="S162" s="13"/>
      <c r="T162" s="13"/>
      <c r="U162" s="13"/>
      <c r="V162" s="13"/>
      <c r="W162" s="13">
        <v>0</v>
      </c>
      <c r="X162" s="13">
        <v>1</v>
      </c>
      <c r="Y162" s="13">
        <v>0</v>
      </c>
      <c r="Z162" s="13">
        <v>0</v>
      </c>
      <c r="AA162" s="13">
        <v>1</v>
      </c>
      <c r="AB162" s="13">
        <v>0</v>
      </c>
    </row>
    <row r="163" spans="1:28" x14ac:dyDescent="0.2">
      <c r="A163" s="13">
        <v>50</v>
      </c>
      <c r="B163" s="13">
        <v>0</v>
      </c>
      <c r="C163" s="13">
        <v>0</v>
      </c>
      <c r="D163" s="13">
        <v>1</v>
      </c>
      <c r="E163" s="13">
        <v>228</v>
      </c>
      <c r="F163" s="13">
        <f>ROUND(Source!AY155,O163)</f>
        <v>3045.43</v>
      </c>
      <c r="G163" s="13" t="s">
        <v>87</v>
      </c>
      <c r="H163" s="13" t="s">
        <v>88</v>
      </c>
      <c r="I163" s="13"/>
      <c r="J163" s="13"/>
      <c r="K163" s="13">
        <v>228</v>
      </c>
      <c r="L163" s="13">
        <v>7</v>
      </c>
      <c r="M163" s="13">
        <v>3</v>
      </c>
      <c r="N163" s="13" t="s">
        <v>3</v>
      </c>
      <c r="O163" s="13">
        <v>2</v>
      </c>
      <c r="P163" s="13">
        <f>ROUND(Source!EQ155,O163)</f>
        <v>10527.54</v>
      </c>
      <c r="Q163" s="13"/>
      <c r="R163" s="13"/>
      <c r="S163" s="13"/>
      <c r="T163" s="13"/>
      <c r="U163" s="13"/>
      <c r="V163" s="13"/>
      <c r="W163" s="13">
        <v>3045.43</v>
      </c>
      <c r="X163" s="13">
        <v>1</v>
      </c>
      <c r="Y163" s="13">
        <v>3045.43</v>
      </c>
      <c r="Z163" s="13">
        <v>10527.54</v>
      </c>
      <c r="AA163" s="13">
        <v>1</v>
      </c>
      <c r="AB163" s="13">
        <v>10527.54</v>
      </c>
    </row>
    <row r="164" spans="1:28" x14ac:dyDescent="0.2">
      <c r="A164" s="13">
        <v>50</v>
      </c>
      <c r="B164" s="13">
        <v>0</v>
      </c>
      <c r="C164" s="13">
        <v>0</v>
      </c>
      <c r="D164" s="13">
        <v>1</v>
      </c>
      <c r="E164" s="13">
        <v>216</v>
      </c>
      <c r="F164" s="13">
        <f>ROUND(Source!AP155,O164)</f>
        <v>0</v>
      </c>
      <c r="G164" s="13" t="s">
        <v>89</v>
      </c>
      <c r="H164" s="13" t="s">
        <v>90</v>
      </c>
      <c r="I164" s="13"/>
      <c r="J164" s="13"/>
      <c r="K164" s="13">
        <v>216</v>
      </c>
      <c r="L164" s="13">
        <v>8</v>
      </c>
      <c r="M164" s="13">
        <v>3</v>
      </c>
      <c r="N164" s="13" t="s">
        <v>3</v>
      </c>
      <c r="O164" s="13">
        <v>2</v>
      </c>
      <c r="P164" s="13">
        <f>ROUND(Source!EH155,O164)</f>
        <v>0</v>
      </c>
      <c r="Q164" s="13"/>
      <c r="R164" s="13"/>
      <c r="S164" s="13"/>
      <c r="T164" s="13"/>
      <c r="U164" s="13"/>
      <c r="V164" s="13"/>
      <c r="W164" s="13">
        <v>0</v>
      </c>
      <c r="X164" s="13">
        <v>1</v>
      </c>
      <c r="Y164" s="13">
        <v>0</v>
      </c>
      <c r="Z164" s="13">
        <v>0</v>
      </c>
      <c r="AA164" s="13">
        <v>1</v>
      </c>
      <c r="AB164" s="13">
        <v>0</v>
      </c>
    </row>
    <row r="165" spans="1:28" x14ac:dyDescent="0.2">
      <c r="A165" s="13">
        <v>50</v>
      </c>
      <c r="B165" s="13">
        <v>0</v>
      </c>
      <c r="C165" s="13">
        <v>0</v>
      </c>
      <c r="D165" s="13">
        <v>1</v>
      </c>
      <c r="E165" s="13">
        <v>223</v>
      </c>
      <c r="F165" s="13">
        <f>ROUND(Source!AQ155,O165)</f>
        <v>0</v>
      </c>
      <c r="G165" s="13" t="s">
        <v>91</v>
      </c>
      <c r="H165" s="13" t="s">
        <v>92</v>
      </c>
      <c r="I165" s="13"/>
      <c r="J165" s="13"/>
      <c r="K165" s="13">
        <v>223</v>
      </c>
      <c r="L165" s="13">
        <v>9</v>
      </c>
      <c r="M165" s="13">
        <v>3</v>
      </c>
      <c r="N165" s="13" t="s">
        <v>3</v>
      </c>
      <c r="O165" s="13">
        <v>2</v>
      </c>
      <c r="P165" s="13">
        <f>ROUND(Source!EI155,O165)</f>
        <v>0</v>
      </c>
      <c r="Q165" s="13"/>
      <c r="R165" s="13"/>
      <c r="S165" s="13"/>
      <c r="T165" s="13"/>
      <c r="U165" s="13"/>
      <c r="V165" s="13"/>
      <c r="W165" s="13">
        <v>0</v>
      </c>
      <c r="X165" s="13">
        <v>1</v>
      </c>
      <c r="Y165" s="13">
        <v>0</v>
      </c>
      <c r="Z165" s="13">
        <v>0</v>
      </c>
      <c r="AA165" s="13">
        <v>1</v>
      </c>
      <c r="AB165" s="13">
        <v>0</v>
      </c>
    </row>
    <row r="166" spans="1:28" x14ac:dyDescent="0.2">
      <c r="A166" s="13">
        <v>50</v>
      </c>
      <c r="B166" s="13">
        <v>0</v>
      </c>
      <c r="C166" s="13">
        <v>0</v>
      </c>
      <c r="D166" s="13">
        <v>1</v>
      </c>
      <c r="E166" s="13">
        <v>229</v>
      </c>
      <c r="F166" s="13">
        <f>ROUND(Source!AZ155,O166)</f>
        <v>0</v>
      </c>
      <c r="G166" s="13" t="s">
        <v>93</v>
      </c>
      <c r="H166" s="13" t="s">
        <v>94</v>
      </c>
      <c r="I166" s="13"/>
      <c r="J166" s="13"/>
      <c r="K166" s="13">
        <v>229</v>
      </c>
      <c r="L166" s="13">
        <v>10</v>
      </c>
      <c r="M166" s="13">
        <v>3</v>
      </c>
      <c r="N166" s="13" t="s">
        <v>3</v>
      </c>
      <c r="O166" s="13">
        <v>2</v>
      </c>
      <c r="P166" s="13">
        <f>ROUND(Source!ER155,O166)</f>
        <v>0</v>
      </c>
      <c r="Q166" s="13"/>
      <c r="R166" s="13"/>
      <c r="S166" s="13"/>
      <c r="T166" s="13"/>
      <c r="U166" s="13"/>
      <c r="V166" s="13"/>
      <c r="W166" s="13">
        <v>0</v>
      </c>
      <c r="X166" s="13">
        <v>1</v>
      </c>
      <c r="Y166" s="13">
        <v>0</v>
      </c>
      <c r="Z166" s="13">
        <v>0</v>
      </c>
      <c r="AA166" s="13">
        <v>1</v>
      </c>
      <c r="AB166" s="13">
        <v>0</v>
      </c>
    </row>
    <row r="167" spans="1:28" x14ac:dyDescent="0.2">
      <c r="A167" s="13">
        <v>50</v>
      </c>
      <c r="B167" s="13">
        <v>0</v>
      </c>
      <c r="C167" s="13">
        <v>0</v>
      </c>
      <c r="D167" s="13">
        <v>1</v>
      </c>
      <c r="E167" s="13">
        <v>203</v>
      </c>
      <c r="F167" s="13">
        <f>ROUND(Source!Q155,O167)</f>
        <v>0.06</v>
      </c>
      <c r="G167" s="13" t="s">
        <v>95</v>
      </c>
      <c r="H167" s="13" t="s">
        <v>96</v>
      </c>
      <c r="I167" s="13"/>
      <c r="J167" s="13"/>
      <c r="K167" s="13">
        <v>203</v>
      </c>
      <c r="L167" s="13">
        <v>11</v>
      </c>
      <c r="M167" s="13">
        <v>3</v>
      </c>
      <c r="N167" s="13" t="s">
        <v>3</v>
      </c>
      <c r="O167" s="13">
        <v>2</v>
      </c>
      <c r="P167" s="13">
        <f>ROUND(Source!DI155,O167)</f>
        <v>1.03</v>
      </c>
      <c r="Q167" s="13"/>
      <c r="R167" s="13"/>
      <c r="S167" s="13"/>
      <c r="T167" s="13"/>
      <c r="U167" s="13"/>
      <c r="V167" s="13"/>
      <c r="W167" s="13">
        <v>0.06</v>
      </c>
      <c r="X167" s="13">
        <v>1</v>
      </c>
      <c r="Y167" s="13">
        <v>0.06</v>
      </c>
      <c r="Z167" s="13">
        <v>1.03</v>
      </c>
      <c r="AA167" s="13">
        <v>1</v>
      </c>
      <c r="AB167" s="13">
        <v>1.03</v>
      </c>
    </row>
    <row r="168" spans="1:28" x14ac:dyDescent="0.2">
      <c r="A168" s="13">
        <v>50</v>
      </c>
      <c r="B168" s="13">
        <v>0</v>
      </c>
      <c r="C168" s="13">
        <v>0</v>
      </c>
      <c r="D168" s="13">
        <v>1</v>
      </c>
      <c r="E168" s="13">
        <v>231</v>
      </c>
      <c r="F168" s="13">
        <f>ROUND(Source!BB155,O168)</f>
        <v>0</v>
      </c>
      <c r="G168" s="13" t="s">
        <v>97</v>
      </c>
      <c r="H168" s="13" t="s">
        <v>98</v>
      </c>
      <c r="I168" s="13"/>
      <c r="J168" s="13"/>
      <c r="K168" s="13">
        <v>231</v>
      </c>
      <c r="L168" s="13">
        <v>12</v>
      </c>
      <c r="M168" s="13">
        <v>3</v>
      </c>
      <c r="N168" s="13" t="s">
        <v>3</v>
      </c>
      <c r="O168" s="13">
        <v>2</v>
      </c>
      <c r="P168" s="13">
        <f>ROUND(Source!ET155,O168)</f>
        <v>0</v>
      </c>
      <c r="Q168" s="13"/>
      <c r="R168" s="13"/>
      <c r="S168" s="13"/>
      <c r="T168" s="13"/>
      <c r="U168" s="13"/>
      <c r="V168" s="13"/>
      <c r="W168" s="13">
        <v>0</v>
      </c>
      <c r="X168" s="13">
        <v>1</v>
      </c>
      <c r="Y168" s="13">
        <v>0</v>
      </c>
      <c r="Z168" s="13">
        <v>0</v>
      </c>
      <c r="AA168" s="13">
        <v>1</v>
      </c>
      <c r="AB168" s="13">
        <v>0</v>
      </c>
    </row>
    <row r="169" spans="1:28" x14ac:dyDescent="0.2">
      <c r="A169" s="13">
        <v>50</v>
      </c>
      <c r="B169" s="13">
        <v>0</v>
      </c>
      <c r="C169" s="13">
        <v>0</v>
      </c>
      <c r="D169" s="13">
        <v>1</v>
      </c>
      <c r="E169" s="13">
        <v>204</v>
      </c>
      <c r="F169" s="13">
        <f>ROUND(Source!R155,O169)</f>
        <v>0.01</v>
      </c>
      <c r="G169" s="13" t="s">
        <v>99</v>
      </c>
      <c r="H169" s="13" t="s">
        <v>100</v>
      </c>
      <c r="I169" s="13"/>
      <c r="J169" s="13"/>
      <c r="K169" s="13">
        <v>204</v>
      </c>
      <c r="L169" s="13">
        <v>13</v>
      </c>
      <c r="M169" s="13">
        <v>3</v>
      </c>
      <c r="N169" s="13" t="s">
        <v>3</v>
      </c>
      <c r="O169" s="13">
        <v>2</v>
      </c>
      <c r="P169" s="13">
        <f>ROUND(Source!DJ155,O169)</f>
        <v>0.56000000000000005</v>
      </c>
      <c r="Q169" s="13"/>
      <c r="R169" s="13"/>
      <c r="S169" s="13"/>
      <c r="T169" s="13"/>
      <c r="U169" s="13"/>
      <c r="V169" s="13"/>
      <c r="W169" s="13">
        <v>0.01</v>
      </c>
      <c r="X169" s="13">
        <v>1</v>
      </c>
      <c r="Y169" s="13">
        <v>0.01</v>
      </c>
      <c r="Z169" s="13">
        <v>0.56000000000000005</v>
      </c>
      <c r="AA169" s="13">
        <v>1</v>
      </c>
      <c r="AB169" s="13">
        <v>0.56000000000000005</v>
      </c>
    </row>
    <row r="170" spans="1:28" x14ac:dyDescent="0.2">
      <c r="A170" s="13">
        <v>50</v>
      </c>
      <c r="B170" s="13">
        <v>0</v>
      </c>
      <c r="C170" s="13">
        <v>0</v>
      </c>
      <c r="D170" s="13">
        <v>1</v>
      </c>
      <c r="E170" s="13">
        <v>205</v>
      </c>
      <c r="F170" s="13">
        <f>ROUND(Source!S155,O170)</f>
        <v>102.12</v>
      </c>
      <c r="G170" s="13" t="s">
        <v>101</v>
      </c>
      <c r="H170" s="13" t="s">
        <v>102</v>
      </c>
      <c r="I170" s="13"/>
      <c r="J170" s="13"/>
      <c r="K170" s="13">
        <v>205</v>
      </c>
      <c r="L170" s="13">
        <v>14</v>
      </c>
      <c r="M170" s="13">
        <v>3</v>
      </c>
      <c r="N170" s="13" t="s">
        <v>3</v>
      </c>
      <c r="O170" s="13">
        <v>2</v>
      </c>
      <c r="P170" s="13">
        <f>ROUND(Source!DK155,O170)</f>
        <v>5754.46</v>
      </c>
      <c r="Q170" s="13"/>
      <c r="R170" s="13"/>
      <c r="S170" s="13"/>
      <c r="T170" s="13"/>
      <c r="U170" s="13"/>
      <c r="V170" s="13"/>
      <c r="W170" s="13">
        <v>102.12</v>
      </c>
      <c r="X170" s="13">
        <v>1</v>
      </c>
      <c r="Y170" s="13">
        <v>102.12</v>
      </c>
      <c r="Z170" s="13">
        <v>5754.46</v>
      </c>
      <c r="AA170" s="13">
        <v>1</v>
      </c>
      <c r="AB170" s="13">
        <v>5754.46</v>
      </c>
    </row>
    <row r="171" spans="1:28" x14ac:dyDescent="0.2">
      <c r="A171" s="13">
        <v>50</v>
      </c>
      <c r="B171" s="13">
        <v>0</v>
      </c>
      <c r="C171" s="13">
        <v>0</v>
      </c>
      <c r="D171" s="13">
        <v>1</v>
      </c>
      <c r="E171" s="13">
        <v>232</v>
      </c>
      <c r="F171" s="13">
        <f>ROUND(Source!BC155,O171)</f>
        <v>0</v>
      </c>
      <c r="G171" s="13" t="s">
        <v>103</v>
      </c>
      <c r="H171" s="13" t="s">
        <v>104</v>
      </c>
      <c r="I171" s="13"/>
      <c r="J171" s="13"/>
      <c r="K171" s="13">
        <v>232</v>
      </c>
      <c r="L171" s="13">
        <v>15</v>
      </c>
      <c r="M171" s="13">
        <v>3</v>
      </c>
      <c r="N171" s="13" t="s">
        <v>3</v>
      </c>
      <c r="O171" s="13">
        <v>2</v>
      </c>
      <c r="P171" s="13">
        <f>ROUND(Source!EU155,O171)</f>
        <v>0</v>
      </c>
      <c r="Q171" s="13"/>
      <c r="R171" s="13"/>
      <c r="S171" s="13"/>
      <c r="T171" s="13"/>
      <c r="U171" s="13"/>
      <c r="V171" s="13"/>
      <c r="W171" s="13">
        <v>0</v>
      </c>
      <c r="X171" s="13">
        <v>1</v>
      </c>
      <c r="Y171" s="13">
        <v>0</v>
      </c>
      <c r="Z171" s="13">
        <v>0</v>
      </c>
      <c r="AA171" s="13">
        <v>1</v>
      </c>
      <c r="AB171" s="13">
        <v>0</v>
      </c>
    </row>
    <row r="172" spans="1:28" x14ac:dyDescent="0.2">
      <c r="A172" s="13">
        <v>50</v>
      </c>
      <c r="B172" s="13">
        <v>0</v>
      </c>
      <c r="C172" s="13">
        <v>0</v>
      </c>
      <c r="D172" s="13">
        <v>1</v>
      </c>
      <c r="E172" s="13">
        <v>214</v>
      </c>
      <c r="F172" s="13">
        <f>ROUND(Source!AS155,O172)</f>
        <v>0</v>
      </c>
      <c r="G172" s="13" t="s">
        <v>105</v>
      </c>
      <c r="H172" s="13" t="s">
        <v>106</v>
      </c>
      <c r="I172" s="13"/>
      <c r="J172" s="13"/>
      <c r="K172" s="13">
        <v>214</v>
      </c>
      <c r="L172" s="13">
        <v>16</v>
      </c>
      <c r="M172" s="13">
        <v>3</v>
      </c>
      <c r="N172" s="13" t="s">
        <v>3</v>
      </c>
      <c r="O172" s="13">
        <v>2</v>
      </c>
      <c r="P172" s="13">
        <f>ROUND(Source!EK155,O172)</f>
        <v>0</v>
      </c>
      <c r="Q172" s="13"/>
      <c r="R172" s="13"/>
      <c r="S172" s="13"/>
      <c r="T172" s="13"/>
      <c r="U172" s="13"/>
      <c r="V172" s="13"/>
      <c r="W172" s="13">
        <v>0</v>
      </c>
      <c r="X172" s="13">
        <v>1</v>
      </c>
      <c r="Y172" s="13">
        <v>0</v>
      </c>
      <c r="Z172" s="13">
        <v>0</v>
      </c>
      <c r="AA172" s="13">
        <v>1</v>
      </c>
      <c r="AB172" s="13">
        <v>0</v>
      </c>
    </row>
    <row r="173" spans="1:28" x14ac:dyDescent="0.2">
      <c r="A173" s="13">
        <v>50</v>
      </c>
      <c r="B173" s="13">
        <v>0</v>
      </c>
      <c r="C173" s="13">
        <v>0</v>
      </c>
      <c r="D173" s="13">
        <v>1</v>
      </c>
      <c r="E173" s="13">
        <v>215</v>
      </c>
      <c r="F173" s="13">
        <f>ROUND(Source!AT155,O173)</f>
        <v>3298.76</v>
      </c>
      <c r="G173" s="13" t="s">
        <v>107</v>
      </c>
      <c r="H173" s="13" t="s">
        <v>108</v>
      </c>
      <c r="I173" s="13"/>
      <c r="J173" s="13"/>
      <c r="K173" s="13">
        <v>215</v>
      </c>
      <c r="L173" s="13">
        <v>17</v>
      </c>
      <c r="M173" s="13">
        <v>3</v>
      </c>
      <c r="N173" s="13" t="s">
        <v>3</v>
      </c>
      <c r="O173" s="13">
        <v>2</v>
      </c>
      <c r="P173" s="13">
        <f>ROUND(Source!EL155,O173)</f>
        <v>24800.46</v>
      </c>
      <c r="Q173" s="13"/>
      <c r="R173" s="13"/>
      <c r="S173" s="13"/>
      <c r="T173" s="13"/>
      <c r="U173" s="13"/>
      <c r="V173" s="13"/>
      <c r="W173" s="13">
        <v>3298.76</v>
      </c>
      <c r="X173" s="13">
        <v>1</v>
      </c>
      <c r="Y173" s="13">
        <v>3298.76</v>
      </c>
      <c r="Z173" s="13">
        <v>24800.46</v>
      </c>
      <c r="AA173" s="13">
        <v>1</v>
      </c>
      <c r="AB173" s="13">
        <v>24800.46</v>
      </c>
    </row>
    <row r="174" spans="1:28" x14ac:dyDescent="0.2">
      <c r="A174" s="13">
        <v>50</v>
      </c>
      <c r="B174" s="13">
        <v>0</v>
      </c>
      <c r="C174" s="13">
        <v>0</v>
      </c>
      <c r="D174" s="13">
        <v>1</v>
      </c>
      <c r="E174" s="13">
        <v>217</v>
      </c>
      <c r="F174" s="13">
        <f>ROUND(Source!AU155,O174)</f>
        <v>0</v>
      </c>
      <c r="G174" s="13" t="s">
        <v>109</v>
      </c>
      <c r="H174" s="13" t="s">
        <v>110</v>
      </c>
      <c r="I174" s="13"/>
      <c r="J174" s="13"/>
      <c r="K174" s="13">
        <v>217</v>
      </c>
      <c r="L174" s="13">
        <v>18</v>
      </c>
      <c r="M174" s="13">
        <v>3</v>
      </c>
      <c r="N174" s="13" t="s">
        <v>3</v>
      </c>
      <c r="O174" s="13">
        <v>2</v>
      </c>
      <c r="P174" s="13">
        <f>ROUND(Source!EM155,O174)</f>
        <v>0</v>
      </c>
      <c r="Q174" s="13"/>
      <c r="R174" s="13"/>
      <c r="S174" s="13"/>
      <c r="T174" s="13"/>
      <c r="U174" s="13"/>
      <c r="V174" s="13"/>
      <c r="W174" s="13">
        <v>0</v>
      </c>
      <c r="X174" s="13">
        <v>1</v>
      </c>
      <c r="Y174" s="13">
        <v>0</v>
      </c>
      <c r="Z174" s="13">
        <v>0</v>
      </c>
      <c r="AA174" s="13">
        <v>1</v>
      </c>
      <c r="AB174" s="13">
        <v>0</v>
      </c>
    </row>
    <row r="175" spans="1:28" x14ac:dyDescent="0.2">
      <c r="A175" s="13">
        <v>50</v>
      </c>
      <c r="B175" s="13">
        <v>0</v>
      </c>
      <c r="C175" s="13">
        <v>0</v>
      </c>
      <c r="D175" s="13">
        <v>1</v>
      </c>
      <c r="E175" s="13">
        <v>230</v>
      </c>
      <c r="F175" s="13">
        <f>ROUND(Source!BA155,O175)</f>
        <v>0</v>
      </c>
      <c r="G175" s="13" t="s">
        <v>111</v>
      </c>
      <c r="H175" s="13" t="s">
        <v>112</v>
      </c>
      <c r="I175" s="13"/>
      <c r="J175" s="13"/>
      <c r="K175" s="13">
        <v>230</v>
      </c>
      <c r="L175" s="13">
        <v>19</v>
      </c>
      <c r="M175" s="13">
        <v>3</v>
      </c>
      <c r="N175" s="13" t="s">
        <v>3</v>
      </c>
      <c r="O175" s="13">
        <v>2</v>
      </c>
      <c r="P175" s="13">
        <f>ROUND(Source!ES155,O175)</f>
        <v>0</v>
      </c>
      <c r="Q175" s="13"/>
      <c r="R175" s="13"/>
      <c r="S175" s="13"/>
      <c r="T175" s="13"/>
      <c r="U175" s="13"/>
      <c r="V175" s="13"/>
      <c r="W175" s="13">
        <v>0</v>
      </c>
      <c r="X175" s="13">
        <v>1</v>
      </c>
      <c r="Y175" s="13">
        <v>0</v>
      </c>
      <c r="Z175" s="13">
        <v>0</v>
      </c>
      <c r="AA175" s="13">
        <v>1</v>
      </c>
      <c r="AB175" s="13">
        <v>0</v>
      </c>
    </row>
    <row r="176" spans="1:28" x14ac:dyDescent="0.2">
      <c r="A176" s="13">
        <v>50</v>
      </c>
      <c r="B176" s="13">
        <v>0</v>
      </c>
      <c r="C176" s="13">
        <v>0</v>
      </c>
      <c r="D176" s="13">
        <v>1</v>
      </c>
      <c r="E176" s="13">
        <v>206</v>
      </c>
      <c r="F176" s="13">
        <f>ROUND(Source!T155,O176)</f>
        <v>0</v>
      </c>
      <c r="G176" s="13" t="s">
        <v>113</v>
      </c>
      <c r="H176" s="13" t="s">
        <v>114</v>
      </c>
      <c r="I176" s="13"/>
      <c r="J176" s="13"/>
      <c r="K176" s="13">
        <v>206</v>
      </c>
      <c r="L176" s="13">
        <v>20</v>
      </c>
      <c r="M176" s="13">
        <v>3</v>
      </c>
      <c r="N176" s="13" t="s">
        <v>3</v>
      </c>
      <c r="O176" s="13">
        <v>2</v>
      </c>
      <c r="P176" s="13">
        <f>ROUND(Source!DL155,O176)</f>
        <v>0</v>
      </c>
      <c r="Q176" s="13"/>
      <c r="R176" s="13"/>
      <c r="S176" s="13"/>
      <c r="T176" s="13"/>
      <c r="U176" s="13"/>
      <c r="V176" s="13"/>
      <c r="W176" s="13">
        <v>0</v>
      </c>
      <c r="X176" s="13">
        <v>1</v>
      </c>
      <c r="Y176" s="13">
        <v>0</v>
      </c>
      <c r="Z176" s="13">
        <v>0</v>
      </c>
      <c r="AA176" s="13">
        <v>1</v>
      </c>
      <c r="AB176" s="13">
        <v>0</v>
      </c>
    </row>
    <row r="177" spans="1:255" x14ac:dyDescent="0.2">
      <c r="A177" s="13">
        <v>50</v>
      </c>
      <c r="B177" s="13">
        <v>0</v>
      </c>
      <c r="C177" s="13">
        <v>0</v>
      </c>
      <c r="D177" s="13">
        <v>1</v>
      </c>
      <c r="E177" s="13">
        <v>207</v>
      </c>
      <c r="F177" s="13">
        <f>Source!U155</f>
        <v>7.6813545599999999</v>
      </c>
      <c r="G177" s="13" t="s">
        <v>115</v>
      </c>
      <c r="H177" s="13" t="s">
        <v>116</v>
      </c>
      <c r="I177" s="13"/>
      <c r="J177" s="13"/>
      <c r="K177" s="13">
        <v>207</v>
      </c>
      <c r="L177" s="13">
        <v>21</v>
      </c>
      <c r="M177" s="13">
        <v>3</v>
      </c>
      <c r="N177" s="13" t="s">
        <v>3</v>
      </c>
      <c r="O177" s="13">
        <v>-1</v>
      </c>
      <c r="P177" s="13">
        <f>Source!DM155</f>
        <v>7.6813545599999999</v>
      </c>
      <c r="Q177" s="13"/>
      <c r="R177" s="13"/>
      <c r="S177" s="13"/>
      <c r="T177" s="13"/>
      <c r="U177" s="13"/>
      <c r="V177" s="13"/>
      <c r="W177" s="13">
        <v>7.6813545599999999</v>
      </c>
      <c r="X177" s="13">
        <v>1</v>
      </c>
      <c r="Y177" s="13">
        <v>7.6813545599999999</v>
      </c>
      <c r="Z177" s="13">
        <v>7.6813545599999999</v>
      </c>
      <c r="AA177" s="13">
        <v>1</v>
      </c>
      <c r="AB177" s="13">
        <v>7.6813545599999999</v>
      </c>
    </row>
    <row r="178" spans="1:255" x14ac:dyDescent="0.2">
      <c r="A178" s="13">
        <v>50</v>
      </c>
      <c r="B178" s="13">
        <v>0</v>
      </c>
      <c r="C178" s="13">
        <v>0</v>
      </c>
      <c r="D178" s="13">
        <v>1</v>
      </c>
      <c r="E178" s="13">
        <v>208</v>
      </c>
      <c r="F178" s="13">
        <f>Source!V155</f>
        <v>0</v>
      </c>
      <c r="G178" s="13" t="s">
        <v>117</v>
      </c>
      <c r="H178" s="13" t="s">
        <v>118</v>
      </c>
      <c r="I178" s="13"/>
      <c r="J178" s="13"/>
      <c r="K178" s="13">
        <v>208</v>
      </c>
      <c r="L178" s="13">
        <v>22</v>
      </c>
      <c r="M178" s="13">
        <v>3</v>
      </c>
      <c r="N178" s="13" t="s">
        <v>3</v>
      </c>
      <c r="O178" s="13">
        <v>-1</v>
      </c>
      <c r="P178" s="13">
        <f>Source!DN155</f>
        <v>0</v>
      </c>
      <c r="Q178" s="13"/>
      <c r="R178" s="13"/>
      <c r="S178" s="13"/>
      <c r="T178" s="13"/>
      <c r="U178" s="13"/>
      <c r="V178" s="13"/>
      <c r="W178" s="13">
        <v>0</v>
      </c>
      <c r="X178" s="13">
        <v>1</v>
      </c>
      <c r="Y178" s="13">
        <v>0</v>
      </c>
      <c r="Z178" s="13">
        <v>0</v>
      </c>
      <c r="AA178" s="13">
        <v>1</v>
      </c>
      <c r="AB178" s="13">
        <v>0</v>
      </c>
    </row>
    <row r="179" spans="1:255" x14ac:dyDescent="0.2">
      <c r="A179" s="13">
        <v>50</v>
      </c>
      <c r="B179" s="13">
        <v>0</v>
      </c>
      <c r="C179" s="13">
        <v>0</v>
      </c>
      <c r="D179" s="13">
        <v>1</v>
      </c>
      <c r="E179" s="13">
        <v>209</v>
      </c>
      <c r="F179" s="13">
        <f>ROUND(Source!W155,O179)</f>
        <v>0</v>
      </c>
      <c r="G179" s="13" t="s">
        <v>119</v>
      </c>
      <c r="H179" s="13" t="s">
        <v>120</v>
      </c>
      <c r="I179" s="13"/>
      <c r="J179" s="13"/>
      <c r="K179" s="13">
        <v>209</v>
      </c>
      <c r="L179" s="13">
        <v>23</v>
      </c>
      <c r="M179" s="13">
        <v>3</v>
      </c>
      <c r="N179" s="13" t="s">
        <v>3</v>
      </c>
      <c r="O179" s="13">
        <v>2</v>
      </c>
      <c r="P179" s="13">
        <f>ROUND(Source!DO155,O179)</f>
        <v>0</v>
      </c>
      <c r="Q179" s="13"/>
      <c r="R179" s="13"/>
      <c r="S179" s="13"/>
      <c r="T179" s="13"/>
      <c r="U179" s="13"/>
      <c r="V179" s="13"/>
      <c r="W179" s="13">
        <v>0</v>
      </c>
      <c r="X179" s="13">
        <v>1</v>
      </c>
      <c r="Y179" s="13">
        <v>0</v>
      </c>
      <c r="Z179" s="13">
        <v>0</v>
      </c>
      <c r="AA179" s="13">
        <v>1</v>
      </c>
      <c r="AB179" s="13">
        <v>0</v>
      </c>
    </row>
    <row r="180" spans="1:255" x14ac:dyDescent="0.2">
      <c r="A180" s="13">
        <v>50</v>
      </c>
      <c r="B180" s="13">
        <v>0</v>
      </c>
      <c r="C180" s="13">
        <v>0</v>
      </c>
      <c r="D180" s="13">
        <v>1</v>
      </c>
      <c r="E180" s="13">
        <v>233</v>
      </c>
      <c r="F180" s="13">
        <f>ROUND(Source!BD155,O180)</f>
        <v>0</v>
      </c>
      <c r="G180" s="13" t="s">
        <v>121</v>
      </c>
      <c r="H180" s="13" t="s">
        <v>122</v>
      </c>
      <c r="I180" s="13"/>
      <c r="J180" s="13"/>
      <c r="K180" s="13">
        <v>233</v>
      </c>
      <c r="L180" s="13">
        <v>24</v>
      </c>
      <c r="M180" s="13">
        <v>3</v>
      </c>
      <c r="N180" s="13" t="s">
        <v>3</v>
      </c>
      <c r="O180" s="13">
        <v>2</v>
      </c>
      <c r="P180" s="13">
        <f>ROUND(Source!EV155,O180)</f>
        <v>0</v>
      </c>
      <c r="Q180" s="13"/>
      <c r="R180" s="13"/>
      <c r="S180" s="13"/>
      <c r="T180" s="13"/>
      <c r="U180" s="13"/>
      <c r="V180" s="13"/>
      <c r="W180" s="13">
        <v>0</v>
      </c>
      <c r="X180" s="13">
        <v>1</v>
      </c>
      <c r="Y180" s="13">
        <v>0</v>
      </c>
      <c r="Z180" s="13">
        <v>0</v>
      </c>
      <c r="AA180" s="13">
        <v>1</v>
      </c>
      <c r="AB180" s="13">
        <v>0</v>
      </c>
    </row>
    <row r="181" spans="1:255" x14ac:dyDescent="0.2">
      <c r="A181" s="13">
        <v>50</v>
      </c>
      <c r="B181" s="13">
        <v>0</v>
      </c>
      <c r="C181" s="13">
        <v>0</v>
      </c>
      <c r="D181" s="13">
        <v>1</v>
      </c>
      <c r="E181" s="13">
        <v>210</v>
      </c>
      <c r="F181" s="13">
        <f>ROUND(Source!X155,O181)</f>
        <v>97.34</v>
      </c>
      <c r="G181" s="13" t="s">
        <v>123</v>
      </c>
      <c r="H181" s="13" t="s">
        <v>124</v>
      </c>
      <c r="I181" s="13"/>
      <c r="J181" s="13"/>
      <c r="K181" s="13">
        <v>210</v>
      </c>
      <c r="L181" s="13">
        <v>25</v>
      </c>
      <c r="M181" s="13">
        <v>3</v>
      </c>
      <c r="N181" s="13" t="s">
        <v>3</v>
      </c>
      <c r="O181" s="13">
        <v>2</v>
      </c>
      <c r="P181" s="13">
        <f>ROUND(Source!DP155,O181)</f>
        <v>5485.17</v>
      </c>
      <c r="Q181" s="13"/>
      <c r="R181" s="13"/>
      <c r="S181" s="13"/>
      <c r="T181" s="13"/>
      <c r="U181" s="13"/>
      <c r="V181" s="13"/>
      <c r="W181" s="13">
        <v>97.34</v>
      </c>
      <c r="X181" s="13">
        <v>1</v>
      </c>
      <c r="Y181" s="13">
        <v>97.34</v>
      </c>
      <c r="Z181" s="13">
        <v>5485.17</v>
      </c>
      <c r="AA181" s="13">
        <v>1</v>
      </c>
      <c r="AB181" s="13">
        <v>5485.17</v>
      </c>
    </row>
    <row r="182" spans="1:255" x14ac:dyDescent="0.2">
      <c r="A182" s="13">
        <v>50</v>
      </c>
      <c r="B182" s="13">
        <v>0</v>
      </c>
      <c r="C182" s="13">
        <v>0</v>
      </c>
      <c r="D182" s="13">
        <v>1</v>
      </c>
      <c r="E182" s="13">
        <v>211</v>
      </c>
      <c r="F182" s="13">
        <f>ROUND(Source!Y155,O182)</f>
        <v>53.81</v>
      </c>
      <c r="G182" s="13" t="s">
        <v>125</v>
      </c>
      <c r="H182" s="13" t="s">
        <v>126</v>
      </c>
      <c r="I182" s="13"/>
      <c r="J182" s="13"/>
      <c r="K182" s="13">
        <v>211</v>
      </c>
      <c r="L182" s="13">
        <v>26</v>
      </c>
      <c r="M182" s="13">
        <v>3</v>
      </c>
      <c r="N182" s="13" t="s">
        <v>3</v>
      </c>
      <c r="O182" s="13">
        <v>2</v>
      </c>
      <c r="P182" s="13">
        <f>ROUND(Source!DQ155,O182)</f>
        <v>3032.26</v>
      </c>
      <c r="Q182" s="13"/>
      <c r="R182" s="13"/>
      <c r="S182" s="13"/>
      <c r="T182" s="13"/>
      <c r="U182" s="13"/>
      <c r="V182" s="13"/>
      <c r="W182" s="13">
        <v>53.81</v>
      </c>
      <c r="X182" s="13">
        <v>1</v>
      </c>
      <c r="Y182" s="13">
        <v>53.81</v>
      </c>
      <c r="Z182" s="13">
        <v>3032.26</v>
      </c>
      <c r="AA182" s="13">
        <v>1</v>
      </c>
      <c r="AB182" s="13">
        <v>3032.26</v>
      </c>
    </row>
    <row r="183" spans="1:255" x14ac:dyDescent="0.2">
      <c r="A183" s="13">
        <v>50</v>
      </c>
      <c r="B183" s="13">
        <v>0</v>
      </c>
      <c r="C183" s="13">
        <v>0</v>
      </c>
      <c r="D183" s="13">
        <v>1</v>
      </c>
      <c r="E183" s="13">
        <v>224</v>
      </c>
      <c r="F183" s="13">
        <f>ROUND(Source!AR155,O183)</f>
        <v>3298.76</v>
      </c>
      <c r="G183" s="13" t="s">
        <v>127</v>
      </c>
      <c r="H183" s="13" t="s">
        <v>128</v>
      </c>
      <c r="I183" s="13"/>
      <c r="J183" s="13"/>
      <c r="K183" s="13">
        <v>224</v>
      </c>
      <c r="L183" s="13">
        <v>27</v>
      </c>
      <c r="M183" s="13">
        <v>3</v>
      </c>
      <c r="N183" s="13" t="s">
        <v>3</v>
      </c>
      <c r="O183" s="13">
        <v>2</v>
      </c>
      <c r="P183" s="13">
        <f>ROUND(Source!EJ155,O183)</f>
        <v>24800.46</v>
      </c>
      <c r="Q183" s="13"/>
      <c r="R183" s="13"/>
      <c r="S183" s="13"/>
      <c r="T183" s="13"/>
      <c r="U183" s="13"/>
      <c r="V183" s="13"/>
      <c r="W183" s="13">
        <v>3298.76</v>
      </c>
      <c r="X183" s="13">
        <v>1</v>
      </c>
      <c r="Y183" s="13">
        <v>3298.76</v>
      </c>
      <c r="Z183" s="13">
        <v>24800.46</v>
      </c>
      <c r="AA183" s="13">
        <v>1</v>
      </c>
      <c r="AB183" s="13">
        <v>24800.46</v>
      </c>
    </row>
    <row r="185" spans="1:255" x14ac:dyDescent="0.2">
      <c r="A185" s="10">
        <v>4</v>
      </c>
      <c r="B185" s="10">
        <v>1</v>
      </c>
      <c r="C185" s="10"/>
      <c r="D185" s="10">
        <f>ROW(A204)</f>
        <v>204</v>
      </c>
      <c r="E185" s="10"/>
      <c r="F185" s="10" t="s">
        <v>35</v>
      </c>
      <c r="G185" s="10" t="s">
        <v>198</v>
      </c>
      <c r="H185" s="10" t="s">
        <v>3</v>
      </c>
      <c r="I185" s="10">
        <v>0</v>
      </c>
      <c r="J185" s="10"/>
      <c r="K185" s="10">
        <v>-1</v>
      </c>
      <c r="L185" s="10"/>
      <c r="M185" s="10" t="s">
        <v>3</v>
      </c>
      <c r="N185" s="10"/>
      <c r="O185" s="10"/>
      <c r="P185" s="10"/>
      <c r="Q185" s="10"/>
      <c r="R185" s="10"/>
      <c r="S185" s="10">
        <v>0</v>
      </c>
      <c r="T185" s="10">
        <v>0</v>
      </c>
      <c r="U185" s="10" t="s">
        <v>3</v>
      </c>
      <c r="V185" s="10">
        <v>0</v>
      </c>
      <c r="W185" s="10"/>
      <c r="X185" s="10"/>
      <c r="Y185" s="10"/>
      <c r="Z185" s="10"/>
      <c r="AA185" s="10"/>
      <c r="AB185" s="10" t="s">
        <v>3</v>
      </c>
      <c r="AC185" s="10" t="s">
        <v>3</v>
      </c>
      <c r="AD185" s="10" t="s">
        <v>3</v>
      </c>
      <c r="AE185" s="10" t="s">
        <v>3</v>
      </c>
      <c r="AF185" s="10" t="s">
        <v>3</v>
      </c>
      <c r="AG185" s="10" t="s">
        <v>3</v>
      </c>
      <c r="AH185" s="10"/>
      <c r="AI185" s="10"/>
      <c r="AJ185" s="10"/>
      <c r="AK185" s="10"/>
      <c r="AL185" s="10"/>
      <c r="AM185" s="10"/>
      <c r="AN185" s="10"/>
      <c r="AO185" s="10"/>
      <c r="AP185" s="10" t="s">
        <v>3</v>
      </c>
      <c r="AQ185" s="10" t="s">
        <v>3</v>
      </c>
      <c r="AR185" s="10" t="s">
        <v>3</v>
      </c>
      <c r="AS185" s="10"/>
      <c r="AT185" s="10"/>
      <c r="AU185" s="10"/>
      <c r="AV185" s="10"/>
      <c r="AW185" s="10"/>
      <c r="AX185" s="10"/>
      <c r="AY185" s="10"/>
      <c r="AZ185" s="10" t="s">
        <v>3</v>
      </c>
      <c r="BA185" s="10"/>
      <c r="BB185" s="10" t="s">
        <v>3</v>
      </c>
      <c r="BC185" s="10" t="s">
        <v>3</v>
      </c>
      <c r="BD185" s="10" t="s">
        <v>3</v>
      </c>
      <c r="BE185" s="10" t="s">
        <v>3</v>
      </c>
      <c r="BF185" s="10" t="s">
        <v>3</v>
      </c>
      <c r="BG185" s="10" t="s">
        <v>3</v>
      </c>
      <c r="BH185" s="10" t="s">
        <v>3</v>
      </c>
      <c r="BI185" s="10" t="s">
        <v>3</v>
      </c>
      <c r="BJ185" s="10" t="s">
        <v>3</v>
      </c>
      <c r="BK185" s="10" t="s">
        <v>3</v>
      </c>
      <c r="BL185" s="10" t="s">
        <v>3</v>
      </c>
      <c r="BM185" s="10" t="s">
        <v>3</v>
      </c>
      <c r="BN185" s="10" t="s">
        <v>3</v>
      </c>
      <c r="BO185" s="10" t="s">
        <v>3</v>
      </c>
      <c r="BP185" s="10" t="s">
        <v>3</v>
      </c>
      <c r="BQ185" s="10"/>
      <c r="BR185" s="10"/>
      <c r="BS185" s="10"/>
      <c r="BT185" s="10"/>
      <c r="BU185" s="10"/>
      <c r="BV185" s="10"/>
      <c r="BW185" s="10"/>
      <c r="BX185" s="10">
        <v>0</v>
      </c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>
        <v>0</v>
      </c>
    </row>
    <row r="187" spans="1:255" x14ac:dyDescent="0.2">
      <c r="A187" s="11">
        <v>52</v>
      </c>
      <c r="B187" s="11">
        <f t="shared" ref="B187:G187" si="152">B204</f>
        <v>1</v>
      </c>
      <c r="C187" s="11">
        <f t="shared" si="152"/>
        <v>4</v>
      </c>
      <c r="D187" s="11">
        <f t="shared" si="152"/>
        <v>185</v>
      </c>
      <c r="E187" s="11">
        <f t="shared" si="152"/>
        <v>0</v>
      </c>
      <c r="F187" s="11" t="str">
        <f t="shared" si="152"/>
        <v>3</v>
      </c>
      <c r="G187" s="11" t="str">
        <f t="shared" si="152"/>
        <v>Кабели и провода</v>
      </c>
      <c r="H187" s="11"/>
      <c r="I187" s="11"/>
      <c r="J187" s="11"/>
      <c r="K187" s="11"/>
      <c r="L187" s="11"/>
      <c r="M187" s="11"/>
      <c r="N187" s="11"/>
      <c r="O187" s="11">
        <f t="shared" ref="O187:AT187" si="153">O204</f>
        <v>11442.41</v>
      </c>
      <c r="P187" s="11">
        <f t="shared" si="153"/>
        <v>10231.870000000001</v>
      </c>
      <c r="Q187" s="11">
        <f t="shared" si="153"/>
        <v>145.38</v>
      </c>
      <c r="R187" s="11">
        <f t="shared" si="153"/>
        <v>7.35</v>
      </c>
      <c r="S187" s="11">
        <f t="shared" si="153"/>
        <v>1065.1600000000001</v>
      </c>
      <c r="T187" s="11">
        <f t="shared" si="153"/>
        <v>0</v>
      </c>
      <c r="U187" s="11">
        <f t="shared" si="153"/>
        <v>86.476755600000004</v>
      </c>
      <c r="V187" s="11">
        <f t="shared" si="153"/>
        <v>0</v>
      </c>
      <c r="W187" s="11">
        <f t="shared" si="153"/>
        <v>0</v>
      </c>
      <c r="X187" s="11">
        <f t="shared" si="153"/>
        <v>1040.33</v>
      </c>
      <c r="Y187" s="11">
        <f t="shared" si="153"/>
        <v>546.98</v>
      </c>
      <c r="Z187" s="11">
        <f t="shared" si="153"/>
        <v>0</v>
      </c>
      <c r="AA187" s="11">
        <f t="shared" si="153"/>
        <v>0</v>
      </c>
      <c r="AB187" s="11">
        <f t="shared" si="153"/>
        <v>11442.41</v>
      </c>
      <c r="AC187" s="11">
        <f t="shared" si="153"/>
        <v>10231.870000000001</v>
      </c>
      <c r="AD187" s="11">
        <f t="shared" si="153"/>
        <v>145.38</v>
      </c>
      <c r="AE187" s="11">
        <f t="shared" si="153"/>
        <v>7.35</v>
      </c>
      <c r="AF187" s="11">
        <f t="shared" si="153"/>
        <v>1065.1600000000001</v>
      </c>
      <c r="AG187" s="11">
        <f t="shared" si="153"/>
        <v>0</v>
      </c>
      <c r="AH187" s="11">
        <f t="shared" si="153"/>
        <v>86.476755600000004</v>
      </c>
      <c r="AI187" s="11">
        <f t="shared" si="153"/>
        <v>0</v>
      </c>
      <c r="AJ187" s="11">
        <f t="shared" si="153"/>
        <v>0</v>
      </c>
      <c r="AK187" s="11">
        <f t="shared" si="153"/>
        <v>1040.33</v>
      </c>
      <c r="AL187" s="11">
        <f t="shared" si="153"/>
        <v>546.98</v>
      </c>
      <c r="AM187" s="11">
        <f t="shared" si="153"/>
        <v>0</v>
      </c>
      <c r="AN187" s="11">
        <f t="shared" si="153"/>
        <v>0</v>
      </c>
      <c r="AO187" s="11">
        <f t="shared" si="153"/>
        <v>0</v>
      </c>
      <c r="AP187" s="11">
        <f t="shared" si="153"/>
        <v>0</v>
      </c>
      <c r="AQ187" s="11">
        <f t="shared" si="153"/>
        <v>0</v>
      </c>
      <c r="AR187" s="11">
        <f t="shared" si="153"/>
        <v>13029.72</v>
      </c>
      <c r="AS187" s="11">
        <f t="shared" si="153"/>
        <v>0</v>
      </c>
      <c r="AT187" s="11">
        <f t="shared" si="153"/>
        <v>13029.72</v>
      </c>
      <c r="AU187" s="11">
        <f t="shared" ref="AU187:BZ187" si="154">AU204</f>
        <v>0</v>
      </c>
      <c r="AV187" s="11">
        <f t="shared" si="154"/>
        <v>10231.870000000001</v>
      </c>
      <c r="AW187" s="11">
        <f t="shared" si="154"/>
        <v>10231.870000000001</v>
      </c>
      <c r="AX187" s="11">
        <f t="shared" si="154"/>
        <v>0</v>
      </c>
      <c r="AY187" s="11">
        <f t="shared" si="154"/>
        <v>10231.870000000001</v>
      </c>
      <c r="AZ187" s="11">
        <f t="shared" si="154"/>
        <v>0</v>
      </c>
      <c r="BA187" s="11">
        <f t="shared" si="154"/>
        <v>0</v>
      </c>
      <c r="BB187" s="11">
        <f t="shared" si="154"/>
        <v>0</v>
      </c>
      <c r="BC187" s="11">
        <f t="shared" si="154"/>
        <v>0</v>
      </c>
      <c r="BD187" s="11">
        <f t="shared" si="154"/>
        <v>0</v>
      </c>
      <c r="BE187" s="11">
        <f t="shared" si="154"/>
        <v>0</v>
      </c>
      <c r="BF187" s="11">
        <f t="shared" si="154"/>
        <v>0</v>
      </c>
      <c r="BG187" s="11">
        <f t="shared" si="154"/>
        <v>0</v>
      </c>
      <c r="BH187" s="11">
        <f t="shared" si="154"/>
        <v>0</v>
      </c>
      <c r="BI187" s="11">
        <f t="shared" si="154"/>
        <v>0</v>
      </c>
      <c r="BJ187" s="11">
        <f t="shared" si="154"/>
        <v>0</v>
      </c>
      <c r="BK187" s="11">
        <f t="shared" si="154"/>
        <v>0</v>
      </c>
      <c r="BL187" s="11">
        <f t="shared" si="154"/>
        <v>0</v>
      </c>
      <c r="BM187" s="11">
        <f t="shared" si="154"/>
        <v>0</v>
      </c>
      <c r="BN187" s="11">
        <f t="shared" si="154"/>
        <v>0</v>
      </c>
      <c r="BO187" s="11">
        <f t="shared" si="154"/>
        <v>0</v>
      </c>
      <c r="BP187" s="11">
        <f t="shared" si="154"/>
        <v>0</v>
      </c>
      <c r="BQ187" s="11">
        <f t="shared" si="154"/>
        <v>0</v>
      </c>
      <c r="BR187" s="11">
        <f t="shared" si="154"/>
        <v>0</v>
      </c>
      <c r="BS187" s="11">
        <f t="shared" si="154"/>
        <v>0</v>
      </c>
      <c r="BT187" s="11">
        <f t="shared" si="154"/>
        <v>0</v>
      </c>
      <c r="BU187" s="11">
        <f t="shared" si="154"/>
        <v>0</v>
      </c>
      <c r="BV187" s="11">
        <f t="shared" si="154"/>
        <v>0</v>
      </c>
      <c r="BW187" s="11">
        <f t="shared" si="154"/>
        <v>0</v>
      </c>
      <c r="BX187" s="11">
        <f t="shared" si="154"/>
        <v>0</v>
      </c>
      <c r="BY187" s="11">
        <f t="shared" si="154"/>
        <v>0</v>
      </c>
      <c r="BZ187" s="11">
        <f t="shared" si="154"/>
        <v>0</v>
      </c>
      <c r="CA187" s="11">
        <f t="shared" ref="CA187:DF187" si="155">CA204</f>
        <v>13029.72</v>
      </c>
      <c r="CB187" s="11">
        <f t="shared" si="155"/>
        <v>0</v>
      </c>
      <c r="CC187" s="11">
        <f t="shared" si="155"/>
        <v>13029.72</v>
      </c>
      <c r="CD187" s="11">
        <f t="shared" si="155"/>
        <v>0</v>
      </c>
      <c r="CE187" s="11">
        <f t="shared" si="155"/>
        <v>10231.870000000001</v>
      </c>
      <c r="CF187" s="11">
        <f t="shared" si="155"/>
        <v>10231.870000000001</v>
      </c>
      <c r="CG187" s="11">
        <f t="shared" si="155"/>
        <v>0</v>
      </c>
      <c r="CH187" s="11">
        <f t="shared" si="155"/>
        <v>10231.870000000001</v>
      </c>
      <c r="CI187" s="11">
        <f t="shared" si="155"/>
        <v>0</v>
      </c>
      <c r="CJ187" s="11">
        <f t="shared" si="155"/>
        <v>0</v>
      </c>
      <c r="CK187" s="11">
        <f t="shared" si="155"/>
        <v>0</v>
      </c>
      <c r="CL187" s="11">
        <f t="shared" si="155"/>
        <v>0</v>
      </c>
      <c r="CM187" s="11">
        <f t="shared" si="155"/>
        <v>0</v>
      </c>
      <c r="CN187" s="11">
        <f t="shared" si="155"/>
        <v>0</v>
      </c>
      <c r="CO187" s="11">
        <f t="shared" si="155"/>
        <v>0</v>
      </c>
      <c r="CP187" s="11">
        <f t="shared" si="155"/>
        <v>0</v>
      </c>
      <c r="CQ187" s="11">
        <f t="shared" si="155"/>
        <v>0</v>
      </c>
      <c r="CR187" s="11">
        <f t="shared" si="155"/>
        <v>0</v>
      </c>
      <c r="CS187" s="11">
        <f t="shared" si="155"/>
        <v>0</v>
      </c>
      <c r="CT187" s="11">
        <f t="shared" si="155"/>
        <v>0</v>
      </c>
      <c r="CU187" s="11">
        <f t="shared" si="155"/>
        <v>0</v>
      </c>
      <c r="CV187" s="11">
        <f t="shared" si="155"/>
        <v>0</v>
      </c>
      <c r="CW187" s="11">
        <f t="shared" si="155"/>
        <v>0</v>
      </c>
      <c r="CX187" s="11">
        <f t="shared" si="155"/>
        <v>0</v>
      </c>
      <c r="CY187" s="11">
        <f t="shared" si="155"/>
        <v>0</v>
      </c>
      <c r="CZ187" s="11">
        <f t="shared" si="155"/>
        <v>0</v>
      </c>
      <c r="DA187" s="11">
        <f t="shared" si="155"/>
        <v>0</v>
      </c>
      <c r="DB187" s="11">
        <f t="shared" si="155"/>
        <v>0</v>
      </c>
      <c r="DC187" s="11">
        <f t="shared" si="155"/>
        <v>0</v>
      </c>
      <c r="DD187" s="11">
        <f t="shared" si="155"/>
        <v>0</v>
      </c>
      <c r="DE187" s="11">
        <f t="shared" si="155"/>
        <v>0</v>
      </c>
      <c r="DF187" s="11">
        <f t="shared" si="155"/>
        <v>0</v>
      </c>
      <c r="DG187" s="12">
        <f t="shared" ref="DG187:EL187" si="156">DG204</f>
        <v>137485.49</v>
      </c>
      <c r="DH187" s="12">
        <f t="shared" si="156"/>
        <v>75376.639999999999</v>
      </c>
      <c r="DI187" s="12">
        <f t="shared" si="156"/>
        <v>2087.09</v>
      </c>
      <c r="DJ187" s="12">
        <f t="shared" si="156"/>
        <v>414.18</v>
      </c>
      <c r="DK187" s="12">
        <f t="shared" si="156"/>
        <v>60021.760000000002</v>
      </c>
      <c r="DL187" s="12">
        <f t="shared" si="156"/>
        <v>0</v>
      </c>
      <c r="DM187" s="12">
        <f t="shared" si="156"/>
        <v>86.476755600000004</v>
      </c>
      <c r="DN187" s="12">
        <f t="shared" si="156"/>
        <v>0</v>
      </c>
      <c r="DO187" s="12">
        <f t="shared" si="156"/>
        <v>0</v>
      </c>
      <c r="DP187" s="12">
        <f t="shared" si="156"/>
        <v>58622.86</v>
      </c>
      <c r="DQ187" s="12">
        <f t="shared" si="156"/>
        <v>30822.33</v>
      </c>
      <c r="DR187" s="12">
        <f t="shared" si="156"/>
        <v>0</v>
      </c>
      <c r="DS187" s="12">
        <f t="shared" si="156"/>
        <v>0</v>
      </c>
      <c r="DT187" s="12">
        <f t="shared" si="156"/>
        <v>137485.49</v>
      </c>
      <c r="DU187" s="12">
        <f t="shared" si="156"/>
        <v>75376.639999999999</v>
      </c>
      <c r="DV187" s="12">
        <f t="shared" si="156"/>
        <v>2087.09</v>
      </c>
      <c r="DW187" s="12">
        <f t="shared" si="156"/>
        <v>414.18</v>
      </c>
      <c r="DX187" s="12">
        <f t="shared" si="156"/>
        <v>60021.760000000002</v>
      </c>
      <c r="DY187" s="12">
        <f t="shared" si="156"/>
        <v>0</v>
      </c>
      <c r="DZ187" s="12">
        <f t="shared" si="156"/>
        <v>86.476755600000004</v>
      </c>
      <c r="EA187" s="12">
        <f t="shared" si="156"/>
        <v>0</v>
      </c>
      <c r="EB187" s="12">
        <f t="shared" si="156"/>
        <v>0</v>
      </c>
      <c r="EC187" s="12">
        <f t="shared" si="156"/>
        <v>58622.86</v>
      </c>
      <c r="ED187" s="12">
        <f t="shared" si="156"/>
        <v>30822.33</v>
      </c>
      <c r="EE187" s="12">
        <f t="shared" si="156"/>
        <v>0</v>
      </c>
      <c r="EF187" s="12">
        <f t="shared" si="156"/>
        <v>0</v>
      </c>
      <c r="EG187" s="12">
        <f t="shared" si="156"/>
        <v>0</v>
      </c>
      <c r="EH187" s="12">
        <f t="shared" si="156"/>
        <v>0</v>
      </c>
      <c r="EI187" s="12">
        <f t="shared" si="156"/>
        <v>0</v>
      </c>
      <c r="EJ187" s="12">
        <f t="shared" si="156"/>
        <v>226930.68</v>
      </c>
      <c r="EK187" s="12">
        <f t="shared" si="156"/>
        <v>0</v>
      </c>
      <c r="EL187" s="12">
        <f t="shared" si="156"/>
        <v>226930.68</v>
      </c>
      <c r="EM187" s="12">
        <f t="shared" ref="EM187:FR187" si="157">EM204</f>
        <v>0</v>
      </c>
      <c r="EN187" s="12">
        <f t="shared" si="157"/>
        <v>75376.639999999999</v>
      </c>
      <c r="EO187" s="12">
        <f t="shared" si="157"/>
        <v>75376.639999999999</v>
      </c>
      <c r="EP187" s="12">
        <f t="shared" si="157"/>
        <v>0</v>
      </c>
      <c r="EQ187" s="12">
        <f t="shared" si="157"/>
        <v>75376.639999999999</v>
      </c>
      <c r="ER187" s="12">
        <f t="shared" si="157"/>
        <v>0</v>
      </c>
      <c r="ES187" s="12">
        <f t="shared" si="157"/>
        <v>0</v>
      </c>
      <c r="ET187" s="12">
        <f t="shared" si="157"/>
        <v>0</v>
      </c>
      <c r="EU187" s="12">
        <f t="shared" si="157"/>
        <v>0</v>
      </c>
      <c r="EV187" s="12">
        <f t="shared" si="157"/>
        <v>0</v>
      </c>
      <c r="EW187" s="12">
        <f t="shared" si="157"/>
        <v>0</v>
      </c>
      <c r="EX187" s="12">
        <f t="shared" si="157"/>
        <v>0</v>
      </c>
      <c r="EY187" s="12">
        <f t="shared" si="157"/>
        <v>0</v>
      </c>
      <c r="EZ187" s="12">
        <f t="shared" si="157"/>
        <v>0</v>
      </c>
      <c r="FA187" s="12">
        <f t="shared" si="157"/>
        <v>0</v>
      </c>
      <c r="FB187" s="12">
        <f t="shared" si="157"/>
        <v>0</v>
      </c>
      <c r="FC187" s="12">
        <f t="shared" si="157"/>
        <v>0</v>
      </c>
      <c r="FD187" s="12">
        <f t="shared" si="157"/>
        <v>0</v>
      </c>
      <c r="FE187" s="12">
        <f t="shared" si="157"/>
        <v>0</v>
      </c>
      <c r="FF187" s="12">
        <f t="shared" si="157"/>
        <v>0</v>
      </c>
      <c r="FG187" s="12">
        <f t="shared" si="157"/>
        <v>0</v>
      </c>
      <c r="FH187" s="12">
        <f t="shared" si="157"/>
        <v>0</v>
      </c>
      <c r="FI187" s="12">
        <f t="shared" si="157"/>
        <v>0</v>
      </c>
      <c r="FJ187" s="12">
        <f t="shared" si="157"/>
        <v>0</v>
      </c>
      <c r="FK187" s="12">
        <f t="shared" si="157"/>
        <v>0</v>
      </c>
      <c r="FL187" s="12">
        <f t="shared" si="157"/>
        <v>0</v>
      </c>
      <c r="FM187" s="12">
        <f t="shared" si="157"/>
        <v>0</v>
      </c>
      <c r="FN187" s="12">
        <f t="shared" si="157"/>
        <v>0</v>
      </c>
      <c r="FO187" s="12">
        <f t="shared" si="157"/>
        <v>0</v>
      </c>
      <c r="FP187" s="12">
        <f t="shared" si="157"/>
        <v>0</v>
      </c>
      <c r="FQ187" s="12">
        <f t="shared" si="157"/>
        <v>0</v>
      </c>
      <c r="FR187" s="12">
        <f t="shared" si="157"/>
        <v>0</v>
      </c>
      <c r="FS187" s="12">
        <f t="shared" ref="FS187:GX187" si="158">FS204</f>
        <v>226930.68</v>
      </c>
      <c r="FT187" s="12">
        <f t="shared" si="158"/>
        <v>0</v>
      </c>
      <c r="FU187" s="12">
        <f t="shared" si="158"/>
        <v>226930.68</v>
      </c>
      <c r="FV187" s="12">
        <f t="shared" si="158"/>
        <v>0</v>
      </c>
      <c r="FW187" s="12">
        <f t="shared" si="158"/>
        <v>75376.639999999999</v>
      </c>
      <c r="FX187" s="12">
        <f t="shared" si="158"/>
        <v>75376.639999999999</v>
      </c>
      <c r="FY187" s="12">
        <f t="shared" si="158"/>
        <v>0</v>
      </c>
      <c r="FZ187" s="12">
        <f t="shared" si="158"/>
        <v>75376.639999999999</v>
      </c>
      <c r="GA187" s="12">
        <f t="shared" si="158"/>
        <v>0</v>
      </c>
      <c r="GB187" s="12">
        <f t="shared" si="158"/>
        <v>0</v>
      </c>
      <c r="GC187" s="12">
        <f t="shared" si="158"/>
        <v>0</v>
      </c>
      <c r="GD187" s="12">
        <f t="shared" si="158"/>
        <v>0</v>
      </c>
      <c r="GE187" s="12">
        <f t="shared" si="158"/>
        <v>0</v>
      </c>
      <c r="GF187" s="12">
        <f t="shared" si="158"/>
        <v>0</v>
      </c>
      <c r="GG187" s="12">
        <f t="shared" si="158"/>
        <v>0</v>
      </c>
      <c r="GH187" s="12">
        <f t="shared" si="158"/>
        <v>0</v>
      </c>
      <c r="GI187" s="12">
        <f t="shared" si="158"/>
        <v>0</v>
      </c>
      <c r="GJ187" s="12">
        <f t="shared" si="158"/>
        <v>0</v>
      </c>
      <c r="GK187" s="12">
        <f t="shared" si="158"/>
        <v>0</v>
      </c>
      <c r="GL187" s="12">
        <f t="shared" si="158"/>
        <v>0</v>
      </c>
      <c r="GM187" s="12">
        <f t="shared" si="158"/>
        <v>0</v>
      </c>
      <c r="GN187" s="12">
        <f t="shared" si="158"/>
        <v>0</v>
      </c>
      <c r="GO187" s="12">
        <f t="shared" si="158"/>
        <v>0</v>
      </c>
      <c r="GP187" s="12">
        <f t="shared" si="158"/>
        <v>0</v>
      </c>
      <c r="GQ187" s="12">
        <f t="shared" si="158"/>
        <v>0</v>
      </c>
      <c r="GR187" s="12">
        <f t="shared" si="158"/>
        <v>0</v>
      </c>
      <c r="GS187" s="12">
        <f t="shared" si="158"/>
        <v>0</v>
      </c>
      <c r="GT187" s="12">
        <f t="shared" si="158"/>
        <v>0</v>
      </c>
      <c r="GU187" s="12">
        <f t="shared" si="158"/>
        <v>0</v>
      </c>
      <c r="GV187" s="12">
        <f t="shared" si="158"/>
        <v>0</v>
      </c>
      <c r="GW187" s="12">
        <f t="shared" si="158"/>
        <v>0</v>
      </c>
      <c r="GX187" s="12">
        <f t="shared" si="158"/>
        <v>0</v>
      </c>
    </row>
    <row r="189" spans="1:255" x14ac:dyDescent="0.2">
      <c r="A189" s="2">
        <v>17</v>
      </c>
      <c r="B189" s="2">
        <v>1</v>
      </c>
      <c r="C189" s="2">
        <f>ROW(SmtRes!A121)</f>
        <v>121</v>
      </c>
      <c r="D189" s="2">
        <f>ROW(EtalonRes!A136)</f>
        <v>136</v>
      </c>
      <c r="E189" s="2" t="s">
        <v>199</v>
      </c>
      <c r="F189" s="2" t="s">
        <v>200</v>
      </c>
      <c r="G189" s="2" t="s">
        <v>201</v>
      </c>
      <c r="H189" s="2" t="s">
        <v>65</v>
      </c>
      <c r="I189" s="2">
        <f>ROUND((200+10)/100,9)</f>
        <v>2.1</v>
      </c>
      <c r="J189" s="2">
        <v>0</v>
      </c>
      <c r="K189" s="2">
        <f>ROUND((200+10)/100,9)</f>
        <v>2.1</v>
      </c>
      <c r="L189" s="2"/>
      <c r="M189" s="2"/>
      <c r="N189" s="2"/>
      <c r="O189" s="2">
        <f t="shared" ref="O189:O202" si="159">ROUND(CP189,2)</f>
        <v>274.75</v>
      </c>
      <c r="P189" s="2">
        <f t="shared" ref="P189:P202" si="160">ROUND((ROUND((AC189*AW189*I189),2)*BC189),2)</f>
        <v>122.12</v>
      </c>
      <c r="Q189" s="2">
        <f>(ROUND((ROUND((((ET189*1.2))*AV189*I189),2)*BB189),2)+ROUND((ROUND(((AE189-((EU189*1.2)))*AV189*I189),2)*BS189),2))</f>
        <v>6.91</v>
      </c>
      <c r="R189" s="2">
        <f>(ROUND((ROUND((((EU189*1.2))*AV189*I189),2)*BS189),2)+ROUND((ROUND(((AE189-((EU189*1.2)))*AV189*I189),2)*BS189),2))</f>
        <v>0.79</v>
      </c>
      <c r="S189" s="2">
        <f t="shared" ref="S189:S202" si="161">ROUND((ROUND((AF189*AV189*I189),2)*BA189),2)</f>
        <v>145.72</v>
      </c>
      <c r="T189" s="2">
        <f t="shared" ref="T189:T202" si="162">ROUND(CU189*I189,2)</f>
        <v>0</v>
      </c>
      <c r="U189" s="2">
        <f t="shared" ref="U189:U202" si="163">CV189*I189</f>
        <v>11.846595599999999</v>
      </c>
      <c r="V189" s="2">
        <f t="shared" ref="V189:V202" si="164">CW189*I189</f>
        <v>0</v>
      </c>
      <c r="W189" s="2">
        <f t="shared" ref="W189:W202" si="165">ROUND(CX189*I189,2)</f>
        <v>0</v>
      </c>
      <c r="X189" s="2">
        <f>(ROUND((((S189+ROUND((ROUND((((EU189*1.2))*AV189*I189),2)*BS189),2))*AT189)/100),2)+ROUND(((ROUND((ROUND(((AE189-((EU189*1.2)))*AV189*I189),2)*BS189),2)*AT189)/100),2))</f>
        <v>142.11000000000001</v>
      </c>
      <c r="Y189" s="2">
        <f>(ROUND((((S189+ROUND((ROUND((((EU189*1.2))*AV189*I189),2)*BS189),2))*AU189)/100),2)+ROUND(((ROUND((ROUND(((AE189-((EU189*1.2)))*AV189*I189),2)*BS189),2)*AU189)/100),2))</f>
        <v>74.72</v>
      </c>
      <c r="Z189" s="2"/>
      <c r="AA189" s="2">
        <v>55919547</v>
      </c>
      <c r="AB189" s="2">
        <f t="shared" ref="AB189:AB202" si="166">ROUND((AC189+AD189+AF189),6)</f>
        <v>127.57</v>
      </c>
      <c r="AC189" s="2">
        <f>ROUND(((ES189*1)),6)</f>
        <v>58.15</v>
      </c>
      <c r="AD189" s="2">
        <f>ROUND(((((ET189*1.2))-((EU189*1.2)))+AE189),6)</f>
        <v>3.1440000000000001</v>
      </c>
      <c r="AE189" s="2">
        <f>ROUND(((EU189*1.2)),6)</f>
        <v>0.36</v>
      </c>
      <c r="AF189" s="2">
        <f>ROUND(((EV189*1.2)),6)</f>
        <v>66.275999999999996</v>
      </c>
      <c r="AG189" s="2">
        <f t="shared" ref="AG189:AG202" si="167">ROUND((AP189),6)</f>
        <v>0</v>
      </c>
      <c r="AH189" s="2">
        <f>((EW189*1.2))</f>
        <v>5.3879999999999999</v>
      </c>
      <c r="AI189" s="2">
        <f>((EX189*1.2))</f>
        <v>0</v>
      </c>
      <c r="AJ189" s="2">
        <f t="shared" ref="AJ189:AJ202" si="168">(AS189)</f>
        <v>0</v>
      </c>
      <c r="AK189" s="2">
        <v>116</v>
      </c>
      <c r="AL189" s="2">
        <v>58.15</v>
      </c>
      <c r="AM189" s="2">
        <v>2.62</v>
      </c>
      <c r="AN189" s="2">
        <v>0.3</v>
      </c>
      <c r="AO189" s="2">
        <v>55.23</v>
      </c>
      <c r="AP189" s="2">
        <v>0</v>
      </c>
      <c r="AQ189" s="2">
        <v>4.49</v>
      </c>
      <c r="AR189" s="2">
        <v>0</v>
      </c>
      <c r="AS189" s="2">
        <v>0</v>
      </c>
      <c r="AT189" s="2">
        <v>97</v>
      </c>
      <c r="AU189" s="2">
        <v>51</v>
      </c>
      <c r="AV189" s="2">
        <v>1.0469999999999999</v>
      </c>
      <c r="AW189" s="2">
        <v>1</v>
      </c>
      <c r="AX189" s="2"/>
      <c r="AY189" s="2"/>
      <c r="AZ189" s="2">
        <v>1</v>
      </c>
      <c r="BA189" s="2">
        <v>1</v>
      </c>
      <c r="BB189" s="2">
        <v>1</v>
      </c>
      <c r="BC189" s="2">
        <v>1</v>
      </c>
      <c r="BD189" s="2" t="s">
        <v>3</v>
      </c>
      <c r="BE189" s="2" t="s">
        <v>3</v>
      </c>
      <c r="BF189" s="2" t="s">
        <v>3</v>
      </c>
      <c r="BG189" s="2" t="s">
        <v>3</v>
      </c>
      <c r="BH189" s="2">
        <v>0</v>
      </c>
      <c r="BI189" s="2">
        <v>2</v>
      </c>
      <c r="BJ189" s="2" t="s">
        <v>202</v>
      </c>
      <c r="BK189" s="2"/>
      <c r="BL189" s="2"/>
      <c r="BM189" s="2">
        <v>67</v>
      </c>
      <c r="BN189" s="2">
        <v>0</v>
      </c>
      <c r="BO189" s="2" t="s">
        <v>200</v>
      </c>
      <c r="BP189" s="2">
        <v>1</v>
      </c>
      <c r="BQ189" s="2">
        <v>40</v>
      </c>
      <c r="BR189" s="2">
        <v>0</v>
      </c>
      <c r="BS189" s="2">
        <v>1</v>
      </c>
      <c r="BT189" s="2">
        <v>1</v>
      </c>
      <c r="BU189" s="2">
        <v>1</v>
      </c>
      <c r="BV189" s="2">
        <v>1</v>
      </c>
      <c r="BW189" s="2">
        <v>1</v>
      </c>
      <c r="BX189" s="2">
        <v>1</v>
      </c>
      <c r="BY189" s="2" t="s">
        <v>3</v>
      </c>
      <c r="BZ189" s="2">
        <v>97</v>
      </c>
      <c r="CA189" s="2">
        <v>51</v>
      </c>
      <c r="CB189" s="2" t="s">
        <v>3</v>
      </c>
      <c r="CC189" s="2"/>
      <c r="CD189" s="2"/>
      <c r="CE189" s="2">
        <v>1566</v>
      </c>
      <c r="CF189" s="2">
        <v>0</v>
      </c>
      <c r="CG189" s="2">
        <v>0</v>
      </c>
      <c r="CH189" s="2"/>
      <c r="CI189" s="2"/>
      <c r="CJ189" s="2"/>
      <c r="CK189" s="2"/>
      <c r="CL189" s="2"/>
      <c r="CM189" s="2">
        <v>0</v>
      </c>
      <c r="CN189" s="2" t="s">
        <v>491</v>
      </c>
      <c r="CO189" s="2">
        <v>0</v>
      </c>
      <c r="CP189" s="2">
        <f t="shared" ref="CP189:CP202" si="169">(P189+Q189+S189)</f>
        <v>274.75</v>
      </c>
      <c r="CQ189" s="2">
        <f t="shared" ref="CQ189:CQ202" si="170">ROUND((ROUND((AC189*AW189*1),2)*BC189),2)</f>
        <v>58.15</v>
      </c>
      <c r="CR189" s="2">
        <f>(ROUND((ROUND((((ET189*1.2))*AV189*1),2)*BB189),2)+ROUND((ROUND(((AE189-((EU189*1.2)))*AV189*1),2)*BS189),2))</f>
        <v>3.29</v>
      </c>
      <c r="CS189" s="2">
        <f>(ROUND((ROUND((((EU189*1.2))*AV189*1),2)*BS189),2)+ROUND((ROUND(((AE189-((EU189*1.2)))*AV189*1),2)*BS189),2))</f>
        <v>0.38</v>
      </c>
      <c r="CT189" s="2">
        <f t="shared" ref="CT189:CT202" si="171">ROUND((ROUND((AF189*AV189*1),2)*BA189),2)</f>
        <v>69.39</v>
      </c>
      <c r="CU189" s="2">
        <f t="shared" ref="CU189:CU202" si="172">AG189</f>
        <v>0</v>
      </c>
      <c r="CV189" s="2">
        <f t="shared" ref="CV189:CV202" si="173">(AH189*AV189)</f>
        <v>5.6412359999999993</v>
      </c>
      <c r="CW189" s="2">
        <f t="shared" ref="CW189:CW202" si="174">AI189</f>
        <v>0</v>
      </c>
      <c r="CX189" s="2">
        <f t="shared" ref="CX189:CX202" si="175">AJ189</f>
        <v>0</v>
      </c>
      <c r="CY189" s="2">
        <f>(ROUND((((S189+ROUND((ROUND((((EU189*1.2))*AV189*1),2)*BS189),2))*AT189)/100),2)+ROUND(((ROUND((ROUND(((AE189-((EU189*1.2)))*AV189*1),2)*BS189),2)*AT189)/100),2))</f>
        <v>141.72</v>
      </c>
      <c r="CZ189" s="2">
        <f>(ROUND((((S189+ROUND((ROUND((((EU189*1.2))*AV189*1),2)*BS189),2))*AU189)/100),2)+ROUND(((ROUND((ROUND(((AE189-((EU189*1.2)))*AV189*1),2)*BS189),2)*AU189)/100),2))</f>
        <v>74.510000000000005</v>
      </c>
      <c r="DA189" s="2"/>
      <c r="DB189" s="2">
        <v>51</v>
      </c>
      <c r="DC189" s="2" t="s">
        <v>3</v>
      </c>
      <c r="DD189" s="2" t="s">
        <v>56</v>
      </c>
      <c r="DE189" s="2" t="s">
        <v>57</v>
      </c>
      <c r="DF189" s="2" t="s">
        <v>57</v>
      </c>
      <c r="DG189" s="2" t="s">
        <v>57</v>
      </c>
      <c r="DH189" s="2" t="s">
        <v>3</v>
      </c>
      <c r="DI189" s="2" t="s">
        <v>57</v>
      </c>
      <c r="DJ189" s="2" t="s">
        <v>57</v>
      </c>
      <c r="DK189" s="2" t="s">
        <v>3</v>
      </c>
      <c r="DL189" s="2" t="s">
        <v>3</v>
      </c>
      <c r="DM189" s="2" t="s">
        <v>3</v>
      </c>
      <c r="DN189" s="2">
        <v>0</v>
      </c>
      <c r="DO189" s="2">
        <v>0</v>
      </c>
      <c r="DP189" s="2">
        <v>1</v>
      </c>
      <c r="DQ189" s="2">
        <v>1</v>
      </c>
      <c r="DR189" s="2"/>
      <c r="DS189" s="2"/>
      <c r="DT189" s="2"/>
      <c r="DU189" s="2">
        <v>1003</v>
      </c>
      <c r="DV189" s="2" t="s">
        <v>65</v>
      </c>
      <c r="DW189" s="2" t="s">
        <v>65</v>
      </c>
      <c r="DX189" s="2">
        <v>100</v>
      </c>
      <c r="DY189" s="2"/>
      <c r="DZ189" s="2" t="s">
        <v>3</v>
      </c>
      <c r="EA189" s="2" t="s">
        <v>3</v>
      </c>
      <c r="EB189" s="2" t="s">
        <v>3</v>
      </c>
      <c r="EC189" s="2" t="s">
        <v>3</v>
      </c>
      <c r="ED189" s="2"/>
      <c r="EE189" s="2">
        <v>55393699</v>
      </c>
      <c r="EF189" s="2">
        <v>40</v>
      </c>
      <c r="EG189" s="2" t="s">
        <v>26</v>
      </c>
      <c r="EH189" s="2">
        <v>0</v>
      </c>
      <c r="EI189" s="2" t="s">
        <v>3</v>
      </c>
      <c r="EJ189" s="2">
        <v>2</v>
      </c>
      <c r="EK189" s="2">
        <v>67</v>
      </c>
      <c r="EL189" s="2" t="s">
        <v>39</v>
      </c>
      <c r="EM189" s="2" t="s">
        <v>40</v>
      </c>
      <c r="EN189" s="2"/>
      <c r="EO189" s="2" t="s">
        <v>61</v>
      </c>
      <c r="EP189" s="2"/>
      <c r="EQ189" s="2">
        <v>0</v>
      </c>
      <c r="ER189" s="2">
        <v>116</v>
      </c>
      <c r="ES189" s="2">
        <v>58.15</v>
      </c>
      <c r="ET189" s="2">
        <v>2.62</v>
      </c>
      <c r="EU189" s="2">
        <v>0.3</v>
      </c>
      <c r="EV189" s="2">
        <v>55.23</v>
      </c>
      <c r="EW189" s="2">
        <v>4.49</v>
      </c>
      <c r="EX189" s="2">
        <v>0</v>
      </c>
      <c r="EY189" s="2">
        <v>0</v>
      </c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>
        <v>0</v>
      </c>
      <c r="FR189" s="2">
        <v>0</v>
      </c>
      <c r="FS189" s="2">
        <v>0</v>
      </c>
      <c r="FT189" s="2"/>
      <c r="FU189" s="2"/>
      <c r="FV189" s="2"/>
      <c r="FW189" s="2"/>
      <c r="FX189" s="2">
        <v>97</v>
      </c>
      <c r="FY189" s="2">
        <v>51</v>
      </c>
      <c r="FZ189" s="2"/>
      <c r="GA189" s="2" t="s">
        <v>3</v>
      </c>
      <c r="GB189" s="2"/>
      <c r="GC189" s="2"/>
      <c r="GD189" s="2">
        <v>1</v>
      </c>
      <c r="GE189" s="2"/>
      <c r="GF189" s="2">
        <v>-93787614</v>
      </c>
      <c r="GG189" s="2">
        <v>2</v>
      </c>
      <c r="GH189" s="2">
        <v>1</v>
      </c>
      <c r="GI189" s="2">
        <v>2</v>
      </c>
      <c r="GJ189" s="2">
        <v>0</v>
      </c>
      <c r="GK189" s="2">
        <v>0</v>
      </c>
      <c r="GL189" s="2">
        <f t="shared" ref="GL189:GL202" si="176">ROUND(IF(AND(BH189=3,BI189=3,FS189&lt;&gt;0),P189,0),2)</f>
        <v>0</v>
      </c>
      <c r="GM189" s="2">
        <f t="shared" ref="GM189:GM202" si="177">ROUND(O189+X189+Y189,2)+GX189</f>
        <v>491.58</v>
      </c>
      <c r="GN189" s="2">
        <f t="shared" ref="GN189:GN202" si="178">IF(OR(BI189=0,BI189=1),GM189-GX189,0)</f>
        <v>0</v>
      </c>
      <c r="GO189" s="2">
        <f t="shared" ref="GO189:GO202" si="179">IF(BI189=2,GM189-GX189,0)</f>
        <v>491.58</v>
      </c>
      <c r="GP189" s="2">
        <f t="shared" ref="GP189:GP202" si="180">IF(BI189=4,GM189-GX189,0)</f>
        <v>0</v>
      </c>
      <c r="GQ189" s="2"/>
      <c r="GR189" s="2">
        <v>0</v>
      </c>
      <c r="GS189" s="2">
        <v>3</v>
      </c>
      <c r="GT189" s="2">
        <v>0</v>
      </c>
      <c r="GU189" s="2" t="s">
        <v>3</v>
      </c>
      <c r="GV189" s="2">
        <f t="shared" ref="GV189:GV202" si="181">ROUND((GT189),6)</f>
        <v>0</v>
      </c>
      <c r="GW189" s="2">
        <v>1</v>
      </c>
      <c r="GX189" s="2">
        <f t="shared" ref="GX189:GX202" si="182">ROUND(HC189*I189,2)</f>
        <v>0</v>
      </c>
      <c r="GY189" s="2"/>
      <c r="GZ189" s="2"/>
      <c r="HA189" s="2">
        <v>0</v>
      </c>
      <c r="HB189" s="2">
        <v>0</v>
      </c>
      <c r="HC189" s="2">
        <f t="shared" ref="HC189:HC202" si="183">GV189*GW189</f>
        <v>0</v>
      </c>
      <c r="HD189" s="2"/>
      <c r="HE189" s="2" t="s">
        <v>3</v>
      </c>
      <c r="HF189" s="2" t="s">
        <v>3</v>
      </c>
      <c r="HG189" s="2"/>
      <c r="HH189" s="2"/>
      <c r="HI189" s="2"/>
      <c r="HJ189" s="2"/>
      <c r="HK189" s="2"/>
      <c r="HL189" s="2"/>
      <c r="HM189" s="2" t="s">
        <v>3</v>
      </c>
      <c r="HN189" s="2" t="s">
        <v>3</v>
      </c>
      <c r="HO189" s="2" t="s">
        <v>3</v>
      </c>
      <c r="HP189" s="2" t="s">
        <v>3</v>
      </c>
      <c r="HQ189" s="2" t="s">
        <v>3</v>
      </c>
      <c r="HR189" s="2"/>
      <c r="HS189" s="2">
        <v>0</v>
      </c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>
        <v>0</v>
      </c>
      <c r="IL189" s="2"/>
      <c r="IM189" s="2"/>
      <c r="IN189" s="2"/>
      <c r="IO189" s="2"/>
      <c r="IP189" s="2"/>
      <c r="IQ189" s="2"/>
      <c r="IR189" s="2"/>
      <c r="IS189" s="2"/>
      <c r="IT189" s="2"/>
      <c r="IU189" s="2"/>
    </row>
    <row r="190" spans="1:255" x14ac:dyDescent="0.2">
      <c r="A190" s="3">
        <v>17</v>
      </c>
      <c r="B190" s="3">
        <v>1</v>
      </c>
      <c r="C190" s="3">
        <f>ROW(SmtRes!A130)</f>
        <v>130</v>
      </c>
      <c r="D190" s="3">
        <f>ROW(EtalonRes!A146)</f>
        <v>146</v>
      </c>
      <c r="E190" s="3" t="s">
        <v>199</v>
      </c>
      <c r="F190" s="3" t="s">
        <v>200</v>
      </c>
      <c r="G190" s="3" t="s">
        <v>201</v>
      </c>
      <c r="H190" s="3" t="s">
        <v>65</v>
      </c>
      <c r="I190" s="3">
        <f>ROUND((200+10)/100,9)</f>
        <v>2.1</v>
      </c>
      <c r="J190" s="3">
        <v>0</v>
      </c>
      <c r="K190" s="3">
        <f>ROUND((200+10)/100,9)</f>
        <v>2.1</v>
      </c>
      <c r="O190" s="3">
        <f t="shared" si="159"/>
        <v>8769.9699999999993</v>
      </c>
      <c r="P190" s="3">
        <f t="shared" si="160"/>
        <v>453.07</v>
      </c>
      <c r="Q190" s="3">
        <f>(ROUND((ROUND((((ET190*1.2))*AV190*I190),2)*BB190),2)+ROUND((ROUND(((AE190-((EU190*1.2)))*AV190*I190),2)*BS190),2))</f>
        <v>105.58</v>
      </c>
      <c r="R190" s="3">
        <f>(ROUND((ROUND((((EU190*1.2))*AV190*I190),2)*BS190),2)+ROUND((ROUND(((AE190-((EU190*1.2)))*AV190*I190),2)*BS190),2))</f>
        <v>44.52</v>
      </c>
      <c r="S190" s="3">
        <f t="shared" si="161"/>
        <v>8211.32</v>
      </c>
      <c r="T190" s="3">
        <f t="shared" si="162"/>
        <v>0</v>
      </c>
      <c r="U190" s="3">
        <f t="shared" si="163"/>
        <v>11.846595599999999</v>
      </c>
      <c r="V190" s="3">
        <f t="shared" si="164"/>
        <v>0</v>
      </c>
      <c r="W190" s="3">
        <f t="shared" si="165"/>
        <v>0</v>
      </c>
      <c r="X190" s="3">
        <f>(ROUND((((S190+ROUND((ROUND((((EU190*1.2))*AV190*I190),2)*BS190),2))*AT190)/100),2)+ROUND(((ROUND((ROUND(((AE190-((EU190*1.2)))*AV190*I190),2)*BS190),2)*AT190)/100),2))</f>
        <v>8008.16</v>
      </c>
      <c r="Y190" s="3">
        <f>(ROUND((((S190+ROUND((ROUND((((EU190*1.2))*AV190*I190),2)*BS190),2))*AU190)/100),2)+ROUND(((ROUND((ROUND(((AE190-((EU190*1.2)))*AV190*I190),2)*BS190),2)*AU190)/100),2))</f>
        <v>4210.4799999999996</v>
      </c>
      <c r="AA190" s="3">
        <v>55919549</v>
      </c>
      <c r="AB190" s="3">
        <f t="shared" si="166"/>
        <v>127.57</v>
      </c>
      <c r="AC190" s="3">
        <f>ROUND(((ES190*1)),6)</f>
        <v>58.15</v>
      </c>
      <c r="AD190" s="3">
        <f>ROUND(((((ET190*1.2))-((EU190*1.2)))+AE190),6)</f>
        <v>3.1440000000000001</v>
      </c>
      <c r="AE190" s="3">
        <f>ROUND(((EU190*1.2)),6)</f>
        <v>0.36</v>
      </c>
      <c r="AF190" s="3">
        <f>ROUND(((EV190*1.2)),6)</f>
        <v>66.275999999999996</v>
      </c>
      <c r="AG190" s="3">
        <f t="shared" si="167"/>
        <v>0</v>
      </c>
      <c r="AH190" s="3">
        <f>((EW190*1.2))</f>
        <v>5.3879999999999999</v>
      </c>
      <c r="AI190" s="3">
        <f>((EX190*1.2))</f>
        <v>0</v>
      </c>
      <c r="AJ190" s="3">
        <f t="shared" si="168"/>
        <v>0</v>
      </c>
      <c r="AK190" s="3">
        <v>116</v>
      </c>
      <c r="AL190" s="3">
        <v>58.15</v>
      </c>
      <c r="AM190" s="3">
        <v>2.62</v>
      </c>
      <c r="AN190" s="3">
        <v>0.3</v>
      </c>
      <c r="AO190" s="3">
        <v>55.23</v>
      </c>
      <c r="AP190" s="3">
        <v>0</v>
      </c>
      <c r="AQ190" s="3">
        <v>4.49</v>
      </c>
      <c r="AR190" s="3">
        <v>0</v>
      </c>
      <c r="AS190" s="3">
        <v>0</v>
      </c>
      <c r="AT190" s="3">
        <v>97</v>
      </c>
      <c r="AU190" s="3">
        <v>51</v>
      </c>
      <c r="AV190" s="3">
        <v>1.0469999999999999</v>
      </c>
      <c r="AW190" s="3">
        <v>1</v>
      </c>
      <c r="AZ190" s="3">
        <v>1</v>
      </c>
      <c r="BA190" s="3">
        <v>56.35</v>
      </c>
      <c r="BB190" s="3">
        <v>15.28</v>
      </c>
      <c r="BC190" s="3">
        <v>3.71</v>
      </c>
      <c r="BD190" s="3" t="s">
        <v>3</v>
      </c>
      <c r="BE190" s="3" t="s">
        <v>3</v>
      </c>
      <c r="BF190" s="3" t="s">
        <v>3</v>
      </c>
      <c r="BG190" s="3" t="s">
        <v>3</v>
      </c>
      <c r="BH190" s="3">
        <v>0</v>
      </c>
      <c r="BI190" s="3">
        <v>2</v>
      </c>
      <c r="BJ190" s="3" t="s">
        <v>202</v>
      </c>
      <c r="BM190" s="3">
        <v>67</v>
      </c>
      <c r="BN190" s="3">
        <v>0</v>
      </c>
      <c r="BO190" s="3" t="s">
        <v>200</v>
      </c>
      <c r="BP190" s="3">
        <v>1</v>
      </c>
      <c r="BQ190" s="3">
        <v>40</v>
      </c>
      <c r="BR190" s="3">
        <v>0</v>
      </c>
      <c r="BS190" s="3">
        <v>56.35</v>
      </c>
      <c r="BT190" s="3">
        <v>1</v>
      </c>
      <c r="BU190" s="3">
        <v>1</v>
      </c>
      <c r="BV190" s="3">
        <v>1</v>
      </c>
      <c r="BW190" s="3">
        <v>1</v>
      </c>
      <c r="BX190" s="3">
        <v>1</v>
      </c>
      <c r="BY190" s="3" t="s">
        <v>3</v>
      </c>
      <c r="BZ190" s="3">
        <v>97</v>
      </c>
      <c r="CA190" s="3">
        <v>51</v>
      </c>
      <c r="CB190" s="3" t="s">
        <v>3</v>
      </c>
      <c r="CE190" s="3">
        <v>1566</v>
      </c>
      <c r="CF190" s="3">
        <v>0</v>
      </c>
      <c r="CG190" s="3">
        <v>0</v>
      </c>
      <c r="CM190" s="3">
        <v>0</v>
      </c>
      <c r="CN190" s="3" t="s">
        <v>491</v>
      </c>
      <c r="CO190" s="3">
        <v>0</v>
      </c>
      <c r="CP190" s="3">
        <f t="shared" si="169"/>
        <v>8769.9699999999993</v>
      </c>
      <c r="CQ190" s="3">
        <f t="shared" si="170"/>
        <v>215.74</v>
      </c>
      <c r="CR190" s="3">
        <f>(ROUND((ROUND((((ET190*1.2))*AV190*1),2)*BB190),2)+ROUND((ROUND(((AE190-((EU190*1.2)))*AV190*1),2)*BS190),2))</f>
        <v>50.27</v>
      </c>
      <c r="CS190" s="3">
        <f>(ROUND((ROUND((((EU190*1.2))*AV190*1),2)*BS190),2)+ROUND((ROUND(((AE190-((EU190*1.2)))*AV190*1),2)*BS190),2))</f>
        <v>21.41</v>
      </c>
      <c r="CT190" s="3">
        <f t="shared" si="171"/>
        <v>3910.13</v>
      </c>
      <c r="CU190" s="3">
        <f t="shared" si="172"/>
        <v>0</v>
      </c>
      <c r="CV190" s="3">
        <f t="shared" si="173"/>
        <v>5.6412359999999993</v>
      </c>
      <c r="CW190" s="3">
        <f t="shared" si="174"/>
        <v>0</v>
      </c>
      <c r="CX190" s="3">
        <f t="shared" si="175"/>
        <v>0</v>
      </c>
      <c r="CY190" s="3">
        <f>(ROUND((((S190+ROUND((ROUND((((EU190*1.2))*AV190*1),2)*BS190),2))*AT190)/100),2)+ROUND(((ROUND((ROUND(((AE190-((EU190*1.2)))*AV190*1),2)*BS190),2)*AT190)/100),2))</f>
        <v>7985.75</v>
      </c>
      <c r="CZ190" s="3">
        <f>(ROUND((((S190+ROUND((ROUND((((EU190*1.2))*AV190*1),2)*BS190),2))*AU190)/100),2)+ROUND(((ROUND((ROUND(((AE190-((EU190*1.2)))*AV190*1),2)*BS190),2)*AU190)/100),2))</f>
        <v>4198.6899999999996</v>
      </c>
      <c r="DB190" s="3">
        <v>52</v>
      </c>
      <c r="DC190" s="3" t="s">
        <v>3</v>
      </c>
      <c r="DD190" s="3" t="s">
        <v>56</v>
      </c>
      <c r="DE190" s="3" t="s">
        <v>57</v>
      </c>
      <c r="DF190" s="3" t="s">
        <v>57</v>
      </c>
      <c r="DG190" s="3" t="s">
        <v>57</v>
      </c>
      <c r="DH190" s="3" t="s">
        <v>3</v>
      </c>
      <c r="DI190" s="3" t="s">
        <v>57</v>
      </c>
      <c r="DJ190" s="3" t="s">
        <v>57</v>
      </c>
      <c r="DK190" s="3" t="s">
        <v>3</v>
      </c>
      <c r="DL190" s="3" t="s">
        <v>3</v>
      </c>
      <c r="DM190" s="3" t="s">
        <v>3</v>
      </c>
      <c r="DN190" s="3">
        <v>0</v>
      </c>
      <c r="DO190" s="3">
        <v>0</v>
      </c>
      <c r="DP190" s="3">
        <v>1</v>
      </c>
      <c r="DQ190" s="3">
        <v>1</v>
      </c>
      <c r="DU190" s="3">
        <v>1003</v>
      </c>
      <c r="DV190" s="3" t="s">
        <v>65</v>
      </c>
      <c r="DW190" s="3" t="s">
        <v>65</v>
      </c>
      <c r="DX190" s="3">
        <v>100</v>
      </c>
      <c r="DZ190" s="3" t="s">
        <v>3</v>
      </c>
      <c r="EA190" s="3" t="s">
        <v>3</v>
      </c>
      <c r="EB190" s="3" t="s">
        <v>3</v>
      </c>
      <c r="EC190" s="3" t="s">
        <v>3</v>
      </c>
      <c r="EE190" s="3">
        <v>55393699</v>
      </c>
      <c r="EF190" s="3">
        <v>40</v>
      </c>
      <c r="EG190" s="3" t="s">
        <v>26</v>
      </c>
      <c r="EH190" s="3">
        <v>0</v>
      </c>
      <c r="EI190" s="3" t="s">
        <v>3</v>
      </c>
      <c r="EJ190" s="3">
        <v>2</v>
      </c>
      <c r="EK190" s="3">
        <v>67</v>
      </c>
      <c r="EL190" s="3" t="s">
        <v>39</v>
      </c>
      <c r="EM190" s="3" t="s">
        <v>40</v>
      </c>
      <c r="EO190" s="3" t="s">
        <v>61</v>
      </c>
      <c r="EQ190" s="3">
        <v>0</v>
      </c>
      <c r="ER190" s="3">
        <v>116</v>
      </c>
      <c r="ES190" s="3">
        <v>58.15</v>
      </c>
      <c r="ET190" s="3">
        <v>2.62</v>
      </c>
      <c r="EU190" s="3">
        <v>0.3</v>
      </c>
      <c r="EV190" s="3">
        <v>55.23</v>
      </c>
      <c r="EW190" s="3">
        <v>4.49</v>
      </c>
      <c r="EX190" s="3">
        <v>0</v>
      </c>
      <c r="EY190" s="3">
        <v>0</v>
      </c>
      <c r="FQ190" s="3">
        <v>0</v>
      </c>
      <c r="FR190" s="3">
        <v>0</v>
      </c>
      <c r="FS190" s="3">
        <v>0</v>
      </c>
      <c r="FX190" s="3">
        <v>97</v>
      </c>
      <c r="FY190" s="3">
        <v>51</v>
      </c>
      <c r="GA190" s="3" t="s">
        <v>3</v>
      </c>
      <c r="GD190" s="3">
        <v>1</v>
      </c>
      <c r="GF190" s="3">
        <v>-93787614</v>
      </c>
      <c r="GG190" s="3">
        <v>2</v>
      </c>
      <c r="GH190" s="3">
        <v>1</v>
      </c>
      <c r="GI190" s="3">
        <v>2</v>
      </c>
      <c r="GJ190" s="3">
        <v>0</v>
      </c>
      <c r="GK190" s="3">
        <v>0</v>
      </c>
      <c r="GL190" s="3">
        <f t="shared" si="176"/>
        <v>0</v>
      </c>
      <c r="GM190" s="3">
        <f t="shared" si="177"/>
        <v>20988.61</v>
      </c>
      <c r="GN190" s="3">
        <f t="shared" si="178"/>
        <v>0</v>
      </c>
      <c r="GO190" s="3">
        <f t="shared" si="179"/>
        <v>20988.61</v>
      </c>
      <c r="GP190" s="3">
        <f t="shared" si="180"/>
        <v>0</v>
      </c>
      <c r="GR190" s="3">
        <v>0</v>
      </c>
      <c r="GS190" s="3">
        <v>3</v>
      </c>
      <c r="GT190" s="3">
        <v>0</v>
      </c>
      <c r="GU190" s="3" t="s">
        <v>3</v>
      </c>
      <c r="GV190" s="3">
        <f t="shared" si="181"/>
        <v>0</v>
      </c>
      <c r="GW190" s="3">
        <v>1</v>
      </c>
      <c r="GX190" s="3">
        <f t="shared" si="182"/>
        <v>0</v>
      </c>
      <c r="HA190" s="3">
        <v>0</v>
      </c>
      <c r="HB190" s="3">
        <v>0</v>
      </c>
      <c r="HC190" s="3">
        <f t="shared" si="183"/>
        <v>0</v>
      </c>
      <c r="HE190" s="3" t="s">
        <v>3</v>
      </c>
      <c r="HF190" s="3" t="s">
        <v>3</v>
      </c>
      <c r="HM190" s="3" t="s">
        <v>3</v>
      </c>
      <c r="HN190" s="3" t="s">
        <v>3</v>
      </c>
      <c r="HO190" s="3" t="s">
        <v>3</v>
      </c>
      <c r="HP190" s="3" t="s">
        <v>3</v>
      </c>
      <c r="HQ190" s="3" t="s">
        <v>3</v>
      </c>
      <c r="HS190" s="3">
        <v>0</v>
      </c>
      <c r="IK190" s="3">
        <v>0</v>
      </c>
    </row>
    <row r="191" spans="1:255" x14ac:dyDescent="0.2">
      <c r="A191" s="2">
        <v>17</v>
      </c>
      <c r="B191" s="2">
        <v>1</v>
      </c>
      <c r="C191" s="2"/>
      <c r="D191" s="2"/>
      <c r="E191" s="2" t="s">
        <v>203</v>
      </c>
      <c r="F191" s="2" t="s">
        <v>204</v>
      </c>
      <c r="G191" s="2" t="s">
        <v>205</v>
      </c>
      <c r="H191" s="2" t="s">
        <v>206</v>
      </c>
      <c r="I191" s="2">
        <f>ROUND(200*1.03,9)</f>
        <v>206</v>
      </c>
      <c r="J191" s="2">
        <v>0</v>
      </c>
      <c r="K191" s="2">
        <f>ROUND(200*1.03,9)</f>
        <v>206</v>
      </c>
      <c r="L191" s="2"/>
      <c r="M191" s="2"/>
      <c r="N191" s="2"/>
      <c r="O191" s="2">
        <f t="shared" si="159"/>
        <v>3934.6</v>
      </c>
      <c r="P191" s="2">
        <f t="shared" si="160"/>
        <v>3934.6</v>
      </c>
      <c r="Q191" s="2">
        <f>(ROUND((ROUND(((ET191)*AV191*I191),2)*BB191),2)+ROUND((ROUND(((AE191-(EU191))*AV191*I191),2)*BS191),2))</f>
        <v>0</v>
      </c>
      <c r="R191" s="2">
        <f>(ROUND((ROUND(((EU191)*AV191*I191),2)*BS191),2)+ROUND((ROUND(((AE191-(EU191))*AV191*I191),2)*BS191),2))</f>
        <v>0</v>
      </c>
      <c r="S191" s="2">
        <f t="shared" si="161"/>
        <v>0</v>
      </c>
      <c r="T191" s="2">
        <f t="shared" si="162"/>
        <v>0</v>
      </c>
      <c r="U191" s="2">
        <f t="shared" si="163"/>
        <v>0</v>
      </c>
      <c r="V191" s="2">
        <f t="shared" si="164"/>
        <v>0</v>
      </c>
      <c r="W191" s="2">
        <f t="shared" si="165"/>
        <v>0</v>
      </c>
      <c r="X191" s="2">
        <f>(ROUND((((S191+ROUND((ROUND(((EU191)*AV191*I191),2)*BS191),2))*AT191)/100),2)+ROUND(((ROUND((ROUND(((AE191-(EU191))*AV191*I191),2)*BS191),2)*AT191)/100),2))</f>
        <v>0</v>
      </c>
      <c r="Y191" s="2">
        <f>(ROUND((((S191+ROUND((ROUND(((EU191)*AV191*I191),2)*BS191),2))*AU191)/100),2)+ROUND(((ROUND((ROUND(((AE191-(EU191))*AV191*I191),2)*BS191),2)*AU191)/100),2))</f>
        <v>0</v>
      </c>
      <c r="Z191" s="2"/>
      <c r="AA191" s="2">
        <v>55919547</v>
      </c>
      <c r="AB191" s="2">
        <f t="shared" si="166"/>
        <v>19.100000000000001</v>
      </c>
      <c r="AC191" s="2">
        <f>ROUND((ES191),6)</f>
        <v>19.100000000000001</v>
      </c>
      <c r="AD191" s="2">
        <f>ROUND((((ET191)-(EU191))+AE191),6)</f>
        <v>0</v>
      </c>
      <c r="AE191" s="2">
        <f t="shared" ref="AE191:AF194" si="184">ROUND((EU191),6)</f>
        <v>0</v>
      </c>
      <c r="AF191" s="2">
        <f t="shared" si="184"/>
        <v>0</v>
      </c>
      <c r="AG191" s="2">
        <f t="shared" si="167"/>
        <v>0</v>
      </c>
      <c r="AH191" s="2">
        <f t="shared" ref="AH191:AI194" si="185">(EW191)</f>
        <v>0</v>
      </c>
      <c r="AI191" s="2">
        <f t="shared" si="185"/>
        <v>0</v>
      </c>
      <c r="AJ191" s="2">
        <f t="shared" si="168"/>
        <v>0</v>
      </c>
      <c r="AK191" s="2">
        <v>19.100000000000001</v>
      </c>
      <c r="AL191" s="2">
        <v>19.100000000000001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1</v>
      </c>
      <c r="AW191" s="2">
        <v>1</v>
      </c>
      <c r="AX191" s="2"/>
      <c r="AY191" s="2"/>
      <c r="AZ191" s="2">
        <v>1</v>
      </c>
      <c r="BA191" s="2">
        <v>1</v>
      </c>
      <c r="BB191" s="2">
        <v>1</v>
      </c>
      <c r="BC191" s="2">
        <v>1</v>
      </c>
      <c r="BD191" s="2" t="s">
        <v>3</v>
      </c>
      <c r="BE191" s="2" t="s">
        <v>3</v>
      </c>
      <c r="BF191" s="2" t="s">
        <v>3</v>
      </c>
      <c r="BG191" s="2" t="s">
        <v>3</v>
      </c>
      <c r="BH191" s="2">
        <v>3</v>
      </c>
      <c r="BI191" s="2">
        <v>2</v>
      </c>
      <c r="BJ191" s="2" t="s">
        <v>204</v>
      </c>
      <c r="BK191" s="2"/>
      <c r="BL191" s="2"/>
      <c r="BM191" s="2">
        <v>400005</v>
      </c>
      <c r="BN191" s="2">
        <v>0</v>
      </c>
      <c r="BO191" s="2" t="s">
        <v>3</v>
      </c>
      <c r="BP191" s="2">
        <v>0</v>
      </c>
      <c r="BQ191" s="2">
        <v>213</v>
      </c>
      <c r="BR191" s="2">
        <v>0</v>
      </c>
      <c r="BS191" s="2">
        <v>1</v>
      </c>
      <c r="BT191" s="2">
        <v>1</v>
      </c>
      <c r="BU191" s="2">
        <v>1</v>
      </c>
      <c r="BV191" s="2">
        <v>1</v>
      </c>
      <c r="BW191" s="2">
        <v>1</v>
      </c>
      <c r="BX191" s="2">
        <v>1</v>
      </c>
      <c r="BY191" s="2" t="s">
        <v>3</v>
      </c>
      <c r="BZ191" s="2">
        <v>0</v>
      </c>
      <c r="CA191" s="2">
        <v>0</v>
      </c>
      <c r="CB191" s="2" t="s">
        <v>3</v>
      </c>
      <c r="CC191" s="2"/>
      <c r="CD191" s="2"/>
      <c r="CE191" s="2">
        <v>1566</v>
      </c>
      <c r="CF191" s="2">
        <v>0</v>
      </c>
      <c r="CG191" s="2">
        <v>0</v>
      </c>
      <c r="CH191" s="2"/>
      <c r="CI191" s="2"/>
      <c r="CJ191" s="2"/>
      <c r="CK191" s="2"/>
      <c r="CL191" s="2"/>
      <c r="CM191" s="2">
        <v>0</v>
      </c>
      <c r="CN191" s="2" t="s">
        <v>3</v>
      </c>
      <c r="CO191" s="2">
        <v>0</v>
      </c>
      <c r="CP191" s="2">
        <f t="shared" si="169"/>
        <v>3934.6</v>
      </c>
      <c r="CQ191" s="2">
        <f t="shared" si="170"/>
        <v>19.100000000000001</v>
      </c>
      <c r="CR191" s="2">
        <f>(ROUND((ROUND(((ET191)*AV191*1),2)*BB191),2)+ROUND((ROUND(((AE191-(EU191))*AV191*1),2)*BS191),2))</f>
        <v>0</v>
      </c>
      <c r="CS191" s="2">
        <f>(ROUND((ROUND(((EU191)*AV191*1),2)*BS191),2)+ROUND((ROUND(((AE191-(EU191))*AV191*1),2)*BS191),2))</f>
        <v>0</v>
      </c>
      <c r="CT191" s="2">
        <f t="shared" si="171"/>
        <v>0</v>
      </c>
      <c r="CU191" s="2">
        <f t="shared" si="172"/>
        <v>0</v>
      </c>
      <c r="CV191" s="2">
        <f t="shared" si="173"/>
        <v>0</v>
      </c>
      <c r="CW191" s="2">
        <f t="shared" si="174"/>
        <v>0</v>
      </c>
      <c r="CX191" s="2">
        <f t="shared" si="175"/>
        <v>0</v>
      </c>
      <c r="CY191" s="2">
        <f>(ROUND((((S191+ROUND((ROUND(((EU191)*AV191*1),2)*BS191),2))*AT191)/100),2)+ROUND(((ROUND((ROUND(((AE191-(EU191))*AV191*1),2)*BS191),2)*AT191)/100),2))</f>
        <v>0</v>
      </c>
      <c r="CZ191" s="2">
        <f>(ROUND((((S191+ROUND((ROUND(((EU191)*AV191*1),2)*BS191),2))*AU191)/100),2)+ROUND(((ROUND((ROUND(((AE191-(EU191))*AV191*1),2)*BS191),2)*AU191)/100),2))</f>
        <v>0</v>
      </c>
      <c r="DA191" s="2"/>
      <c r="DB191" s="2"/>
      <c r="DC191" s="2" t="s">
        <v>3</v>
      </c>
      <c r="DD191" s="2" t="s">
        <v>3</v>
      </c>
      <c r="DE191" s="2" t="s">
        <v>3</v>
      </c>
      <c r="DF191" s="2" t="s">
        <v>3</v>
      </c>
      <c r="DG191" s="2" t="s">
        <v>3</v>
      </c>
      <c r="DH191" s="2" t="s">
        <v>3</v>
      </c>
      <c r="DI191" s="2" t="s">
        <v>3</v>
      </c>
      <c r="DJ191" s="2" t="s">
        <v>3</v>
      </c>
      <c r="DK191" s="2" t="s">
        <v>3</v>
      </c>
      <c r="DL191" s="2" t="s">
        <v>3</v>
      </c>
      <c r="DM191" s="2" t="s">
        <v>3</v>
      </c>
      <c r="DN191" s="2">
        <v>0</v>
      </c>
      <c r="DO191" s="2">
        <v>0</v>
      </c>
      <c r="DP191" s="2">
        <v>1</v>
      </c>
      <c r="DQ191" s="2">
        <v>1</v>
      </c>
      <c r="DR191" s="2"/>
      <c r="DS191" s="2"/>
      <c r="DT191" s="2"/>
      <c r="DU191" s="2">
        <v>1003</v>
      </c>
      <c r="DV191" s="2" t="s">
        <v>206</v>
      </c>
      <c r="DW191" s="2" t="s">
        <v>206</v>
      </c>
      <c r="DX191" s="2">
        <v>1</v>
      </c>
      <c r="DY191" s="2"/>
      <c r="DZ191" s="2" t="s">
        <v>3</v>
      </c>
      <c r="EA191" s="2" t="s">
        <v>3</v>
      </c>
      <c r="EB191" s="2" t="s">
        <v>3</v>
      </c>
      <c r="EC191" s="2" t="s">
        <v>3</v>
      </c>
      <c r="ED191" s="2"/>
      <c r="EE191" s="2">
        <v>55393628</v>
      </c>
      <c r="EF191" s="2">
        <v>213</v>
      </c>
      <c r="EG191" s="2" t="s">
        <v>207</v>
      </c>
      <c r="EH191" s="2">
        <v>0</v>
      </c>
      <c r="EI191" s="2" t="s">
        <v>3</v>
      </c>
      <c r="EJ191" s="2">
        <v>1</v>
      </c>
      <c r="EK191" s="2">
        <v>400005</v>
      </c>
      <c r="EL191" s="2" t="s">
        <v>207</v>
      </c>
      <c r="EM191" s="2" t="s">
        <v>208</v>
      </c>
      <c r="EN191" s="2"/>
      <c r="EO191" s="2" t="s">
        <v>3</v>
      </c>
      <c r="EP191" s="2"/>
      <c r="EQ191" s="2">
        <v>16</v>
      </c>
      <c r="ER191" s="2">
        <v>0</v>
      </c>
      <c r="ES191" s="2">
        <v>19.100000000000001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>
        <v>0</v>
      </c>
      <c r="FR191" s="2">
        <v>0</v>
      </c>
      <c r="FS191" s="2">
        <v>0</v>
      </c>
      <c r="FT191" s="2"/>
      <c r="FU191" s="2"/>
      <c r="FV191" s="2"/>
      <c r="FW191" s="2"/>
      <c r="FX191" s="2">
        <v>0</v>
      </c>
      <c r="FY191" s="2">
        <v>0</v>
      </c>
      <c r="FZ191" s="2"/>
      <c r="GA191" s="2" t="s">
        <v>209</v>
      </c>
      <c r="GB191" s="2"/>
      <c r="GC191" s="2"/>
      <c r="GD191" s="2">
        <v>1</v>
      </c>
      <c r="GE191" s="2"/>
      <c r="GF191" s="2">
        <v>-714816247</v>
      </c>
      <c r="GG191" s="2">
        <v>2</v>
      </c>
      <c r="GH191" s="2">
        <v>4</v>
      </c>
      <c r="GI191" s="2">
        <v>-2</v>
      </c>
      <c r="GJ191" s="2">
        <v>0</v>
      </c>
      <c r="GK191" s="2">
        <v>0</v>
      </c>
      <c r="GL191" s="2">
        <f t="shared" si="176"/>
        <v>0</v>
      </c>
      <c r="GM191" s="2">
        <f t="shared" si="177"/>
        <v>3934.6</v>
      </c>
      <c r="GN191" s="2">
        <f t="shared" si="178"/>
        <v>0</v>
      </c>
      <c r="GO191" s="2">
        <f t="shared" si="179"/>
        <v>3934.6</v>
      </c>
      <c r="GP191" s="2">
        <f t="shared" si="180"/>
        <v>0</v>
      </c>
      <c r="GQ191" s="2"/>
      <c r="GR191" s="2">
        <v>1</v>
      </c>
      <c r="GS191" s="2">
        <v>2</v>
      </c>
      <c r="GT191" s="2">
        <v>0</v>
      </c>
      <c r="GU191" s="2" t="s">
        <v>3</v>
      </c>
      <c r="GV191" s="2">
        <f t="shared" si="181"/>
        <v>0</v>
      </c>
      <c r="GW191" s="2">
        <v>1</v>
      </c>
      <c r="GX191" s="2">
        <f t="shared" si="182"/>
        <v>0</v>
      </c>
      <c r="GY191" s="2"/>
      <c r="GZ191" s="2"/>
      <c r="HA191" s="2">
        <v>0</v>
      </c>
      <c r="HB191" s="2">
        <v>0</v>
      </c>
      <c r="HC191" s="2">
        <f t="shared" si="183"/>
        <v>0</v>
      </c>
      <c r="HD191" s="2"/>
      <c r="HE191" s="2" t="s">
        <v>210</v>
      </c>
      <c r="HF191" s="2" t="s">
        <v>30</v>
      </c>
      <c r="HG191" s="2"/>
      <c r="HH191" s="2"/>
      <c r="HI191" s="2"/>
      <c r="HJ191" s="2"/>
      <c r="HK191" s="2"/>
      <c r="HL191" s="2"/>
      <c r="HM191" s="2" t="s">
        <v>3</v>
      </c>
      <c r="HN191" s="2" t="s">
        <v>3</v>
      </c>
      <c r="HO191" s="2" t="s">
        <v>3</v>
      </c>
      <c r="HP191" s="2" t="s">
        <v>3</v>
      </c>
      <c r="HQ191" s="2" t="s">
        <v>3</v>
      </c>
      <c r="HR191" s="2"/>
      <c r="HS191" s="2">
        <v>0</v>
      </c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>
        <v>0</v>
      </c>
      <c r="IL191" s="2"/>
      <c r="IM191" s="2"/>
      <c r="IN191" s="2"/>
      <c r="IO191" s="2"/>
      <c r="IP191" s="2"/>
      <c r="IQ191" s="2"/>
      <c r="IR191" s="2"/>
      <c r="IS191" s="2"/>
      <c r="IT191" s="2"/>
      <c r="IU191" s="2"/>
    </row>
    <row r="192" spans="1:255" x14ac:dyDescent="0.2">
      <c r="A192" s="3">
        <v>17</v>
      </c>
      <c r="B192" s="3">
        <v>1</v>
      </c>
      <c r="E192" s="3" t="s">
        <v>203</v>
      </c>
      <c r="F192" s="3" t="s">
        <v>204</v>
      </c>
      <c r="G192" s="3" t="s">
        <v>205</v>
      </c>
      <c r="H192" s="3" t="s">
        <v>206</v>
      </c>
      <c r="I192" s="3">
        <f>ROUND(200*1.03,9)</f>
        <v>206</v>
      </c>
      <c r="J192" s="3">
        <v>0</v>
      </c>
      <c r="K192" s="3">
        <f>ROUND(200*1.03,9)</f>
        <v>206</v>
      </c>
      <c r="O192" s="3">
        <f t="shared" si="159"/>
        <v>29784.92</v>
      </c>
      <c r="P192" s="3">
        <f t="shared" si="160"/>
        <v>29784.92</v>
      </c>
      <c r="Q192" s="3">
        <f>(ROUND((ROUND(((ET192)*AV192*I192),2)*BB192),2)+ROUND((ROUND(((AE192-(EU192))*AV192*I192),2)*BS192),2))</f>
        <v>0</v>
      </c>
      <c r="R192" s="3">
        <f>(ROUND((ROUND(((EU192)*AV192*I192),2)*BS192),2)+ROUND((ROUND(((AE192-(EU192))*AV192*I192),2)*BS192),2))</f>
        <v>0</v>
      </c>
      <c r="S192" s="3">
        <f t="shared" si="161"/>
        <v>0</v>
      </c>
      <c r="T192" s="3">
        <f t="shared" si="162"/>
        <v>0</v>
      </c>
      <c r="U192" s="3">
        <f t="shared" si="163"/>
        <v>0</v>
      </c>
      <c r="V192" s="3">
        <f t="shared" si="164"/>
        <v>0</v>
      </c>
      <c r="W192" s="3">
        <f t="shared" si="165"/>
        <v>0</v>
      </c>
      <c r="X192" s="3">
        <f>(ROUND((((S192+ROUND((ROUND(((EU192)*AV192*I192),2)*BS192),2))*AT192)/100),2)+ROUND(((ROUND((ROUND(((AE192-(EU192))*AV192*I192),2)*BS192),2)*AT192)/100),2))</f>
        <v>0</v>
      </c>
      <c r="Y192" s="3">
        <f>(ROUND((((S192+ROUND((ROUND(((EU192)*AV192*I192),2)*BS192),2))*AU192)/100),2)+ROUND(((ROUND((ROUND(((AE192-(EU192))*AV192*I192),2)*BS192),2)*AU192)/100),2))</f>
        <v>0</v>
      </c>
      <c r="AA192" s="3">
        <v>55919549</v>
      </c>
      <c r="AB192" s="3">
        <f t="shared" si="166"/>
        <v>19.100000000000001</v>
      </c>
      <c r="AC192" s="3">
        <f>ROUND((ES192),6)</f>
        <v>19.100000000000001</v>
      </c>
      <c r="AD192" s="3">
        <f>ROUND((((ET192)-(EU192))+AE192),6)</f>
        <v>0</v>
      </c>
      <c r="AE192" s="3">
        <f t="shared" si="184"/>
        <v>0</v>
      </c>
      <c r="AF192" s="3">
        <f t="shared" si="184"/>
        <v>0</v>
      </c>
      <c r="AG192" s="3">
        <f t="shared" si="167"/>
        <v>0</v>
      </c>
      <c r="AH192" s="3">
        <f t="shared" si="185"/>
        <v>0</v>
      </c>
      <c r="AI192" s="3">
        <f t="shared" si="185"/>
        <v>0</v>
      </c>
      <c r="AJ192" s="3">
        <f t="shared" si="168"/>
        <v>0</v>
      </c>
      <c r="AK192" s="3">
        <v>19.100000000000001</v>
      </c>
      <c r="AL192" s="3">
        <v>19.100000000000001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1</v>
      </c>
      <c r="AW192" s="3">
        <v>1</v>
      </c>
      <c r="AZ192" s="3">
        <v>1</v>
      </c>
      <c r="BA192" s="3">
        <v>1</v>
      </c>
      <c r="BB192" s="3">
        <v>1</v>
      </c>
      <c r="BC192" s="3">
        <v>7.57</v>
      </c>
      <c r="BD192" s="3" t="s">
        <v>3</v>
      </c>
      <c r="BE192" s="3" t="s">
        <v>3</v>
      </c>
      <c r="BF192" s="3" t="s">
        <v>3</v>
      </c>
      <c r="BG192" s="3" t="s">
        <v>3</v>
      </c>
      <c r="BH192" s="3">
        <v>3</v>
      </c>
      <c r="BI192" s="3">
        <v>2</v>
      </c>
      <c r="BJ192" s="3" t="s">
        <v>204</v>
      </c>
      <c r="BM192" s="3">
        <v>400005</v>
      </c>
      <c r="BN192" s="3">
        <v>0</v>
      </c>
      <c r="BO192" s="3" t="s">
        <v>3</v>
      </c>
      <c r="BP192" s="3">
        <v>0</v>
      </c>
      <c r="BQ192" s="3">
        <v>213</v>
      </c>
      <c r="BR192" s="3">
        <v>0</v>
      </c>
      <c r="BS192" s="3">
        <v>1</v>
      </c>
      <c r="BT192" s="3">
        <v>1</v>
      </c>
      <c r="BU192" s="3">
        <v>1</v>
      </c>
      <c r="BV192" s="3">
        <v>1</v>
      </c>
      <c r="BW192" s="3">
        <v>1</v>
      </c>
      <c r="BX192" s="3">
        <v>1</v>
      </c>
      <c r="BY192" s="3" t="s">
        <v>3</v>
      </c>
      <c r="BZ192" s="3">
        <v>0</v>
      </c>
      <c r="CA192" s="3">
        <v>0</v>
      </c>
      <c r="CB192" s="3" t="s">
        <v>3</v>
      </c>
      <c r="CE192" s="3">
        <v>1566</v>
      </c>
      <c r="CF192" s="3">
        <v>0</v>
      </c>
      <c r="CG192" s="3">
        <v>0</v>
      </c>
      <c r="CM192" s="3">
        <v>0</v>
      </c>
      <c r="CN192" s="3" t="s">
        <v>3</v>
      </c>
      <c r="CO192" s="3">
        <v>0</v>
      </c>
      <c r="CP192" s="3">
        <f t="shared" si="169"/>
        <v>29784.92</v>
      </c>
      <c r="CQ192" s="3">
        <f t="shared" si="170"/>
        <v>144.59</v>
      </c>
      <c r="CR192" s="3">
        <f>(ROUND((ROUND(((ET192)*AV192*1),2)*BB192),2)+ROUND((ROUND(((AE192-(EU192))*AV192*1),2)*BS192),2))</f>
        <v>0</v>
      </c>
      <c r="CS192" s="3">
        <f>(ROUND((ROUND(((EU192)*AV192*1),2)*BS192),2)+ROUND((ROUND(((AE192-(EU192))*AV192*1),2)*BS192),2))</f>
        <v>0</v>
      </c>
      <c r="CT192" s="3">
        <f t="shared" si="171"/>
        <v>0</v>
      </c>
      <c r="CU192" s="3">
        <f t="shared" si="172"/>
        <v>0</v>
      </c>
      <c r="CV192" s="3">
        <f t="shared" si="173"/>
        <v>0</v>
      </c>
      <c r="CW192" s="3">
        <f t="shared" si="174"/>
        <v>0</v>
      </c>
      <c r="CX192" s="3">
        <f t="shared" si="175"/>
        <v>0</v>
      </c>
      <c r="CY192" s="3">
        <f>(ROUND((((S192+ROUND((ROUND(((EU192)*AV192*1),2)*BS192),2))*AT192)/100),2)+ROUND(((ROUND((ROUND(((AE192-(EU192))*AV192*1),2)*BS192),2)*AT192)/100),2))</f>
        <v>0</v>
      </c>
      <c r="CZ192" s="3">
        <f>(ROUND((((S192+ROUND((ROUND(((EU192)*AV192*1),2)*BS192),2))*AU192)/100),2)+ROUND(((ROUND((ROUND(((AE192-(EU192))*AV192*1),2)*BS192),2)*AU192)/100),2))</f>
        <v>0</v>
      </c>
      <c r="DC192" s="3" t="s">
        <v>3</v>
      </c>
      <c r="DD192" s="3" t="s">
        <v>3</v>
      </c>
      <c r="DE192" s="3" t="s">
        <v>3</v>
      </c>
      <c r="DF192" s="3" t="s">
        <v>3</v>
      </c>
      <c r="DG192" s="3" t="s">
        <v>3</v>
      </c>
      <c r="DH192" s="3" t="s">
        <v>3</v>
      </c>
      <c r="DI192" s="3" t="s">
        <v>3</v>
      </c>
      <c r="DJ192" s="3" t="s">
        <v>3</v>
      </c>
      <c r="DK192" s="3" t="s">
        <v>3</v>
      </c>
      <c r="DL192" s="3" t="s">
        <v>3</v>
      </c>
      <c r="DM192" s="3" t="s">
        <v>3</v>
      </c>
      <c r="DN192" s="3">
        <v>0</v>
      </c>
      <c r="DO192" s="3">
        <v>0</v>
      </c>
      <c r="DP192" s="3">
        <v>1</v>
      </c>
      <c r="DQ192" s="3">
        <v>1</v>
      </c>
      <c r="DU192" s="3">
        <v>1003</v>
      </c>
      <c r="DV192" s="3" t="s">
        <v>206</v>
      </c>
      <c r="DW192" s="3" t="s">
        <v>206</v>
      </c>
      <c r="DX192" s="3">
        <v>1</v>
      </c>
      <c r="DZ192" s="3" t="s">
        <v>3</v>
      </c>
      <c r="EA192" s="3" t="s">
        <v>3</v>
      </c>
      <c r="EB192" s="3" t="s">
        <v>3</v>
      </c>
      <c r="EC192" s="3" t="s">
        <v>3</v>
      </c>
      <c r="EE192" s="3">
        <v>55393628</v>
      </c>
      <c r="EF192" s="3">
        <v>213</v>
      </c>
      <c r="EG192" s="3" t="s">
        <v>207</v>
      </c>
      <c r="EH192" s="3">
        <v>0</v>
      </c>
      <c r="EI192" s="3" t="s">
        <v>3</v>
      </c>
      <c r="EJ192" s="3">
        <v>1</v>
      </c>
      <c r="EK192" s="3">
        <v>400005</v>
      </c>
      <c r="EL192" s="3" t="s">
        <v>207</v>
      </c>
      <c r="EM192" s="3" t="s">
        <v>208</v>
      </c>
      <c r="EO192" s="3" t="s">
        <v>3</v>
      </c>
      <c r="EQ192" s="3">
        <v>16</v>
      </c>
      <c r="ER192" s="3">
        <v>0</v>
      </c>
      <c r="ES192" s="3">
        <v>19.100000000000001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EY192" s="3">
        <v>0</v>
      </c>
      <c r="EZ192" s="3">
        <v>5</v>
      </c>
      <c r="FC192" s="3">
        <v>1</v>
      </c>
      <c r="FD192" s="3">
        <v>18</v>
      </c>
      <c r="FF192" s="3">
        <v>172.99</v>
      </c>
      <c r="FQ192" s="3">
        <v>0</v>
      </c>
      <c r="FR192" s="3">
        <v>0</v>
      </c>
      <c r="FS192" s="3">
        <v>0</v>
      </c>
      <c r="FX192" s="3">
        <v>0</v>
      </c>
      <c r="FY192" s="3">
        <v>0</v>
      </c>
      <c r="GA192" s="3" t="s">
        <v>209</v>
      </c>
      <c r="GD192" s="3">
        <v>1</v>
      </c>
      <c r="GF192" s="3">
        <v>-714816247</v>
      </c>
      <c r="GG192" s="3">
        <v>2</v>
      </c>
      <c r="GH192" s="3">
        <v>3</v>
      </c>
      <c r="GI192" s="3">
        <v>5</v>
      </c>
      <c r="GJ192" s="3">
        <v>0</v>
      </c>
      <c r="GK192" s="3">
        <v>0</v>
      </c>
      <c r="GL192" s="3">
        <f t="shared" si="176"/>
        <v>0</v>
      </c>
      <c r="GM192" s="3">
        <f t="shared" si="177"/>
        <v>29784.92</v>
      </c>
      <c r="GN192" s="3">
        <f t="shared" si="178"/>
        <v>0</v>
      </c>
      <c r="GO192" s="3">
        <f t="shared" si="179"/>
        <v>29784.92</v>
      </c>
      <c r="GP192" s="3">
        <f t="shared" si="180"/>
        <v>0</v>
      </c>
      <c r="GR192" s="3">
        <v>1</v>
      </c>
      <c r="GS192" s="3">
        <v>1</v>
      </c>
      <c r="GT192" s="3">
        <v>0</v>
      </c>
      <c r="GU192" s="3" t="s">
        <v>3</v>
      </c>
      <c r="GV192" s="3">
        <f t="shared" si="181"/>
        <v>0</v>
      </c>
      <c r="GW192" s="3">
        <v>1</v>
      </c>
      <c r="GX192" s="3">
        <f t="shared" si="182"/>
        <v>0</v>
      </c>
      <c r="HA192" s="3">
        <v>0</v>
      </c>
      <c r="HB192" s="3">
        <v>0</v>
      </c>
      <c r="HC192" s="3">
        <f t="shared" si="183"/>
        <v>0</v>
      </c>
      <c r="HE192" s="3" t="s">
        <v>210</v>
      </c>
      <c r="HF192" s="3" t="s">
        <v>30</v>
      </c>
      <c r="HM192" s="3" t="s">
        <v>3</v>
      </c>
      <c r="HN192" s="3" t="s">
        <v>3</v>
      </c>
      <c r="HO192" s="3" t="s">
        <v>3</v>
      </c>
      <c r="HP192" s="3" t="s">
        <v>3</v>
      </c>
      <c r="HQ192" s="3" t="s">
        <v>3</v>
      </c>
      <c r="HS192" s="3">
        <v>0</v>
      </c>
      <c r="IK192" s="3">
        <v>0</v>
      </c>
    </row>
    <row r="193" spans="1:255" x14ac:dyDescent="0.2">
      <c r="A193" s="2">
        <v>17</v>
      </c>
      <c r="B193" s="2">
        <v>1</v>
      </c>
      <c r="C193" s="2"/>
      <c r="D193" s="2"/>
      <c r="E193" s="2" t="s">
        <v>211</v>
      </c>
      <c r="F193" s="2" t="s">
        <v>212</v>
      </c>
      <c r="G193" s="2" t="s">
        <v>213</v>
      </c>
      <c r="H193" s="2" t="s">
        <v>206</v>
      </c>
      <c r="I193" s="2">
        <f>ROUND(10*1.03,9)</f>
        <v>10.3</v>
      </c>
      <c r="J193" s="2">
        <v>0</v>
      </c>
      <c r="K193" s="2">
        <f>ROUND(10*1.03,9)</f>
        <v>10.3</v>
      </c>
      <c r="L193" s="2"/>
      <c r="M193" s="2"/>
      <c r="N193" s="2"/>
      <c r="O193" s="2">
        <f t="shared" si="159"/>
        <v>111.96</v>
      </c>
      <c r="P193" s="2">
        <f t="shared" si="160"/>
        <v>111.96</v>
      </c>
      <c r="Q193" s="2">
        <f>(ROUND((ROUND(((ET193)*AV193*I193),2)*BB193),2)+ROUND((ROUND(((AE193-(EU193))*AV193*I193),2)*BS193),2))</f>
        <v>0</v>
      </c>
      <c r="R193" s="2">
        <f>(ROUND((ROUND(((EU193)*AV193*I193),2)*BS193),2)+ROUND((ROUND(((AE193-(EU193))*AV193*I193),2)*BS193),2))</f>
        <v>0</v>
      </c>
      <c r="S193" s="2">
        <f t="shared" si="161"/>
        <v>0</v>
      </c>
      <c r="T193" s="2">
        <f t="shared" si="162"/>
        <v>0</v>
      </c>
      <c r="U193" s="2">
        <f t="shared" si="163"/>
        <v>0</v>
      </c>
      <c r="V193" s="2">
        <f t="shared" si="164"/>
        <v>0</v>
      </c>
      <c r="W193" s="2">
        <f t="shared" si="165"/>
        <v>0</v>
      </c>
      <c r="X193" s="2">
        <f>(ROUND((((S193+ROUND((ROUND(((EU193)*AV193*I193),2)*BS193),2))*AT193)/100),2)+ROUND(((ROUND((ROUND(((AE193-(EU193))*AV193*I193),2)*BS193),2)*AT193)/100),2))</f>
        <v>0</v>
      </c>
      <c r="Y193" s="2">
        <f>(ROUND((((S193+ROUND((ROUND(((EU193)*AV193*I193),2)*BS193),2))*AU193)/100),2)+ROUND(((ROUND((ROUND(((AE193-(EU193))*AV193*I193),2)*BS193),2)*AU193)/100),2))</f>
        <v>0</v>
      </c>
      <c r="Z193" s="2"/>
      <c r="AA193" s="2">
        <v>55919547</v>
      </c>
      <c r="AB193" s="2">
        <f t="shared" si="166"/>
        <v>10.87</v>
      </c>
      <c r="AC193" s="2">
        <f>ROUND((ES193),6)</f>
        <v>10.87</v>
      </c>
      <c r="AD193" s="2">
        <f>ROUND((((ET193)-(EU193))+AE193),6)</f>
        <v>0</v>
      </c>
      <c r="AE193" s="2">
        <f t="shared" si="184"/>
        <v>0</v>
      </c>
      <c r="AF193" s="2">
        <f t="shared" si="184"/>
        <v>0</v>
      </c>
      <c r="AG193" s="2">
        <f t="shared" si="167"/>
        <v>0</v>
      </c>
      <c r="AH193" s="2">
        <f t="shared" si="185"/>
        <v>0</v>
      </c>
      <c r="AI193" s="2">
        <f t="shared" si="185"/>
        <v>0</v>
      </c>
      <c r="AJ193" s="2">
        <f t="shared" si="168"/>
        <v>0</v>
      </c>
      <c r="AK193" s="2">
        <v>10.870000000000001</v>
      </c>
      <c r="AL193" s="2">
        <v>10.870000000000001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1</v>
      </c>
      <c r="AW193" s="2">
        <v>1</v>
      </c>
      <c r="AX193" s="2"/>
      <c r="AY193" s="2"/>
      <c r="AZ193" s="2">
        <v>1</v>
      </c>
      <c r="BA193" s="2">
        <v>1</v>
      </c>
      <c r="BB193" s="2">
        <v>1</v>
      </c>
      <c r="BC193" s="2">
        <v>1</v>
      </c>
      <c r="BD193" s="2" t="s">
        <v>3</v>
      </c>
      <c r="BE193" s="2" t="s">
        <v>3</v>
      </c>
      <c r="BF193" s="2" t="s">
        <v>3</v>
      </c>
      <c r="BG193" s="2" t="s">
        <v>3</v>
      </c>
      <c r="BH193" s="2">
        <v>3</v>
      </c>
      <c r="BI193" s="2">
        <v>2</v>
      </c>
      <c r="BJ193" s="2" t="s">
        <v>212</v>
      </c>
      <c r="BK193" s="2"/>
      <c r="BL193" s="2"/>
      <c r="BM193" s="2">
        <v>400005</v>
      </c>
      <c r="BN193" s="2">
        <v>0</v>
      </c>
      <c r="BO193" s="2" t="s">
        <v>3</v>
      </c>
      <c r="BP193" s="2">
        <v>0</v>
      </c>
      <c r="BQ193" s="2">
        <v>213</v>
      </c>
      <c r="BR193" s="2">
        <v>0</v>
      </c>
      <c r="BS193" s="2">
        <v>1</v>
      </c>
      <c r="BT193" s="2">
        <v>1</v>
      </c>
      <c r="BU193" s="2">
        <v>1</v>
      </c>
      <c r="BV193" s="2">
        <v>1</v>
      </c>
      <c r="BW193" s="2">
        <v>1</v>
      </c>
      <c r="BX193" s="2">
        <v>1</v>
      </c>
      <c r="BY193" s="2" t="s">
        <v>3</v>
      </c>
      <c r="BZ193" s="2">
        <v>0</v>
      </c>
      <c r="CA193" s="2">
        <v>0</v>
      </c>
      <c r="CB193" s="2" t="s">
        <v>3</v>
      </c>
      <c r="CC193" s="2"/>
      <c r="CD193" s="2"/>
      <c r="CE193" s="2">
        <v>1566</v>
      </c>
      <c r="CF193" s="2">
        <v>0</v>
      </c>
      <c r="CG193" s="2">
        <v>0</v>
      </c>
      <c r="CH193" s="2"/>
      <c r="CI193" s="2"/>
      <c r="CJ193" s="2"/>
      <c r="CK193" s="2"/>
      <c r="CL193" s="2"/>
      <c r="CM193" s="2">
        <v>0</v>
      </c>
      <c r="CN193" s="2" t="s">
        <v>3</v>
      </c>
      <c r="CO193" s="2">
        <v>0</v>
      </c>
      <c r="CP193" s="2">
        <f t="shared" si="169"/>
        <v>111.96</v>
      </c>
      <c r="CQ193" s="2">
        <f t="shared" si="170"/>
        <v>10.87</v>
      </c>
      <c r="CR193" s="2">
        <f>(ROUND((ROUND(((ET193)*AV193*1),2)*BB193),2)+ROUND((ROUND(((AE193-(EU193))*AV193*1),2)*BS193),2))</f>
        <v>0</v>
      </c>
      <c r="CS193" s="2">
        <f>(ROUND((ROUND(((EU193)*AV193*1),2)*BS193),2)+ROUND((ROUND(((AE193-(EU193))*AV193*1),2)*BS193),2))</f>
        <v>0</v>
      </c>
      <c r="CT193" s="2">
        <f t="shared" si="171"/>
        <v>0</v>
      </c>
      <c r="CU193" s="2">
        <f t="shared" si="172"/>
        <v>0</v>
      </c>
      <c r="CV193" s="2">
        <f t="shared" si="173"/>
        <v>0</v>
      </c>
      <c r="CW193" s="2">
        <f t="shared" si="174"/>
        <v>0</v>
      </c>
      <c r="CX193" s="2">
        <f t="shared" si="175"/>
        <v>0</v>
      </c>
      <c r="CY193" s="2">
        <f>(ROUND((((S193+ROUND((ROUND(((EU193)*AV193*1),2)*BS193),2))*AT193)/100),2)+ROUND(((ROUND((ROUND(((AE193-(EU193))*AV193*1),2)*BS193),2)*AT193)/100),2))</f>
        <v>0</v>
      </c>
      <c r="CZ193" s="2">
        <f>(ROUND((((S193+ROUND((ROUND(((EU193)*AV193*1),2)*BS193),2))*AU193)/100),2)+ROUND(((ROUND((ROUND(((AE193-(EU193))*AV193*1),2)*BS193),2)*AU193)/100),2))</f>
        <v>0</v>
      </c>
      <c r="DA193" s="2"/>
      <c r="DB193" s="2"/>
      <c r="DC193" s="2" t="s">
        <v>3</v>
      </c>
      <c r="DD193" s="2" t="s">
        <v>3</v>
      </c>
      <c r="DE193" s="2" t="s">
        <v>3</v>
      </c>
      <c r="DF193" s="2" t="s">
        <v>3</v>
      </c>
      <c r="DG193" s="2" t="s">
        <v>3</v>
      </c>
      <c r="DH193" s="2" t="s">
        <v>3</v>
      </c>
      <c r="DI193" s="2" t="s">
        <v>3</v>
      </c>
      <c r="DJ193" s="2" t="s">
        <v>3</v>
      </c>
      <c r="DK193" s="2" t="s">
        <v>3</v>
      </c>
      <c r="DL193" s="2" t="s">
        <v>3</v>
      </c>
      <c r="DM193" s="2" t="s">
        <v>3</v>
      </c>
      <c r="DN193" s="2">
        <v>0</v>
      </c>
      <c r="DO193" s="2">
        <v>0</v>
      </c>
      <c r="DP193" s="2">
        <v>1</v>
      </c>
      <c r="DQ193" s="2">
        <v>1</v>
      </c>
      <c r="DR193" s="2"/>
      <c r="DS193" s="2"/>
      <c r="DT193" s="2"/>
      <c r="DU193" s="2">
        <v>1003</v>
      </c>
      <c r="DV193" s="2" t="s">
        <v>206</v>
      </c>
      <c r="DW193" s="2" t="s">
        <v>206</v>
      </c>
      <c r="DX193" s="2">
        <v>1</v>
      </c>
      <c r="DY193" s="2"/>
      <c r="DZ193" s="2" t="s">
        <v>3</v>
      </c>
      <c r="EA193" s="2" t="s">
        <v>3</v>
      </c>
      <c r="EB193" s="2" t="s">
        <v>3</v>
      </c>
      <c r="EC193" s="2" t="s">
        <v>3</v>
      </c>
      <c r="ED193" s="2"/>
      <c r="EE193" s="2">
        <v>55393628</v>
      </c>
      <c r="EF193" s="2">
        <v>213</v>
      </c>
      <c r="EG193" s="2" t="s">
        <v>207</v>
      </c>
      <c r="EH193" s="2">
        <v>0</v>
      </c>
      <c r="EI193" s="2" t="s">
        <v>3</v>
      </c>
      <c r="EJ193" s="2">
        <v>1</v>
      </c>
      <c r="EK193" s="2">
        <v>400005</v>
      </c>
      <c r="EL193" s="2" t="s">
        <v>207</v>
      </c>
      <c r="EM193" s="2" t="s">
        <v>208</v>
      </c>
      <c r="EN193" s="2"/>
      <c r="EO193" s="2" t="s">
        <v>3</v>
      </c>
      <c r="EP193" s="2"/>
      <c r="EQ193" s="2">
        <v>16</v>
      </c>
      <c r="ER193" s="2">
        <v>0</v>
      </c>
      <c r="ES193" s="2">
        <v>10.870000000000001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>
        <v>0</v>
      </c>
      <c r="FR193" s="2">
        <v>0</v>
      </c>
      <c r="FS193" s="2">
        <v>0</v>
      </c>
      <c r="FT193" s="2"/>
      <c r="FU193" s="2"/>
      <c r="FV193" s="2"/>
      <c r="FW193" s="2"/>
      <c r="FX193" s="2">
        <v>0</v>
      </c>
      <c r="FY193" s="2">
        <v>0</v>
      </c>
      <c r="FZ193" s="2"/>
      <c r="GA193" s="2" t="s">
        <v>214</v>
      </c>
      <c r="GB193" s="2"/>
      <c r="GC193" s="2"/>
      <c r="GD193" s="2">
        <v>1</v>
      </c>
      <c r="GE193" s="2"/>
      <c r="GF193" s="2">
        <v>1570309968</v>
      </c>
      <c r="GG193" s="2">
        <v>2</v>
      </c>
      <c r="GH193" s="2">
        <v>4</v>
      </c>
      <c r="GI193" s="2">
        <v>-2</v>
      </c>
      <c r="GJ193" s="2">
        <v>0</v>
      </c>
      <c r="GK193" s="2">
        <v>0</v>
      </c>
      <c r="GL193" s="2">
        <f t="shared" si="176"/>
        <v>0</v>
      </c>
      <c r="GM193" s="2">
        <f t="shared" si="177"/>
        <v>111.96</v>
      </c>
      <c r="GN193" s="2">
        <f t="shared" si="178"/>
        <v>0</v>
      </c>
      <c r="GO193" s="2">
        <f t="shared" si="179"/>
        <v>111.96</v>
      </c>
      <c r="GP193" s="2">
        <f t="shared" si="180"/>
        <v>0</v>
      </c>
      <c r="GQ193" s="2"/>
      <c r="GR193" s="2">
        <v>1</v>
      </c>
      <c r="GS193" s="2">
        <v>2</v>
      </c>
      <c r="GT193" s="2">
        <v>0</v>
      </c>
      <c r="GU193" s="2" t="s">
        <v>3</v>
      </c>
      <c r="GV193" s="2">
        <f t="shared" si="181"/>
        <v>0</v>
      </c>
      <c r="GW193" s="2">
        <v>1</v>
      </c>
      <c r="GX193" s="2">
        <f t="shared" si="182"/>
        <v>0</v>
      </c>
      <c r="GY193" s="2"/>
      <c r="GZ193" s="2"/>
      <c r="HA193" s="2">
        <v>0</v>
      </c>
      <c r="HB193" s="2">
        <v>0</v>
      </c>
      <c r="HC193" s="2">
        <f t="shared" si="183"/>
        <v>0</v>
      </c>
      <c r="HD193" s="2"/>
      <c r="HE193" s="2" t="s">
        <v>210</v>
      </c>
      <c r="HF193" s="2" t="s">
        <v>30</v>
      </c>
      <c r="HG193" s="2"/>
      <c r="HH193" s="2"/>
      <c r="HI193" s="2"/>
      <c r="HJ193" s="2"/>
      <c r="HK193" s="2"/>
      <c r="HL193" s="2"/>
      <c r="HM193" s="2" t="s">
        <v>3</v>
      </c>
      <c r="HN193" s="2" t="s">
        <v>3</v>
      </c>
      <c r="HO193" s="2" t="s">
        <v>3</v>
      </c>
      <c r="HP193" s="2" t="s">
        <v>3</v>
      </c>
      <c r="HQ193" s="2" t="s">
        <v>3</v>
      </c>
      <c r="HR193" s="2"/>
      <c r="HS193" s="2">
        <v>0</v>
      </c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>
        <v>0</v>
      </c>
      <c r="IL193" s="2"/>
      <c r="IM193" s="2"/>
      <c r="IN193" s="2"/>
      <c r="IO193" s="2"/>
      <c r="IP193" s="2"/>
      <c r="IQ193" s="2"/>
      <c r="IR193" s="2"/>
      <c r="IS193" s="2"/>
      <c r="IT193" s="2"/>
      <c r="IU193" s="2"/>
    </row>
    <row r="194" spans="1:255" x14ac:dyDescent="0.2">
      <c r="A194" s="3">
        <v>17</v>
      </c>
      <c r="B194" s="3">
        <v>1</v>
      </c>
      <c r="E194" s="3" t="s">
        <v>211</v>
      </c>
      <c r="F194" s="3" t="s">
        <v>212</v>
      </c>
      <c r="G194" s="3" t="s">
        <v>213</v>
      </c>
      <c r="H194" s="3" t="s">
        <v>206</v>
      </c>
      <c r="I194" s="3">
        <f>ROUND(10*1.03,9)</f>
        <v>10.3</v>
      </c>
      <c r="J194" s="3">
        <v>0</v>
      </c>
      <c r="K194" s="3">
        <f>ROUND(10*1.03,9)</f>
        <v>10.3</v>
      </c>
      <c r="O194" s="3">
        <f t="shared" si="159"/>
        <v>847.54</v>
      </c>
      <c r="P194" s="3">
        <f t="shared" si="160"/>
        <v>847.54</v>
      </c>
      <c r="Q194" s="3">
        <f>(ROUND((ROUND(((ET194)*AV194*I194),2)*BB194),2)+ROUND((ROUND(((AE194-(EU194))*AV194*I194),2)*BS194),2))</f>
        <v>0</v>
      </c>
      <c r="R194" s="3">
        <f>(ROUND((ROUND(((EU194)*AV194*I194),2)*BS194),2)+ROUND((ROUND(((AE194-(EU194))*AV194*I194),2)*BS194),2))</f>
        <v>0</v>
      </c>
      <c r="S194" s="3">
        <f t="shared" si="161"/>
        <v>0</v>
      </c>
      <c r="T194" s="3">
        <f t="shared" si="162"/>
        <v>0</v>
      </c>
      <c r="U194" s="3">
        <f t="shared" si="163"/>
        <v>0</v>
      </c>
      <c r="V194" s="3">
        <f t="shared" si="164"/>
        <v>0</v>
      </c>
      <c r="W194" s="3">
        <f t="shared" si="165"/>
        <v>0</v>
      </c>
      <c r="X194" s="3">
        <f>(ROUND((((S194+ROUND((ROUND(((EU194)*AV194*I194),2)*BS194),2))*AT194)/100),2)+ROUND(((ROUND((ROUND(((AE194-(EU194))*AV194*I194),2)*BS194),2)*AT194)/100),2))</f>
        <v>0</v>
      </c>
      <c r="Y194" s="3">
        <f>(ROUND((((S194+ROUND((ROUND(((EU194)*AV194*I194),2)*BS194),2))*AU194)/100),2)+ROUND(((ROUND((ROUND(((AE194-(EU194))*AV194*I194),2)*BS194),2)*AU194)/100),2))</f>
        <v>0</v>
      </c>
      <c r="AA194" s="3">
        <v>55919549</v>
      </c>
      <c r="AB194" s="3">
        <f t="shared" si="166"/>
        <v>10.87</v>
      </c>
      <c r="AC194" s="3">
        <f>ROUND((ES194),6)</f>
        <v>10.87</v>
      </c>
      <c r="AD194" s="3">
        <f>ROUND((((ET194)-(EU194))+AE194),6)</f>
        <v>0</v>
      </c>
      <c r="AE194" s="3">
        <f t="shared" si="184"/>
        <v>0</v>
      </c>
      <c r="AF194" s="3">
        <f t="shared" si="184"/>
        <v>0</v>
      </c>
      <c r="AG194" s="3">
        <f t="shared" si="167"/>
        <v>0</v>
      </c>
      <c r="AH194" s="3">
        <f t="shared" si="185"/>
        <v>0</v>
      </c>
      <c r="AI194" s="3">
        <f t="shared" si="185"/>
        <v>0</v>
      </c>
      <c r="AJ194" s="3">
        <f t="shared" si="168"/>
        <v>0</v>
      </c>
      <c r="AK194" s="3">
        <v>10.870000000000001</v>
      </c>
      <c r="AL194" s="3">
        <v>10.870000000000001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1</v>
      </c>
      <c r="AW194" s="3">
        <v>1</v>
      </c>
      <c r="AZ194" s="3">
        <v>1</v>
      </c>
      <c r="BA194" s="3">
        <v>1</v>
      </c>
      <c r="BB194" s="3">
        <v>1</v>
      </c>
      <c r="BC194" s="3">
        <v>7.57</v>
      </c>
      <c r="BD194" s="3" t="s">
        <v>3</v>
      </c>
      <c r="BE194" s="3" t="s">
        <v>3</v>
      </c>
      <c r="BF194" s="3" t="s">
        <v>3</v>
      </c>
      <c r="BG194" s="3" t="s">
        <v>3</v>
      </c>
      <c r="BH194" s="3">
        <v>3</v>
      </c>
      <c r="BI194" s="3">
        <v>2</v>
      </c>
      <c r="BJ194" s="3" t="s">
        <v>212</v>
      </c>
      <c r="BM194" s="3">
        <v>400005</v>
      </c>
      <c r="BN194" s="3">
        <v>0</v>
      </c>
      <c r="BO194" s="3" t="s">
        <v>3</v>
      </c>
      <c r="BP194" s="3">
        <v>0</v>
      </c>
      <c r="BQ194" s="3">
        <v>213</v>
      </c>
      <c r="BR194" s="3">
        <v>0</v>
      </c>
      <c r="BS194" s="3">
        <v>1</v>
      </c>
      <c r="BT194" s="3">
        <v>1</v>
      </c>
      <c r="BU194" s="3">
        <v>1</v>
      </c>
      <c r="BV194" s="3">
        <v>1</v>
      </c>
      <c r="BW194" s="3">
        <v>1</v>
      </c>
      <c r="BX194" s="3">
        <v>1</v>
      </c>
      <c r="BY194" s="3" t="s">
        <v>3</v>
      </c>
      <c r="BZ194" s="3">
        <v>0</v>
      </c>
      <c r="CA194" s="3">
        <v>0</v>
      </c>
      <c r="CB194" s="3" t="s">
        <v>3</v>
      </c>
      <c r="CE194" s="3">
        <v>1566</v>
      </c>
      <c r="CF194" s="3">
        <v>0</v>
      </c>
      <c r="CG194" s="3">
        <v>0</v>
      </c>
      <c r="CM194" s="3">
        <v>0</v>
      </c>
      <c r="CN194" s="3" t="s">
        <v>3</v>
      </c>
      <c r="CO194" s="3">
        <v>0</v>
      </c>
      <c r="CP194" s="3">
        <f t="shared" si="169"/>
        <v>847.54</v>
      </c>
      <c r="CQ194" s="3">
        <f t="shared" si="170"/>
        <v>82.29</v>
      </c>
      <c r="CR194" s="3">
        <f>(ROUND((ROUND(((ET194)*AV194*1),2)*BB194),2)+ROUND((ROUND(((AE194-(EU194))*AV194*1),2)*BS194),2))</f>
        <v>0</v>
      </c>
      <c r="CS194" s="3">
        <f>(ROUND((ROUND(((EU194)*AV194*1),2)*BS194),2)+ROUND((ROUND(((AE194-(EU194))*AV194*1),2)*BS194),2))</f>
        <v>0</v>
      </c>
      <c r="CT194" s="3">
        <f t="shared" si="171"/>
        <v>0</v>
      </c>
      <c r="CU194" s="3">
        <f t="shared" si="172"/>
        <v>0</v>
      </c>
      <c r="CV194" s="3">
        <f t="shared" si="173"/>
        <v>0</v>
      </c>
      <c r="CW194" s="3">
        <f t="shared" si="174"/>
        <v>0</v>
      </c>
      <c r="CX194" s="3">
        <f t="shared" si="175"/>
        <v>0</v>
      </c>
      <c r="CY194" s="3">
        <f>(ROUND((((S194+ROUND((ROUND(((EU194)*AV194*1),2)*BS194),2))*AT194)/100),2)+ROUND(((ROUND((ROUND(((AE194-(EU194))*AV194*1),2)*BS194),2)*AT194)/100),2))</f>
        <v>0</v>
      </c>
      <c r="CZ194" s="3">
        <f>(ROUND((((S194+ROUND((ROUND(((EU194)*AV194*1),2)*BS194),2))*AU194)/100),2)+ROUND(((ROUND((ROUND(((AE194-(EU194))*AV194*1),2)*BS194),2)*AU194)/100),2))</f>
        <v>0</v>
      </c>
      <c r="DC194" s="3" t="s">
        <v>3</v>
      </c>
      <c r="DD194" s="3" t="s">
        <v>3</v>
      </c>
      <c r="DE194" s="3" t="s">
        <v>3</v>
      </c>
      <c r="DF194" s="3" t="s">
        <v>3</v>
      </c>
      <c r="DG194" s="3" t="s">
        <v>3</v>
      </c>
      <c r="DH194" s="3" t="s">
        <v>3</v>
      </c>
      <c r="DI194" s="3" t="s">
        <v>3</v>
      </c>
      <c r="DJ194" s="3" t="s">
        <v>3</v>
      </c>
      <c r="DK194" s="3" t="s">
        <v>3</v>
      </c>
      <c r="DL194" s="3" t="s">
        <v>3</v>
      </c>
      <c r="DM194" s="3" t="s">
        <v>3</v>
      </c>
      <c r="DN194" s="3">
        <v>0</v>
      </c>
      <c r="DO194" s="3">
        <v>0</v>
      </c>
      <c r="DP194" s="3">
        <v>1</v>
      </c>
      <c r="DQ194" s="3">
        <v>1</v>
      </c>
      <c r="DU194" s="3">
        <v>1003</v>
      </c>
      <c r="DV194" s="3" t="s">
        <v>206</v>
      </c>
      <c r="DW194" s="3" t="s">
        <v>206</v>
      </c>
      <c r="DX194" s="3">
        <v>1</v>
      </c>
      <c r="DZ194" s="3" t="s">
        <v>3</v>
      </c>
      <c r="EA194" s="3" t="s">
        <v>3</v>
      </c>
      <c r="EB194" s="3" t="s">
        <v>3</v>
      </c>
      <c r="EC194" s="3" t="s">
        <v>3</v>
      </c>
      <c r="EE194" s="3">
        <v>55393628</v>
      </c>
      <c r="EF194" s="3">
        <v>213</v>
      </c>
      <c r="EG194" s="3" t="s">
        <v>207</v>
      </c>
      <c r="EH194" s="3">
        <v>0</v>
      </c>
      <c r="EI194" s="3" t="s">
        <v>3</v>
      </c>
      <c r="EJ194" s="3">
        <v>1</v>
      </c>
      <c r="EK194" s="3">
        <v>400005</v>
      </c>
      <c r="EL194" s="3" t="s">
        <v>207</v>
      </c>
      <c r="EM194" s="3" t="s">
        <v>208</v>
      </c>
      <c r="EO194" s="3" t="s">
        <v>3</v>
      </c>
      <c r="EQ194" s="3">
        <v>16</v>
      </c>
      <c r="ER194" s="3">
        <v>0</v>
      </c>
      <c r="ES194" s="3">
        <v>10.870000000000001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EY194" s="3">
        <v>0</v>
      </c>
      <c r="EZ194" s="3">
        <v>5</v>
      </c>
      <c r="FC194" s="3">
        <v>1</v>
      </c>
      <c r="FD194" s="3">
        <v>18</v>
      </c>
      <c r="FF194" s="3">
        <v>98.45</v>
      </c>
      <c r="FQ194" s="3">
        <v>0</v>
      </c>
      <c r="FR194" s="3">
        <v>0</v>
      </c>
      <c r="FS194" s="3">
        <v>0</v>
      </c>
      <c r="FX194" s="3">
        <v>0</v>
      </c>
      <c r="FY194" s="3">
        <v>0</v>
      </c>
      <c r="GA194" s="3" t="s">
        <v>214</v>
      </c>
      <c r="GD194" s="3">
        <v>1</v>
      </c>
      <c r="GF194" s="3">
        <v>1570309968</v>
      </c>
      <c r="GG194" s="3">
        <v>2</v>
      </c>
      <c r="GH194" s="3">
        <v>3</v>
      </c>
      <c r="GI194" s="3">
        <v>5</v>
      </c>
      <c r="GJ194" s="3">
        <v>0</v>
      </c>
      <c r="GK194" s="3">
        <v>0</v>
      </c>
      <c r="GL194" s="3">
        <f t="shared" si="176"/>
        <v>0</v>
      </c>
      <c r="GM194" s="3">
        <f t="shared" si="177"/>
        <v>847.54</v>
      </c>
      <c r="GN194" s="3">
        <f t="shared" si="178"/>
        <v>0</v>
      </c>
      <c r="GO194" s="3">
        <f t="shared" si="179"/>
        <v>847.54</v>
      </c>
      <c r="GP194" s="3">
        <f t="shared" si="180"/>
        <v>0</v>
      </c>
      <c r="GR194" s="3">
        <v>1</v>
      </c>
      <c r="GS194" s="3">
        <v>1</v>
      </c>
      <c r="GT194" s="3">
        <v>0</v>
      </c>
      <c r="GU194" s="3" t="s">
        <v>3</v>
      </c>
      <c r="GV194" s="3">
        <f t="shared" si="181"/>
        <v>0</v>
      </c>
      <c r="GW194" s="3">
        <v>1</v>
      </c>
      <c r="GX194" s="3">
        <f t="shared" si="182"/>
        <v>0</v>
      </c>
      <c r="HA194" s="3">
        <v>0</v>
      </c>
      <c r="HB194" s="3">
        <v>0</v>
      </c>
      <c r="HC194" s="3">
        <f t="shared" si="183"/>
        <v>0</v>
      </c>
      <c r="HE194" s="3" t="s">
        <v>210</v>
      </c>
      <c r="HF194" s="3" t="s">
        <v>30</v>
      </c>
      <c r="HM194" s="3" t="s">
        <v>3</v>
      </c>
      <c r="HN194" s="3" t="s">
        <v>3</v>
      </c>
      <c r="HO194" s="3" t="s">
        <v>3</v>
      </c>
      <c r="HP194" s="3" t="s">
        <v>3</v>
      </c>
      <c r="HQ194" s="3" t="s">
        <v>3</v>
      </c>
      <c r="HS194" s="3">
        <v>0</v>
      </c>
      <c r="IK194" s="3">
        <v>0</v>
      </c>
    </row>
    <row r="195" spans="1:255" x14ac:dyDescent="0.2">
      <c r="A195" s="2">
        <v>17</v>
      </c>
      <c r="B195" s="2">
        <v>1</v>
      </c>
      <c r="C195" s="2">
        <f>ROW(SmtRes!A139)</f>
        <v>139</v>
      </c>
      <c r="D195" s="2">
        <f>ROW(EtalonRes!A157)</f>
        <v>157</v>
      </c>
      <c r="E195" s="2" t="s">
        <v>215</v>
      </c>
      <c r="F195" s="2" t="s">
        <v>216</v>
      </c>
      <c r="G195" s="2" t="s">
        <v>217</v>
      </c>
      <c r="H195" s="2" t="s">
        <v>218</v>
      </c>
      <c r="I195" s="2">
        <f>ROUND((300-200+80)/100,9)</f>
        <v>1.8</v>
      </c>
      <c r="J195" s="2">
        <v>0</v>
      </c>
      <c r="K195" s="2">
        <f>ROUND((300-200+80)/100,9)</f>
        <v>1.8</v>
      </c>
      <c r="L195" s="2"/>
      <c r="M195" s="2"/>
      <c r="N195" s="2"/>
      <c r="O195" s="2">
        <f t="shared" si="159"/>
        <v>2474.15</v>
      </c>
      <c r="P195" s="2">
        <f t="shared" si="160"/>
        <v>1416.24</v>
      </c>
      <c r="Q195" s="2">
        <f>(ROUND((ROUND((((ET195*1.2))*AV195*I195),2)*BB195),2)+ROUND((ROUND(((AE195-((EU195*1.2)))*AV195*I195),2)*BS195),2))</f>
        <v>138.47</v>
      </c>
      <c r="R195" s="2">
        <f>(ROUND((ROUND((((EU195*1.2))*AV195*I195),2)*BS195),2)+ROUND((ROUND(((AE195-((EU195*1.2)))*AV195*I195),2)*BS195),2))</f>
        <v>6.56</v>
      </c>
      <c r="S195" s="2">
        <f t="shared" si="161"/>
        <v>919.44</v>
      </c>
      <c r="T195" s="2">
        <f t="shared" si="162"/>
        <v>0</v>
      </c>
      <c r="U195" s="2">
        <f t="shared" si="163"/>
        <v>74.630160000000004</v>
      </c>
      <c r="V195" s="2">
        <f t="shared" si="164"/>
        <v>0</v>
      </c>
      <c r="W195" s="2">
        <f t="shared" si="165"/>
        <v>0</v>
      </c>
      <c r="X195" s="2">
        <f>(ROUND((((S195+ROUND((ROUND((((EU195*1.2))*AV195*I195),2)*BS195),2))*AT195)/100),2)+ROUND(((ROUND((ROUND(((AE195-((EU195*1.2)))*AV195*I195),2)*BS195),2)*AT195)/100),2))</f>
        <v>898.22</v>
      </c>
      <c r="Y195" s="2">
        <f>(ROUND((((S195+ROUND((ROUND((((EU195*1.2))*AV195*I195),2)*BS195),2))*AU195)/100),2)+ROUND(((ROUND((ROUND(((AE195-((EU195*1.2)))*AV195*I195),2)*BS195),2)*AU195)/100),2))</f>
        <v>472.26</v>
      </c>
      <c r="Z195" s="2"/>
      <c r="AA195" s="2">
        <v>55919547</v>
      </c>
      <c r="AB195" s="2">
        <f t="shared" si="166"/>
        <v>1348.1479999999999</v>
      </c>
      <c r="AC195" s="2">
        <f>ROUND(((ES195*1)),6)</f>
        <v>786.8</v>
      </c>
      <c r="AD195" s="2">
        <f>ROUND(((((ET195*1.2))-((EU195*1.2)))+AE195),6)</f>
        <v>73.475999999999999</v>
      </c>
      <c r="AE195" s="2">
        <f>ROUND(((EU195*1.2)),6)</f>
        <v>3.48</v>
      </c>
      <c r="AF195" s="2">
        <f>ROUND(((EV195*1.2)),6)</f>
        <v>487.87200000000001</v>
      </c>
      <c r="AG195" s="2">
        <f t="shared" si="167"/>
        <v>0</v>
      </c>
      <c r="AH195" s="2">
        <f>((EW195*1.2))</f>
        <v>39.6</v>
      </c>
      <c r="AI195" s="2">
        <f>((EX195*1.2))</f>
        <v>0</v>
      </c>
      <c r="AJ195" s="2">
        <f t="shared" si="168"/>
        <v>0</v>
      </c>
      <c r="AK195" s="2">
        <v>1254.5899999999999</v>
      </c>
      <c r="AL195" s="2">
        <v>786.8</v>
      </c>
      <c r="AM195" s="2">
        <v>61.23</v>
      </c>
      <c r="AN195" s="2">
        <v>2.9</v>
      </c>
      <c r="AO195" s="2">
        <v>406.56</v>
      </c>
      <c r="AP195" s="2">
        <v>0</v>
      </c>
      <c r="AQ195" s="2">
        <v>33</v>
      </c>
      <c r="AR195" s="2">
        <v>0</v>
      </c>
      <c r="AS195" s="2">
        <v>0</v>
      </c>
      <c r="AT195" s="2">
        <v>97</v>
      </c>
      <c r="AU195" s="2">
        <v>51</v>
      </c>
      <c r="AV195" s="2">
        <v>1.0469999999999999</v>
      </c>
      <c r="AW195" s="2">
        <v>1</v>
      </c>
      <c r="AX195" s="2"/>
      <c r="AY195" s="2"/>
      <c r="AZ195" s="2">
        <v>1</v>
      </c>
      <c r="BA195" s="2">
        <v>1</v>
      </c>
      <c r="BB195" s="2">
        <v>1</v>
      </c>
      <c r="BC195" s="2">
        <v>1</v>
      </c>
      <c r="BD195" s="2" t="s">
        <v>3</v>
      </c>
      <c r="BE195" s="2" t="s">
        <v>3</v>
      </c>
      <c r="BF195" s="2" t="s">
        <v>3</v>
      </c>
      <c r="BG195" s="2" t="s">
        <v>3</v>
      </c>
      <c r="BH195" s="2">
        <v>0</v>
      </c>
      <c r="BI195" s="2">
        <v>2</v>
      </c>
      <c r="BJ195" s="2" t="s">
        <v>219</v>
      </c>
      <c r="BK195" s="2"/>
      <c r="BL195" s="2"/>
      <c r="BM195" s="2">
        <v>67</v>
      </c>
      <c r="BN195" s="2">
        <v>0</v>
      </c>
      <c r="BO195" s="2" t="s">
        <v>216</v>
      </c>
      <c r="BP195" s="2">
        <v>1</v>
      </c>
      <c r="BQ195" s="2">
        <v>40</v>
      </c>
      <c r="BR195" s="2">
        <v>0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 t="s">
        <v>3</v>
      </c>
      <c r="BZ195" s="2">
        <v>97</v>
      </c>
      <c r="CA195" s="2">
        <v>51</v>
      </c>
      <c r="CB195" s="2" t="s">
        <v>3</v>
      </c>
      <c r="CC195" s="2"/>
      <c r="CD195" s="2"/>
      <c r="CE195" s="2">
        <v>1566</v>
      </c>
      <c r="CF195" s="2">
        <v>0</v>
      </c>
      <c r="CG195" s="2">
        <v>0</v>
      </c>
      <c r="CH195" s="2"/>
      <c r="CI195" s="2"/>
      <c r="CJ195" s="2"/>
      <c r="CK195" s="2"/>
      <c r="CL195" s="2"/>
      <c r="CM195" s="2">
        <v>0</v>
      </c>
      <c r="CN195" s="2" t="s">
        <v>491</v>
      </c>
      <c r="CO195" s="2">
        <v>0</v>
      </c>
      <c r="CP195" s="2">
        <f t="shared" si="169"/>
        <v>2474.15</v>
      </c>
      <c r="CQ195" s="2">
        <f t="shared" si="170"/>
        <v>786.8</v>
      </c>
      <c r="CR195" s="2">
        <f>(ROUND((ROUND((((ET195*1.2))*AV195*1),2)*BB195),2)+ROUND((ROUND(((AE195-((EU195*1.2)))*AV195*1),2)*BS195),2))</f>
        <v>76.930000000000007</v>
      </c>
      <c r="CS195" s="2">
        <f>(ROUND((ROUND((((EU195*1.2))*AV195*1),2)*BS195),2)+ROUND((ROUND(((AE195-((EU195*1.2)))*AV195*1),2)*BS195),2))</f>
        <v>3.64</v>
      </c>
      <c r="CT195" s="2">
        <f t="shared" si="171"/>
        <v>510.8</v>
      </c>
      <c r="CU195" s="2">
        <f t="shared" si="172"/>
        <v>0</v>
      </c>
      <c r="CV195" s="2">
        <f t="shared" si="173"/>
        <v>41.461199999999998</v>
      </c>
      <c r="CW195" s="2">
        <f t="shared" si="174"/>
        <v>0</v>
      </c>
      <c r="CX195" s="2">
        <f t="shared" si="175"/>
        <v>0</v>
      </c>
      <c r="CY195" s="2">
        <f>(ROUND((((S195+ROUND((ROUND((((EU195*1.2))*AV195*1),2)*BS195),2))*AT195)/100),2)+ROUND(((ROUND((ROUND(((AE195-((EU195*1.2)))*AV195*1),2)*BS195),2)*AT195)/100),2))</f>
        <v>895.39</v>
      </c>
      <c r="CZ195" s="2">
        <f>(ROUND((((S195+ROUND((ROUND((((EU195*1.2))*AV195*1),2)*BS195),2))*AU195)/100),2)+ROUND(((ROUND((ROUND(((AE195-((EU195*1.2)))*AV195*1),2)*BS195),2)*AU195)/100),2))</f>
        <v>470.77</v>
      </c>
      <c r="DA195" s="2"/>
      <c r="DB195" s="2">
        <v>53</v>
      </c>
      <c r="DC195" s="2" t="s">
        <v>3</v>
      </c>
      <c r="DD195" s="2" t="s">
        <v>56</v>
      </c>
      <c r="DE195" s="2" t="s">
        <v>57</v>
      </c>
      <c r="DF195" s="2" t="s">
        <v>57</v>
      </c>
      <c r="DG195" s="2" t="s">
        <v>57</v>
      </c>
      <c r="DH195" s="2" t="s">
        <v>3</v>
      </c>
      <c r="DI195" s="2" t="s">
        <v>57</v>
      </c>
      <c r="DJ195" s="2" t="s">
        <v>57</v>
      </c>
      <c r="DK195" s="2" t="s">
        <v>3</v>
      </c>
      <c r="DL195" s="2" t="s">
        <v>3</v>
      </c>
      <c r="DM195" s="2" t="s">
        <v>3</v>
      </c>
      <c r="DN195" s="2">
        <v>0</v>
      </c>
      <c r="DO195" s="2">
        <v>0</v>
      </c>
      <c r="DP195" s="2">
        <v>1</v>
      </c>
      <c r="DQ195" s="2">
        <v>1</v>
      </c>
      <c r="DR195" s="2"/>
      <c r="DS195" s="2"/>
      <c r="DT195" s="2"/>
      <c r="DU195" s="2">
        <v>1013</v>
      </c>
      <c r="DV195" s="2" t="s">
        <v>218</v>
      </c>
      <c r="DW195" s="2" t="s">
        <v>218</v>
      </c>
      <c r="DX195" s="2">
        <v>1</v>
      </c>
      <c r="DY195" s="2"/>
      <c r="DZ195" s="2" t="s">
        <v>3</v>
      </c>
      <c r="EA195" s="2" t="s">
        <v>3</v>
      </c>
      <c r="EB195" s="2" t="s">
        <v>3</v>
      </c>
      <c r="EC195" s="2" t="s">
        <v>3</v>
      </c>
      <c r="ED195" s="2"/>
      <c r="EE195" s="2">
        <v>55393699</v>
      </c>
      <c r="EF195" s="2">
        <v>40</v>
      </c>
      <c r="EG195" s="2" t="s">
        <v>26</v>
      </c>
      <c r="EH195" s="2">
        <v>0</v>
      </c>
      <c r="EI195" s="2" t="s">
        <v>3</v>
      </c>
      <c r="EJ195" s="2">
        <v>2</v>
      </c>
      <c r="EK195" s="2">
        <v>67</v>
      </c>
      <c r="EL195" s="2" t="s">
        <v>39</v>
      </c>
      <c r="EM195" s="2" t="s">
        <v>40</v>
      </c>
      <c r="EN195" s="2"/>
      <c r="EO195" s="2" t="s">
        <v>61</v>
      </c>
      <c r="EP195" s="2"/>
      <c r="EQ195" s="2">
        <v>0</v>
      </c>
      <c r="ER195" s="2">
        <v>1254.5899999999999</v>
      </c>
      <c r="ES195" s="2">
        <v>786.8</v>
      </c>
      <c r="ET195" s="2">
        <v>61.23</v>
      </c>
      <c r="EU195" s="2">
        <v>2.9</v>
      </c>
      <c r="EV195" s="2">
        <v>406.56</v>
      </c>
      <c r="EW195" s="2">
        <v>33</v>
      </c>
      <c r="EX195" s="2">
        <v>0</v>
      </c>
      <c r="EY195" s="2">
        <v>0</v>
      </c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>
        <v>0</v>
      </c>
      <c r="FR195" s="2">
        <v>0</v>
      </c>
      <c r="FS195" s="2">
        <v>0</v>
      </c>
      <c r="FT195" s="2"/>
      <c r="FU195" s="2"/>
      <c r="FV195" s="2"/>
      <c r="FW195" s="2"/>
      <c r="FX195" s="2">
        <v>97</v>
      </c>
      <c r="FY195" s="2">
        <v>51</v>
      </c>
      <c r="FZ195" s="2"/>
      <c r="GA195" s="2" t="s">
        <v>3</v>
      </c>
      <c r="GB195" s="2"/>
      <c r="GC195" s="2"/>
      <c r="GD195" s="2">
        <v>1</v>
      </c>
      <c r="GE195" s="2"/>
      <c r="GF195" s="2">
        <v>424158067</v>
      </c>
      <c r="GG195" s="2">
        <v>2</v>
      </c>
      <c r="GH195" s="2">
        <v>1</v>
      </c>
      <c r="GI195" s="2">
        <v>2</v>
      </c>
      <c r="GJ195" s="2">
        <v>0</v>
      </c>
      <c r="GK195" s="2">
        <v>0</v>
      </c>
      <c r="GL195" s="2">
        <f t="shared" si="176"/>
        <v>0</v>
      </c>
      <c r="GM195" s="2">
        <f t="shared" si="177"/>
        <v>3844.63</v>
      </c>
      <c r="GN195" s="2">
        <f t="shared" si="178"/>
        <v>0</v>
      </c>
      <c r="GO195" s="2">
        <f t="shared" si="179"/>
        <v>3844.63</v>
      </c>
      <c r="GP195" s="2">
        <f t="shared" si="180"/>
        <v>0</v>
      </c>
      <c r="GQ195" s="2"/>
      <c r="GR195" s="2">
        <v>0</v>
      </c>
      <c r="GS195" s="2">
        <v>3</v>
      </c>
      <c r="GT195" s="2">
        <v>0</v>
      </c>
      <c r="GU195" s="2" t="s">
        <v>3</v>
      </c>
      <c r="GV195" s="2">
        <f t="shared" si="181"/>
        <v>0</v>
      </c>
      <c r="GW195" s="2">
        <v>1</v>
      </c>
      <c r="GX195" s="2">
        <f t="shared" si="182"/>
        <v>0</v>
      </c>
      <c r="GY195" s="2"/>
      <c r="GZ195" s="2"/>
      <c r="HA195" s="2">
        <v>0</v>
      </c>
      <c r="HB195" s="2">
        <v>0</v>
      </c>
      <c r="HC195" s="2">
        <f t="shared" si="183"/>
        <v>0</v>
      </c>
      <c r="HD195" s="2"/>
      <c r="HE195" s="2" t="s">
        <v>3</v>
      </c>
      <c r="HF195" s="2" t="s">
        <v>3</v>
      </c>
      <c r="HG195" s="2"/>
      <c r="HH195" s="2"/>
      <c r="HI195" s="2"/>
      <c r="HJ195" s="2"/>
      <c r="HK195" s="2"/>
      <c r="HL195" s="2"/>
      <c r="HM195" s="2" t="s">
        <v>3</v>
      </c>
      <c r="HN195" s="2" t="s">
        <v>3</v>
      </c>
      <c r="HO195" s="2" t="s">
        <v>3</v>
      </c>
      <c r="HP195" s="2" t="s">
        <v>3</v>
      </c>
      <c r="HQ195" s="2" t="s">
        <v>3</v>
      </c>
      <c r="HR195" s="2"/>
      <c r="HS195" s="2">
        <v>0</v>
      </c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>
        <v>0</v>
      </c>
      <c r="IL195" s="2"/>
      <c r="IM195" s="2"/>
      <c r="IN195" s="2"/>
      <c r="IO195" s="2"/>
      <c r="IP195" s="2"/>
      <c r="IQ195" s="2"/>
      <c r="IR195" s="2"/>
      <c r="IS195" s="2"/>
      <c r="IT195" s="2"/>
      <c r="IU195" s="2"/>
    </row>
    <row r="196" spans="1:255" x14ac:dyDescent="0.2">
      <c r="A196" s="3">
        <v>17</v>
      </c>
      <c r="B196" s="3">
        <v>1</v>
      </c>
      <c r="C196" s="3">
        <f>ROW(SmtRes!A148)</f>
        <v>148</v>
      </c>
      <c r="D196" s="3">
        <f>ROW(EtalonRes!A168)</f>
        <v>168</v>
      </c>
      <c r="E196" s="3" t="s">
        <v>215</v>
      </c>
      <c r="F196" s="3" t="s">
        <v>216</v>
      </c>
      <c r="G196" s="3" t="s">
        <v>217</v>
      </c>
      <c r="H196" s="3" t="s">
        <v>218</v>
      </c>
      <c r="I196" s="3">
        <f>ROUND((300-200+80)/100,9)</f>
        <v>1.8</v>
      </c>
      <c r="J196" s="3">
        <v>0</v>
      </c>
      <c r="K196" s="3">
        <f>ROUND((300-200+80)/100,9)</f>
        <v>1.8</v>
      </c>
      <c r="O196" s="3">
        <f t="shared" si="159"/>
        <v>64102.18</v>
      </c>
      <c r="P196" s="3">
        <f t="shared" si="160"/>
        <v>10310.23</v>
      </c>
      <c r="Q196" s="3">
        <f>(ROUND((ROUND((((ET196*1.2))*AV196*I196),2)*BB196),2)+ROUND((ROUND(((AE196-((EU196*1.2)))*AV196*I196),2)*BS196),2))</f>
        <v>1981.51</v>
      </c>
      <c r="R196" s="3">
        <f>(ROUND((ROUND((((EU196*1.2))*AV196*I196),2)*BS196),2)+ROUND((ROUND(((AE196-((EU196*1.2)))*AV196*I196),2)*BS196),2))</f>
        <v>369.66</v>
      </c>
      <c r="S196" s="3">
        <f t="shared" si="161"/>
        <v>51810.44</v>
      </c>
      <c r="T196" s="3">
        <f t="shared" si="162"/>
        <v>0</v>
      </c>
      <c r="U196" s="3">
        <f t="shared" si="163"/>
        <v>74.630160000000004</v>
      </c>
      <c r="V196" s="3">
        <f t="shared" si="164"/>
        <v>0</v>
      </c>
      <c r="W196" s="3">
        <f t="shared" si="165"/>
        <v>0</v>
      </c>
      <c r="X196" s="3">
        <f>(ROUND((((S196+ROUND((ROUND((((EU196*1.2))*AV196*I196),2)*BS196),2))*AT196)/100),2)+ROUND(((ROUND((ROUND(((AE196-((EU196*1.2)))*AV196*I196),2)*BS196),2)*AT196)/100),2))</f>
        <v>50614.7</v>
      </c>
      <c r="Y196" s="3">
        <f>(ROUND((((S196+ROUND((ROUND((((EU196*1.2))*AV196*I196),2)*BS196),2))*AU196)/100),2)+ROUND(((ROUND((ROUND(((AE196-((EU196*1.2)))*AV196*I196),2)*BS196),2)*AU196)/100),2))</f>
        <v>26611.85</v>
      </c>
      <c r="AA196" s="3">
        <v>55919549</v>
      </c>
      <c r="AB196" s="3">
        <f t="shared" si="166"/>
        <v>1348.1479999999999</v>
      </c>
      <c r="AC196" s="3">
        <f>ROUND(((ES196*1)),6)</f>
        <v>786.8</v>
      </c>
      <c r="AD196" s="3">
        <f>ROUND(((((ET196*1.2))-((EU196*1.2)))+AE196),6)</f>
        <v>73.475999999999999</v>
      </c>
      <c r="AE196" s="3">
        <f>ROUND(((EU196*1.2)),6)</f>
        <v>3.48</v>
      </c>
      <c r="AF196" s="3">
        <f>ROUND(((EV196*1.2)),6)</f>
        <v>487.87200000000001</v>
      </c>
      <c r="AG196" s="3">
        <f t="shared" si="167"/>
        <v>0</v>
      </c>
      <c r="AH196" s="3">
        <f>((EW196*1.2))</f>
        <v>39.6</v>
      </c>
      <c r="AI196" s="3">
        <f>((EX196*1.2))</f>
        <v>0</v>
      </c>
      <c r="AJ196" s="3">
        <f t="shared" si="168"/>
        <v>0</v>
      </c>
      <c r="AK196" s="3">
        <v>1254.5899999999999</v>
      </c>
      <c r="AL196" s="3">
        <v>786.8</v>
      </c>
      <c r="AM196" s="3">
        <v>61.23</v>
      </c>
      <c r="AN196" s="3">
        <v>2.9</v>
      </c>
      <c r="AO196" s="3">
        <v>406.56</v>
      </c>
      <c r="AP196" s="3">
        <v>0</v>
      </c>
      <c r="AQ196" s="3">
        <v>33</v>
      </c>
      <c r="AR196" s="3">
        <v>0</v>
      </c>
      <c r="AS196" s="3">
        <v>0</v>
      </c>
      <c r="AT196" s="3">
        <v>97</v>
      </c>
      <c r="AU196" s="3">
        <v>51</v>
      </c>
      <c r="AV196" s="3">
        <v>1.0469999999999999</v>
      </c>
      <c r="AW196" s="3">
        <v>1</v>
      </c>
      <c r="AZ196" s="3">
        <v>1</v>
      </c>
      <c r="BA196" s="3">
        <v>56.35</v>
      </c>
      <c r="BB196" s="3">
        <v>14.31</v>
      </c>
      <c r="BC196" s="3">
        <v>7.28</v>
      </c>
      <c r="BD196" s="3" t="s">
        <v>3</v>
      </c>
      <c r="BE196" s="3" t="s">
        <v>3</v>
      </c>
      <c r="BF196" s="3" t="s">
        <v>3</v>
      </c>
      <c r="BG196" s="3" t="s">
        <v>3</v>
      </c>
      <c r="BH196" s="3">
        <v>0</v>
      </c>
      <c r="BI196" s="3">
        <v>2</v>
      </c>
      <c r="BJ196" s="3" t="s">
        <v>219</v>
      </c>
      <c r="BM196" s="3">
        <v>67</v>
      </c>
      <c r="BN196" s="3">
        <v>0</v>
      </c>
      <c r="BO196" s="3" t="s">
        <v>216</v>
      </c>
      <c r="BP196" s="3">
        <v>1</v>
      </c>
      <c r="BQ196" s="3">
        <v>40</v>
      </c>
      <c r="BR196" s="3">
        <v>0</v>
      </c>
      <c r="BS196" s="3">
        <v>56.35</v>
      </c>
      <c r="BT196" s="3">
        <v>1</v>
      </c>
      <c r="BU196" s="3">
        <v>1</v>
      </c>
      <c r="BV196" s="3">
        <v>1</v>
      </c>
      <c r="BW196" s="3">
        <v>1</v>
      </c>
      <c r="BX196" s="3">
        <v>1</v>
      </c>
      <c r="BY196" s="3" t="s">
        <v>3</v>
      </c>
      <c r="BZ196" s="3">
        <v>97</v>
      </c>
      <c r="CA196" s="3">
        <v>51</v>
      </c>
      <c r="CB196" s="3" t="s">
        <v>3</v>
      </c>
      <c r="CE196" s="3">
        <v>1566</v>
      </c>
      <c r="CF196" s="3">
        <v>0</v>
      </c>
      <c r="CG196" s="3">
        <v>0</v>
      </c>
      <c r="CM196" s="3">
        <v>0</v>
      </c>
      <c r="CN196" s="3" t="s">
        <v>491</v>
      </c>
      <c r="CO196" s="3">
        <v>0</v>
      </c>
      <c r="CP196" s="3">
        <f t="shared" si="169"/>
        <v>64102.18</v>
      </c>
      <c r="CQ196" s="3">
        <f t="shared" si="170"/>
        <v>5727.9</v>
      </c>
      <c r="CR196" s="3">
        <f>(ROUND((ROUND((((ET196*1.2))*AV196*1),2)*BB196),2)+ROUND((ROUND(((AE196-((EU196*1.2)))*AV196*1),2)*BS196),2))</f>
        <v>1100.8699999999999</v>
      </c>
      <c r="CS196" s="3">
        <f>(ROUND((ROUND((((EU196*1.2))*AV196*1),2)*BS196),2)+ROUND((ROUND(((AE196-((EU196*1.2)))*AV196*1),2)*BS196),2))</f>
        <v>205.11</v>
      </c>
      <c r="CT196" s="3">
        <f t="shared" si="171"/>
        <v>28783.58</v>
      </c>
      <c r="CU196" s="3">
        <f t="shared" si="172"/>
        <v>0</v>
      </c>
      <c r="CV196" s="3">
        <f t="shared" si="173"/>
        <v>41.461199999999998</v>
      </c>
      <c r="CW196" s="3">
        <f t="shared" si="174"/>
        <v>0</v>
      </c>
      <c r="CX196" s="3">
        <f t="shared" si="175"/>
        <v>0</v>
      </c>
      <c r="CY196" s="3">
        <f>(ROUND((((S196+ROUND((ROUND((((EU196*1.2))*AV196*1),2)*BS196),2))*AT196)/100),2)+ROUND(((ROUND((ROUND(((AE196-((EU196*1.2)))*AV196*1),2)*BS196),2)*AT196)/100),2))</f>
        <v>50455.08</v>
      </c>
      <c r="CZ196" s="3">
        <f>(ROUND((((S196+ROUND((ROUND((((EU196*1.2))*AV196*1),2)*BS196),2))*AU196)/100),2)+ROUND(((ROUND((ROUND(((AE196-((EU196*1.2)))*AV196*1),2)*BS196),2)*AU196)/100),2))</f>
        <v>26527.93</v>
      </c>
      <c r="DB196" s="3">
        <v>54</v>
      </c>
      <c r="DC196" s="3" t="s">
        <v>3</v>
      </c>
      <c r="DD196" s="3" t="s">
        <v>56</v>
      </c>
      <c r="DE196" s="3" t="s">
        <v>57</v>
      </c>
      <c r="DF196" s="3" t="s">
        <v>57</v>
      </c>
      <c r="DG196" s="3" t="s">
        <v>57</v>
      </c>
      <c r="DH196" s="3" t="s">
        <v>3</v>
      </c>
      <c r="DI196" s="3" t="s">
        <v>57</v>
      </c>
      <c r="DJ196" s="3" t="s">
        <v>57</v>
      </c>
      <c r="DK196" s="3" t="s">
        <v>3</v>
      </c>
      <c r="DL196" s="3" t="s">
        <v>3</v>
      </c>
      <c r="DM196" s="3" t="s">
        <v>3</v>
      </c>
      <c r="DN196" s="3">
        <v>0</v>
      </c>
      <c r="DO196" s="3">
        <v>0</v>
      </c>
      <c r="DP196" s="3">
        <v>1</v>
      </c>
      <c r="DQ196" s="3">
        <v>1</v>
      </c>
      <c r="DU196" s="3">
        <v>1013</v>
      </c>
      <c r="DV196" s="3" t="s">
        <v>218</v>
      </c>
      <c r="DW196" s="3" t="s">
        <v>218</v>
      </c>
      <c r="DX196" s="3">
        <v>1</v>
      </c>
      <c r="DZ196" s="3" t="s">
        <v>3</v>
      </c>
      <c r="EA196" s="3" t="s">
        <v>3</v>
      </c>
      <c r="EB196" s="3" t="s">
        <v>3</v>
      </c>
      <c r="EC196" s="3" t="s">
        <v>3</v>
      </c>
      <c r="EE196" s="3">
        <v>55393699</v>
      </c>
      <c r="EF196" s="3">
        <v>40</v>
      </c>
      <c r="EG196" s="3" t="s">
        <v>26</v>
      </c>
      <c r="EH196" s="3">
        <v>0</v>
      </c>
      <c r="EI196" s="3" t="s">
        <v>3</v>
      </c>
      <c r="EJ196" s="3">
        <v>2</v>
      </c>
      <c r="EK196" s="3">
        <v>67</v>
      </c>
      <c r="EL196" s="3" t="s">
        <v>39</v>
      </c>
      <c r="EM196" s="3" t="s">
        <v>40</v>
      </c>
      <c r="EO196" s="3" t="s">
        <v>61</v>
      </c>
      <c r="EQ196" s="3">
        <v>0</v>
      </c>
      <c r="ER196" s="3">
        <v>1254.5899999999999</v>
      </c>
      <c r="ES196" s="3">
        <v>786.8</v>
      </c>
      <c r="ET196" s="3">
        <v>61.23</v>
      </c>
      <c r="EU196" s="3">
        <v>2.9</v>
      </c>
      <c r="EV196" s="3">
        <v>406.56</v>
      </c>
      <c r="EW196" s="3">
        <v>33</v>
      </c>
      <c r="EX196" s="3">
        <v>0</v>
      </c>
      <c r="EY196" s="3">
        <v>0</v>
      </c>
      <c r="FQ196" s="3">
        <v>0</v>
      </c>
      <c r="FR196" s="3">
        <v>0</v>
      </c>
      <c r="FS196" s="3">
        <v>0</v>
      </c>
      <c r="FX196" s="3">
        <v>97</v>
      </c>
      <c r="FY196" s="3">
        <v>51</v>
      </c>
      <c r="GA196" s="3" t="s">
        <v>3</v>
      </c>
      <c r="GD196" s="3">
        <v>1</v>
      </c>
      <c r="GF196" s="3">
        <v>424158067</v>
      </c>
      <c r="GG196" s="3">
        <v>2</v>
      </c>
      <c r="GH196" s="3">
        <v>1</v>
      </c>
      <c r="GI196" s="3">
        <v>2</v>
      </c>
      <c r="GJ196" s="3">
        <v>0</v>
      </c>
      <c r="GK196" s="3">
        <v>0</v>
      </c>
      <c r="GL196" s="3">
        <f t="shared" si="176"/>
        <v>0</v>
      </c>
      <c r="GM196" s="3">
        <f t="shared" si="177"/>
        <v>141328.73000000001</v>
      </c>
      <c r="GN196" s="3">
        <f t="shared" si="178"/>
        <v>0</v>
      </c>
      <c r="GO196" s="3">
        <f t="shared" si="179"/>
        <v>141328.73000000001</v>
      </c>
      <c r="GP196" s="3">
        <f t="shared" si="180"/>
        <v>0</v>
      </c>
      <c r="GR196" s="3">
        <v>0</v>
      </c>
      <c r="GS196" s="3">
        <v>3</v>
      </c>
      <c r="GT196" s="3">
        <v>0</v>
      </c>
      <c r="GU196" s="3" t="s">
        <v>3</v>
      </c>
      <c r="GV196" s="3">
        <f t="shared" si="181"/>
        <v>0</v>
      </c>
      <c r="GW196" s="3">
        <v>1</v>
      </c>
      <c r="GX196" s="3">
        <f t="shared" si="182"/>
        <v>0</v>
      </c>
      <c r="HA196" s="3">
        <v>0</v>
      </c>
      <c r="HB196" s="3">
        <v>0</v>
      </c>
      <c r="HC196" s="3">
        <f t="shared" si="183"/>
        <v>0</v>
      </c>
      <c r="HE196" s="3" t="s">
        <v>3</v>
      </c>
      <c r="HF196" s="3" t="s">
        <v>3</v>
      </c>
      <c r="HM196" s="3" t="s">
        <v>3</v>
      </c>
      <c r="HN196" s="3" t="s">
        <v>3</v>
      </c>
      <c r="HO196" s="3" t="s">
        <v>3</v>
      </c>
      <c r="HP196" s="3" t="s">
        <v>3</v>
      </c>
      <c r="HQ196" s="3" t="s">
        <v>3</v>
      </c>
      <c r="HS196" s="3">
        <v>0</v>
      </c>
      <c r="IK196" s="3">
        <v>0</v>
      </c>
    </row>
    <row r="197" spans="1:255" x14ac:dyDescent="0.2">
      <c r="A197" s="2">
        <v>18</v>
      </c>
      <c r="B197" s="2">
        <v>1</v>
      </c>
      <c r="C197" s="2">
        <v>138</v>
      </c>
      <c r="D197" s="2"/>
      <c r="E197" s="2" t="s">
        <v>220</v>
      </c>
      <c r="F197" s="2" t="s">
        <v>221</v>
      </c>
      <c r="G197" s="2" t="s">
        <v>222</v>
      </c>
      <c r="H197" s="2" t="s">
        <v>54</v>
      </c>
      <c r="I197" s="2">
        <f>I195*J197</f>
        <v>3.9599999999999995</v>
      </c>
      <c r="J197" s="2">
        <v>2.1999999999999997</v>
      </c>
      <c r="K197" s="2">
        <v>2.2000000000000002</v>
      </c>
      <c r="L197" s="2"/>
      <c r="M197" s="2"/>
      <c r="N197" s="2"/>
      <c r="O197" s="2">
        <f t="shared" si="159"/>
        <v>184.65</v>
      </c>
      <c r="P197" s="2">
        <f t="shared" si="160"/>
        <v>184.65</v>
      </c>
      <c r="Q197" s="2">
        <f t="shared" ref="Q197:Q202" si="186">(ROUND((ROUND(((ET197)*AV197*I197),2)*BB197),2)+ROUND((ROUND(((AE197-(EU197))*AV197*I197),2)*BS197),2))</f>
        <v>0</v>
      </c>
      <c r="R197" s="2">
        <f t="shared" ref="R197:R202" si="187">(ROUND((ROUND(((EU197)*AV197*I197),2)*BS197),2)+ROUND((ROUND(((AE197-(EU197))*AV197*I197),2)*BS197),2))</f>
        <v>0</v>
      </c>
      <c r="S197" s="2">
        <f t="shared" si="161"/>
        <v>0</v>
      </c>
      <c r="T197" s="2">
        <f t="shared" si="162"/>
        <v>0</v>
      </c>
      <c r="U197" s="2">
        <f t="shared" si="163"/>
        <v>0</v>
      </c>
      <c r="V197" s="2">
        <f t="shared" si="164"/>
        <v>0</v>
      </c>
      <c r="W197" s="2">
        <f t="shared" si="165"/>
        <v>0</v>
      </c>
      <c r="X197" s="2">
        <f t="shared" ref="X197:X202" si="188">(ROUND((((S197+ROUND((ROUND(((EU197)*AV197*I197),2)*BS197),2))*AT197)/100),2)+ROUND(((ROUND((ROUND(((AE197-(EU197))*AV197*I197),2)*BS197),2)*AT197)/100),2))</f>
        <v>0</v>
      </c>
      <c r="Y197" s="2">
        <f t="shared" ref="Y197:Y202" si="189">(ROUND((((S197+ROUND((ROUND(((EU197)*AV197*I197),2)*BS197),2))*AU197)/100),2)+ROUND(((ROUND((ROUND(((AE197-(EU197))*AV197*I197),2)*BS197),2)*AU197)/100),2))</f>
        <v>0</v>
      </c>
      <c r="Z197" s="2"/>
      <c r="AA197" s="2">
        <v>55919547</v>
      </c>
      <c r="AB197" s="2">
        <f t="shared" si="166"/>
        <v>46.63</v>
      </c>
      <c r="AC197" s="2">
        <f t="shared" ref="AC197:AC202" si="190">ROUND((ES197),6)</f>
        <v>46.63</v>
      </c>
      <c r="AD197" s="2">
        <f t="shared" ref="AD197:AD202" si="191">ROUND((((ET197)-(EU197))+AE197),6)</f>
        <v>0</v>
      </c>
      <c r="AE197" s="2">
        <f t="shared" ref="AE197:AF202" si="192">ROUND((EU197),6)</f>
        <v>0</v>
      </c>
      <c r="AF197" s="2">
        <f t="shared" si="192"/>
        <v>0</v>
      </c>
      <c r="AG197" s="2">
        <f t="shared" si="167"/>
        <v>0</v>
      </c>
      <c r="AH197" s="2">
        <f t="shared" ref="AH197:AI202" si="193">(EW197)</f>
        <v>0</v>
      </c>
      <c r="AI197" s="2">
        <f t="shared" si="193"/>
        <v>0</v>
      </c>
      <c r="AJ197" s="2">
        <f t="shared" si="168"/>
        <v>0</v>
      </c>
      <c r="AK197" s="2">
        <v>46.63</v>
      </c>
      <c r="AL197" s="2">
        <v>46.63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97</v>
      </c>
      <c r="AU197" s="2">
        <v>51</v>
      </c>
      <c r="AV197" s="2">
        <v>1</v>
      </c>
      <c r="AW197" s="2">
        <v>1</v>
      </c>
      <c r="AX197" s="2"/>
      <c r="AY197" s="2"/>
      <c r="AZ197" s="2">
        <v>1</v>
      </c>
      <c r="BA197" s="2">
        <v>1</v>
      </c>
      <c r="BB197" s="2">
        <v>1</v>
      </c>
      <c r="BC197" s="2">
        <v>1</v>
      </c>
      <c r="BD197" s="2" t="s">
        <v>3</v>
      </c>
      <c r="BE197" s="2" t="s">
        <v>3</v>
      </c>
      <c r="BF197" s="2" t="s">
        <v>3</v>
      </c>
      <c r="BG197" s="2" t="s">
        <v>3</v>
      </c>
      <c r="BH197" s="2">
        <v>3</v>
      </c>
      <c r="BI197" s="2">
        <v>2</v>
      </c>
      <c r="BJ197" s="2" t="s">
        <v>223</v>
      </c>
      <c r="BK197" s="2"/>
      <c r="BL197" s="2"/>
      <c r="BM197" s="2">
        <v>67</v>
      </c>
      <c r="BN197" s="2">
        <v>0</v>
      </c>
      <c r="BO197" s="2" t="s">
        <v>3</v>
      </c>
      <c r="BP197" s="2">
        <v>0</v>
      </c>
      <c r="BQ197" s="2">
        <v>40</v>
      </c>
      <c r="BR197" s="2">
        <v>0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 t="s">
        <v>3</v>
      </c>
      <c r="BZ197" s="2">
        <v>97</v>
      </c>
      <c r="CA197" s="2">
        <v>51</v>
      </c>
      <c r="CB197" s="2" t="s">
        <v>3</v>
      </c>
      <c r="CC197" s="2"/>
      <c r="CD197" s="2"/>
      <c r="CE197" s="2">
        <v>1566</v>
      </c>
      <c r="CF197" s="2">
        <v>0</v>
      </c>
      <c r="CG197" s="2">
        <v>0</v>
      </c>
      <c r="CH197" s="2"/>
      <c r="CI197" s="2"/>
      <c r="CJ197" s="2"/>
      <c r="CK197" s="2"/>
      <c r="CL197" s="2"/>
      <c r="CM197" s="2">
        <v>0</v>
      </c>
      <c r="CN197" s="2" t="s">
        <v>492</v>
      </c>
      <c r="CO197" s="2">
        <v>0</v>
      </c>
      <c r="CP197" s="2">
        <f t="shared" si="169"/>
        <v>184.65</v>
      </c>
      <c r="CQ197" s="2">
        <f t="shared" si="170"/>
        <v>46.63</v>
      </c>
      <c r="CR197" s="2">
        <f t="shared" ref="CR197:CR202" si="194">(ROUND((ROUND(((ET197)*AV197*1),2)*BB197),2)+ROUND((ROUND(((AE197-(EU197))*AV197*1),2)*BS197),2))</f>
        <v>0</v>
      </c>
      <c r="CS197" s="2">
        <f t="shared" ref="CS197:CS202" si="195">(ROUND((ROUND(((EU197)*AV197*1),2)*BS197),2)+ROUND((ROUND(((AE197-(EU197))*AV197*1),2)*BS197),2))</f>
        <v>0</v>
      </c>
      <c r="CT197" s="2">
        <f t="shared" si="171"/>
        <v>0</v>
      </c>
      <c r="CU197" s="2">
        <f t="shared" si="172"/>
        <v>0</v>
      </c>
      <c r="CV197" s="2">
        <f t="shared" si="173"/>
        <v>0</v>
      </c>
      <c r="CW197" s="2">
        <f t="shared" si="174"/>
        <v>0</v>
      </c>
      <c r="CX197" s="2">
        <f t="shared" si="175"/>
        <v>0</v>
      </c>
      <c r="CY197" s="2">
        <f t="shared" ref="CY197:CY202" si="196">(ROUND((((S197+ROUND((ROUND(((EU197)*AV197*1),2)*BS197),2))*AT197)/100),2)+ROUND(((ROUND((ROUND(((AE197-(EU197))*AV197*1),2)*BS197),2)*AT197)/100),2))</f>
        <v>0</v>
      </c>
      <c r="CZ197" s="2">
        <f t="shared" ref="CZ197:CZ202" si="197">(ROUND((((S197+ROUND((ROUND(((EU197)*AV197*1),2)*BS197),2))*AU197)/100),2)+ROUND(((ROUND((ROUND(((AE197-(EU197))*AV197*1),2)*BS197),2)*AU197)/100),2))</f>
        <v>0</v>
      </c>
      <c r="DA197" s="2"/>
      <c r="DB197" s="2"/>
      <c r="DC197" s="2" t="s">
        <v>3</v>
      </c>
      <c r="DD197" s="2" t="s">
        <v>3</v>
      </c>
      <c r="DE197" s="2" t="s">
        <v>3</v>
      </c>
      <c r="DF197" s="2" t="s">
        <v>3</v>
      </c>
      <c r="DG197" s="2" t="s">
        <v>3</v>
      </c>
      <c r="DH197" s="2" t="s">
        <v>3</v>
      </c>
      <c r="DI197" s="2" t="s">
        <v>3</v>
      </c>
      <c r="DJ197" s="2" t="s">
        <v>3</v>
      </c>
      <c r="DK197" s="2" t="s">
        <v>3</v>
      </c>
      <c r="DL197" s="2" t="s">
        <v>3</v>
      </c>
      <c r="DM197" s="2" t="s">
        <v>3</v>
      </c>
      <c r="DN197" s="2">
        <v>0</v>
      </c>
      <c r="DO197" s="2">
        <v>0</v>
      </c>
      <c r="DP197" s="2">
        <v>1</v>
      </c>
      <c r="DQ197" s="2">
        <v>1</v>
      </c>
      <c r="DR197" s="2"/>
      <c r="DS197" s="2"/>
      <c r="DT197" s="2"/>
      <c r="DU197" s="2">
        <v>1010</v>
      </c>
      <c r="DV197" s="2" t="s">
        <v>54</v>
      </c>
      <c r="DW197" s="2" t="s">
        <v>54</v>
      </c>
      <c r="DX197" s="2">
        <v>100</v>
      </c>
      <c r="DY197" s="2"/>
      <c r="DZ197" s="2" t="s">
        <v>3</v>
      </c>
      <c r="EA197" s="2" t="s">
        <v>3</v>
      </c>
      <c r="EB197" s="2" t="s">
        <v>3</v>
      </c>
      <c r="EC197" s="2" t="s">
        <v>3</v>
      </c>
      <c r="ED197" s="2"/>
      <c r="EE197" s="2">
        <v>55393699</v>
      </c>
      <c r="EF197" s="2">
        <v>40</v>
      </c>
      <c r="EG197" s="2" t="s">
        <v>26</v>
      </c>
      <c r="EH197" s="2">
        <v>0</v>
      </c>
      <c r="EI197" s="2" t="s">
        <v>3</v>
      </c>
      <c r="EJ197" s="2">
        <v>2</v>
      </c>
      <c r="EK197" s="2">
        <v>67</v>
      </c>
      <c r="EL197" s="2" t="s">
        <v>39</v>
      </c>
      <c r="EM197" s="2" t="s">
        <v>40</v>
      </c>
      <c r="EN197" s="2"/>
      <c r="EO197" s="2" t="s">
        <v>61</v>
      </c>
      <c r="EP197" s="2"/>
      <c r="EQ197" s="2">
        <v>0</v>
      </c>
      <c r="ER197" s="2">
        <v>46.63</v>
      </c>
      <c r="ES197" s="2">
        <v>46.63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>
        <v>0</v>
      </c>
      <c r="FR197" s="2">
        <v>0</v>
      </c>
      <c r="FS197" s="2">
        <v>0</v>
      </c>
      <c r="FT197" s="2"/>
      <c r="FU197" s="2"/>
      <c r="FV197" s="2"/>
      <c r="FW197" s="2"/>
      <c r="FX197" s="2">
        <v>97</v>
      </c>
      <c r="FY197" s="2">
        <v>51</v>
      </c>
      <c r="FZ197" s="2"/>
      <c r="GA197" s="2" t="s">
        <v>3</v>
      </c>
      <c r="GB197" s="2"/>
      <c r="GC197" s="2"/>
      <c r="GD197" s="2">
        <v>1</v>
      </c>
      <c r="GE197" s="2"/>
      <c r="GF197" s="2">
        <v>-1630187773</v>
      </c>
      <c r="GG197" s="2">
        <v>2</v>
      </c>
      <c r="GH197" s="2">
        <v>1</v>
      </c>
      <c r="GI197" s="2">
        <v>-2</v>
      </c>
      <c r="GJ197" s="2">
        <v>0</v>
      </c>
      <c r="GK197" s="2">
        <v>0</v>
      </c>
      <c r="GL197" s="2">
        <f t="shared" si="176"/>
        <v>0</v>
      </c>
      <c r="GM197" s="2">
        <f t="shared" si="177"/>
        <v>184.65</v>
      </c>
      <c r="GN197" s="2">
        <f t="shared" si="178"/>
        <v>0</v>
      </c>
      <c r="GO197" s="2">
        <f t="shared" si="179"/>
        <v>184.65</v>
      </c>
      <c r="GP197" s="2">
        <f t="shared" si="180"/>
        <v>0</v>
      </c>
      <c r="GQ197" s="2"/>
      <c r="GR197" s="2">
        <v>0</v>
      </c>
      <c r="GS197" s="2">
        <v>3</v>
      </c>
      <c r="GT197" s="2">
        <v>0</v>
      </c>
      <c r="GU197" s="2" t="s">
        <v>3</v>
      </c>
      <c r="GV197" s="2">
        <f t="shared" si="181"/>
        <v>0</v>
      </c>
      <c r="GW197" s="2">
        <v>1</v>
      </c>
      <c r="GX197" s="2">
        <f t="shared" si="182"/>
        <v>0</v>
      </c>
      <c r="GY197" s="2"/>
      <c r="GZ197" s="2"/>
      <c r="HA197" s="2">
        <v>0</v>
      </c>
      <c r="HB197" s="2">
        <v>0</v>
      </c>
      <c r="HC197" s="2">
        <f t="shared" si="183"/>
        <v>0</v>
      </c>
      <c r="HD197" s="2"/>
      <c r="HE197" s="2" t="s">
        <v>3</v>
      </c>
      <c r="HF197" s="2" t="s">
        <v>3</v>
      </c>
      <c r="HG197" s="2"/>
      <c r="HH197" s="2"/>
      <c r="HI197" s="2"/>
      <c r="HJ197" s="2"/>
      <c r="HK197" s="2"/>
      <c r="HL197" s="2"/>
      <c r="HM197" s="2" t="s">
        <v>56</v>
      </c>
      <c r="HN197" s="2" t="s">
        <v>3</v>
      </c>
      <c r="HO197" s="2" t="s">
        <v>3</v>
      </c>
      <c r="HP197" s="2" t="s">
        <v>3</v>
      </c>
      <c r="HQ197" s="2" t="s">
        <v>3</v>
      </c>
      <c r="HR197" s="2"/>
      <c r="HS197" s="2">
        <v>0</v>
      </c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>
        <v>0</v>
      </c>
      <c r="IL197" s="2"/>
      <c r="IM197" s="2"/>
      <c r="IN197" s="2"/>
      <c r="IO197" s="2"/>
      <c r="IP197" s="2"/>
      <c r="IQ197" s="2"/>
      <c r="IR197" s="2"/>
      <c r="IS197" s="2"/>
      <c r="IT197" s="2"/>
      <c r="IU197" s="2"/>
    </row>
    <row r="198" spans="1:255" x14ac:dyDescent="0.2">
      <c r="A198" s="3">
        <v>18</v>
      </c>
      <c r="B198" s="3">
        <v>1</v>
      </c>
      <c r="C198" s="3">
        <v>147</v>
      </c>
      <c r="E198" s="3" t="s">
        <v>220</v>
      </c>
      <c r="F198" s="3" t="s">
        <v>221</v>
      </c>
      <c r="G198" s="3" t="s">
        <v>222</v>
      </c>
      <c r="H198" s="3" t="s">
        <v>54</v>
      </c>
      <c r="I198" s="3">
        <f>I196*J198</f>
        <v>3.9599999999999995</v>
      </c>
      <c r="J198" s="3">
        <v>2.1999999999999997</v>
      </c>
      <c r="K198" s="3">
        <v>2.2000000000000002</v>
      </c>
      <c r="O198" s="3">
        <f t="shared" si="159"/>
        <v>201.27</v>
      </c>
      <c r="P198" s="3">
        <f t="shared" si="160"/>
        <v>201.27</v>
      </c>
      <c r="Q198" s="3">
        <f t="shared" si="186"/>
        <v>0</v>
      </c>
      <c r="R198" s="3">
        <f t="shared" si="187"/>
        <v>0</v>
      </c>
      <c r="S198" s="3">
        <f t="shared" si="161"/>
        <v>0</v>
      </c>
      <c r="T198" s="3">
        <f t="shared" si="162"/>
        <v>0</v>
      </c>
      <c r="U198" s="3">
        <f t="shared" si="163"/>
        <v>0</v>
      </c>
      <c r="V198" s="3">
        <f t="shared" si="164"/>
        <v>0</v>
      </c>
      <c r="W198" s="3">
        <f t="shared" si="165"/>
        <v>0</v>
      </c>
      <c r="X198" s="3">
        <f t="shared" si="188"/>
        <v>0</v>
      </c>
      <c r="Y198" s="3">
        <f t="shared" si="189"/>
        <v>0</v>
      </c>
      <c r="AA198" s="3">
        <v>55919549</v>
      </c>
      <c r="AB198" s="3">
        <f t="shared" si="166"/>
        <v>46.63</v>
      </c>
      <c r="AC198" s="3">
        <f t="shared" si="190"/>
        <v>46.63</v>
      </c>
      <c r="AD198" s="3">
        <f t="shared" si="191"/>
        <v>0</v>
      </c>
      <c r="AE198" s="3">
        <f t="shared" si="192"/>
        <v>0</v>
      </c>
      <c r="AF198" s="3">
        <f t="shared" si="192"/>
        <v>0</v>
      </c>
      <c r="AG198" s="3">
        <f t="shared" si="167"/>
        <v>0</v>
      </c>
      <c r="AH198" s="3">
        <f t="shared" si="193"/>
        <v>0</v>
      </c>
      <c r="AI198" s="3">
        <f t="shared" si="193"/>
        <v>0</v>
      </c>
      <c r="AJ198" s="3">
        <f t="shared" si="168"/>
        <v>0</v>
      </c>
      <c r="AK198" s="3">
        <v>46.63</v>
      </c>
      <c r="AL198" s="3">
        <v>46.63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97</v>
      </c>
      <c r="AU198" s="3">
        <v>51</v>
      </c>
      <c r="AV198" s="3">
        <v>1</v>
      </c>
      <c r="AW198" s="3">
        <v>1</v>
      </c>
      <c r="AZ198" s="3">
        <v>1</v>
      </c>
      <c r="BA198" s="3">
        <v>1</v>
      </c>
      <c r="BB198" s="3">
        <v>1</v>
      </c>
      <c r="BC198" s="3">
        <v>1.0900000000000001</v>
      </c>
      <c r="BD198" s="3" t="s">
        <v>3</v>
      </c>
      <c r="BE198" s="3" t="s">
        <v>3</v>
      </c>
      <c r="BF198" s="3" t="s">
        <v>3</v>
      </c>
      <c r="BG198" s="3" t="s">
        <v>3</v>
      </c>
      <c r="BH198" s="3">
        <v>3</v>
      </c>
      <c r="BI198" s="3">
        <v>2</v>
      </c>
      <c r="BJ198" s="3" t="s">
        <v>223</v>
      </c>
      <c r="BM198" s="3">
        <v>67</v>
      </c>
      <c r="BN198" s="3">
        <v>0</v>
      </c>
      <c r="BO198" s="3" t="s">
        <v>221</v>
      </c>
      <c r="BP198" s="3">
        <v>1</v>
      </c>
      <c r="BQ198" s="3">
        <v>40</v>
      </c>
      <c r="BR198" s="3">
        <v>0</v>
      </c>
      <c r="BS198" s="3">
        <v>1</v>
      </c>
      <c r="BT198" s="3">
        <v>1</v>
      </c>
      <c r="BU198" s="3">
        <v>1</v>
      </c>
      <c r="BV198" s="3">
        <v>1</v>
      </c>
      <c r="BW198" s="3">
        <v>1</v>
      </c>
      <c r="BX198" s="3">
        <v>1</v>
      </c>
      <c r="BY198" s="3" t="s">
        <v>3</v>
      </c>
      <c r="BZ198" s="3">
        <v>97</v>
      </c>
      <c r="CA198" s="3">
        <v>51</v>
      </c>
      <c r="CB198" s="3" t="s">
        <v>3</v>
      </c>
      <c r="CE198" s="3">
        <v>1566</v>
      </c>
      <c r="CF198" s="3">
        <v>0</v>
      </c>
      <c r="CG198" s="3">
        <v>0</v>
      </c>
      <c r="CM198" s="3">
        <v>0</v>
      </c>
      <c r="CN198" s="3" t="s">
        <v>492</v>
      </c>
      <c r="CO198" s="3">
        <v>0</v>
      </c>
      <c r="CP198" s="3">
        <f t="shared" si="169"/>
        <v>201.27</v>
      </c>
      <c r="CQ198" s="3">
        <f t="shared" si="170"/>
        <v>50.83</v>
      </c>
      <c r="CR198" s="3">
        <f t="shared" si="194"/>
        <v>0</v>
      </c>
      <c r="CS198" s="3">
        <f t="shared" si="195"/>
        <v>0</v>
      </c>
      <c r="CT198" s="3">
        <f t="shared" si="171"/>
        <v>0</v>
      </c>
      <c r="CU198" s="3">
        <f t="shared" si="172"/>
        <v>0</v>
      </c>
      <c r="CV198" s="3">
        <f t="shared" si="173"/>
        <v>0</v>
      </c>
      <c r="CW198" s="3">
        <f t="shared" si="174"/>
        <v>0</v>
      </c>
      <c r="CX198" s="3">
        <f t="shared" si="175"/>
        <v>0</v>
      </c>
      <c r="CY198" s="3">
        <f t="shared" si="196"/>
        <v>0</v>
      </c>
      <c r="CZ198" s="3">
        <f t="shared" si="197"/>
        <v>0</v>
      </c>
      <c r="DC198" s="3" t="s">
        <v>3</v>
      </c>
      <c r="DD198" s="3" t="s">
        <v>3</v>
      </c>
      <c r="DE198" s="3" t="s">
        <v>3</v>
      </c>
      <c r="DF198" s="3" t="s">
        <v>3</v>
      </c>
      <c r="DG198" s="3" t="s">
        <v>3</v>
      </c>
      <c r="DH198" s="3" t="s">
        <v>3</v>
      </c>
      <c r="DI198" s="3" t="s">
        <v>3</v>
      </c>
      <c r="DJ198" s="3" t="s">
        <v>3</v>
      </c>
      <c r="DK198" s="3" t="s">
        <v>3</v>
      </c>
      <c r="DL198" s="3" t="s">
        <v>3</v>
      </c>
      <c r="DM198" s="3" t="s">
        <v>3</v>
      </c>
      <c r="DN198" s="3">
        <v>0</v>
      </c>
      <c r="DO198" s="3">
        <v>0</v>
      </c>
      <c r="DP198" s="3">
        <v>1</v>
      </c>
      <c r="DQ198" s="3">
        <v>1</v>
      </c>
      <c r="DU198" s="3">
        <v>1010</v>
      </c>
      <c r="DV198" s="3" t="s">
        <v>54</v>
      </c>
      <c r="DW198" s="3" t="s">
        <v>54</v>
      </c>
      <c r="DX198" s="3">
        <v>100</v>
      </c>
      <c r="DZ198" s="3" t="s">
        <v>3</v>
      </c>
      <c r="EA198" s="3" t="s">
        <v>3</v>
      </c>
      <c r="EB198" s="3" t="s">
        <v>3</v>
      </c>
      <c r="EC198" s="3" t="s">
        <v>3</v>
      </c>
      <c r="EE198" s="3">
        <v>55393699</v>
      </c>
      <c r="EF198" s="3">
        <v>40</v>
      </c>
      <c r="EG198" s="3" t="s">
        <v>26</v>
      </c>
      <c r="EH198" s="3">
        <v>0</v>
      </c>
      <c r="EI198" s="3" t="s">
        <v>3</v>
      </c>
      <c r="EJ198" s="3">
        <v>2</v>
      </c>
      <c r="EK198" s="3">
        <v>67</v>
      </c>
      <c r="EL198" s="3" t="s">
        <v>39</v>
      </c>
      <c r="EM198" s="3" t="s">
        <v>40</v>
      </c>
      <c r="EO198" s="3" t="s">
        <v>61</v>
      </c>
      <c r="EQ198" s="3">
        <v>0</v>
      </c>
      <c r="ER198" s="3">
        <v>46.63</v>
      </c>
      <c r="ES198" s="3">
        <v>46.63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FQ198" s="3">
        <v>0</v>
      </c>
      <c r="FR198" s="3">
        <v>0</v>
      </c>
      <c r="FS198" s="3">
        <v>0</v>
      </c>
      <c r="FX198" s="3">
        <v>97</v>
      </c>
      <c r="FY198" s="3">
        <v>51</v>
      </c>
      <c r="GA198" s="3" t="s">
        <v>3</v>
      </c>
      <c r="GD198" s="3">
        <v>1</v>
      </c>
      <c r="GF198" s="3">
        <v>-1630187773</v>
      </c>
      <c r="GG198" s="3">
        <v>2</v>
      </c>
      <c r="GH198" s="3">
        <v>1</v>
      </c>
      <c r="GI198" s="3">
        <v>2</v>
      </c>
      <c r="GJ198" s="3">
        <v>0</v>
      </c>
      <c r="GK198" s="3">
        <v>0</v>
      </c>
      <c r="GL198" s="3">
        <f t="shared" si="176"/>
        <v>0</v>
      </c>
      <c r="GM198" s="3">
        <f t="shared" si="177"/>
        <v>201.27</v>
      </c>
      <c r="GN198" s="3">
        <f t="shared" si="178"/>
        <v>0</v>
      </c>
      <c r="GO198" s="3">
        <f t="shared" si="179"/>
        <v>201.27</v>
      </c>
      <c r="GP198" s="3">
        <f t="shared" si="180"/>
        <v>0</v>
      </c>
      <c r="GR198" s="3">
        <v>0</v>
      </c>
      <c r="GS198" s="3">
        <v>3</v>
      </c>
      <c r="GT198" s="3">
        <v>0</v>
      </c>
      <c r="GU198" s="3" t="s">
        <v>3</v>
      </c>
      <c r="GV198" s="3">
        <f t="shared" si="181"/>
        <v>0</v>
      </c>
      <c r="GW198" s="3">
        <v>1</v>
      </c>
      <c r="GX198" s="3">
        <f t="shared" si="182"/>
        <v>0</v>
      </c>
      <c r="HA198" s="3">
        <v>0</v>
      </c>
      <c r="HB198" s="3">
        <v>0</v>
      </c>
      <c r="HC198" s="3">
        <f t="shared" si="183"/>
        <v>0</v>
      </c>
      <c r="HE198" s="3" t="s">
        <v>3</v>
      </c>
      <c r="HF198" s="3" t="s">
        <v>3</v>
      </c>
      <c r="HM198" s="3" t="s">
        <v>56</v>
      </c>
      <c r="HN198" s="3" t="s">
        <v>3</v>
      </c>
      <c r="HO198" s="3" t="s">
        <v>3</v>
      </c>
      <c r="HP198" s="3" t="s">
        <v>3</v>
      </c>
      <c r="HQ198" s="3" t="s">
        <v>3</v>
      </c>
      <c r="HS198" s="3">
        <v>0</v>
      </c>
      <c r="IK198" s="3">
        <v>0</v>
      </c>
    </row>
    <row r="199" spans="1:255" x14ac:dyDescent="0.2">
      <c r="A199" s="2">
        <v>17</v>
      </c>
      <c r="B199" s="2">
        <v>1</v>
      </c>
      <c r="C199" s="2"/>
      <c r="D199" s="2"/>
      <c r="E199" s="2" t="s">
        <v>224</v>
      </c>
      <c r="F199" s="2" t="s">
        <v>204</v>
      </c>
      <c r="G199" s="2" t="s">
        <v>205</v>
      </c>
      <c r="H199" s="2" t="s">
        <v>206</v>
      </c>
      <c r="I199" s="2">
        <f>ROUND(100*1.02,9)</f>
        <v>102</v>
      </c>
      <c r="J199" s="2">
        <v>0</v>
      </c>
      <c r="K199" s="2">
        <f>ROUND(100*1.02,9)</f>
        <v>102</v>
      </c>
      <c r="L199" s="2"/>
      <c r="M199" s="2"/>
      <c r="N199" s="2"/>
      <c r="O199" s="2">
        <f t="shared" si="159"/>
        <v>1948.2</v>
      </c>
      <c r="P199" s="2">
        <f t="shared" si="160"/>
        <v>1948.2</v>
      </c>
      <c r="Q199" s="2">
        <f t="shared" si="186"/>
        <v>0</v>
      </c>
      <c r="R199" s="2">
        <f t="shared" si="187"/>
        <v>0</v>
      </c>
      <c r="S199" s="2">
        <f t="shared" si="161"/>
        <v>0</v>
      </c>
      <c r="T199" s="2">
        <f t="shared" si="162"/>
        <v>0</v>
      </c>
      <c r="U199" s="2">
        <f t="shared" si="163"/>
        <v>0</v>
      </c>
      <c r="V199" s="2">
        <f t="shared" si="164"/>
        <v>0</v>
      </c>
      <c r="W199" s="2">
        <f t="shared" si="165"/>
        <v>0</v>
      </c>
      <c r="X199" s="2">
        <f t="shared" si="188"/>
        <v>0</v>
      </c>
      <c r="Y199" s="2">
        <f t="shared" si="189"/>
        <v>0</v>
      </c>
      <c r="Z199" s="2"/>
      <c r="AA199" s="2">
        <v>55919547</v>
      </c>
      <c r="AB199" s="2">
        <f t="shared" si="166"/>
        <v>19.100000000000001</v>
      </c>
      <c r="AC199" s="2">
        <f t="shared" si="190"/>
        <v>19.100000000000001</v>
      </c>
      <c r="AD199" s="2">
        <f t="shared" si="191"/>
        <v>0</v>
      </c>
      <c r="AE199" s="2">
        <f t="shared" si="192"/>
        <v>0</v>
      </c>
      <c r="AF199" s="2">
        <f t="shared" si="192"/>
        <v>0</v>
      </c>
      <c r="AG199" s="2">
        <f t="shared" si="167"/>
        <v>0</v>
      </c>
      <c r="AH199" s="2">
        <f t="shared" si="193"/>
        <v>0</v>
      </c>
      <c r="AI199" s="2">
        <f t="shared" si="193"/>
        <v>0</v>
      </c>
      <c r="AJ199" s="2">
        <f t="shared" si="168"/>
        <v>0</v>
      </c>
      <c r="AK199" s="2">
        <v>19.100000000000001</v>
      </c>
      <c r="AL199" s="2">
        <v>19.100000000000001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1</v>
      </c>
      <c r="AW199" s="2">
        <v>1</v>
      </c>
      <c r="AX199" s="2"/>
      <c r="AY199" s="2"/>
      <c r="AZ199" s="2">
        <v>1</v>
      </c>
      <c r="BA199" s="2">
        <v>1</v>
      </c>
      <c r="BB199" s="2">
        <v>1</v>
      </c>
      <c r="BC199" s="2">
        <v>1</v>
      </c>
      <c r="BD199" s="2" t="s">
        <v>3</v>
      </c>
      <c r="BE199" s="2" t="s">
        <v>3</v>
      </c>
      <c r="BF199" s="2" t="s">
        <v>3</v>
      </c>
      <c r="BG199" s="2" t="s">
        <v>3</v>
      </c>
      <c r="BH199" s="2">
        <v>3</v>
      </c>
      <c r="BI199" s="2">
        <v>2</v>
      </c>
      <c r="BJ199" s="2" t="s">
        <v>204</v>
      </c>
      <c r="BK199" s="2"/>
      <c r="BL199" s="2"/>
      <c r="BM199" s="2">
        <v>400005</v>
      </c>
      <c r="BN199" s="2">
        <v>0</v>
      </c>
      <c r="BO199" s="2" t="s">
        <v>3</v>
      </c>
      <c r="BP199" s="2">
        <v>0</v>
      </c>
      <c r="BQ199" s="2">
        <v>213</v>
      </c>
      <c r="BR199" s="2">
        <v>0</v>
      </c>
      <c r="BS199" s="2">
        <v>1</v>
      </c>
      <c r="BT199" s="2">
        <v>1</v>
      </c>
      <c r="BU199" s="2">
        <v>1</v>
      </c>
      <c r="BV199" s="2">
        <v>1</v>
      </c>
      <c r="BW199" s="2">
        <v>1</v>
      </c>
      <c r="BX199" s="2">
        <v>1</v>
      </c>
      <c r="BY199" s="2" t="s">
        <v>3</v>
      </c>
      <c r="BZ199" s="2">
        <v>0</v>
      </c>
      <c r="CA199" s="2">
        <v>0</v>
      </c>
      <c r="CB199" s="2" t="s">
        <v>3</v>
      </c>
      <c r="CC199" s="2"/>
      <c r="CD199" s="2"/>
      <c r="CE199" s="2">
        <v>1566</v>
      </c>
      <c r="CF199" s="2">
        <v>0</v>
      </c>
      <c r="CG199" s="2">
        <v>0</v>
      </c>
      <c r="CH199" s="2"/>
      <c r="CI199" s="2"/>
      <c r="CJ199" s="2"/>
      <c r="CK199" s="2"/>
      <c r="CL199" s="2"/>
      <c r="CM199" s="2">
        <v>0</v>
      </c>
      <c r="CN199" s="2" t="s">
        <v>3</v>
      </c>
      <c r="CO199" s="2">
        <v>0</v>
      </c>
      <c r="CP199" s="2">
        <f t="shared" si="169"/>
        <v>1948.2</v>
      </c>
      <c r="CQ199" s="2">
        <f t="shared" si="170"/>
        <v>19.100000000000001</v>
      </c>
      <c r="CR199" s="2">
        <f t="shared" si="194"/>
        <v>0</v>
      </c>
      <c r="CS199" s="2">
        <f t="shared" si="195"/>
        <v>0</v>
      </c>
      <c r="CT199" s="2">
        <f t="shared" si="171"/>
        <v>0</v>
      </c>
      <c r="CU199" s="2">
        <f t="shared" si="172"/>
        <v>0</v>
      </c>
      <c r="CV199" s="2">
        <f t="shared" si="173"/>
        <v>0</v>
      </c>
      <c r="CW199" s="2">
        <f t="shared" si="174"/>
        <v>0</v>
      </c>
      <c r="CX199" s="2">
        <f t="shared" si="175"/>
        <v>0</v>
      </c>
      <c r="CY199" s="2">
        <f t="shared" si="196"/>
        <v>0</v>
      </c>
      <c r="CZ199" s="2">
        <f t="shared" si="197"/>
        <v>0</v>
      </c>
      <c r="DA199" s="2"/>
      <c r="DB199" s="2"/>
      <c r="DC199" s="2" t="s">
        <v>3</v>
      </c>
      <c r="DD199" s="2" t="s">
        <v>3</v>
      </c>
      <c r="DE199" s="2" t="s">
        <v>3</v>
      </c>
      <c r="DF199" s="2" t="s">
        <v>3</v>
      </c>
      <c r="DG199" s="2" t="s">
        <v>3</v>
      </c>
      <c r="DH199" s="2" t="s">
        <v>3</v>
      </c>
      <c r="DI199" s="2" t="s">
        <v>3</v>
      </c>
      <c r="DJ199" s="2" t="s">
        <v>3</v>
      </c>
      <c r="DK199" s="2" t="s">
        <v>3</v>
      </c>
      <c r="DL199" s="2" t="s">
        <v>3</v>
      </c>
      <c r="DM199" s="2" t="s">
        <v>3</v>
      </c>
      <c r="DN199" s="2">
        <v>0</v>
      </c>
      <c r="DO199" s="2">
        <v>0</v>
      </c>
      <c r="DP199" s="2">
        <v>1</v>
      </c>
      <c r="DQ199" s="2">
        <v>1</v>
      </c>
      <c r="DR199" s="2"/>
      <c r="DS199" s="2"/>
      <c r="DT199" s="2"/>
      <c r="DU199" s="2">
        <v>1003</v>
      </c>
      <c r="DV199" s="2" t="s">
        <v>206</v>
      </c>
      <c r="DW199" s="2" t="s">
        <v>206</v>
      </c>
      <c r="DX199" s="2">
        <v>1</v>
      </c>
      <c r="DY199" s="2"/>
      <c r="DZ199" s="2" t="s">
        <v>3</v>
      </c>
      <c r="EA199" s="2" t="s">
        <v>3</v>
      </c>
      <c r="EB199" s="2" t="s">
        <v>3</v>
      </c>
      <c r="EC199" s="2" t="s">
        <v>3</v>
      </c>
      <c r="ED199" s="2"/>
      <c r="EE199" s="2">
        <v>55393628</v>
      </c>
      <c r="EF199" s="2">
        <v>213</v>
      </c>
      <c r="EG199" s="2" t="s">
        <v>207</v>
      </c>
      <c r="EH199" s="2">
        <v>0</v>
      </c>
      <c r="EI199" s="2" t="s">
        <v>3</v>
      </c>
      <c r="EJ199" s="2">
        <v>1</v>
      </c>
      <c r="EK199" s="2">
        <v>400005</v>
      </c>
      <c r="EL199" s="2" t="s">
        <v>207</v>
      </c>
      <c r="EM199" s="2" t="s">
        <v>208</v>
      </c>
      <c r="EN199" s="2"/>
      <c r="EO199" s="2" t="s">
        <v>3</v>
      </c>
      <c r="EP199" s="2"/>
      <c r="EQ199" s="2">
        <v>16</v>
      </c>
      <c r="ER199" s="2">
        <v>0</v>
      </c>
      <c r="ES199" s="2">
        <v>19.100000000000001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>
        <v>0</v>
      </c>
      <c r="FR199" s="2">
        <v>0</v>
      </c>
      <c r="FS199" s="2">
        <v>0</v>
      </c>
      <c r="FT199" s="2"/>
      <c r="FU199" s="2"/>
      <c r="FV199" s="2"/>
      <c r="FW199" s="2"/>
      <c r="FX199" s="2">
        <v>0</v>
      </c>
      <c r="FY199" s="2">
        <v>0</v>
      </c>
      <c r="FZ199" s="2"/>
      <c r="GA199" s="2" t="s">
        <v>209</v>
      </c>
      <c r="GB199" s="2"/>
      <c r="GC199" s="2"/>
      <c r="GD199" s="2">
        <v>1</v>
      </c>
      <c r="GE199" s="2"/>
      <c r="GF199" s="2">
        <v>-714816247</v>
      </c>
      <c r="GG199" s="2">
        <v>2</v>
      </c>
      <c r="GH199" s="2">
        <v>4</v>
      </c>
      <c r="GI199" s="2">
        <v>-2</v>
      </c>
      <c r="GJ199" s="2">
        <v>0</v>
      </c>
      <c r="GK199" s="2">
        <v>0</v>
      </c>
      <c r="GL199" s="2">
        <f t="shared" si="176"/>
        <v>0</v>
      </c>
      <c r="GM199" s="2">
        <f t="shared" si="177"/>
        <v>1948.2</v>
      </c>
      <c r="GN199" s="2">
        <f t="shared" si="178"/>
        <v>0</v>
      </c>
      <c r="GO199" s="2">
        <f t="shared" si="179"/>
        <v>1948.2</v>
      </c>
      <c r="GP199" s="2">
        <f t="shared" si="180"/>
        <v>0</v>
      </c>
      <c r="GQ199" s="2"/>
      <c r="GR199" s="2">
        <v>1</v>
      </c>
      <c r="GS199" s="2">
        <v>2</v>
      </c>
      <c r="GT199" s="2">
        <v>0</v>
      </c>
      <c r="GU199" s="2" t="s">
        <v>3</v>
      </c>
      <c r="GV199" s="2">
        <f t="shared" si="181"/>
        <v>0</v>
      </c>
      <c r="GW199" s="2">
        <v>1</v>
      </c>
      <c r="GX199" s="2">
        <f t="shared" si="182"/>
        <v>0</v>
      </c>
      <c r="GY199" s="2"/>
      <c r="GZ199" s="2"/>
      <c r="HA199" s="2">
        <v>0</v>
      </c>
      <c r="HB199" s="2">
        <v>0</v>
      </c>
      <c r="HC199" s="2">
        <f t="shared" si="183"/>
        <v>0</v>
      </c>
      <c r="HD199" s="2"/>
      <c r="HE199" s="2" t="s">
        <v>210</v>
      </c>
      <c r="HF199" s="2" t="s">
        <v>30</v>
      </c>
      <c r="HG199" s="2"/>
      <c r="HH199" s="2"/>
      <c r="HI199" s="2"/>
      <c r="HJ199" s="2"/>
      <c r="HK199" s="2"/>
      <c r="HL199" s="2"/>
      <c r="HM199" s="2" t="s">
        <v>3</v>
      </c>
      <c r="HN199" s="2" t="s">
        <v>3</v>
      </c>
      <c r="HO199" s="2" t="s">
        <v>3</v>
      </c>
      <c r="HP199" s="2" t="s">
        <v>3</v>
      </c>
      <c r="HQ199" s="2" t="s">
        <v>3</v>
      </c>
      <c r="HR199" s="2"/>
      <c r="HS199" s="2">
        <v>0</v>
      </c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>
        <v>0</v>
      </c>
      <c r="IL199" s="2"/>
      <c r="IM199" s="2"/>
      <c r="IN199" s="2"/>
      <c r="IO199" s="2"/>
      <c r="IP199" s="2"/>
      <c r="IQ199" s="2"/>
      <c r="IR199" s="2"/>
      <c r="IS199" s="2"/>
      <c r="IT199" s="2"/>
      <c r="IU199" s="2"/>
    </row>
    <row r="200" spans="1:255" x14ac:dyDescent="0.2">
      <c r="A200" s="3">
        <v>17</v>
      </c>
      <c r="B200" s="3">
        <v>1</v>
      </c>
      <c r="E200" s="3" t="s">
        <v>224</v>
      </c>
      <c r="F200" s="3" t="s">
        <v>204</v>
      </c>
      <c r="G200" s="3" t="s">
        <v>205</v>
      </c>
      <c r="H200" s="3" t="s">
        <v>206</v>
      </c>
      <c r="I200" s="3">
        <f>ROUND(100*1.02,9)</f>
        <v>102</v>
      </c>
      <c r="J200" s="3">
        <v>0</v>
      </c>
      <c r="K200" s="3">
        <f>ROUND(100*1.02,9)</f>
        <v>102</v>
      </c>
      <c r="O200" s="3">
        <f t="shared" si="159"/>
        <v>14747.87</v>
      </c>
      <c r="P200" s="3">
        <f t="shared" si="160"/>
        <v>14747.87</v>
      </c>
      <c r="Q200" s="3">
        <f t="shared" si="186"/>
        <v>0</v>
      </c>
      <c r="R200" s="3">
        <f t="shared" si="187"/>
        <v>0</v>
      </c>
      <c r="S200" s="3">
        <f t="shared" si="161"/>
        <v>0</v>
      </c>
      <c r="T200" s="3">
        <f t="shared" si="162"/>
        <v>0</v>
      </c>
      <c r="U200" s="3">
        <f t="shared" si="163"/>
        <v>0</v>
      </c>
      <c r="V200" s="3">
        <f t="shared" si="164"/>
        <v>0</v>
      </c>
      <c r="W200" s="3">
        <f t="shared" si="165"/>
        <v>0</v>
      </c>
      <c r="X200" s="3">
        <f t="shared" si="188"/>
        <v>0</v>
      </c>
      <c r="Y200" s="3">
        <f t="shared" si="189"/>
        <v>0</v>
      </c>
      <c r="AA200" s="3">
        <v>55919549</v>
      </c>
      <c r="AB200" s="3">
        <f t="shared" si="166"/>
        <v>19.100000000000001</v>
      </c>
      <c r="AC200" s="3">
        <f t="shared" si="190"/>
        <v>19.100000000000001</v>
      </c>
      <c r="AD200" s="3">
        <f t="shared" si="191"/>
        <v>0</v>
      </c>
      <c r="AE200" s="3">
        <f t="shared" si="192"/>
        <v>0</v>
      </c>
      <c r="AF200" s="3">
        <f t="shared" si="192"/>
        <v>0</v>
      </c>
      <c r="AG200" s="3">
        <f t="shared" si="167"/>
        <v>0</v>
      </c>
      <c r="AH200" s="3">
        <f t="shared" si="193"/>
        <v>0</v>
      </c>
      <c r="AI200" s="3">
        <f t="shared" si="193"/>
        <v>0</v>
      </c>
      <c r="AJ200" s="3">
        <f t="shared" si="168"/>
        <v>0</v>
      </c>
      <c r="AK200" s="3">
        <v>19.100000000000001</v>
      </c>
      <c r="AL200" s="3">
        <v>19.100000000000001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1</v>
      </c>
      <c r="AW200" s="3">
        <v>1</v>
      </c>
      <c r="AZ200" s="3">
        <v>1</v>
      </c>
      <c r="BA200" s="3">
        <v>1</v>
      </c>
      <c r="BB200" s="3">
        <v>1</v>
      </c>
      <c r="BC200" s="3">
        <v>7.57</v>
      </c>
      <c r="BD200" s="3" t="s">
        <v>3</v>
      </c>
      <c r="BE200" s="3" t="s">
        <v>3</v>
      </c>
      <c r="BF200" s="3" t="s">
        <v>3</v>
      </c>
      <c r="BG200" s="3" t="s">
        <v>3</v>
      </c>
      <c r="BH200" s="3">
        <v>3</v>
      </c>
      <c r="BI200" s="3">
        <v>2</v>
      </c>
      <c r="BJ200" s="3" t="s">
        <v>204</v>
      </c>
      <c r="BM200" s="3">
        <v>400005</v>
      </c>
      <c r="BN200" s="3">
        <v>0</v>
      </c>
      <c r="BO200" s="3" t="s">
        <v>3</v>
      </c>
      <c r="BP200" s="3">
        <v>0</v>
      </c>
      <c r="BQ200" s="3">
        <v>213</v>
      </c>
      <c r="BR200" s="3">
        <v>0</v>
      </c>
      <c r="BS200" s="3">
        <v>1</v>
      </c>
      <c r="BT200" s="3">
        <v>1</v>
      </c>
      <c r="BU200" s="3">
        <v>1</v>
      </c>
      <c r="BV200" s="3">
        <v>1</v>
      </c>
      <c r="BW200" s="3">
        <v>1</v>
      </c>
      <c r="BX200" s="3">
        <v>1</v>
      </c>
      <c r="BY200" s="3" t="s">
        <v>3</v>
      </c>
      <c r="BZ200" s="3">
        <v>0</v>
      </c>
      <c r="CA200" s="3">
        <v>0</v>
      </c>
      <c r="CB200" s="3" t="s">
        <v>3</v>
      </c>
      <c r="CE200" s="3">
        <v>1566</v>
      </c>
      <c r="CF200" s="3">
        <v>0</v>
      </c>
      <c r="CG200" s="3">
        <v>0</v>
      </c>
      <c r="CM200" s="3">
        <v>0</v>
      </c>
      <c r="CN200" s="3" t="s">
        <v>3</v>
      </c>
      <c r="CO200" s="3">
        <v>0</v>
      </c>
      <c r="CP200" s="3">
        <f t="shared" si="169"/>
        <v>14747.87</v>
      </c>
      <c r="CQ200" s="3">
        <f t="shared" si="170"/>
        <v>144.59</v>
      </c>
      <c r="CR200" s="3">
        <f t="shared" si="194"/>
        <v>0</v>
      </c>
      <c r="CS200" s="3">
        <f t="shared" si="195"/>
        <v>0</v>
      </c>
      <c r="CT200" s="3">
        <f t="shared" si="171"/>
        <v>0</v>
      </c>
      <c r="CU200" s="3">
        <f t="shared" si="172"/>
        <v>0</v>
      </c>
      <c r="CV200" s="3">
        <f t="shared" si="173"/>
        <v>0</v>
      </c>
      <c r="CW200" s="3">
        <f t="shared" si="174"/>
        <v>0</v>
      </c>
      <c r="CX200" s="3">
        <f t="shared" si="175"/>
        <v>0</v>
      </c>
      <c r="CY200" s="3">
        <f t="shared" si="196"/>
        <v>0</v>
      </c>
      <c r="CZ200" s="3">
        <f t="shared" si="197"/>
        <v>0</v>
      </c>
      <c r="DC200" s="3" t="s">
        <v>3</v>
      </c>
      <c r="DD200" s="3" t="s">
        <v>3</v>
      </c>
      <c r="DE200" s="3" t="s">
        <v>3</v>
      </c>
      <c r="DF200" s="3" t="s">
        <v>3</v>
      </c>
      <c r="DG200" s="3" t="s">
        <v>3</v>
      </c>
      <c r="DH200" s="3" t="s">
        <v>3</v>
      </c>
      <c r="DI200" s="3" t="s">
        <v>3</v>
      </c>
      <c r="DJ200" s="3" t="s">
        <v>3</v>
      </c>
      <c r="DK200" s="3" t="s">
        <v>3</v>
      </c>
      <c r="DL200" s="3" t="s">
        <v>3</v>
      </c>
      <c r="DM200" s="3" t="s">
        <v>3</v>
      </c>
      <c r="DN200" s="3">
        <v>0</v>
      </c>
      <c r="DO200" s="3">
        <v>0</v>
      </c>
      <c r="DP200" s="3">
        <v>1</v>
      </c>
      <c r="DQ200" s="3">
        <v>1</v>
      </c>
      <c r="DU200" s="3">
        <v>1003</v>
      </c>
      <c r="DV200" s="3" t="s">
        <v>206</v>
      </c>
      <c r="DW200" s="3" t="s">
        <v>206</v>
      </c>
      <c r="DX200" s="3">
        <v>1</v>
      </c>
      <c r="DZ200" s="3" t="s">
        <v>3</v>
      </c>
      <c r="EA200" s="3" t="s">
        <v>3</v>
      </c>
      <c r="EB200" s="3" t="s">
        <v>3</v>
      </c>
      <c r="EC200" s="3" t="s">
        <v>3</v>
      </c>
      <c r="EE200" s="3">
        <v>55393628</v>
      </c>
      <c r="EF200" s="3">
        <v>213</v>
      </c>
      <c r="EG200" s="3" t="s">
        <v>207</v>
      </c>
      <c r="EH200" s="3">
        <v>0</v>
      </c>
      <c r="EI200" s="3" t="s">
        <v>3</v>
      </c>
      <c r="EJ200" s="3">
        <v>1</v>
      </c>
      <c r="EK200" s="3">
        <v>400005</v>
      </c>
      <c r="EL200" s="3" t="s">
        <v>207</v>
      </c>
      <c r="EM200" s="3" t="s">
        <v>208</v>
      </c>
      <c r="EO200" s="3" t="s">
        <v>3</v>
      </c>
      <c r="EQ200" s="3">
        <v>16</v>
      </c>
      <c r="ER200" s="3">
        <v>0</v>
      </c>
      <c r="ES200" s="3">
        <v>19.100000000000001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>
        <v>0</v>
      </c>
      <c r="EZ200" s="3">
        <v>5</v>
      </c>
      <c r="FC200" s="3">
        <v>1</v>
      </c>
      <c r="FD200" s="3">
        <v>18</v>
      </c>
      <c r="FF200" s="3">
        <v>172.99</v>
      </c>
      <c r="FQ200" s="3">
        <v>0</v>
      </c>
      <c r="FR200" s="3">
        <v>0</v>
      </c>
      <c r="FS200" s="3">
        <v>0</v>
      </c>
      <c r="FX200" s="3">
        <v>0</v>
      </c>
      <c r="FY200" s="3">
        <v>0</v>
      </c>
      <c r="GA200" s="3" t="s">
        <v>209</v>
      </c>
      <c r="GD200" s="3">
        <v>1</v>
      </c>
      <c r="GF200" s="3">
        <v>-714816247</v>
      </c>
      <c r="GG200" s="3">
        <v>2</v>
      </c>
      <c r="GH200" s="3">
        <v>3</v>
      </c>
      <c r="GI200" s="3">
        <v>5</v>
      </c>
      <c r="GJ200" s="3">
        <v>0</v>
      </c>
      <c r="GK200" s="3">
        <v>0</v>
      </c>
      <c r="GL200" s="3">
        <f t="shared" si="176"/>
        <v>0</v>
      </c>
      <c r="GM200" s="3">
        <f t="shared" si="177"/>
        <v>14747.87</v>
      </c>
      <c r="GN200" s="3">
        <f t="shared" si="178"/>
        <v>0</v>
      </c>
      <c r="GO200" s="3">
        <f t="shared" si="179"/>
        <v>14747.87</v>
      </c>
      <c r="GP200" s="3">
        <f t="shared" si="180"/>
        <v>0</v>
      </c>
      <c r="GR200" s="3">
        <v>1</v>
      </c>
      <c r="GS200" s="3">
        <v>1</v>
      </c>
      <c r="GT200" s="3">
        <v>0</v>
      </c>
      <c r="GU200" s="3" t="s">
        <v>3</v>
      </c>
      <c r="GV200" s="3">
        <f t="shared" si="181"/>
        <v>0</v>
      </c>
      <c r="GW200" s="3">
        <v>1</v>
      </c>
      <c r="GX200" s="3">
        <f t="shared" si="182"/>
        <v>0</v>
      </c>
      <c r="HA200" s="3">
        <v>0</v>
      </c>
      <c r="HB200" s="3">
        <v>0</v>
      </c>
      <c r="HC200" s="3">
        <f t="shared" si="183"/>
        <v>0</v>
      </c>
      <c r="HE200" s="3" t="s">
        <v>210</v>
      </c>
      <c r="HF200" s="3" t="s">
        <v>30</v>
      </c>
      <c r="HM200" s="3" t="s">
        <v>3</v>
      </c>
      <c r="HN200" s="3" t="s">
        <v>3</v>
      </c>
      <c r="HO200" s="3" t="s">
        <v>3</v>
      </c>
      <c r="HP200" s="3" t="s">
        <v>3</v>
      </c>
      <c r="HQ200" s="3" t="s">
        <v>3</v>
      </c>
      <c r="HS200" s="3">
        <v>0</v>
      </c>
      <c r="IK200" s="3">
        <v>0</v>
      </c>
    </row>
    <row r="201" spans="1:255" x14ac:dyDescent="0.2">
      <c r="A201" s="2">
        <v>17</v>
      </c>
      <c r="B201" s="2">
        <v>1</v>
      </c>
      <c r="C201" s="2"/>
      <c r="D201" s="2"/>
      <c r="E201" s="2" t="s">
        <v>225</v>
      </c>
      <c r="F201" s="2" t="s">
        <v>226</v>
      </c>
      <c r="G201" s="2" t="s">
        <v>227</v>
      </c>
      <c r="H201" s="2" t="s">
        <v>206</v>
      </c>
      <c r="I201" s="2">
        <f>ROUND(80*1.02,9)</f>
        <v>81.599999999999994</v>
      </c>
      <c r="J201" s="2">
        <v>0</v>
      </c>
      <c r="K201" s="2">
        <f>ROUND(80*1.02,9)</f>
        <v>81.599999999999994</v>
      </c>
      <c r="L201" s="2"/>
      <c r="M201" s="2"/>
      <c r="N201" s="2"/>
      <c r="O201" s="2">
        <f t="shared" si="159"/>
        <v>2514.1</v>
      </c>
      <c r="P201" s="2">
        <f t="shared" si="160"/>
        <v>2514.1</v>
      </c>
      <c r="Q201" s="2">
        <f t="shared" si="186"/>
        <v>0</v>
      </c>
      <c r="R201" s="2">
        <f t="shared" si="187"/>
        <v>0</v>
      </c>
      <c r="S201" s="2">
        <f t="shared" si="161"/>
        <v>0</v>
      </c>
      <c r="T201" s="2">
        <f t="shared" si="162"/>
        <v>0</v>
      </c>
      <c r="U201" s="2">
        <f t="shared" si="163"/>
        <v>0</v>
      </c>
      <c r="V201" s="2">
        <f t="shared" si="164"/>
        <v>0</v>
      </c>
      <c r="W201" s="2">
        <f t="shared" si="165"/>
        <v>0</v>
      </c>
      <c r="X201" s="2">
        <f t="shared" si="188"/>
        <v>0</v>
      </c>
      <c r="Y201" s="2">
        <f t="shared" si="189"/>
        <v>0</v>
      </c>
      <c r="Z201" s="2"/>
      <c r="AA201" s="2">
        <v>55919547</v>
      </c>
      <c r="AB201" s="2">
        <f t="shared" si="166"/>
        <v>30.81</v>
      </c>
      <c r="AC201" s="2">
        <f t="shared" si="190"/>
        <v>30.81</v>
      </c>
      <c r="AD201" s="2">
        <f t="shared" si="191"/>
        <v>0</v>
      </c>
      <c r="AE201" s="2">
        <f t="shared" si="192"/>
        <v>0</v>
      </c>
      <c r="AF201" s="2">
        <f t="shared" si="192"/>
        <v>0</v>
      </c>
      <c r="AG201" s="2">
        <f t="shared" si="167"/>
        <v>0</v>
      </c>
      <c r="AH201" s="2">
        <f t="shared" si="193"/>
        <v>0</v>
      </c>
      <c r="AI201" s="2">
        <f t="shared" si="193"/>
        <v>0</v>
      </c>
      <c r="AJ201" s="2">
        <f t="shared" si="168"/>
        <v>0</v>
      </c>
      <c r="AK201" s="2">
        <v>30.810000000000002</v>
      </c>
      <c r="AL201" s="2">
        <v>30.810000000000002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1</v>
      </c>
      <c r="AW201" s="2">
        <v>1</v>
      </c>
      <c r="AX201" s="2"/>
      <c r="AY201" s="2"/>
      <c r="AZ201" s="2">
        <v>1</v>
      </c>
      <c r="BA201" s="2">
        <v>1</v>
      </c>
      <c r="BB201" s="2">
        <v>1</v>
      </c>
      <c r="BC201" s="2">
        <v>1</v>
      </c>
      <c r="BD201" s="2" t="s">
        <v>3</v>
      </c>
      <c r="BE201" s="2" t="s">
        <v>3</v>
      </c>
      <c r="BF201" s="2" t="s">
        <v>3</v>
      </c>
      <c r="BG201" s="2" t="s">
        <v>3</v>
      </c>
      <c r="BH201" s="2">
        <v>3</v>
      </c>
      <c r="BI201" s="2">
        <v>2</v>
      </c>
      <c r="BJ201" s="2" t="s">
        <v>226</v>
      </c>
      <c r="BK201" s="2"/>
      <c r="BL201" s="2"/>
      <c r="BM201" s="2">
        <v>400005</v>
      </c>
      <c r="BN201" s="2">
        <v>0</v>
      </c>
      <c r="BO201" s="2" t="s">
        <v>3</v>
      </c>
      <c r="BP201" s="2">
        <v>0</v>
      </c>
      <c r="BQ201" s="2">
        <v>213</v>
      </c>
      <c r="BR201" s="2">
        <v>0</v>
      </c>
      <c r="BS201" s="2">
        <v>1</v>
      </c>
      <c r="BT201" s="2">
        <v>1</v>
      </c>
      <c r="BU201" s="2">
        <v>1</v>
      </c>
      <c r="BV201" s="2">
        <v>1</v>
      </c>
      <c r="BW201" s="2">
        <v>1</v>
      </c>
      <c r="BX201" s="2">
        <v>1</v>
      </c>
      <c r="BY201" s="2" t="s">
        <v>3</v>
      </c>
      <c r="BZ201" s="2">
        <v>0</v>
      </c>
      <c r="CA201" s="2">
        <v>0</v>
      </c>
      <c r="CB201" s="2" t="s">
        <v>3</v>
      </c>
      <c r="CC201" s="2"/>
      <c r="CD201" s="2"/>
      <c r="CE201" s="2">
        <v>1566</v>
      </c>
      <c r="CF201" s="2">
        <v>0</v>
      </c>
      <c r="CG201" s="2">
        <v>0</v>
      </c>
      <c r="CH201" s="2"/>
      <c r="CI201" s="2"/>
      <c r="CJ201" s="2"/>
      <c r="CK201" s="2"/>
      <c r="CL201" s="2"/>
      <c r="CM201" s="2">
        <v>0</v>
      </c>
      <c r="CN201" s="2" t="s">
        <v>3</v>
      </c>
      <c r="CO201" s="2">
        <v>0</v>
      </c>
      <c r="CP201" s="2">
        <f t="shared" si="169"/>
        <v>2514.1</v>
      </c>
      <c r="CQ201" s="2">
        <f t="shared" si="170"/>
        <v>30.81</v>
      </c>
      <c r="CR201" s="2">
        <f t="shared" si="194"/>
        <v>0</v>
      </c>
      <c r="CS201" s="2">
        <f t="shared" si="195"/>
        <v>0</v>
      </c>
      <c r="CT201" s="2">
        <f t="shared" si="171"/>
        <v>0</v>
      </c>
      <c r="CU201" s="2">
        <f t="shared" si="172"/>
        <v>0</v>
      </c>
      <c r="CV201" s="2">
        <f t="shared" si="173"/>
        <v>0</v>
      </c>
      <c r="CW201" s="2">
        <f t="shared" si="174"/>
        <v>0</v>
      </c>
      <c r="CX201" s="2">
        <f t="shared" si="175"/>
        <v>0</v>
      </c>
      <c r="CY201" s="2">
        <f t="shared" si="196"/>
        <v>0</v>
      </c>
      <c r="CZ201" s="2">
        <f t="shared" si="197"/>
        <v>0</v>
      </c>
      <c r="DA201" s="2"/>
      <c r="DB201" s="2"/>
      <c r="DC201" s="2" t="s">
        <v>3</v>
      </c>
      <c r="DD201" s="2" t="s">
        <v>3</v>
      </c>
      <c r="DE201" s="2" t="s">
        <v>3</v>
      </c>
      <c r="DF201" s="2" t="s">
        <v>3</v>
      </c>
      <c r="DG201" s="2" t="s">
        <v>3</v>
      </c>
      <c r="DH201" s="2" t="s">
        <v>3</v>
      </c>
      <c r="DI201" s="2" t="s">
        <v>3</v>
      </c>
      <c r="DJ201" s="2" t="s">
        <v>3</v>
      </c>
      <c r="DK201" s="2" t="s">
        <v>3</v>
      </c>
      <c r="DL201" s="2" t="s">
        <v>3</v>
      </c>
      <c r="DM201" s="2" t="s">
        <v>3</v>
      </c>
      <c r="DN201" s="2">
        <v>0</v>
      </c>
      <c r="DO201" s="2">
        <v>0</v>
      </c>
      <c r="DP201" s="2">
        <v>1</v>
      </c>
      <c r="DQ201" s="2">
        <v>1</v>
      </c>
      <c r="DR201" s="2"/>
      <c r="DS201" s="2"/>
      <c r="DT201" s="2"/>
      <c r="DU201" s="2">
        <v>1003</v>
      </c>
      <c r="DV201" s="2" t="s">
        <v>206</v>
      </c>
      <c r="DW201" s="2" t="s">
        <v>206</v>
      </c>
      <c r="DX201" s="2">
        <v>1</v>
      </c>
      <c r="DY201" s="2"/>
      <c r="DZ201" s="2" t="s">
        <v>3</v>
      </c>
      <c r="EA201" s="2" t="s">
        <v>3</v>
      </c>
      <c r="EB201" s="2" t="s">
        <v>3</v>
      </c>
      <c r="EC201" s="2" t="s">
        <v>3</v>
      </c>
      <c r="ED201" s="2"/>
      <c r="EE201" s="2">
        <v>55393628</v>
      </c>
      <c r="EF201" s="2">
        <v>213</v>
      </c>
      <c r="EG201" s="2" t="s">
        <v>207</v>
      </c>
      <c r="EH201" s="2">
        <v>0</v>
      </c>
      <c r="EI201" s="2" t="s">
        <v>3</v>
      </c>
      <c r="EJ201" s="2">
        <v>1</v>
      </c>
      <c r="EK201" s="2">
        <v>400005</v>
      </c>
      <c r="EL201" s="2" t="s">
        <v>207</v>
      </c>
      <c r="EM201" s="2" t="s">
        <v>208</v>
      </c>
      <c r="EN201" s="2"/>
      <c r="EO201" s="2" t="s">
        <v>3</v>
      </c>
      <c r="EP201" s="2"/>
      <c r="EQ201" s="2">
        <v>16</v>
      </c>
      <c r="ER201" s="2">
        <v>0</v>
      </c>
      <c r="ES201" s="2">
        <v>30.810000000000002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>
        <v>0</v>
      </c>
      <c r="FR201" s="2">
        <v>0</v>
      </c>
      <c r="FS201" s="2">
        <v>0</v>
      </c>
      <c r="FT201" s="2"/>
      <c r="FU201" s="2"/>
      <c r="FV201" s="2"/>
      <c r="FW201" s="2"/>
      <c r="FX201" s="2">
        <v>0</v>
      </c>
      <c r="FY201" s="2">
        <v>0</v>
      </c>
      <c r="FZ201" s="2"/>
      <c r="GA201" s="2" t="s">
        <v>228</v>
      </c>
      <c r="GB201" s="2"/>
      <c r="GC201" s="2"/>
      <c r="GD201" s="2">
        <v>1</v>
      </c>
      <c r="GE201" s="2"/>
      <c r="GF201" s="2">
        <v>580983772</v>
      </c>
      <c r="GG201" s="2">
        <v>2</v>
      </c>
      <c r="GH201" s="2">
        <v>4</v>
      </c>
      <c r="GI201" s="2">
        <v>-2</v>
      </c>
      <c r="GJ201" s="2">
        <v>0</v>
      </c>
      <c r="GK201" s="2">
        <v>0</v>
      </c>
      <c r="GL201" s="2">
        <f t="shared" si="176"/>
        <v>0</v>
      </c>
      <c r="GM201" s="2">
        <f t="shared" si="177"/>
        <v>2514.1</v>
      </c>
      <c r="GN201" s="2">
        <f t="shared" si="178"/>
        <v>0</v>
      </c>
      <c r="GO201" s="2">
        <f t="shared" si="179"/>
        <v>2514.1</v>
      </c>
      <c r="GP201" s="2">
        <f t="shared" si="180"/>
        <v>0</v>
      </c>
      <c r="GQ201" s="2"/>
      <c r="GR201" s="2">
        <v>1</v>
      </c>
      <c r="GS201" s="2">
        <v>2</v>
      </c>
      <c r="GT201" s="2">
        <v>0</v>
      </c>
      <c r="GU201" s="2" t="s">
        <v>3</v>
      </c>
      <c r="GV201" s="2">
        <f t="shared" si="181"/>
        <v>0</v>
      </c>
      <c r="GW201" s="2">
        <v>1</v>
      </c>
      <c r="GX201" s="2">
        <f t="shared" si="182"/>
        <v>0</v>
      </c>
      <c r="GY201" s="2"/>
      <c r="GZ201" s="2"/>
      <c r="HA201" s="2">
        <v>0</v>
      </c>
      <c r="HB201" s="2">
        <v>0</v>
      </c>
      <c r="HC201" s="2">
        <f t="shared" si="183"/>
        <v>0</v>
      </c>
      <c r="HD201" s="2"/>
      <c r="HE201" s="2" t="s">
        <v>210</v>
      </c>
      <c r="HF201" s="2" t="s">
        <v>30</v>
      </c>
      <c r="HG201" s="2"/>
      <c r="HH201" s="2"/>
      <c r="HI201" s="2"/>
      <c r="HJ201" s="2"/>
      <c r="HK201" s="2"/>
      <c r="HL201" s="2"/>
      <c r="HM201" s="2" t="s">
        <v>3</v>
      </c>
      <c r="HN201" s="2" t="s">
        <v>3</v>
      </c>
      <c r="HO201" s="2" t="s">
        <v>3</v>
      </c>
      <c r="HP201" s="2" t="s">
        <v>3</v>
      </c>
      <c r="HQ201" s="2" t="s">
        <v>3</v>
      </c>
      <c r="HR201" s="2"/>
      <c r="HS201" s="2">
        <v>0</v>
      </c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>
        <v>0</v>
      </c>
      <c r="IL201" s="2"/>
      <c r="IM201" s="2"/>
      <c r="IN201" s="2"/>
      <c r="IO201" s="2"/>
      <c r="IP201" s="2"/>
      <c r="IQ201" s="2"/>
      <c r="IR201" s="2"/>
      <c r="IS201" s="2"/>
      <c r="IT201" s="2"/>
      <c r="IU201" s="2"/>
    </row>
    <row r="202" spans="1:255" x14ac:dyDescent="0.2">
      <c r="A202" s="3">
        <v>17</v>
      </c>
      <c r="B202" s="3">
        <v>1</v>
      </c>
      <c r="E202" s="3" t="s">
        <v>225</v>
      </c>
      <c r="F202" s="3" t="s">
        <v>226</v>
      </c>
      <c r="G202" s="3" t="s">
        <v>227</v>
      </c>
      <c r="H202" s="3" t="s">
        <v>206</v>
      </c>
      <c r="I202" s="3">
        <f>ROUND(80*1.02,9)</f>
        <v>81.599999999999994</v>
      </c>
      <c r="J202" s="3">
        <v>0</v>
      </c>
      <c r="K202" s="3">
        <f>ROUND(80*1.02,9)</f>
        <v>81.599999999999994</v>
      </c>
      <c r="O202" s="3">
        <f t="shared" si="159"/>
        <v>19031.740000000002</v>
      </c>
      <c r="P202" s="3">
        <f t="shared" si="160"/>
        <v>19031.740000000002</v>
      </c>
      <c r="Q202" s="3">
        <f t="shared" si="186"/>
        <v>0</v>
      </c>
      <c r="R202" s="3">
        <f t="shared" si="187"/>
        <v>0</v>
      </c>
      <c r="S202" s="3">
        <f t="shared" si="161"/>
        <v>0</v>
      </c>
      <c r="T202" s="3">
        <f t="shared" si="162"/>
        <v>0</v>
      </c>
      <c r="U202" s="3">
        <f t="shared" si="163"/>
        <v>0</v>
      </c>
      <c r="V202" s="3">
        <f t="shared" si="164"/>
        <v>0</v>
      </c>
      <c r="W202" s="3">
        <f t="shared" si="165"/>
        <v>0</v>
      </c>
      <c r="X202" s="3">
        <f t="shared" si="188"/>
        <v>0</v>
      </c>
      <c r="Y202" s="3">
        <f t="shared" si="189"/>
        <v>0</v>
      </c>
      <c r="AA202" s="3">
        <v>55919549</v>
      </c>
      <c r="AB202" s="3">
        <f t="shared" si="166"/>
        <v>30.81</v>
      </c>
      <c r="AC202" s="3">
        <f t="shared" si="190"/>
        <v>30.81</v>
      </c>
      <c r="AD202" s="3">
        <f t="shared" si="191"/>
        <v>0</v>
      </c>
      <c r="AE202" s="3">
        <f t="shared" si="192"/>
        <v>0</v>
      </c>
      <c r="AF202" s="3">
        <f t="shared" si="192"/>
        <v>0</v>
      </c>
      <c r="AG202" s="3">
        <f t="shared" si="167"/>
        <v>0</v>
      </c>
      <c r="AH202" s="3">
        <f t="shared" si="193"/>
        <v>0</v>
      </c>
      <c r="AI202" s="3">
        <f t="shared" si="193"/>
        <v>0</v>
      </c>
      <c r="AJ202" s="3">
        <f t="shared" si="168"/>
        <v>0</v>
      </c>
      <c r="AK202" s="3">
        <v>30.810000000000002</v>
      </c>
      <c r="AL202" s="3">
        <v>30.810000000000002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1</v>
      </c>
      <c r="AW202" s="3">
        <v>1</v>
      </c>
      <c r="AZ202" s="3">
        <v>1</v>
      </c>
      <c r="BA202" s="3">
        <v>1</v>
      </c>
      <c r="BB202" s="3">
        <v>1</v>
      </c>
      <c r="BC202" s="3">
        <v>7.57</v>
      </c>
      <c r="BD202" s="3" t="s">
        <v>3</v>
      </c>
      <c r="BE202" s="3" t="s">
        <v>3</v>
      </c>
      <c r="BF202" s="3" t="s">
        <v>3</v>
      </c>
      <c r="BG202" s="3" t="s">
        <v>3</v>
      </c>
      <c r="BH202" s="3">
        <v>3</v>
      </c>
      <c r="BI202" s="3">
        <v>2</v>
      </c>
      <c r="BJ202" s="3" t="s">
        <v>226</v>
      </c>
      <c r="BM202" s="3">
        <v>400005</v>
      </c>
      <c r="BN202" s="3">
        <v>0</v>
      </c>
      <c r="BO202" s="3" t="s">
        <v>3</v>
      </c>
      <c r="BP202" s="3">
        <v>0</v>
      </c>
      <c r="BQ202" s="3">
        <v>213</v>
      </c>
      <c r="BR202" s="3">
        <v>0</v>
      </c>
      <c r="BS202" s="3">
        <v>1</v>
      </c>
      <c r="BT202" s="3">
        <v>1</v>
      </c>
      <c r="BU202" s="3">
        <v>1</v>
      </c>
      <c r="BV202" s="3">
        <v>1</v>
      </c>
      <c r="BW202" s="3">
        <v>1</v>
      </c>
      <c r="BX202" s="3">
        <v>1</v>
      </c>
      <c r="BY202" s="3" t="s">
        <v>3</v>
      </c>
      <c r="BZ202" s="3">
        <v>0</v>
      </c>
      <c r="CA202" s="3">
        <v>0</v>
      </c>
      <c r="CB202" s="3" t="s">
        <v>3</v>
      </c>
      <c r="CE202" s="3">
        <v>1566</v>
      </c>
      <c r="CF202" s="3">
        <v>0</v>
      </c>
      <c r="CG202" s="3">
        <v>0</v>
      </c>
      <c r="CM202" s="3">
        <v>0</v>
      </c>
      <c r="CN202" s="3" t="s">
        <v>3</v>
      </c>
      <c r="CO202" s="3">
        <v>0</v>
      </c>
      <c r="CP202" s="3">
        <f t="shared" si="169"/>
        <v>19031.740000000002</v>
      </c>
      <c r="CQ202" s="3">
        <f t="shared" si="170"/>
        <v>233.23</v>
      </c>
      <c r="CR202" s="3">
        <f t="shared" si="194"/>
        <v>0</v>
      </c>
      <c r="CS202" s="3">
        <f t="shared" si="195"/>
        <v>0</v>
      </c>
      <c r="CT202" s="3">
        <f t="shared" si="171"/>
        <v>0</v>
      </c>
      <c r="CU202" s="3">
        <f t="shared" si="172"/>
        <v>0</v>
      </c>
      <c r="CV202" s="3">
        <f t="shared" si="173"/>
        <v>0</v>
      </c>
      <c r="CW202" s="3">
        <f t="shared" si="174"/>
        <v>0</v>
      </c>
      <c r="CX202" s="3">
        <f t="shared" si="175"/>
        <v>0</v>
      </c>
      <c r="CY202" s="3">
        <f t="shared" si="196"/>
        <v>0</v>
      </c>
      <c r="CZ202" s="3">
        <f t="shared" si="197"/>
        <v>0</v>
      </c>
      <c r="DC202" s="3" t="s">
        <v>3</v>
      </c>
      <c r="DD202" s="3" t="s">
        <v>3</v>
      </c>
      <c r="DE202" s="3" t="s">
        <v>3</v>
      </c>
      <c r="DF202" s="3" t="s">
        <v>3</v>
      </c>
      <c r="DG202" s="3" t="s">
        <v>3</v>
      </c>
      <c r="DH202" s="3" t="s">
        <v>3</v>
      </c>
      <c r="DI202" s="3" t="s">
        <v>3</v>
      </c>
      <c r="DJ202" s="3" t="s">
        <v>3</v>
      </c>
      <c r="DK202" s="3" t="s">
        <v>3</v>
      </c>
      <c r="DL202" s="3" t="s">
        <v>3</v>
      </c>
      <c r="DM202" s="3" t="s">
        <v>3</v>
      </c>
      <c r="DN202" s="3">
        <v>0</v>
      </c>
      <c r="DO202" s="3">
        <v>0</v>
      </c>
      <c r="DP202" s="3">
        <v>1</v>
      </c>
      <c r="DQ202" s="3">
        <v>1</v>
      </c>
      <c r="DU202" s="3">
        <v>1003</v>
      </c>
      <c r="DV202" s="3" t="s">
        <v>206</v>
      </c>
      <c r="DW202" s="3" t="s">
        <v>206</v>
      </c>
      <c r="DX202" s="3">
        <v>1</v>
      </c>
      <c r="DZ202" s="3" t="s">
        <v>3</v>
      </c>
      <c r="EA202" s="3" t="s">
        <v>3</v>
      </c>
      <c r="EB202" s="3" t="s">
        <v>3</v>
      </c>
      <c r="EC202" s="3" t="s">
        <v>3</v>
      </c>
      <c r="EE202" s="3">
        <v>55393628</v>
      </c>
      <c r="EF202" s="3">
        <v>213</v>
      </c>
      <c r="EG202" s="3" t="s">
        <v>207</v>
      </c>
      <c r="EH202" s="3">
        <v>0</v>
      </c>
      <c r="EI202" s="3" t="s">
        <v>3</v>
      </c>
      <c r="EJ202" s="3">
        <v>1</v>
      </c>
      <c r="EK202" s="3">
        <v>400005</v>
      </c>
      <c r="EL202" s="3" t="s">
        <v>207</v>
      </c>
      <c r="EM202" s="3" t="s">
        <v>208</v>
      </c>
      <c r="EO202" s="3" t="s">
        <v>3</v>
      </c>
      <c r="EQ202" s="3">
        <v>16</v>
      </c>
      <c r="ER202" s="3">
        <v>0</v>
      </c>
      <c r="ES202" s="3">
        <v>30.810000000000002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EY202" s="3">
        <v>0</v>
      </c>
      <c r="EZ202" s="3">
        <v>5</v>
      </c>
      <c r="FC202" s="3">
        <v>1</v>
      </c>
      <c r="FD202" s="3">
        <v>18</v>
      </c>
      <c r="FF202" s="3">
        <v>279.01</v>
      </c>
      <c r="FQ202" s="3">
        <v>0</v>
      </c>
      <c r="FR202" s="3">
        <v>0</v>
      </c>
      <c r="FS202" s="3">
        <v>0</v>
      </c>
      <c r="FX202" s="3">
        <v>0</v>
      </c>
      <c r="FY202" s="3">
        <v>0</v>
      </c>
      <c r="GA202" s="3" t="s">
        <v>228</v>
      </c>
      <c r="GD202" s="3">
        <v>1</v>
      </c>
      <c r="GF202" s="3">
        <v>580983772</v>
      </c>
      <c r="GG202" s="3">
        <v>2</v>
      </c>
      <c r="GH202" s="3">
        <v>3</v>
      </c>
      <c r="GI202" s="3">
        <v>5</v>
      </c>
      <c r="GJ202" s="3">
        <v>0</v>
      </c>
      <c r="GK202" s="3">
        <v>0</v>
      </c>
      <c r="GL202" s="3">
        <f t="shared" si="176"/>
        <v>0</v>
      </c>
      <c r="GM202" s="3">
        <f t="shared" si="177"/>
        <v>19031.740000000002</v>
      </c>
      <c r="GN202" s="3">
        <f t="shared" si="178"/>
        <v>0</v>
      </c>
      <c r="GO202" s="3">
        <f t="shared" si="179"/>
        <v>19031.740000000002</v>
      </c>
      <c r="GP202" s="3">
        <f t="shared" si="180"/>
        <v>0</v>
      </c>
      <c r="GR202" s="3">
        <v>1</v>
      </c>
      <c r="GS202" s="3">
        <v>1</v>
      </c>
      <c r="GT202" s="3">
        <v>0</v>
      </c>
      <c r="GU202" s="3" t="s">
        <v>3</v>
      </c>
      <c r="GV202" s="3">
        <f t="shared" si="181"/>
        <v>0</v>
      </c>
      <c r="GW202" s="3">
        <v>1</v>
      </c>
      <c r="GX202" s="3">
        <f t="shared" si="182"/>
        <v>0</v>
      </c>
      <c r="HA202" s="3">
        <v>0</v>
      </c>
      <c r="HB202" s="3">
        <v>0</v>
      </c>
      <c r="HC202" s="3">
        <f t="shared" si="183"/>
        <v>0</v>
      </c>
      <c r="HE202" s="3" t="s">
        <v>210</v>
      </c>
      <c r="HF202" s="3" t="s">
        <v>30</v>
      </c>
      <c r="HM202" s="3" t="s">
        <v>3</v>
      </c>
      <c r="HN202" s="3" t="s">
        <v>3</v>
      </c>
      <c r="HO202" s="3" t="s">
        <v>3</v>
      </c>
      <c r="HP202" s="3" t="s">
        <v>3</v>
      </c>
      <c r="HQ202" s="3" t="s">
        <v>3</v>
      </c>
      <c r="HS202" s="3">
        <v>0</v>
      </c>
      <c r="IK202" s="3">
        <v>0</v>
      </c>
    </row>
    <row r="204" spans="1:255" x14ac:dyDescent="0.2">
      <c r="A204" s="11">
        <v>51</v>
      </c>
      <c r="B204" s="11">
        <f>B185</f>
        <v>1</v>
      </c>
      <c r="C204" s="11">
        <f>A185</f>
        <v>4</v>
      </c>
      <c r="D204" s="11">
        <f>ROW(A185)</f>
        <v>185</v>
      </c>
      <c r="E204" s="11"/>
      <c r="F204" s="11" t="str">
        <f>IF(F185&lt;&gt;"",F185,"")</f>
        <v>3</v>
      </c>
      <c r="G204" s="11" t="str">
        <f>IF(G185&lt;&gt;"",G185,"")</f>
        <v>Кабели и провода</v>
      </c>
      <c r="H204" s="11">
        <v>0</v>
      </c>
      <c r="I204" s="11"/>
      <c r="J204" s="11"/>
      <c r="K204" s="11"/>
      <c r="L204" s="11"/>
      <c r="M204" s="11"/>
      <c r="N204" s="11"/>
      <c r="O204" s="11">
        <f t="shared" ref="O204:T204" si="198">ROUND(AB204,2)</f>
        <v>11442.41</v>
      </c>
      <c r="P204" s="11">
        <f t="shared" si="198"/>
        <v>10231.870000000001</v>
      </c>
      <c r="Q204" s="11">
        <f t="shared" si="198"/>
        <v>145.38</v>
      </c>
      <c r="R204" s="11">
        <f t="shared" si="198"/>
        <v>7.35</v>
      </c>
      <c r="S204" s="11">
        <f t="shared" si="198"/>
        <v>1065.1600000000001</v>
      </c>
      <c r="T204" s="11">
        <f t="shared" si="198"/>
        <v>0</v>
      </c>
      <c r="U204" s="11">
        <f>AH204</f>
        <v>86.476755600000004</v>
      </c>
      <c r="V204" s="11">
        <f>AI204</f>
        <v>0</v>
      </c>
      <c r="W204" s="11">
        <f>ROUND(AJ204,2)</f>
        <v>0</v>
      </c>
      <c r="X204" s="11">
        <f>ROUND(AK204,2)</f>
        <v>1040.33</v>
      </c>
      <c r="Y204" s="11">
        <f>ROUND(AL204,2)</f>
        <v>546.98</v>
      </c>
      <c r="Z204" s="11"/>
      <c r="AA204" s="11"/>
      <c r="AB204" s="11">
        <f>ROUND(SUMIF(AA189:AA202,"=55919547",O189:O202),2)</f>
        <v>11442.41</v>
      </c>
      <c r="AC204" s="11">
        <f>ROUND(SUMIF(AA189:AA202,"=55919547",P189:P202),2)</f>
        <v>10231.870000000001</v>
      </c>
      <c r="AD204" s="11">
        <f>ROUND(SUMIF(AA189:AA202,"=55919547",Q189:Q202),2)</f>
        <v>145.38</v>
      </c>
      <c r="AE204" s="11">
        <f>ROUND(SUMIF(AA189:AA202,"=55919547",R189:R202),2)</f>
        <v>7.35</v>
      </c>
      <c r="AF204" s="11">
        <f>ROUND(SUMIF(AA189:AA202,"=55919547",S189:S202),2)</f>
        <v>1065.1600000000001</v>
      </c>
      <c r="AG204" s="11">
        <f>ROUND(SUMIF(AA189:AA202,"=55919547",T189:T202),2)</f>
        <v>0</v>
      </c>
      <c r="AH204" s="11">
        <f>SUMIF(AA189:AA202,"=55919547",U189:U202)</f>
        <v>86.476755600000004</v>
      </c>
      <c r="AI204" s="11">
        <f>SUMIF(AA189:AA202,"=55919547",V189:V202)</f>
        <v>0</v>
      </c>
      <c r="AJ204" s="11">
        <f>ROUND(SUMIF(AA189:AA202,"=55919547",W189:W202),2)</f>
        <v>0</v>
      </c>
      <c r="AK204" s="11">
        <f>ROUND(SUMIF(AA189:AA202,"=55919547",X189:X202),2)</f>
        <v>1040.33</v>
      </c>
      <c r="AL204" s="11">
        <f>ROUND(SUMIF(AA189:AA202,"=55919547",Y189:Y202),2)</f>
        <v>546.98</v>
      </c>
      <c r="AM204" s="11"/>
      <c r="AN204" s="11"/>
      <c r="AO204" s="11">
        <f t="shared" ref="AO204:BD204" si="199">ROUND(BX204,2)</f>
        <v>0</v>
      </c>
      <c r="AP204" s="11">
        <f t="shared" si="199"/>
        <v>0</v>
      </c>
      <c r="AQ204" s="11">
        <f t="shared" si="199"/>
        <v>0</v>
      </c>
      <c r="AR204" s="11">
        <f t="shared" si="199"/>
        <v>13029.72</v>
      </c>
      <c r="AS204" s="11">
        <f t="shared" si="199"/>
        <v>0</v>
      </c>
      <c r="AT204" s="11">
        <f t="shared" si="199"/>
        <v>13029.72</v>
      </c>
      <c r="AU204" s="11">
        <f t="shared" si="199"/>
        <v>0</v>
      </c>
      <c r="AV204" s="11">
        <f t="shared" si="199"/>
        <v>10231.870000000001</v>
      </c>
      <c r="AW204" s="11">
        <f t="shared" si="199"/>
        <v>10231.870000000001</v>
      </c>
      <c r="AX204" s="11">
        <f t="shared" si="199"/>
        <v>0</v>
      </c>
      <c r="AY204" s="11">
        <f t="shared" si="199"/>
        <v>10231.870000000001</v>
      </c>
      <c r="AZ204" s="11">
        <f t="shared" si="199"/>
        <v>0</v>
      </c>
      <c r="BA204" s="11">
        <f t="shared" si="199"/>
        <v>0</v>
      </c>
      <c r="BB204" s="11">
        <f t="shared" si="199"/>
        <v>0</v>
      </c>
      <c r="BC204" s="11">
        <f t="shared" si="199"/>
        <v>0</v>
      </c>
      <c r="BD204" s="11">
        <f t="shared" si="199"/>
        <v>0</v>
      </c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>
        <f>ROUND(SUMIF(AA189:AA202,"=55919547",FQ189:FQ202),2)</f>
        <v>0</v>
      </c>
      <c r="BY204" s="11">
        <f>ROUND(SUMIF(AA189:AA202,"=55919547",FR189:FR202),2)</f>
        <v>0</v>
      </c>
      <c r="BZ204" s="11">
        <f>ROUND(SUMIF(AA189:AA202,"=55919547",GL189:GL202),2)</f>
        <v>0</v>
      </c>
      <c r="CA204" s="11">
        <f>ROUND(SUMIF(AA189:AA202,"=55919547",GM189:GM202),2)</f>
        <v>13029.72</v>
      </c>
      <c r="CB204" s="11">
        <f>ROUND(SUMIF(AA189:AA202,"=55919547",GN189:GN202),2)</f>
        <v>0</v>
      </c>
      <c r="CC204" s="11">
        <f>ROUND(SUMIF(AA189:AA202,"=55919547",GO189:GO202),2)</f>
        <v>13029.72</v>
      </c>
      <c r="CD204" s="11">
        <f>ROUND(SUMIF(AA189:AA202,"=55919547",GP189:GP202),2)</f>
        <v>0</v>
      </c>
      <c r="CE204" s="11">
        <f>AC204-BX204</f>
        <v>10231.870000000001</v>
      </c>
      <c r="CF204" s="11">
        <f>AC204-BY204</f>
        <v>10231.870000000001</v>
      </c>
      <c r="CG204" s="11">
        <f>BX204-BZ204</f>
        <v>0</v>
      </c>
      <c r="CH204" s="11">
        <f>AC204-BX204-BY204+BZ204</f>
        <v>10231.870000000001</v>
      </c>
      <c r="CI204" s="11">
        <f>BY204-BZ204</f>
        <v>0</v>
      </c>
      <c r="CJ204" s="11">
        <f>ROUND(SUMIF(AA189:AA202,"=55919547",GX189:GX202),2)</f>
        <v>0</v>
      </c>
      <c r="CK204" s="11">
        <f>ROUND(SUMIF(AA189:AA202,"=55919547",GY189:GY202),2)</f>
        <v>0</v>
      </c>
      <c r="CL204" s="11">
        <f>ROUND(SUMIF(AA189:AA202,"=55919547",GZ189:GZ202),2)</f>
        <v>0</v>
      </c>
      <c r="CM204" s="11">
        <f>ROUND(SUMIF(AA189:AA202,"=55919547",HD189:HD202),2)</f>
        <v>0</v>
      </c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2">
        <f t="shared" ref="DG204:DL204" si="200">ROUND(DT204,2)</f>
        <v>137485.49</v>
      </c>
      <c r="DH204" s="12">
        <f t="shared" si="200"/>
        <v>75376.639999999999</v>
      </c>
      <c r="DI204" s="12">
        <f t="shared" si="200"/>
        <v>2087.09</v>
      </c>
      <c r="DJ204" s="12">
        <f t="shared" si="200"/>
        <v>414.18</v>
      </c>
      <c r="DK204" s="12">
        <f t="shared" si="200"/>
        <v>60021.760000000002</v>
      </c>
      <c r="DL204" s="12">
        <f t="shared" si="200"/>
        <v>0</v>
      </c>
      <c r="DM204" s="12">
        <f>DZ204</f>
        <v>86.476755600000004</v>
      </c>
      <c r="DN204" s="12">
        <f>EA204</f>
        <v>0</v>
      </c>
      <c r="DO204" s="12">
        <f>ROUND(EB204,2)</f>
        <v>0</v>
      </c>
      <c r="DP204" s="12">
        <f>ROUND(EC204,2)</f>
        <v>58622.86</v>
      </c>
      <c r="DQ204" s="12">
        <f>ROUND(ED204,2)</f>
        <v>30822.33</v>
      </c>
      <c r="DR204" s="12"/>
      <c r="DS204" s="12"/>
      <c r="DT204" s="12">
        <f>ROUND(SUMIF(AA189:AA202,"=55919549",O189:O202),2)</f>
        <v>137485.49</v>
      </c>
      <c r="DU204" s="12">
        <f>ROUND(SUMIF(AA189:AA202,"=55919549",P189:P202),2)</f>
        <v>75376.639999999999</v>
      </c>
      <c r="DV204" s="12">
        <f>ROUND(SUMIF(AA189:AA202,"=55919549",Q189:Q202),2)</f>
        <v>2087.09</v>
      </c>
      <c r="DW204" s="12">
        <f>ROUND(SUMIF(AA189:AA202,"=55919549",R189:R202),2)</f>
        <v>414.18</v>
      </c>
      <c r="DX204" s="12">
        <f>ROUND(SUMIF(AA189:AA202,"=55919549",S189:S202),2)</f>
        <v>60021.760000000002</v>
      </c>
      <c r="DY204" s="12">
        <f>ROUND(SUMIF(AA189:AA202,"=55919549",T189:T202),2)</f>
        <v>0</v>
      </c>
      <c r="DZ204" s="12">
        <f>SUMIF(AA189:AA202,"=55919549",U189:U202)</f>
        <v>86.476755600000004</v>
      </c>
      <c r="EA204" s="12">
        <f>SUMIF(AA189:AA202,"=55919549",V189:V202)</f>
        <v>0</v>
      </c>
      <c r="EB204" s="12">
        <f>ROUND(SUMIF(AA189:AA202,"=55919549",W189:W202),2)</f>
        <v>0</v>
      </c>
      <c r="EC204" s="12">
        <f>ROUND(SUMIF(AA189:AA202,"=55919549",X189:X202),2)</f>
        <v>58622.86</v>
      </c>
      <c r="ED204" s="12">
        <f>ROUND(SUMIF(AA189:AA202,"=55919549",Y189:Y202),2)</f>
        <v>30822.33</v>
      </c>
      <c r="EE204" s="12"/>
      <c r="EF204" s="12"/>
      <c r="EG204" s="12">
        <f t="shared" ref="EG204:EV204" si="201">ROUND(FP204,2)</f>
        <v>0</v>
      </c>
      <c r="EH204" s="12">
        <f t="shared" si="201"/>
        <v>0</v>
      </c>
      <c r="EI204" s="12">
        <f t="shared" si="201"/>
        <v>0</v>
      </c>
      <c r="EJ204" s="12">
        <f t="shared" si="201"/>
        <v>226930.68</v>
      </c>
      <c r="EK204" s="12">
        <f t="shared" si="201"/>
        <v>0</v>
      </c>
      <c r="EL204" s="12">
        <f t="shared" si="201"/>
        <v>226930.68</v>
      </c>
      <c r="EM204" s="12">
        <f t="shared" si="201"/>
        <v>0</v>
      </c>
      <c r="EN204" s="12">
        <f t="shared" si="201"/>
        <v>75376.639999999999</v>
      </c>
      <c r="EO204" s="12">
        <f t="shared" si="201"/>
        <v>75376.639999999999</v>
      </c>
      <c r="EP204" s="12">
        <f t="shared" si="201"/>
        <v>0</v>
      </c>
      <c r="EQ204" s="12">
        <f t="shared" si="201"/>
        <v>75376.639999999999</v>
      </c>
      <c r="ER204" s="12">
        <f t="shared" si="201"/>
        <v>0</v>
      </c>
      <c r="ES204" s="12">
        <f t="shared" si="201"/>
        <v>0</v>
      </c>
      <c r="ET204" s="12">
        <f t="shared" si="201"/>
        <v>0</v>
      </c>
      <c r="EU204" s="12">
        <f t="shared" si="201"/>
        <v>0</v>
      </c>
      <c r="EV204" s="12">
        <f t="shared" si="201"/>
        <v>0</v>
      </c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>
        <f>ROUND(SUMIF(AA189:AA202,"=55919549",FQ189:FQ202),2)</f>
        <v>0</v>
      </c>
      <c r="FQ204" s="12">
        <f>ROUND(SUMIF(AA189:AA202,"=55919549",FR189:FR202),2)</f>
        <v>0</v>
      </c>
      <c r="FR204" s="12">
        <f>ROUND(SUMIF(AA189:AA202,"=55919549",GL189:GL202),2)</f>
        <v>0</v>
      </c>
      <c r="FS204" s="12">
        <f>ROUND(SUMIF(AA189:AA202,"=55919549",GM189:GM202),2)</f>
        <v>226930.68</v>
      </c>
      <c r="FT204" s="12">
        <f>ROUND(SUMIF(AA189:AA202,"=55919549",GN189:GN202),2)</f>
        <v>0</v>
      </c>
      <c r="FU204" s="12">
        <f>ROUND(SUMIF(AA189:AA202,"=55919549",GO189:GO202),2)</f>
        <v>226930.68</v>
      </c>
      <c r="FV204" s="12">
        <f>ROUND(SUMIF(AA189:AA202,"=55919549",GP189:GP202),2)</f>
        <v>0</v>
      </c>
      <c r="FW204" s="12">
        <f>DU204-FP204</f>
        <v>75376.639999999999</v>
      </c>
      <c r="FX204" s="12">
        <f>DU204-FQ204</f>
        <v>75376.639999999999</v>
      </c>
      <c r="FY204" s="12">
        <f>FP204-FR204</f>
        <v>0</v>
      </c>
      <c r="FZ204" s="12">
        <f>DU204-FP204-FQ204+FR204</f>
        <v>75376.639999999999</v>
      </c>
      <c r="GA204" s="12">
        <f>FQ204-FR204</f>
        <v>0</v>
      </c>
      <c r="GB204" s="12">
        <f>ROUND(SUMIF(AA189:AA202,"=55919549",GX189:GX202),2)</f>
        <v>0</v>
      </c>
      <c r="GC204" s="12">
        <f>ROUND(SUMIF(AA189:AA202,"=55919549",GY189:GY202),2)</f>
        <v>0</v>
      </c>
      <c r="GD204" s="12">
        <f>ROUND(SUMIF(AA189:AA202,"=55919549",GZ189:GZ202),2)</f>
        <v>0</v>
      </c>
      <c r="GE204" s="12">
        <f>ROUND(SUMIF(AA189:AA202,"=55919549",HD189:HD202),2)</f>
        <v>0</v>
      </c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>
        <v>0</v>
      </c>
    </row>
    <row r="206" spans="1:255" x14ac:dyDescent="0.2">
      <c r="A206" s="13">
        <v>50</v>
      </c>
      <c r="B206" s="13">
        <v>0</v>
      </c>
      <c r="C206" s="13">
        <v>0</v>
      </c>
      <c r="D206" s="13">
        <v>1</v>
      </c>
      <c r="E206" s="13">
        <v>201</v>
      </c>
      <c r="F206" s="13">
        <f>ROUND(Source!O204,O206)</f>
        <v>11442.41</v>
      </c>
      <c r="G206" s="13" t="s">
        <v>75</v>
      </c>
      <c r="H206" s="13" t="s">
        <v>76</v>
      </c>
      <c r="I206" s="13"/>
      <c r="J206" s="13"/>
      <c r="K206" s="13">
        <v>201</v>
      </c>
      <c r="L206" s="13">
        <v>1</v>
      </c>
      <c r="M206" s="13">
        <v>3</v>
      </c>
      <c r="N206" s="13" t="s">
        <v>3</v>
      </c>
      <c r="O206" s="13">
        <v>2</v>
      </c>
      <c r="P206" s="13">
        <f>ROUND(Source!DG204,O206)</f>
        <v>137485.49</v>
      </c>
      <c r="Q206" s="13"/>
      <c r="R206" s="13"/>
      <c r="S206" s="13"/>
      <c r="T206" s="13"/>
      <c r="U206" s="13"/>
      <c r="V206" s="13"/>
      <c r="W206" s="13">
        <v>11442.41</v>
      </c>
      <c r="X206" s="13">
        <v>1</v>
      </c>
      <c r="Y206" s="13">
        <v>11442.41</v>
      </c>
      <c r="Z206" s="13">
        <v>137485.49</v>
      </c>
      <c r="AA206" s="13">
        <v>1</v>
      </c>
      <c r="AB206" s="13">
        <v>137485.49</v>
      </c>
    </row>
    <row r="207" spans="1:255" x14ac:dyDescent="0.2">
      <c r="A207" s="13">
        <v>50</v>
      </c>
      <c r="B207" s="13">
        <v>0</v>
      </c>
      <c r="C207" s="13">
        <v>0</v>
      </c>
      <c r="D207" s="13">
        <v>1</v>
      </c>
      <c r="E207" s="13">
        <v>202</v>
      </c>
      <c r="F207" s="13">
        <f>ROUND(Source!P204,O207)</f>
        <v>10231.870000000001</v>
      </c>
      <c r="G207" s="13" t="s">
        <v>77</v>
      </c>
      <c r="H207" s="13" t="s">
        <v>78</v>
      </c>
      <c r="I207" s="13"/>
      <c r="J207" s="13"/>
      <c r="K207" s="13">
        <v>202</v>
      </c>
      <c r="L207" s="13">
        <v>2</v>
      </c>
      <c r="M207" s="13">
        <v>3</v>
      </c>
      <c r="N207" s="13" t="s">
        <v>3</v>
      </c>
      <c r="O207" s="13">
        <v>2</v>
      </c>
      <c r="P207" s="13">
        <f>ROUND(Source!DH204,O207)</f>
        <v>75376.639999999999</v>
      </c>
      <c r="Q207" s="13"/>
      <c r="R207" s="13"/>
      <c r="S207" s="13"/>
      <c r="T207" s="13"/>
      <c r="U207" s="13"/>
      <c r="V207" s="13"/>
      <c r="W207" s="13">
        <v>10231.870000000001</v>
      </c>
      <c r="X207" s="13">
        <v>1</v>
      </c>
      <c r="Y207" s="13">
        <v>10231.870000000001</v>
      </c>
      <c r="Z207" s="13">
        <v>75376.639999999999</v>
      </c>
      <c r="AA207" s="13">
        <v>1</v>
      </c>
      <c r="AB207" s="13">
        <v>75376.639999999999</v>
      </c>
    </row>
    <row r="208" spans="1:255" x14ac:dyDescent="0.2">
      <c r="A208" s="13">
        <v>50</v>
      </c>
      <c r="B208" s="13">
        <v>0</v>
      </c>
      <c r="C208" s="13">
        <v>0</v>
      </c>
      <c r="D208" s="13">
        <v>1</v>
      </c>
      <c r="E208" s="13">
        <v>222</v>
      </c>
      <c r="F208" s="13">
        <f>ROUND(Source!AO204,O208)</f>
        <v>0</v>
      </c>
      <c r="G208" s="13" t="s">
        <v>79</v>
      </c>
      <c r="H208" s="13" t="s">
        <v>80</v>
      </c>
      <c r="I208" s="13"/>
      <c r="J208" s="13"/>
      <c r="K208" s="13">
        <v>222</v>
      </c>
      <c r="L208" s="13">
        <v>3</v>
      </c>
      <c r="M208" s="13">
        <v>3</v>
      </c>
      <c r="N208" s="13" t="s">
        <v>3</v>
      </c>
      <c r="O208" s="13">
        <v>2</v>
      </c>
      <c r="P208" s="13">
        <f>ROUND(Source!EG204,O208)</f>
        <v>0</v>
      </c>
      <c r="Q208" s="13"/>
      <c r="R208" s="13"/>
      <c r="S208" s="13"/>
      <c r="T208" s="13"/>
      <c r="U208" s="13"/>
      <c r="V208" s="13"/>
      <c r="W208" s="13">
        <v>0</v>
      </c>
      <c r="X208" s="13">
        <v>1</v>
      </c>
      <c r="Y208" s="13">
        <v>0</v>
      </c>
      <c r="Z208" s="13">
        <v>0</v>
      </c>
      <c r="AA208" s="13">
        <v>1</v>
      </c>
      <c r="AB208" s="13">
        <v>0</v>
      </c>
    </row>
    <row r="209" spans="1:28" x14ac:dyDescent="0.2">
      <c r="A209" s="13">
        <v>50</v>
      </c>
      <c r="B209" s="13">
        <v>0</v>
      </c>
      <c r="C209" s="13">
        <v>0</v>
      </c>
      <c r="D209" s="13">
        <v>1</v>
      </c>
      <c r="E209" s="13">
        <v>225</v>
      </c>
      <c r="F209" s="13">
        <f>ROUND(Source!AV204,O209)</f>
        <v>10231.870000000001</v>
      </c>
      <c r="G209" s="13" t="s">
        <v>81</v>
      </c>
      <c r="H209" s="13" t="s">
        <v>82</v>
      </c>
      <c r="I209" s="13"/>
      <c r="J209" s="13"/>
      <c r="K209" s="13">
        <v>225</v>
      </c>
      <c r="L209" s="13">
        <v>4</v>
      </c>
      <c r="M209" s="13">
        <v>3</v>
      </c>
      <c r="N209" s="13" t="s">
        <v>3</v>
      </c>
      <c r="O209" s="13">
        <v>2</v>
      </c>
      <c r="P209" s="13">
        <f>ROUND(Source!EN204,O209)</f>
        <v>75376.639999999999</v>
      </c>
      <c r="Q209" s="13"/>
      <c r="R209" s="13"/>
      <c r="S209" s="13"/>
      <c r="T209" s="13"/>
      <c r="U209" s="13"/>
      <c r="V209" s="13"/>
      <c r="W209" s="13">
        <v>10231.870000000001</v>
      </c>
      <c r="X209" s="13">
        <v>1</v>
      </c>
      <c r="Y209" s="13">
        <v>10231.870000000001</v>
      </c>
      <c r="Z209" s="13">
        <v>75376.639999999999</v>
      </c>
      <c r="AA209" s="13">
        <v>1</v>
      </c>
      <c r="AB209" s="13">
        <v>75376.639999999999</v>
      </c>
    </row>
    <row r="210" spans="1:28" x14ac:dyDescent="0.2">
      <c r="A210" s="13">
        <v>50</v>
      </c>
      <c r="B210" s="13">
        <v>0</v>
      </c>
      <c r="C210" s="13">
        <v>0</v>
      </c>
      <c r="D210" s="13">
        <v>1</v>
      </c>
      <c r="E210" s="13">
        <v>226</v>
      </c>
      <c r="F210" s="13">
        <f>ROUND(Source!AW204,O210)</f>
        <v>10231.870000000001</v>
      </c>
      <c r="G210" s="13" t="s">
        <v>83</v>
      </c>
      <c r="H210" s="13" t="s">
        <v>84</v>
      </c>
      <c r="I210" s="13"/>
      <c r="J210" s="13"/>
      <c r="K210" s="13">
        <v>226</v>
      </c>
      <c r="L210" s="13">
        <v>5</v>
      </c>
      <c r="M210" s="13">
        <v>3</v>
      </c>
      <c r="N210" s="13" t="s">
        <v>3</v>
      </c>
      <c r="O210" s="13">
        <v>2</v>
      </c>
      <c r="P210" s="13">
        <f>ROUND(Source!EO204,O210)</f>
        <v>75376.639999999999</v>
      </c>
      <c r="Q210" s="13"/>
      <c r="R210" s="13"/>
      <c r="S210" s="13"/>
      <c r="T210" s="13"/>
      <c r="U210" s="13"/>
      <c r="V210" s="13"/>
      <c r="W210" s="13">
        <v>10231.870000000001</v>
      </c>
      <c r="X210" s="13">
        <v>1</v>
      </c>
      <c r="Y210" s="13">
        <v>10231.870000000001</v>
      </c>
      <c r="Z210" s="13">
        <v>75376.639999999999</v>
      </c>
      <c r="AA210" s="13">
        <v>1</v>
      </c>
      <c r="AB210" s="13">
        <v>75376.639999999999</v>
      </c>
    </row>
    <row r="211" spans="1:28" x14ac:dyDescent="0.2">
      <c r="A211" s="13">
        <v>50</v>
      </c>
      <c r="B211" s="13">
        <v>0</v>
      </c>
      <c r="C211" s="13">
        <v>0</v>
      </c>
      <c r="D211" s="13">
        <v>1</v>
      </c>
      <c r="E211" s="13">
        <v>227</v>
      </c>
      <c r="F211" s="13">
        <f>ROUND(Source!AX204,O211)</f>
        <v>0</v>
      </c>
      <c r="G211" s="13" t="s">
        <v>85</v>
      </c>
      <c r="H211" s="13" t="s">
        <v>86</v>
      </c>
      <c r="I211" s="13"/>
      <c r="J211" s="13"/>
      <c r="K211" s="13">
        <v>227</v>
      </c>
      <c r="L211" s="13">
        <v>6</v>
      </c>
      <c r="M211" s="13">
        <v>3</v>
      </c>
      <c r="N211" s="13" t="s">
        <v>3</v>
      </c>
      <c r="O211" s="13">
        <v>2</v>
      </c>
      <c r="P211" s="13">
        <f>ROUND(Source!EP204,O211)</f>
        <v>0</v>
      </c>
      <c r="Q211" s="13"/>
      <c r="R211" s="13"/>
      <c r="S211" s="13"/>
      <c r="T211" s="13"/>
      <c r="U211" s="13"/>
      <c r="V211" s="13"/>
      <c r="W211" s="13">
        <v>0</v>
      </c>
      <c r="X211" s="13">
        <v>1</v>
      </c>
      <c r="Y211" s="13">
        <v>0</v>
      </c>
      <c r="Z211" s="13">
        <v>0</v>
      </c>
      <c r="AA211" s="13">
        <v>1</v>
      </c>
      <c r="AB211" s="13">
        <v>0</v>
      </c>
    </row>
    <row r="212" spans="1:28" x14ac:dyDescent="0.2">
      <c r="A212" s="13">
        <v>50</v>
      </c>
      <c r="B212" s="13">
        <v>0</v>
      </c>
      <c r="C212" s="13">
        <v>0</v>
      </c>
      <c r="D212" s="13">
        <v>1</v>
      </c>
      <c r="E212" s="13">
        <v>228</v>
      </c>
      <c r="F212" s="13">
        <f>ROUND(Source!AY204,O212)</f>
        <v>10231.870000000001</v>
      </c>
      <c r="G212" s="13" t="s">
        <v>87</v>
      </c>
      <c r="H212" s="13" t="s">
        <v>88</v>
      </c>
      <c r="I212" s="13"/>
      <c r="J212" s="13"/>
      <c r="K212" s="13">
        <v>228</v>
      </c>
      <c r="L212" s="13">
        <v>7</v>
      </c>
      <c r="M212" s="13">
        <v>3</v>
      </c>
      <c r="N212" s="13" t="s">
        <v>3</v>
      </c>
      <c r="O212" s="13">
        <v>2</v>
      </c>
      <c r="P212" s="13">
        <f>ROUND(Source!EQ204,O212)</f>
        <v>75376.639999999999</v>
      </c>
      <c r="Q212" s="13"/>
      <c r="R212" s="13"/>
      <c r="S212" s="13"/>
      <c r="T212" s="13"/>
      <c r="U212" s="13"/>
      <c r="V212" s="13"/>
      <c r="W212" s="13">
        <v>10231.870000000001</v>
      </c>
      <c r="X212" s="13">
        <v>1</v>
      </c>
      <c r="Y212" s="13">
        <v>10231.870000000001</v>
      </c>
      <c r="Z212" s="13">
        <v>75376.639999999999</v>
      </c>
      <c r="AA212" s="13">
        <v>1</v>
      </c>
      <c r="AB212" s="13">
        <v>75376.639999999999</v>
      </c>
    </row>
    <row r="213" spans="1:28" x14ac:dyDescent="0.2">
      <c r="A213" s="13">
        <v>50</v>
      </c>
      <c r="B213" s="13">
        <v>0</v>
      </c>
      <c r="C213" s="13">
        <v>0</v>
      </c>
      <c r="D213" s="13">
        <v>1</v>
      </c>
      <c r="E213" s="13">
        <v>216</v>
      </c>
      <c r="F213" s="13">
        <f>ROUND(Source!AP204,O213)</f>
        <v>0</v>
      </c>
      <c r="G213" s="13" t="s">
        <v>89</v>
      </c>
      <c r="H213" s="13" t="s">
        <v>90</v>
      </c>
      <c r="I213" s="13"/>
      <c r="J213" s="13"/>
      <c r="K213" s="13">
        <v>216</v>
      </c>
      <c r="L213" s="13">
        <v>8</v>
      </c>
      <c r="M213" s="13">
        <v>3</v>
      </c>
      <c r="N213" s="13" t="s">
        <v>3</v>
      </c>
      <c r="O213" s="13">
        <v>2</v>
      </c>
      <c r="P213" s="13">
        <f>ROUND(Source!EH204,O213)</f>
        <v>0</v>
      </c>
      <c r="Q213" s="13"/>
      <c r="R213" s="13"/>
      <c r="S213" s="13"/>
      <c r="T213" s="13"/>
      <c r="U213" s="13"/>
      <c r="V213" s="13"/>
      <c r="W213" s="13">
        <v>0</v>
      </c>
      <c r="X213" s="13">
        <v>1</v>
      </c>
      <c r="Y213" s="13">
        <v>0</v>
      </c>
      <c r="Z213" s="13">
        <v>0</v>
      </c>
      <c r="AA213" s="13">
        <v>1</v>
      </c>
      <c r="AB213" s="13">
        <v>0</v>
      </c>
    </row>
    <row r="214" spans="1:28" x14ac:dyDescent="0.2">
      <c r="A214" s="13">
        <v>50</v>
      </c>
      <c r="B214" s="13">
        <v>0</v>
      </c>
      <c r="C214" s="13">
        <v>0</v>
      </c>
      <c r="D214" s="13">
        <v>1</v>
      </c>
      <c r="E214" s="13">
        <v>223</v>
      </c>
      <c r="F214" s="13">
        <f>ROUND(Source!AQ204,O214)</f>
        <v>0</v>
      </c>
      <c r="G214" s="13" t="s">
        <v>91</v>
      </c>
      <c r="H214" s="13" t="s">
        <v>92</v>
      </c>
      <c r="I214" s="13"/>
      <c r="J214" s="13"/>
      <c r="K214" s="13">
        <v>223</v>
      </c>
      <c r="L214" s="13">
        <v>9</v>
      </c>
      <c r="M214" s="13">
        <v>3</v>
      </c>
      <c r="N214" s="13" t="s">
        <v>3</v>
      </c>
      <c r="O214" s="13">
        <v>2</v>
      </c>
      <c r="P214" s="13">
        <f>ROUND(Source!EI204,O214)</f>
        <v>0</v>
      </c>
      <c r="Q214" s="13"/>
      <c r="R214" s="13"/>
      <c r="S214" s="13"/>
      <c r="T214" s="13"/>
      <c r="U214" s="13"/>
      <c r="V214" s="13"/>
      <c r="W214" s="13">
        <v>0</v>
      </c>
      <c r="X214" s="13">
        <v>1</v>
      </c>
      <c r="Y214" s="13">
        <v>0</v>
      </c>
      <c r="Z214" s="13">
        <v>0</v>
      </c>
      <c r="AA214" s="13">
        <v>1</v>
      </c>
      <c r="AB214" s="13">
        <v>0</v>
      </c>
    </row>
    <row r="215" spans="1:28" x14ac:dyDescent="0.2">
      <c r="A215" s="13">
        <v>50</v>
      </c>
      <c r="B215" s="13">
        <v>0</v>
      </c>
      <c r="C215" s="13">
        <v>0</v>
      </c>
      <c r="D215" s="13">
        <v>1</v>
      </c>
      <c r="E215" s="13">
        <v>229</v>
      </c>
      <c r="F215" s="13">
        <f>ROUND(Source!AZ204,O215)</f>
        <v>0</v>
      </c>
      <c r="G215" s="13" t="s">
        <v>93</v>
      </c>
      <c r="H215" s="13" t="s">
        <v>94</v>
      </c>
      <c r="I215" s="13"/>
      <c r="J215" s="13"/>
      <c r="K215" s="13">
        <v>229</v>
      </c>
      <c r="L215" s="13">
        <v>10</v>
      </c>
      <c r="M215" s="13">
        <v>3</v>
      </c>
      <c r="N215" s="13" t="s">
        <v>3</v>
      </c>
      <c r="O215" s="13">
        <v>2</v>
      </c>
      <c r="P215" s="13">
        <f>ROUND(Source!ER204,O215)</f>
        <v>0</v>
      </c>
      <c r="Q215" s="13"/>
      <c r="R215" s="13"/>
      <c r="S215" s="13"/>
      <c r="T215" s="13"/>
      <c r="U215" s="13"/>
      <c r="V215" s="13"/>
      <c r="W215" s="13">
        <v>0</v>
      </c>
      <c r="X215" s="13">
        <v>1</v>
      </c>
      <c r="Y215" s="13">
        <v>0</v>
      </c>
      <c r="Z215" s="13">
        <v>0</v>
      </c>
      <c r="AA215" s="13">
        <v>1</v>
      </c>
      <c r="AB215" s="13">
        <v>0</v>
      </c>
    </row>
    <row r="216" spans="1:28" x14ac:dyDescent="0.2">
      <c r="A216" s="13">
        <v>50</v>
      </c>
      <c r="B216" s="13">
        <v>0</v>
      </c>
      <c r="C216" s="13">
        <v>0</v>
      </c>
      <c r="D216" s="13">
        <v>1</v>
      </c>
      <c r="E216" s="13">
        <v>203</v>
      </c>
      <c r="F216" s="13">
        <f>ROUND(Source!Q204,O216)</f>
        <v>145.38</v>
      </c>
      <c r="G216" s="13" t="s">
        <v>95</v>
      </c>
      <c r="H216" s="13" t="s">
        <v>96</v>
      </c>
      <c r="I216" s="13"/>
      <c r="J216" s="13"/>
      <c r="K216" s="13">
        <v>203</v>
      </c>
      <c r="L216" s="13">
        <v>11</v>
      </c>
      <c r="M216" s="13">
        <v>3</v>
      </c>
      <c r="N216" s="13" t="s">
        <v>3</v>
      </c>
      <c r="O216" s="13">
        <v>2</v>
      </c>
      <c r="P216" s="13">
        <f>ROUND(Source!DI204,O216)</f>
        <v>2087.09</v>
      </c>
      <c r="Q216" s="13"/>
      <c r="R216" s="13"/>
      <c r="S216" s="13"/>
      <c r="T216" s="13"/>
      <c r="U216" s="13"/>
      <c r="V216" s="13"/>
      <c r="W216" s="13">
        <v>145.38</v>
      </c>
      <c r="X216" s="13">
        <v>1</v>
      </c>
      <c r="Y216" s="13">
        <v>145.38</v>
      </c>
      <c r="Z216" s="13">
        <v>2087.09</v>
      </c>
      <c r="AA216" s="13">
        <v>1</v>
      </c>
      <c r="AB216" s="13">
        <v>2087.09</v>
      </c>
    </row>
    <row r="217" spans="1:28" x14ac:dyDescent="0.2">
      <c r="A217" s="13">
        <v>50</v>
      </c>
      <c r="B217" s="13">
        <v>0</v>
      </c>
      <c r="C217" s="13">
        <v>0</v>
      </c>
      <c r="D217" s="13">
        <v>1</v>
      </c>
      <c r="E217" s="13">
        <v>231</v>
      </c>
      <c r="F217" s="13">
        <f>ROUND(Source!BB204,O217)</f>
        <v>0</v>
      </c>
      <c r="G217" s="13" t="s">
        <v>97</v>
      </c>
      <c r="H217" s="13" t="s">
        <v>98</v>
      </c>
      <c r="I217" s="13"/>
      <c r="J217" s="13"/>
      <c r="K217" s="13">
        <v>231</v>
      </c>
      <c r="L217" s="13">
        <v>12</v>
      </c>
      <c r="M217" s="13">
        <v>3</v>
      </c>
      <c r="N217" s="13" t="s">
        <v>3</v>
      </c>
      <c r="O217" s="13">
        <v>2</v>
      </c>
      <c r="P217" s="13">
        <f>ROUND(Source!ET204,O217)</f>
        <v>0</v>
      </c>
      <c r="Q217" s="13"/>
      <c r="R217" s="13"/>
      <c r="S217" s="13"/>
      <c r="T217" s="13"/>
      <c r="U217" s="13"/>
      <c r="V217" s="13"/>
      <c r="W217" s="13">
        <v>0</v>
      </c>
      <c r="X217" s="13">
        <v>1</v>
      </c>
      <c r="Y217" s="13">
        <v>0</v>
      </c>
      <c r="Z217" s="13">
        <v>0</v>
      </c>
      <c r="AA217" s="13">
        <v>1</v>
      </c>
      <c r="AB217" s="13">
        <v>0</v>
      </c>
    </row>
    <row r="218" spans="1:28" x14ac:dyDescent="0.2">
      <c r="A218" s="13">
        <v>50</v>
      </c>
      <c r="B218" s="13">
        <v>0</v>
      </c>
      <c r="C218" s="13">
        <v>0</v>
      </c>
      <c r="D218" s="13">
        <v>1</v>
      </c>
      <c r="E218" s="13">
        <v>204</v>
      </c>
      <c r="F218" s="13">
        <f>ROUND(Source!R204,O218)</f>
        <v>7.35</v>
      </c>
      <c r="G218" s="13" t="s">
        <v>99</v>
      </c>
      <c r="H218" s="13" t="s">
        <v>100</v>
      </c>
      <c r="I218" s="13"/>
      <c r="J218" s="13"/>
      <c r="K218" s="13">
        <v>204</v>
      </c>
      <c r="L218" s="13">
        <v>13</v>
      </c>
      <c r="M218" s="13">
        <v>3</v>
      </c>
      <c r="N218" s="13" t="s">
        <v>3</v>
      </c>
      <c r="O218" s="13">
        <v>2</v>
      </c>
      <c r="P218" s="13">
        <f>ROUND(Source!DJ204,O218)</f>
        <v>414.18</v>
      </c>
      <c r="Q218" s="13"/>
      <c r="R218" s="13"/>
      <c r="S218" s="13"/>
      <c r="T218" s="13"/>
      <c r="U218" s="13"/>
      <c r="V218" s="13"/>
      <c r="W218" s="13">
        <v>7.35</v>
      </c>
      <c r="X218" s="13">
        <v>1</v>
      </c>
      <c r="Y218" s="13">
        <v>7.35</v>
      </c>
      <c r="Z218" s="13">
        <v>414.18</v>
      </c>
      <c r="AA218" s="13">
        <v>1</v>
      </c>
      <c r="AB218" s="13">
        <v>414.18</v>
      </c>
    </row>
    <row r="219" spans="1:28" x14ac:dyDescent="0.2">
      <c r="A219" s="13">
        <v>50</v>
      </c>
      <c r="B219" s="13">
        <v>0</v>
      </c>
      <c r="C219" s="13">
        <v>0</v>
      </c>
      <c r="D219" s="13">
        <v>1</v>
      </c>
      <c r="E219" s="13">
        <v>205</v>
      </c>
      <c r="F219" s="13">
        <f>ROUND(Source!S204,O219)</f>
        <v>1065.1600000000001</v>
      </c>
      <c r="G219" s="13" t="s">
        <v>101</v>
      </c>
      <c r="H219" s="13" t="s">
        <v>102</v>
      </c>
      <c r="I219" s="13"/>
      <c r="J219" s="13"/>
      <c r="K219" s="13">
        <v>205</v>
      </c>
      <c r="L219" s="13">
        <v>14</v>
      </c>
      <c r="M219" s="13">
        <v>3</v>
      </c>
      <c r="N219" s="13" t="s">
        <v>3</v>
      </c>
      <c r="O219" s="13">
        <v>2</v>
      </c>
      <c r="P219" s="13">
        <f>ROUND(Source!DK204,O219)</f>
        <v>60021.760000000002</v>
      </c>
      <c r="Q219" s="13"/>
      <c r="R219" s="13"/>
      <c r="S219" s="13"/>
      <c r="T219" s="13"/>
      <c r="U219" s="13"/>
      <c r="V219" s="13"/>
      <c r="W219" s="13">
        <v>1065.1600000000001</v>
      </c>
      <c r="X219" s="13">
        <v>1</v>
      </c>
      <c r="Y219" s="13">
        <v>1065.1600000000001</v>
      </c>
      <c r="Z219" s="13">
        <v>60021.760000000002</v>
      </c>
      <c r="AA219" s="13">
        <v>1</v>
      </c>
      <c r="AB219" s="13">
        <v>60021.760000000002</v>
      </c>
    </row>
    <row r="220" spans="1:28" x14ac:dyDescent="0.2">
      <c r="A220" s="13">
        <v>50</v>
      </c>
      <c r="B220" s="13">
        <v>0</v>
      </c>
      <c r="C220" s="13">
        <v>0</v>
      </c>
      <c r="D220" s="13">
        <v>1</v>
      </c>
      <c r="E220" s="13">
        <v>232</v>
      </c>
      <c r="F220" s="13">
        <f>ROUND(Source!BC204,O220)</f>
        <v>0</v>
      </c>
      <c r="G220" s="13" t="s">
        <v>103</v>
      </c>
      <c r="H220" s="13" t="s">
        <v>104</v>
      </c>
      <c r="I220" s="13"/>
      <c r="J220" s="13"/>
      <c r="K220" s="13">
        <v>232</v>
      </c>
      <c r="L220" s="13">
        <v>15</v>
      </c>
      <c r="M220" s="13">
        <v>3</v>
      </c>
      <c r="N220" s="13" t="s">
        <v>3</v>
      </c>
      <c r="O220" s="13">
        <v>2</v>
      </c>
      <c r="P220" s="13">
        <f>ROUND(Source!EU204,O220)</f>
        <v>0</v>
      </c>
      <c r="Q220" s="13"/>
      <c r="R220" s="13"/>
      <c r="S220" s="13"/>
      <c r="T220" s="13"/>
      <c r="U220" s="13"/>
      <c r="V220" s="13"/>
      <c r="W220" s="13">
        <v>0</v>
      </c>
      <c r="X220" s="13">
        <v>1</v>
      </c>
      <c r="Y220" s="13">
        <v>0</v>
      </c>
      <c r="Z220" s="13">
        <v>0</v>
      </c>
      <c r="AA220" s="13">
        <v>1</v>
      </c>
      <c r="AB220" s="13">
        <v>0</v>
      </c>
    </row>
    <row r="221" spans="1:28" x14ac:dyDescent="0.2">
      <c r="A221" s="13">
        <v>50</v>
      </c>
      <c r="B221" s="13">
        <v>0</v>
      </c>
      <c r="C221" s="13">
        <v>0</v>
      </c>
      <c r="D221" s="13">
        <v>1</v>
      </c>
      <c r="E221" s="13">
        <v>214</v>
      </c>
      <c r="F221" s="13">
        <f>ROUND(Source!AS204,O221)</f>
        <v>0</v>
      </c>
      <c r="G221" s="13" t="s">
        <v>105</v>
      </c>
      <c r="H221" s="13" t="s">
        <v>106</v>
      </c>
      <c r="I221" s="13"/>
      <c r="J221" s="13"/>
      <c r="K221" s="13">
        <v>214</v>
      </c>
      <c r="L221" s="13">
        <v>16</v>
      </c>
      <c r="M221" s="13">
        <v>3</v>
      </c>
      <c r="N221" s="13" t="s">
        <v>3</v>
      </c>
      <c r="O221" s="13">
        <v>2</v>
      </c>
      <c r="P221" s="13">
        <f>ROUND(Source!EK204,O221)</f>
        <v>0</v>
      </c>
      <c r="Q221" s="13"/>
      <c r="R221" s="13"/>
      <c r="S221" s="13"/>
      <c r="T221" s="13"/>
      <c r="U221" s="13"/>
      <c r="V221" s="13"/>
      <c r="W221" s="13">
        <v>0</v>
      </c>
      <c r="X221" s="13">
        <v>1</v>
      </c>
      <c r="Y221" s="13">
        <v>0</v>
      </c>
      <c r="Z221" s="13">
        <v>0</v>
      </c>
      <c r="AA221" s="13">
        <v>1</v>
      </c>
      <c r="AB221" s="13">
        <v>0</v>
      </c>
    </row>
    <row r="222" spans="1:28" x14ac:dyDescent="0.2">
      <c r="A222" s="13">
        <v>50</v>
      </c>
      <c r="B222" s="13">
        <v>0</v>
      </c>
      <c r="C222" s="13">
        <v>0</v>
      </c>
      <c r="D222" s="13">
        <v>1</v>
      </c>
      <c r="E222" s="13">
        <v>215</v>
      </c>
      <c r="F222" s="13">
        <f>ROUND(Source!AT204,O222)</f>
        <v>13029.72</v>
      </c>
      <c r="G222" s="13" t="s">
        <v>107</v>
      </c>
      <c r="H222" s="13" t="s">
        <v>108</v>
      </c>
      <c r="I222" s="13"/>
      <c r="J222" s="13"/>
      <c r="K222" s="13">
        <v>215</v>
      </c>
      <c r="L222" s="13">
        <v>17</v>
      </c>
      <c r="M222" s="13">
        <v>3</v>
      </c>
      <c r="N222" s="13" t="s">
        <v>3</v>
      </c>
      <c r="O222" s="13">
        <v>2</v>
      </c>
      <c r="P222" s="13">
        <f>ROUND(Source!EL204,O222)</f>
        <v>226930.68</v>
      </c>
      <c r="Q222" s="13"/>
      <c r="R222" s="13"/>
      <c r="S222" s="13"/>
      <c r="T222" s="13"/>
      <c r="U222" s="13"/>
      <c r="V222" s="13"/>
      <c r="W222" s="13">
        <v>13029.72</v>
      </c>
      <c r="X222" s="13">
        <v>1</v>
      </c>
      <c r="Y222" s="13">
        <v>13029.72</v>
      </c>
      <c r="Z222" s="13">
        <v>226930.68</v>
      </c>
      <c r="AA222" s="13">
        <v>1</v>
      </c>
      <c r="AB222" s="13">
        <v>226930.68</v>
      </c>
    </row>
    <row r="223" spans="1:28" x14ac:dyDescent="0.2">
      <c r="A223" s="13">
        <v>50</v>
      </c>
      <c r="B223" s="13">
        <v>0</v>
      </c>
      <c r="C223" s="13">
        <v>0</v>
      </c>
      <c r="D223" s="13">
        <v>1</v>
      </c>
      <c r="E223" s="13">
        <v>217</v>
      </c>
      <c r="F223" s="13">
        <f>ROUND(Source!AU204,O223)</f>
        <v>0</v>
      </c>
      <c r="G223" s="13" t="s">
        <v>109</v>
      </c>
      <c r="H223" s="13" t="s">
        <v>110</v>
      </c>
      <c r="I223" s="13"/>
      <c r="J223" s="13"/>
      <c r="K223" s="13">
        <v>217</v>
      </c>
      <c r="L223" s="13">
        <v>18</v>
      </c>
      <c r="M223" s="13">
        <v>3</v>
      </c>
      <c r="N223" s="13" t="s">
        <v>3</v>
      </c>
      <c r="O223" s="13">
        <v>2</v>
      </c>
      <c r="P223" s="13">
        <f>ROUND(Source!EM204,O223)</f>
        <v>0</v>
      </c>
      <c r="Q223" s="13"/>
      <c r="R223" s="13"/>
      <c r="S223" s="13"/>
      <c r="T223" s="13"/>
      <c r="U223" s="13"/>
      <c r="V223" s="13"/>
      <c r="W223" s="13">
        <v>0</v>
      </c>
      <c r="X223" s="13">
        <v>1</v>
      </c>
      <c r="Y223" s="13">
        <v>0</v>
      </c>
      <c r="Z223" s="13">
        <v>0</v>
      </c>
      <c r="AA223" s="13">
        <v>1</v>
      </c>
      <c r="AB223" s="13">
        <v>0</v>
      </c>
    </row>
    <row r="224" spans="1:28" x14ac:dyDescent="0.2">
      <c r="A224" s="13">
        <v>50</v>
      </c>
      <c r="B224" s="13">
        <v>0</v>
      </c>
      <c r="C224" s="13">
        <v>0</v>
      </c>
      <c r="D224" s="13">
        <v>1</v>
      </c>
      <c r="E224" s="13">
        <v>230</v>
      </c>
      <c r="F224" s="13">
        <f>ROUND(Source!BA204,O224)</f>
        <v>0</v>
      </c>
      <c r="G224" s="13" t="s">
        <v>111</v>
      </c>
      <c r="H224" s="13" t="s">
        <v>112</v>
      </c>
      <c r="I224" s="13"/>
      <c r="J224" s="13"/>
      <c r="K224" s="13">
        <v>230</v>
      </c>
      <c r="L224" s="13">
        <v>19</v>
      </c>
      <c r="M224" s="13">
        <v>3</v>
      </c>
      <c r="N224" s="13" t="s">
        <v>3</v>
      </c>
      <c r="O224" s="13">
        <v>2</v>
      </c>
      <c r="P224" s="13">
        <f>ROUND(Source!ES204,O224)</f>
        <v>0</v>
      </c>
      <c r="Q224" s="13"/>
      <c r="R224" s="13"/>
      <c r="S224" s="13"/>
      <c r="T224" s="13"/>
      <c r="U224" s="13"/>
      <c r="V224" s="13"/>
      <c r="W224" s="13">
        <v>0</v>
      </c>
      <c r="X224" s="13">
        <v>1</v>
      </c>
      <c r="Y224" s="13">
        <v>0</v>
      </c>
      <c r="Z224" s="13">
        <v>0</v>
      </c>
      <c r="AA224" s="13">
        <v>1</v>
      </c>
      <c r="AB224" s="13">
        <v>0</v>
      </c>
    </row>
    <row r="225" spans="1:255" x14ac:dyDescent="0.2">
      <c r="A225" s="13">
        <v>50</v>
      </c>
      <c r="B225" s="13">
        <v>0</v>
      </c>
      <c r="C225" s="13">
        <v>0</v>
      </c>
      <c r="D225" s="13">
        <v>1</v>
      </c>
      <c r="E225" s="13">
        <v>206</v>
      </c>
      <c r="F225" s="13">
        <f>ROUND(Source!T204,O225)</f>
        <v>0</v>
      </c>
      <c r="G225" s="13" t="s">
        <v>113</v>
      </c>
      <c r="H225" s="13" t="s">
        <v>114</v>
      </c>
      <c r="I225" s="13"/>
      <c r="J225" s="13"/>
      <c r="K225" s="13">
        <v>206</v>
      </c>
      <c r="L225" s="13">
        <v>20</v>
      </c>
      <c r="M225" s="13">
        <v>3</v>
      </c>
      <c r="N225" s="13" t="s">
        <v>3</v>
      </c>
      <c r="O225" s="13">
        <v>2</v>
      </c>
      <c r="P225" s="13">
        <f>ROUND(Source!DL204,O225)</f>
        <v>0</v>
      </c>
      <c r="Q225" s="13"/>
      <c r="R225" s="13"/>
      <c r="S225" s="13"/>
      <c r="T225" s="13"/>
      <c r="U225" s="13"/>
      <c r="V225" s="13"/>
      <c r="W225" s="13">
        <v>0</v>
      </c>
      <c r="X225" s="13">
        <v>1</v>
      </c>
      <c r="Y225" s="13">
        <v>0</v>
      </c>
      <c r="Z225" s="13">
        <v>0</v>
      </c>
      <c r="AA225" s="13">
        <v>1</v>
      </c>
      <c r="AB225" s="13">
        <v>0</v>
      </c>
    </row>
    <row r="226" spans="1:255" x14ac:dyDescent="0.2">
      <c r="A226" s="13">
        <v>50</v>
      </c>
      <c r="B226" s="13">
        <v>0</v>
      </c>
      <c r="C226" s="13">
        <v>0</v>
      </c>
      <c r="D226" s="13">
        <v>1</v>
      </c>
      <c r="E226" s="13">
        <v>207</v>
      </c>
      <c r="F226" s="13">
        <f>Source!U204</f>
        <v>86.476755600000004</v>
      </c>
      <c r="G226" s="13" t="s">
        <v>115</v>
      </c>
      <c r="H226" s="13" t="s">
        <v>116</v>
      </c>
      <c r="I226" s="13"/>
      <c r="J226" s="13"/>
      <c r="K226" s="13">
        <v>207</v>
      </c>
      <c r="L226" s="13">
        <v>21</v>
      </c>
      <c r="M226" s="13">
        <v>3</v>
      </c>
      <c r="N226" s="13" t="s">
        <v>3</v>
      </c>
      <c r="O226" s="13">
        <v>-1</v>
      </c>
      <c r="P226" s="13">
        <f>Source!DM204</f>
        <v>86.476755600000004</v>
      </c>
      <c r="Q226" s="13"/>
      <c r="R226" s="13"/>
      <c r="S226" s="13"/>
      <c r="T226" s="13"/>
      <c r="U226" s="13"/>
      <c r="V226" s="13"/>
      <c r="W226" s="13">
        <v>86.476755600000004</v>
      </c>
      <c r="X226" s="13">
        <v>1</v>
      </c>
      <c r="Y226" s="13">
        <v>86.476755600000004</v>
      </c>
      <c r="Z226" s="13">
        <v>86.476755600000004</v>
      </c>
      <c r="AA226" s="13">
        <v>1</v>
      </c>
      <c r="AB226" s="13">
        <v>86.476755600000004</v>
      </c>
    </row>
    <row r="227" spans="1:255" x14ac:dyDescent="0.2">
      <c r="A227" s="13">
        <v>50</v>
      </c>
      <c r="B227" s="13">
        <v>0</v>
      </c>
      <c r="C227" s="13">
        <v>0</v>
      </c>
      <c r="D227" s="13">
        <v>1</v>
      </c>
      <c r="E227" s="13">
        <v>208</v>
      </c>
      <c r="F227" s="13">
        <f>Source!V204</f>
        <v>0</v>
      </c>
      <c r="G227" s="13" t="s">
        <v>117</v>
      </c>
      <c r="H227" s="13" t="s">
        <v>118</v>
      </c>
      <c r="I227" s="13"/>
      <c r="J227" s="13"/>
      <c r="K227" s="13">
        <v>208</v>
      </c>
      <c r="L227" s="13">
        <v>22</v>
      </c>
      <c r="M227" s="13">
        <v>3</v>
      </c>
      <c r="N227" s="13" t="s">
        <v>3</v>
      </c>
      <c r="O227" s="13">
        <v>-1</v>
      </c>
      <c r="P227" s="13">
        <f>Source!DN204</f>
        <v>0</v>
      </c>
      <c r="Q227" s="13"/>
      <c r="R227" s="13"/>
      <c r="S227" s="13"/>
      <c r="T227" s="13"/>
      <c r="U227" s="13"/>
      <c r="V227" s="13"/>
      <c r="W227" s="13">
        <v>0</v>
      </c>
      <c r="X227" s="13">
        <v>1</v>
      </c>
      <c r="Y227" s="13">
        <v>0</v>
      </c>
      <c r="Z227" s="13">
        <v>0</v>
      </c>
      <c r="AA227" s="13">
        <v>1</v>
      </c>
      <c r="AB227" s="13">
        <v>0</v>
      </c>
    </row>
    <row r="228" spans="1:255" x14ac:dyDescent="0.2">
      <c r="A228" s="13">
        <v>50</v>
      </c>
      <c r="B228" s="13">
        <v>0</v>
      </c>
      <c r="C228" s="13">
        <v>0</v>
      </c>
      <c r="D228" s="13">
        <v>1</v>
      </c>
      <c r="E228" s="13">
        <v>209</v>
      </c>
      <c r="F228" s="13">
        <f>ROUND(Source!W204,O228)</f>
        <v>0</v>
      </c>
      <c r="G228" s="13" t="s">
        <v>119</v>
      </c>
      <c r="H228" s="13" t="s">
        <v>120</v>
      </c>
      <c r="I228" s="13"/>
      <c r="J228" s="13"/>
      <c r="K228" s="13">
        <v>209</v>
      </c>
      <c r="L228" s="13">
        <v>23</v>
      </c>
      <c r="M228" s="13">
        <v>3</v>
      </c>
      <c r="N228" s="13" t="s">
        <v>3</v>
      </c>
      <c r="O228" s="13">
        <v>2</v>
      </c>
      <c r="P228" s="13">
        <f>ROUND(Source!DO204,O228)</f>
        <v>0</v>
      </c>
      <c r="Q228" s="13"/>
      <c r="R228" s="13"/>
      <c r="S228" s="13"/>
      <c r="T228" s="13"/>
      <c r="U228" s="13"/>
      <c r="V228" s="13"/>
      <c r="W228" s="13">
        <v>0</v>
      </c>
      <c r="X228" s="13">
        <v>1</v>
      </c>
      <c r="Y228" s="13">
        <v>0</v>
      </c>
      <c r="Z228" s="13">
        <v>0</v>
      </c>
      <c r="AA228" s="13">
        <v>1</v>
      </c>
      <c r="AB228" s="13">
        <v>0</v>
      </c>
    </row>
    <row r="229" spans="1:255" x14ac:dyDescent="0.2">
      <c r="A229" s="13">
        <v>50</v>
      </c>
      <c r="B229" s="13">
        <v>0</v>
      </c>
      <c r="C229" s="13">
        <v>0</v>
      </c>
      <c r="D229" s="13">
        <v>1</v>
      </c>
      <c r="E229" s="13">
        <v>233</v>
      </c>
      <c r="F229" s="13">
        <f>ROUND(Source!BD204,O229)</f>
        <v>0</v>
      </c>
      <c r="G229" s="13" t="s">
        <v>121</v>
      </c>
      <c r="H229" s="13" t="s">
        <v>122</v>
      </c>
      <c r="I229" s="13"/>
      <c r="J229" s="13"/>
      <c r="K229" s="13">
        <v>233</v>
      </c>
      <c r="L229" s="13">
        <v>24</v>
      </c>
      <c r="M229" s="13">
        <v>3</v>
      </c>
      <c r="N229" s="13" t="s">
        <v>3</v>
      </c>
      <c r="O229" s="13">
        <v>2</v>
      </c>
      <c r="P229" s="13">
        <f>ROUND(Source!EV204,O229)</f>
        <v>0</v>
      </c>
      <c r="Q229" s="13"/>
      <c r="R229" s="13"/>
      <c r="S229" s="13"/>
      <c r="T229" s="13"/>
      <c r="U229" s="13"/>
      <c r="V229" s="13"/>
      <c r="W229" s="13">
        <v>0</v>
      </c>
      <c r="X229" s="13">
        <v>1</v>
      </c>
      <c r="Y229" s="13">
        <v>0</v>
      </c>
      <c r="Z229" s="13">
        <v>0</v>
      </c>
      <c r="AA229" s="13">
        <v>1</v>
      </c>
      <c r="AB229" s="13">
        <v>0</v>
      </c>
    </row>
    <row r="230" spans="1:255" x14ac:dyDescent="0.2">
      <c r="A230" s="13">
        <v>50</v>
      </c>
      <c r="B230" s="13">
        <v>0</v>
      </c>
      <c r="C230" s="13">
        <v>0</v>
      </c>
      <c r="D230" s="13">
        <v>1</v>
      </c>
      <c r="E230" s="13">
        <v>210</v>
      </c>
      <c r="F230" s="13">
        <f>ROUND(Source!X204,O230)</f>
        <v>1040.33</v>
      </c>
      <c r="G230" s="13" t="s">
        <v>123</v>
      </c>
      <c r="H230" s="13" t="s">
        <v>124</v>
      </c>
      <c r="I230" s="13"/>
      <c r="J230" s="13"/>
      <c r="K230" s="13">
        <v>210</v>
      </c>
      <c r="L230" s="13">
        <v>25</v>
      </c>
      <c r="M230" s="13">
        <v>3</v>
      </c>
      <c r="N230" s="13" t="s">
        <v>3</v>
      </c>
      <c r="O230" s="13">
        <v>2</v>
      </c>
      <c r="P230" s="13">
        <f>ROUND(Source!DP204,O230)</f>
        <v>58622.86</v>
      </c>
      <c r="Q230" s="13"/>
      <c r="R230" s="13"/>
      <c r="S230" s="13"/>
      <c r="T230" s="13"/>
      <c r="U230" s="13"/>
      <c r="V230" s="13"/>
      <c r="W230" s="13">
        <v>1040.33</v>
      </c>
      <c r="X230" s="13">
        <v>1</v>
      </c>
      <c r="Y230" s="13">
        <v>1040.33</v>
      </c>
      <c r="Z230" s="13">
        <v>58622.86</v>
      </c>
      <c r="AA230" s="13">
        <v>1</v>
      </c>
      <c r="AB230" s="13">
        <v>58622.86</v>
      </c>
    </row>
    <row r="231" spans="1:255" x14ac:dyDescent="0.2">
      <c r="A231" s="13">
        <v>50</v>
      </c>
      <c r="B231" s="13">
        <v>0</v>
      </c>
      <c r="C231" s="13">
        <v>0</v>
      </c>
      <c r="D231" s="13">
        <v>1</v>
      </c>
      <c r="E231" s="13">
        <v>211</v>
      </c>
      <c r="F231" s="13">
        <f>ROUND(Source!Y204,O231)</f>
        <v>546.98</v>
      </c>
      <c r="G231" s="13" t="s">
        <v>125</v>
      </c>
      <c r="H231" s="13" t="s">
        <v>126</v>
      </c>
      <c r="I231" s="13"/>
      <c r="J231" s="13"/>
      <c r="K231" s="13">
        <v>211</v>
      </c>
      <c r="L231" s="13">
        <v>26</v>
      </c>
      <c r="M231" s="13">
        <v>3</v>
      </c>
      <c r="N231" s="13" t="s">
        <v>3</v>
      </c>
      <c r="O231" s="13">
        <v>2</v>
      </c>
      <c r="P231" s="13">
        <f>ROUND(Source!DQ204,O231)</f>
        <v>30822.33</v>
      </c>
      <c r="Q231" s="13"/>
      <c r="R231" s="13"/>
      <c r="S231" s="13"/>
      <c r="T231" s="13"/>
      <c r="U231" s="13"/>
      <c r="V231" s="13"/>
      <c r="W231" s="13">
        <v>546.98</v>
      </c>
      <c r="X231" s="13">
        <v>1</v>
      </c>
      <c r="Y231" s="13">
        <v>546.98</v>
      </c>
      <c r="Z231" s="13">
        <v>30822.33</v>
      </c>
      <c r="AA231" s="13">
        <v>1</v>
      </c>
      <c r="AB231" s="13">
        <v>30822.33</v>
      </c>
    </row>
    <row r="232" spans="1:255" x14ac:dyDescent="0.2">
      <c r="A232" s="13">
        <v>50</v>
      </c>
      <c r="B232" s="13">
        <v>0</v>
      </c>
      <c r="C232" s="13">
        <v>0</v>
      </c>
      <c r="D232" s="13">
        <v>1</v>
      </c>
      <c r="E232" s="13">
        <v>224</v>
      </c>
      <c r="F232" s="13">
        <f>ROUND(Source!AR204,O232)</f>
        <v>13029.72</v>
      </c>
      <c r="G232" s="13" t="s">
        <v>127</v>
      </c>
      <c r="H232" s="13" t="s">
        <v>128</v>
      </c>
      <c r="I232" s="13"/>
      <c r="J232" s="13"/>
      <c r="K232" s="13">
        <v>224</v>
      </c>
      <c r="L232" s="13">
        <v>27</v>
      </c>
      <c r="M232" s="13">
        <v>3</v>
      </c>
      <c r="N232" s="13" t="s">
        <v>3</v>
      </c>
      <c r="O232" s="13">
        <v>2</v>
      </c>
      <c r="P232" s="13">
        <f>ROUND(Source!EJ204,O232)</f>
        <v>226930.68</v>
      </c>
      <c r="Q232" s="13"/>
      <c r="R232" s="13"/>
      <c r="S232" s="13"/>
      <c r="T232" s="13"/>
      <c r="U232" s="13"/>
      <c r="V232" s="13"/>
      <c r="W232" s="13">
        <v>13029.72</v>
      </c>
      <c r="X232" s="13">
        <v>1</v>
      </c>
      <c r="Y232" s="13">
        <v>13029.72</v>
      </c>
      <c r="Z232" s="13">
        <v>226930.68</v>
      </c>
      <c r="AA232" s="13">
        <v>1</v>
      </c>
      <c r="AB232" s="13">
        <v>226930.68</v>
      </c>
    </row>
    <row r="234" spans="1:255" x14ac:dyDescent="0.2">
      <c r="A234" s="10">
        <v>4</v>
      </c>
      <c r="B234" s="10">
        <v>1</v>
      </c>
      <c r="C234" s="10"/>
      <c r="D234" s="10">
        <f>ROW(A255)</f>
        <v>255</v>
      </c>
      <c r="E234" s="10"/>
      <c r="F234" s="10" t="s">
        <v>41</v>
      </c>
      <c r="G234" s="10" t="s">
        <v>229</v>
      </c>
      <c r="H234" s="10" t="s">
        <v>3</v>
      </c>
      <c r="I234" s="10">
        <v>0</v>
      </c>
      <c r="J234" s="10"/>
      <c r="K234" s="10">
        <v>-1</v>
      </c>
      <c r="L234" s="10"/>
      <c r="M234" s="10" t="s">
        <v>3</v>
      </c>
      <c r="N234" s="10"/>
      <c r="O234" s="10"/>
      <c r="P234" s="10"/>
      <c r="Q234" s="10"/>
      <c r="R234" s="10"/>
      <c r="S234" s="10">
        <v>0</v>
      </c>
      <c r="T234" s="10">
        <v>0</v>
      </c>
      <c r="U234" s="10" t="s">
        <v>3</v>
      </c>
      <c r="V234" s="10">
        <v>0</v>
      </c>
      <c r="W234" s="10"/>
      <c r="X234" s="10"/>
      <c r="Y234" s="10"/>
      <c r="Z234" s="10"/>
      <c r="AA234" s="10"/>
      <c r="AB234" s="10" t="s">
        <v>3</v>
      </c>
      <c r="AC234" s="10" t="s">
        <v>3</v>
      </c>
      <c r="AD234" s="10" t="s">
        <v>3</v>
      </c>
      <c r="AE234" s="10" t="s">
        <v>3</v>
      </c>
      <c r="AF234" s="10" t="s">
        <v>3</v>
      </c>
      <c r="AG234" s="10" t="s">
        <v>3</v>
      </c>
      <c r="AH234" s="10"/>
      <c r="AI234" s="10"/>
      <c r="AJ234" s="10"/>
      <c r="AK234" s="10"/>
      <c r="AL234" s="10"/>
      <c r="AM234" s="10"/>
      <c r="AN234" s="10"/>
      <c r="AO234" s="10"/>
      <c r="AP234" s="10" t="s">
        <v>3</v>
      </c>
      <c r="AQ234" s="10" t="s">
        <v>3</v>
      </c>
      <c r="AR234" s="10" t="s">
        <v>3</v>
      </c>
      <c r="AS234" s="10"/>
      <c r="AT234" s="10"/>
      <c r="AU234" s="10"/>
      <c r="AV234" s="10"/>
      <c r="AW234" s="10"/>
      <c r="AX234" s="10"/>
      <c r="AY234" s="10"/>
      <c r="AZ234" s="10" t="s">
        <v>3</v>
      </c>
      <c r="BA234" s="10"/>
      <c r="BB234" s="10" t="s">
        <v>3</v>
      </c>
      <c r="BC234" s="10" t="s">
        <v>3</v>
      </c>
      <c r="BD234" s="10" t="s">
        <v>3</v>
      </c>
      <c r="BE234" s="10" t="s">
        <v>3</v>
      </c>
      <c r="BF234" s="10" t="s">
        <v>3</v>
      </c>
      <c r="BG234" s="10" t="s">
        <v>3</v>
      </c>
      <c r="BH234" s="10" t="s">
        <v>3</v>
      </c>
      <c r="BI234" s="10" t="s">
        <v>3</v>
      </c>
      <c r="BJ234" s="10" t="s">
        <v>3</v>
      </c>
      <c r="BK234" s="10" t="s">
        <v>3</v>
      </c>
      <c r="BL234" s="10" t="s">
        <v>3</v>
      </c>
      <c r="BM234" s="10" t="s">
        <v>3</v>
      </c>
      <c r="BN234" s="10" t="s">
        <v>3</v>
      </c>
      <c r="BO234" s="10" t="s">
        <v>3</v>
      </c>
      <c r="BP234" s="10" t="s">
        <v>3</v>
      </c>
      <c r="BQ234" s="10"/>
      <c r="BR234" s="10"/>
      <c r="BS234" s="10"/>
      <c r="BT234" s="10"/>
      <c r="BU234" s="10"/>
      <c r="BV234" s="10"/>
      <c r="BW234" s="10"/>
      <c r="BX234" s="10">
        <v>0</v>
      </c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>
        <v>0</v>
      </c>
    </row>
    <row r="236" spans="1:255" x14ac:dyDescent="0.2">
      <c r="A236" s="11">
        <v>52</v>
      </c>
      <c r="B236" s="11">
        <f t="shared" ref="B236:G236" si="202">B255</f>
        <v>1</v>
      </c>
      <c r="C236" s="11">
        <f t="shared" si="202"/>
        <v>4</v>
      </c>
      <c r="D236" s="11">
        <f t="shared" si="202"/>
        <v>234</v>
      </c>
      <c r="E236" s="11">
        <f t="shared" si="202"/>
        <v>0</v>
      </c>
      <c r="F236" s="11" t="str">
        <f t="shared" si="202"/>
        <v>4</v>
      </c>
      <c r="G236" s="11" t="str">
        <f t="shared" si="202"/>
        <v>Материалы</v>
      </c>
      <c r="H236" s="11"/>
      <c r="I236" s="11"/>
      <c r="J236" s="11"/>
      <c r="K236" s="11"/>
      <c r="L236" s="11"/>
      <c r="M236" s="11"/>
      <c r="N236" s="11"/>
      <c r="O236" s="11">
        <f t="shared" ref="O236:AT236" si="203">O255</f>
        <v>65801.23</v>
      </c>
      <c r="P236" s="11">
        <f t="shared" si="203"/>
        <v>63585.279999999999</v>
      </c>
      <c r="Q236" s="11">
        <f t="shared" si="203"/>
        <v>1339.99</v>
      </c>
      <c r="R236" s="11">
        <f t="shared" si="203"/>
        <v>568.91999999999996</v>
      </c>
      <c r="S236" s="11">
        <f t="shared" si="203"/>
        <v>875.96</v>
      </c>
      <c r="T236" s="11">
        <f t="shared" si="203"/>
        <v>0</v>
      </c>
      <c r="U236" s="11">
        <f t="shared" si="203"/>
        <v>71.099675999999988</v>
      </c>
      <c r="V236" s="11">
        <f t="shared" si="203"/>
        <v>0</v>
      </c>
      <c r="W236" s="11">
        <f t="shared" si="203"/>
        <v>0</v>
      </c>
      <c r="X236" s="11">
        <f t="shared" si="203"/>
        <v>1401.53</v>
      </c>
      <c r="Y236" s="11">
        <f t="shared" si="203"/>
        <v>736.89</v>
      </c>
      <c r="Z236" s="11">
        <f t="shared" si="203"/>
        <v>0</v>
      </c>
      <c r="AA236" s="11">
        <f t="shared" si="203"/>
        <v>0</v>
      </c>
      <c r="AB236" s="11">
        <f t="shared" si="203"/>
        <v>65801.23</v>
      </c>
      <c r="AC236" s="11">
        <f t="shared" si="203"/>
        <v>63585.279999999999</v>
      </c>
      <c r="AD236" s="11">
        <f t="shared" si="203"/>
        <v>1339.99</v>
      </c>
      <c r="AE236" s="11">
        <f t="shared" si="203"/>
        <v>568.91999999999996</v>
      </c>
      <c r="AF236" s="11">
        <f t="shared" si="203"/>
        <v>875.96</v>
      </c>
      <c r="AG236" s="11">
        <f t="shared" si="203"/>
        <v>0</v>
      </c>
      <c r="AH236" s="11">
        <f t="shared" si="203"/>
        <v>71.099675999999988</v>
      </c>
      <c r="AI236" s="11">
        <f t="shared" si="203"/>
        <v>0</v>
      </c>
      <c r="AJ236" s="11">
        <f t="shared" si="203"/>
        <v>0</v>
      </c>
      <c r="AK236" s="11">
        <f t="shared" si="203"/>
        <v>1401.53</v>
      </c>
      <c r="AL236" s="11">
        <f t="shared" si="203"/>
        <v>736.89</v>
      </c>
      <c r="AM236" s="11">
        <f t="shared" si="203"/>
        <v>0</v>
      </c>
      <c r="AN236" s="11">
        <f t="shared" si="203"/>
        <v>0</v>
      </c>
      <c r="AO236" s="11">
        <f t="shared" si="203"/>
        <v>0</v>
      </c>
      <c r="AP236" s="11">
        <f t="shared" si="203"/>
        <v>0</v>
      </c>
      <c r="AQ236" s="11">
        <f t="shared" si="203"/>
        <v>0</v>
      </c>
      <c r="AR236" s="11">
        <f t="shared" si="203"/>
        <v>67939.649999999994</v>
      </c>
      <c r="AS236" s="11">
        <f t="shared" si="203"/>
        <v>0</v>
      </c>
      <c r="AT236" s="11">
        <f t="shared" si="203"/>
        <v>67939.649999999994</v>
      </c>
      <c r="AU236" s="11">
        <f t="shared" ref="AU236:BZ236" si="204">AU255</f>
        <v>0</v>
      </c>
      <c r="AV236" s="11">
        <f t="shared" si="204"/>
        <v>63585.279999999999</v>
      </c>
      <c r="AW236" s="11">
        <f t="shared" si="204"/>
        <v>63585.279999999999</v>
      </c>
      <c r="AX236" s="11">
        <f t="shared" si="204"/>
        <v>0</v>
      </c>
      <c r="AY236" s="11">
        <f t="shared" si="204"/>
        <v>63585.279999999999</v>
      </c>
      <c r="AZ236" s="11">
        <f t="shared" si="204"/>
        <v>0</v>
      </c>
      <c r="BA236" s="11">
        <f t="shared" si="204"/>
        <v>0</v>
      </c>
      <c r="BB236" s="11">
        <f t="shared" si="204"/>
        <v>0</v>
      </c>
      <c r="BC236" s="11">
        <f t="shared" si="204"/>
        <v>0</v>
      </c>
      <c r="BD236" s="11">
        <f t="shared" si="204"/>
        <v>0</v>
      </c>
      <c r="BE236" s="11">
        <f t="shared" si="204"/>
        <v>0</v>
      </c>
      <c r="BF236" s="11">
        <f t="shared" si="204"/>
        <v>0</v>
      </c>
      <c r="BG236" s="11">
        <f t="shared" si="204"/>
        <v>0</v>
      </c>
      <c r="BH236" s="11">
        <f t="shared" si="204"/>
        <v>0</v>
      </c>
      <c r="BI236" s="11">
        <f t="shared" si="204"/>
        <v>0</v>
      </c>
      <c r="BJ236" s="11">
        <f t="shared" si="204"/>
        <v>0</v>
      </c>
      <c r="BK236" s="11">
        <f t="shared" si="204"/>
        <v>0</v>
      </c>
      <c r="BL236" s="11">
        <f t="shared" si="204"/>
        <v>0</v>
      </c>
      <c r="BM236" s="11">
        <f t="shared" si="204"/>
        <v>0</v>
      </c>
      <c r="BN236" s="11">
        <f t="shared" si="204"/>
        <v>0</v>
      </c>
      <c r="BO236" s="11">
        <f t="shared" si="204"/>
        <v>0</v>
      </c>
      <c r="BP236" s="11">
        <f t="shared" si="204"/>
        <v>0</v>
      </c>
      <c r="BQ236" s="11">
        <f t="shared" si="204"/>
        <v>0</v>
      </c>
      <c r="BR236" s="11">
        <f t="shared" si="204"/>
        <v>0</v>
      </c>
      <c r="BS236" s="11">
        <f t="shared" si="204"/>
        <v>0</v>
      </c>
      <c r="BT236" s="11">
        <f t="shared" si="204"/>
        <v>0</v>
      </c>
      <c r="BU236" s="11">
        <f t="shared" si="204"/>
        <v>0</v>
      </c>
      <c r="BV236" s="11">
        <f t="shared" si="204"/>
        <v>0</v>
      </c>
      <c r="BW236" s="11">
        <f t="shared" si="204"/>
        <v>0</v>
      </c>
      <c r="BX236" s="11">
        <f t="shared" si="204"/>
        <v>0</v>
      </c>
      <c r="BY236" s="11">
        <f t="shared" si="204"/>
        <v>0</v>
      </c>
      <c r="BZ236" s="11">
        <f t="shared" si="204"/>
        <v>0</v>
      </c>
      <c r="CA236" s="11">
        <f t="shared" ref="CA236:DF236" si="205">CA255</f>
        <v>67939.649999999994</v>
      </c>
      <c r="CB236" s="11">
        <f t="shared" si="205"/>
        <v>0</v>
      </c>
      <c r="CC236" s="11">
        <f t="shared" si="205"/>
        <v>67939.649999999994</v>
      </c>
      <c r="CD236" s="11">
        <f t="shared" si="205"/>
        <v>0</v>
      </c>
      <c r="CE236" s="11">
        <f t="shared" si="205"/>
        <v>63585.279999999999</v>
      </c>
      <c r="CF236" s="11">
        <f t="shared" si="205"/>
        <v>63585.279999999999</v>
      </c>
      <c r="CG236" s="11">
        <f t="shared" si="205"/>
        <v>0</v>
      </c>
      <c r="CH236" s="11">
        <f t="shared" si="205"/>
        <v>63585.279999999999</v>
      </c>
      <c r="CI236" s="11">
        <f t="shared" si="205"/>
        <v>0</v>
      </c>
      <c r="CJ236" s="11">
        <f t="shared" si="205"/>
        <v>0</v>
      </c>
      <c r="CK236" s="11">
        <f t="shared" si="205"/>
        <v>0</v>
      </c>
      <c r="CL236" s="11">
        <f t="shared" si="205"/>
        <v>0</v>
      </c>
      <c r="CM236" s="11">
        <f t="shared" si="205"/>
        <v>0</v>
      </c>
      <c r="CN236" s="11">
        <f t="shared" si="205"/>
        <v>0</v>
      </c>
      <c r="CO236" s="11">
        <f t="shared" si="205"/>
        <v>0</v>
      </c>
      <c r="CP236" s="11">
        <f t="shared" si="205"/>
        <v>0</v>
      </c>
      <c r="CQ236" s="11">
        <f t="shared" si="205"/>
        <v>0</v>
      </c>
      <c r="CR236" s="11">
        <f t="shared" si="205"/>
        <v>0</v>
      </c>
      <c r="CS236" s="11">
        <f t="shared" si="205"/>
        <v>0</v>
      </c>
      <c r="CT236" s="11">
        <f t="shared" si="205"/>
        <v>0</v>
      </c>
      <c r="CU236" s="11">
        <f t="shared" si="205"/>
        <v>0</v>
      </c>
      <c r="CV236" s="11">
        <f t="shared" si="205"/>
        <v>0</v>
      </c>
      <c r="CW236" s="11">
        <f t="shared" si="205"/>
        <v>0</v>
      </c>
      <c r="CX236" s="11">
        <f t="shared" si="205"/>
        <v>0</v>
      </c>
      <c r="CY236" s="11">
        <f t="shared" si="205"/>
        <v>0</v>
      </c>
      <c r="CZ236" s="11">
        <f t="shared" si="205"/>
        <v>0</v>
      </c>
      <c r="DA236" s="11">
        <f t="shared" si="205"/>
        <v>0</v>
      </c>
      <c r="DB236" s="11">
        <f t="shared" si="205"/>
        <v>0</v>
      </c>
      <c r="DC236" s="11">
        <f t="shared" si="205"/>
        <v>0</v>
      </c>
      <c r="DD236" s="11">
        <f t="shared" si="205"/>
        <v>0</v>
      </c>
      <c r="DE236" s="11">
        <f t="shared" si="205"/>
        <v>0</v>
      </c>
      <c r="DF236" s="11">
        <f t="shared" si="205"/>
        <v>0</v>
      </c>
      <c r="DG236" s="12">
        <f t="shared" ref="DG236:EL236" si="206">DG255</f>
        <v>224652.59</v>
      </c>
      <c r="DH236" s="12">
        <f t="shared" si="206"/>
        <v>133977.94</v>
      </c>
      <c r="DI236" s="12">
        <f t="shared" si="206"/>
        <v>41314.300000000003</v>
      </c>
      <c r="DJ236" s="12">
        <f t="shared" si="206"/>
        <v>32058.639999999999</v>
      </c>
      <c r="DK236" s="12">
        <f t="shared" si="206"/>
        <v>49360.35</v>
      </c>
      <c r="DL236" s="12">
        <f t="shared" si="206"/>
        <v>0</v>
      </c>
      <c r="DM236" s="12">
        <f t="shared" si="206"/>
        <v>71.099675999999988</v>
      </c>
      <c r="DN236" s="12">
        <f t="shared" si="206"/>
        <v>0</v>
      </c>
      <c r="DO236" s="12">
        <f t="shared" si="206"/>
        <v>0</v>
      </c>
      <c r="DP236" s="12">
        <f t="shared" si="206"/>
        <v>78976.42</v>
      </c>
      <c r="DQ236" s="12">
        <f t="shared" si="206"/>
        <v>41523.68</v>
      </c>
      <c r="DR236" s="12">
        <f t="shared" si="206"/>
        <v>0</v>
      </c>
      <c r="DS236" s="12">
        <f t="shared" si="206"/>
        <v>0</v>
      </c>
      <c r="DT236" s="12">
        <f t="shared" si="206"/>
        <v>224652.59</v>
      </c>
      <c r="DU236" s="12">
        <f t="shared" si="206"/>
        <v>133977.94</v>
      </c>
      <c r="DV236" s="12">
        <f t="shared" si="206"/>
        <v>41314.300000000003</v>
      </c>
      <c r="DW236" s="12">
        <f t="shared" si="206"/>
        <v>32058.639999999999</v>
      </c>
      <c r="DX236" s="12">
        <f t="shared" si="206"/>
        <v>49360.35</v>
      </c>
      <c r="DY236" s="12">
        <f t="shared" si="206"/>
        <v>0</v>
      </c>
      <c r="DZ236" s="12">
        <f t="shared" si="206"/>
        <v>71.099675999999988</v>
      </c>
      <c r="EA236" s="12">
        <f t="shared" si="206"/>
        <v>0</v>
      </c>
      <c r="EB236" s="12">
        <f t="shared" si="206"/>
        <v>0</v>
      </c>
      <c r="EC236" s="12">
        <f t="shared" si="206"/>
        <v>78976.42</v>
      </c>
      <c r="ED236" s="12">
        <f t="shared" si="206"/>
        <v>41523.68</v>
      </c>
      <c r="EE236" s="12">
        <f t="shared" si="206"/>
        <v>0</v>
      </c>
      <c r="EF236" s="12">
        <f t="shared" si="206"/>
        <v>0</v>
      </c>
      <c r="EG236" s="12">
        <f t="shared" si="206"/>
        <v>0</v>
      </c>
      <c r="EH236" s="12">
        <f t="shared" si="206"/>
        <v>0</v>
      </c>
      <c r="EI236" s="12">
        <f t="shared" si="206"/>
        <v>0</v>
      </c>
      <c r="EJ236" s="12">
        <f t="shared" si="206"/>
        <v>345152.69</v>
      </c>
      <c r="EK236" s="12">
        <f t="shared" si="206"/>
        <v>0</v>
      </c>
      <c r="EL236" s="12">
        <f t="shared" si="206"/>
        <v>345152.69</v>
      </c>
      <c r="EM236" s="12">
        <f t="shared" ref="EM236:FR236" si="207">EM255</f>
        <v>0</v>
      </c>
      <c r="EN236" s="12">
        <f t="shared" si="207"/>
        <v>133977.94</v>
      </c>
      <c r="EO236" s="12">
        <f t="shared" si="207"/>
        <v>133977.94</v>
      </c>
      <c r="EP236" s="12">
        <f t="shared" si="207"/>
        <v>0</v>
      </c>
      <c r="EQ236" s="12">
        <f t="shared" si="207"/>
        <v>133977.94</v>
      </c>
      <c r="ER236" s="12">
        <f t="shared" si="207"/>
        <v>0</v>
      </c>
      <c r="ES236" s="12">
        <f t="shared" si="207"/>
        <v>0</v>
      </c>
      <c r="ET236" s="12">
        <f t="shared" si="207"/>
        <v>0</v>
      </c>
      <c r="EU236" s="12">
        <f t="shared" si="207"/>
        <v>0</v>
      </c>
      <c r="EV236" s="12">
        <f t="shared" si="207"/>
        <v>0</v>
      </c>
      <c r="EW236" s="12">
        <f t="shared" si="207"/>
        <v>0</v>
      </c>
      <c r="EX236" s="12">
        <f t="shared" si="207"/>
        <v>0</v>
      </c>
      <c r="EY236" s="12">
        <f t="shared" si="207"/>
        <v>0</v>
      </c>
      <c r="EZ236" s="12">
        <f t="shared" si="207"/>
        <v>0</v>
      </c>
      <c r="FA236" s="12">
        <f t="shared" si="207"/>
        <v>0</v>
      </c>
      <c r="FB236" s="12">
        <f t="shared" si="207"/>
        <v>0</v>
      </c>
      <c r="FC236" s="12">
        <f t="shared" si="207"/>
        <v>0</v>
      </c>
      <c r="FD236" s="12">
        <f t="shared" si="207"/>
        <v>0</v>
      </c>
      <c r="FE236" s="12">
        <f t="shared" si="207"/>
        <v>0</v>
      </c>
      <c r="FF236" s="12">
        <f t="shared" si="207"/>
        <v>0</v>
      </c>
      <c r="FG236" s="12">
        <f t="shared" si="207"/>
        <v>0</v>
      </c>
      <c r="FH236" s="12">
        <f t="shared" si="207"/>
        <v>0</v>
      </c>
      <c r="FI236" s="12">
        <f t="shared" si="207"/>
        <v>0</v>
      </c>
      <c r="FJ236" s="12">
        <f t="shared" si="207"/>
        <v>0</v>
      </c>
      <c r="FK236" s="12">
        <f t="shared" si="207"/>
        <v>0</v>
      </c>
      <c r="FL236" s="12">
        <f t="shared" si="207"/>
        <v>0</v>
      </c>
      <c r="FM236" s="12">
        <f t="shared" si="207"/>
        <v>0</v>
      </c>
      <c r="FN236" s="12">
        <f t="shared" si="207"/>
        <v>0</v>
      </c>
      <c r="FO236" s="12">
        <f t="shared" si="207"/>
        <v>0</v>
      </c>
      <c r="FP236" s="12">
        <f t="shared" si="207"/>
        <v>0</v>
      </c>
      <c r="FQ236" s="12">
        <f t="shared" si="207"/>
        <v>0</v>
      </c>
      <c r="FR236" s="12">
        <f t="shared" si="207"/>
        <v>0</v>
      </c>
      <c r="FS236" s="12">
        <f t="shared" ref="FS236:GX236" si="208">FS255</f>
        <v>345152.69</v>
      </c>
      <c r="FT236" s="12">
        <f t="shared" si="208"/>
        <v>0</v>
      </c>
      <c r="FU236" s="12">
        <f t="shared" si="208"/>
        <v>345152.69</v>
      </c>
      <c r="FV236" s="12">
        <f t="shared" si="208"/>
        <v>0</v>
      </c>
      <c r="FW236" s="12">
        <f t="shared" si="208"/>
        <v>133977.94</v>
      </c>
      <c r="FX236" s="12">
        <f t="shared" si="208"/>
        <v>133977.94</v>
      </c>
      <c r="FY236" s="12">
        <f t="shared" si="208"/>
        <v>0</v>
      </c>
      <c r="FZ236" s="12">
        <f t="shared" si="208"/>
        <v>133977.94</v>
      </c>
      <c r="GA236" s="12">
        <f t="shared" si="208"/>
        <v>0</v>
      </c>
      <c r="GB236" s="12">
        <f t="shared" si="208"/>
        <v>0</v>
      </c>
      <c r="GC236" s="12">
        <f t="shared" si="208"/>
        <v>0</v>
      </c>
      <c r="GD236" s="12">
        <f t="shared" si="208"/>
        <v>0</v>
      </c>
      <c r="GE236" s="12">
        <f t="shared" si="208"/>
        <v>0</v>
      </c>
      <c r="GF236" s="12">
        <f t="shared" si="208"/>
        <v>0</v>
      </c>
      <c r="GG236" s="12">
        <f t="shared" si="208"/>
        <v>0</v>
      </c>
      <c r="GH236" s="12">
        <f t="shared" si="208"/>
        <v>0</v>
      </c>
      <c r="GI236" s="12">
        <f t="shared" si="208"/>
        <v>0</v>
      </c>
      <c r="GJ236" s="12">
        <f t="shared" si="208"/>
        <v>0</v>
      </c>
      <c r="GK236" s="12">
        <f t="shared" si="208"/>
        <v>0</v>
      </c>
      <c r="GL236" s="12">
        <f t="shared" si="208"/>
        <v>0</v>
      </c>
      <c r="GM236" s="12">
        <f t="shared" si="208"/>
        <v>0</v>
      </c>
      <c r="GN236" s="12">
        <f t="shared" si="208"/>
        <v>0</v>
      </c>
      <c r="GO236" s="12">
        <f t="shared" si="208"/>
        <v>0</v>
      </c>
      <c r="GP236" s="12">
        <f t="shared" si="208"/>
        <v>0</v>
      </c>
      <c r="GQ236" s="12">
        <f t="shared" si="208"/>
        <v>0</v>
      </c>
      <c r="GR236" s="12">
        <f t="shared" si="208"/>
        <v>0</v>
      </c>
      <c r="GS236" s="12">
        <f t="shared" si="208"/>
        <v>0</v>
      </c>
      <c r="GT236" s="12">
        <f t="shared" si="208"/>
        <v>0</v>
      </c>
      <c r="GU236" s="12">
        <f t="shared" si="208"/>
        <v>0</v>
      </c>
      <c r="GV236" s="12">
        <f t="shared" si="208"/>
        <v>0</v>
      </c>
      <c r="GW236" s="12">
        <f t="shared" si="208"/>
        <v>0</v>
      </c>
      <c r="GX236" s="12">
        <f t="shared" si="208"/>
        <v>0</v>
      </c>
    </row>
    <row r="238" spans="1:255" x14ac:dyDescent="0.2">
      <c r="A238" s="2">
        <v>17</v>
      </c>
      <c r="B238" s="2">
        <v>1</v>
      </c>
      <c r="C238" s="2">
        <f>ROW(SmtRes!A166)</f>
        <v>166</v>
      </c>
      <c r="D238" s="2">
        <f>ROW(EtalonRes!A186)</f>
        <v>186</v>
      </c>
      <c r="E238" s="2" t="s">
        <v>230</v>
      </c>
      <c r="F238" s="2" t="s">
        <v>231</v>
      </c>
      <c r="G238" s="2" t="s">
        <v>232</v>
      </c>
      <c r="H238" s="2" t="s">
        <v>65</v>
      </c>
      <c r="I238" s="2">
        <f>ROUND((200)/100,9)</f>
        <v>2</v>
      </c>
      <c r="J238" s="2">
        <v>0</v>
      </c>
      <c r="K238" s="2">
        <f>ROUND((200)/100,9)</f>
        <v>2</v>
      </c>
      <c r="L238" s="2"/>
      <c r="M238" s="2"/>
      <c r="N238" s="2"/>
      <c r="O238" s="2">
        <f t="shared" ref="O238:O253" si="209">ROUND(CP238,2)</f>
        <v>2730.59</v>
      </c>
      <c r="P238" s="2">
        <f t="shared" ref="P238:P253" si="210">ROUND((ROUND((AC238*AW238*I238),2)*BC238),2)</f>
        <v>577.14</v>
      </c>
      <c r="Q238" s="2">
        <f>(ROUND((ROUND((((ET238*1.2))*AV238*I238),2)*BB238),2)+ROUND((ROUND(((AE238-((EU238*1.2)))*AV238*I238),2)*BS238),2))</f>
        <v>1323.77</v>
      </c>
      <c r="R238" s="2">
        <f>(ROUND((ROUND((((EU238*1.2))*AV238*I238),2)*BS238),2)+ROUND((ROUND(((AE238-((EU238*1.2)))*AV238*I238),2)*BS238),2))</f>
        <v>568.6</v>
      </c>
      <c r="S238" s="2">
        <f t="shared" ref="S238:S253" si="211">ROUND((ROUND((AF238*AV238*I238),2)*BA238),2)</f>
        <v>829.68</v>
      </c>
      <c r="T238" s="2">
        <f t="shared" ref="T238:T253" si="212">ROUND(CU238*I238,2)</f>
        <v>0</v>
      </c>
      <c r="U238" s="2">
        <f t="shared" ref="U238:U253" si="213">CV238*I238</f>
        <v>67.343039999999988</v>
      </c>
      <c r="V238" s="2">
        <f t="shared" ref="V238:V253" si="214">CW238*I238</f>
        <v>0</v>
      </c>
      <c r="W238" s="2">
        <f t="shared" ref="W238:W253" si="215">ROUND(CX238*I238,2)</f>
        <v>0</v>
      </c>
      <c r="X238" s="2">
        <f>(ROUND((((S238+ROUND((ROUND((((EU238*1.2))*AV238*I238),2)*BS238),2))*AT238)/100),2)+ROUND(((ROUND((ROUND(((AE238-((EU238*1.2)))*AV238*I238),2)*BS238),2)*AT238)/100),2))</f>
        <v>1356.33</v>
      </c>
      <c r="Y238" s="2">
        <f>(ROUND((((S238+ROUND((ROUND((((EU238*1.2))*AV238*I238),2)*BS238),2))*AU238)/100),2)+ROUND(((ROUND((ROUND(((AE238-((EU238*1.2)))*AV238*I238),2)*BS238),2)*AU238)/100),2))</f>
        <v>713.12</v>
      </c>
      <c r="Z238" s="2"/>
      <c r="AA238" s="2">
        <v>55919547</v>
      </c>
      <c r="AB238" s="2">
        <f t="shared" ref="AB238:AB253" si="216">ROUND((AC238+AD238+AF238),6)</f>
        <v>1316.9580000000001</v>
      </c>
      <c r="AC238" s="2">
        <f>ROUND(((ES238*1)),6)</f>
        <v>288.57</v>
      </c>
      <c r="AD238" s="2">
        <f>ROUND(((((ET238*1.2))-((EU238*1.2)))+AE238),6)</f>
        <v>632.17200000000003</v>
      </c>
      <c r="AE238" s="2">
        <f>ROUND(((EU238*1.2)),6)</f>
        <v>271.536</v>
      </c>
      <c r="AF238" s="2">
        <f>ROUND(((EV238*1.2)),6)</f>
        <v>396.21600000000001</v>
      </c>
      <c r="AG238" s="2">
        <f t="shared" ref="AG238:AG253" si="217">ROUND((AP238),6)</f>
        <v>0</v>
      </c>
      <c r="AH238" s="2">
        <f>((EW238*1.2))</f>
        <v>32.159999999999997</v>
      </c>
      <c r="AI238" s="2">
        <f>((EX238*1.2))</f>
        <v>0</v>
      </c>
      <c r="AJ238" s="2">
        <f t="shared" ref="AJ238:AJ253" si="218">(AS238)</f>
        <v>0</v>
      </c>
      <c r="AK238" s="2">
        <v>1145.56</v>
      </c>
      <c r="AL238" s="2">
        <v>288.57</v>
      </c>
      <c r="AM238" s="2">
        <v>526.80999999999995</v>
      </c>
      <c r="AN238" s="2">
        <v>226.28</v>
      </c>
      <c r="AO238" s="2">
        <v>330.18</v>
      </c>
      <c r="AP238" s="2">
        <v>0</v>
      </c>
      <c r="AQ238" s="2">
        <v>26.8</v>
      </c>
      <c r="AR238" s="2">
        <v>0</v>
      </c>
      <c r="AS238" s="2">
        <v>0</v>
      </c>
      <c r="AT238" s="2">
        <v>97</v>
      </c>
      <c r="AU238" s="2">
        <v>51</v>
      </c>
      <c r="AV238" s="2">
        <v>1.0469999999999999</v>
      </c>
      <c r="AW238" s="2">
        <v>1</v>
      </c>
      <c r="AX238" s="2"/>
      <c r="AY238" s="2"/>
      <c r="AZ238" s="2">
        <v>1</v>
      </c>
      <c r="BA238" s="2">
        <v>1</v>
      </c>
      <c r="BB238" s="2">
        <v>1</v>
      </c>
      <c r="BC238" s="2">
        <v>1</v>
      </c>
      <c r="BD238" s="2" t="s">
        <v>3</v>
      </c>
      <c r="BE238" s="2" t="s">
        <v>3</v>
      </c>
      <c r="BF238" s="2" t="s">
        <v>3</v>
      </c>
      <c r="BG238" s="2" t="s">
        <v>3</v>
      </c>
      <c r="BH238" s="2">
        <v>0</v>
      </c>
      <c r="BI238" s="2">
        <v>2</v>
      </c>
      <c r="BJ238" s="2" t="s">
        <v>233</v>
      </c>
      <c r="BK238" s="2"/>
      <c r="BL238" s="2"/>
      <c r="BM238" s="2">
        <v>67</v>
      </c>
      <c r="BN238" s="2">
        <v>0</v>
      </c>
      <c r="BO238" s="2" t="s">
        <v>231</v>
      </c>
      <c r="BP238" s="2">
        <v>1</v>
      </c>
      <c r="BQ238" s="2">
        <v>40</v>
      </c>
      <c r="BR238" s="2">
        <v>0</v>
      </c>
      <c r="BS238" s="2">
        <v>1</v>
      </c>
      <c r="BT238" s="2">
        <v>1</v>
      </c>
      <c r="BU238" s="2">
        <v>1</v>
      </c>
      <c r="BV238" s="2">
        <v>1</v>
      </c>
      <c r="BW238" s="2">
        <v>1</v>
      </c>
      <c r="BX238" s="2">
        <v>1</v>
      </c>
      <c r="BY238" s="2" t="s">
        <v>3</v>
      </c>
      <c r="BZ238" s="2">
        <v>97</v>
      </c>
      <c r="CA238" s="2">
        <v>51</v>
      </c>
      <c r="CB238" s="2" t="s">
        <v>3</v>
      </c>
      <c r="CC238" s="2"/>
      <c r="CD238" s="2"/>
      <c r="CE238" s="2">
        <v>1566</v>
      </c>
      <c r="CF238" s="2">
        <v>0</v>
      </c>
      <c r="CG238" s="2">
        <v>0</v>
      </c>
      <c r="CH238" s="2"/>
      <c r="CI238" s="2"/>
      <c r="CJ238" s="2"/>
      <c r="CK238" s="2"/>
      <c r="CL238" s="2"/>
      <c r="CM238" s="2">
        <v>0</v>
      </c>
      <c r="CN238" s="2" t="s">
        <v>491</v>
      </c>
      <c r="CO238" s="2">
        <v>0</v>
      </c>
      <c r="CP238" s="2">
        <f t="shared" ref="CP238:CP253" si="219">(P238+Q238+S238)</f>
        <v>2730.5899999999997</v>
      </c>
      <c r="CQ238" s="2">
        <f t="shared" ref="CQ238:CQ253" si="220">ROUND((ROUND((AC238*AW238*1),2)*BC238),2)</f>
        <v>288.57</v>
      </c>
      <c r="CR238" s="2">
        <f>(ROUND((ROUND((((ET238*1.2))*AV238*1),2)*BB238),2)+ROUND((ROUND(((AE238-((EU238*1.2)))*AV238*1),2)*BS238),2))</f>
        <v>661.88</v>
      </c>
      <c r="CS238" s="2">
        <f>(ROUND((ROUND((((EU238*1.2))*AV238*1),2)*BS238),2)+ROUND((ROUND(((AE238-((EU238*1.2)))*AV238*1),2)*BS238),2))</f>
        <v>284.3</v>
      </c>
      <c r="CT238" s="2">
        <f t="shared" ref="CT238:CT253" si="221">ROUND((ROUND((AF238*AV238*1),2)*BA238),2)</f>
        <v>414.84</v>
      </c>
      <c r="CU238" s="2">
        <f t="shared" ref="CU238:CU253" si="222">AG238</f>
        <v>0</v>
      </c>
      <c r="CV238" s="2">
        <f t="shared" ref="CV238:CV253" si="223">(AH238*AV238)</f>
        <v>33.671519999999994</v>
      </c>
      <c r="CW238" s="2">
        <f t="shared" ref="CW238:CW253" si="224">AI238</f>
        <v>0</v>
      </c>
      <c r="CX238" s="2">
        <f t="shared" ref="CX238:CX253" si="225">AJ238</f>
        <v>0</v>
      </c>
      <c r="CY238" s="2">
        <f>(ROUND((((S238+ROUND((ROUND((((EU238*1.2))*AV238*1),2)*BS238),2))*AT238)/100),2)+ROUND(((ROUND((ROUND(((AE238-((EU238*1.2)))*AV238*1),2)*BS238),2)*AT238)/100),2))</f>
        <v>1080.56</v>
      </c>
      <c r="CZ238" s="2">
        <f>(ROUND((((S238+ROUND((ROUND((((EU238*1.2))*AV238*1),2)*BS238),2))*AU238)/100),2)+ROUND(((ROUND((ROUND(((AE238-((EU238*1.2)))*AV238*1),2)*BS238),2)*AU238)/100),2))</f>
        <v>568.13</v>
      </c>
      <c r="DA238" s="2"/>
      <c r="DB238" s="2">
        <v>55</v>
      </c>
      <c r="DC238" s="2" t="s">
        <v>3</v>
      </c>
      <c r="DD238" s="2" t="s">
        <v>56</v>
      </c>
      <c r="DE238" s="2" t="s">
        <v>57</v>
      </c>
      <c r="DF238" s="2" t="s">
        <v>57</v>
      </c>
      <c r="DG238" s="2" t="s">
        <v>57</v>
      </c>
      <c r="DH238" s="2" t="s">
        <v>3</v>
      </c>
      <c r="DI238" s="2" t="s">
        <v>57</v>
      </c>
      <c r="DJ238" s="2" t="s">
        <v>57</v>
      </c>
      <c r="DK238" s="2" t="s">
        <v>3</v>
      </c>
      <c r="DL238" s="2" t="s">
        <v>3</v>
      </c>
      <c r="DM238" s="2" t="s">
        <v>3</v>
      </c>
      <c r="DN238" s="2">
        <v>0</v>
      </c>
      <c r="DO238" s="2">
        <v>0</v>
      </c>
      <c r="DP238" s="2">
        <v>1</v>
      </c>
      <c r="DQ238" s="2">
        <v>1</v>
      </c>
      <c r="DR238" s="2"/>
      <c r="DS238" s="2"/>
      <c r="DT238" s="2"/>
      <c r="DU238" s="2">
        <v>1003</v>
      </c>
      <c r="DV238" s="2" t="s">
        <v>65</v>
      </c>
      <c r="DW238" s="2" t="s">
        <v>65</v>
      </c>
      <c r="DX238" s="2">
        <v>100</v>
      </c>
      <c r="DY238" s="2"/>
      <c r="DZ238" s="2" t="s">
        <v>3</v>
      </c>
      <c r="EA238" s="2" t="s">
        <v>3</v>
      </c>
      <c r="EB238" s="2" t="s">
        <v>3</v>
      </c>
      <c r="EC238" s="2" t="s">
        <v>3</v>
      </c>
      <c r="ED238" s="2"/>
      <c r="EE238" s="2">
        <v>55393699</v>
      </c>
      <c r="EF238" s="2">
        <v>40</v>
      </c>
      <c r="EG238" s="2" t="s">
        <v>26</v>
      </c>
      <c r="EH238" s="2">
        <v>0</v>
      </c>
      <c r="EI238" s="2" t="s">
        <v>3</v>
      </c>
      <c r="EJ238" s="2">
        <v>2</v>
      </c>
      <c r="EK238" s="2">
        <v>67</v>
      </c>
      <c r="EL238" s="2" t="s">
        <v>39</v>
      </c>
      <c r="EM238" s="2" t="s">
        <v>40</v>
      </c>
      <c r="EN238" s="2"/>
      <c r="EO238" s="2" t="s">
        <v>61</v>
      </c>
      <c r="EP238" s="2"/>
      <c r="EQ238" s="2">
        <v>0</v>
      </c>
      <c r="ER238" s="2">
        <v>1145.56</v>
      </c>
      <c r="ES238" s="2">
        <v>288.57</v>
      </c>
      <c r="ET238" s="2">
        <v>526.80999999999995</v>
      </c>
      <c r="EU238" s="2">
        <v>226.28</v>
      </c>
      <c r="EV238" s="2">
        <v>330.18</v>
      </c>
      <c r="EW238" s="2">
        <v>26.8</v>
      </c>
      <c r="EX238" s="2">
        <v>0</v>
      </c>
      <c r="EY238" s="2">
        <v>0</v>
      </c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>
        <v>0</v>
      </c>
      <c r="FR238" s="2">
        <v>0</v>
      </c>
      <c r="FS238" s="2">
        <v>0</v>
      </c>
      <c r="FT238" s="2"/>
      <c r="FU238" s="2"/>
      <c r="FV238" s="2"/>
      <c r="FW238" s="2"/>
      <c r="FX238" s="2">
        <v>97</v>
      </c>
      <c r="FY238" s="2">
        <v>51</v>
      </c>
      <c r="FZ238" s="2"/>
      <c r="GA238" s="2" t="s">
        <v>3</v>
      </c>
      <c r="GB238" s="2"/>
      <c r="GC238" s="2"/>
      <c r="GD238" s="2">
        <v>1</v>
      </c>
      <c r="GE238" s="2"/>
      <c r="GF238" s="2">
        <v>-1540292139</v>
      </c>
      <c r="GG238" s="2">
        <v>2</v>
      </c>
      <c r="GH238" s="2">
        <v>1</v>
      </c>
      <c r="GI238" s="2">
        <v>2</v>
      </c>
      <c r="GJ238" s="2">
        <v>0</v>
      </c>
      <c r="GK238" s="2">
        <v>0</v>
      </c>
      <c r="GL238" s="2">
        <f t="shared" ref="GL238:GL253" si="226">ROUND(IF(AND(BH238=3,BI238=3,FS238&lt;&gt;0),P238,0),2)</f>
        <v>0</v>
      </c>
      <c r="GM238" s="2">
        <f t="shared" ref="GM238:GM253" si="227">ROUND(O238+X238+Y238,2)+GX238</f>
        <v>4800.04</v>
      </c>
      <c r="GN238" s="2">
        <f t="shared" ref="GN238:GN253" si="228">IF(OR(BI238=0,BI238=1),GM238-GX238,0)</f>
        <v>0</v>
      </c>
      <c r="GO238" s="2">
        <f t="shared" ref="GO238:GO253" si="229">IF(BI238=2,GM238-GX238,0)</f>
        <v>4800.04</v>
      </c>
      <c r="GP238" s="2">
        <f t="shared" ref="GP238:GP253" si="230">IF(BI238=4,GM238-GX238,0)</f>
        <v>0</v>
      </c>
      <c r="GQ238" s="2"/>
      <c r="GR238" s="2">
        <v>0</v>
      </c>
      <c r="GS238" s="2">
        <v>3</v>
      </c>
      <c r="GT238" s="2">
        <v>0</v>
      </c>
      <c r="GU238" s="2" t="s">
        <v>3</v>
      </c>
      <c r="GV238" s="2">
        <f t="shared" ref="GV238:GV253" si="231">ROUND((GT238),6)</f>
        <v>0</v>
      </c>
      <c r="GW238" s="2">
        <v>1</v>
      </c>
      <c r="GX238" s="2">
        <f t="shared" ref="GX238:GX253" si="232">ROUND(HC238*I238,2)</f>
        <v>0</v>
      </c>
      <c r="GY238" s="2"/>
      <c r="GZ238" s="2"/>
      <c r="HA238" s="2">
        <v>0</v>
      </c>
      <c r="HB238" s="2">
        <v>0</v>
      </c>
      <c r="HC238" s="2">
        <f t="shared" ref="HC238:HC253" si="233">GV238*GW238</f>
        <v>0</v>
      </c>
      <c r="HD238" s="2"/>
      <c r="HE238" s="2" t="s">
        <v>3</v>
      </c>
      <c r="HF238" s="2" t="s">
        <v>3</v>
      </c>
      <c r="HG238" s="2"/>
      <c r="HH238" s="2"/>
      <c r="HI238" s="2"/>
      <c r="HJ238" s="2"/>
      <c r="HK238" s="2"/>
      <c r="HL238" s="2"/>
      <c r="HM238" s="2" t="s">
        <v>3</v>
      </c>
      <c r="HN238" s="2" t="s">
        <v>3</v>
      </c>
      <c r="HO238" s="2" t="s">
        <v>3</v>
      </c>
      <c r="HP238" s="2" t="s">
        <v>3</v>
      </c>
      <c r="HQ238" s="2" t="s">
        <v>3</v>
      </c>
      <c r="HR238" s="2"/>
      <c r="HS238" s="2">
        <v>0</v>
      </c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>
        <v>0</v>
      </c>
      <c r="IL238" s="2"/>
      <c r="IM238" s="2"/>
      <c r="IN238" s="2"/>
      <c r="IO238" s="2"/>
      <c r="IP238" s="2"/>
      <c r="IQ238" s="2"/>
      <c r="IR238" s="2"/>
      <c r="IS238" s="2"/>
      <c r="IT238" s="2"/>
      <c r="IU238" s="2"/>
    </row>
    <row r="239" spans="1:255" x14ac:dyDescent="0.2">
      <c r="A239" s="3">
        <v>17</v>
      </c>
      <c r="B239" s="3">
        <v>1</v>
      </c>
      <c r="C239" s="3">
        <f>ROW(SmtRes!A184)</f>
        <v>184</v>
      </c>
      <c r="D239" s="3">
        <f>ROW(EtalonRes!A204)</f>
        <v>204</v>
      </c>
      <c r="E239" s="3" t="s">
        <v>230</v>
      </c>
      <c r="F239" s="3" t="s">
        <v>231</v>
      </c>
      <c r="G239" s="3" t="s">
        <v>232</v>
      </c>
      <c r="H239" s="3" t="s">
        <v>65</v>
      </c>
      <c r="I239" s="3">
        <f>ROUND((200)/100,9)</f>
        <v>2</v>
      </c>
      <c r="J239" s="3">
        <v>0</v>
      </c>
      <c r="K239" s="3">
        <f>ROUND((200)/100,9)</f>
        <v>2</v>
      </c>
      <c r="O239" s="3">
        <f t="shared" si="209"/>
        <v>90970.39</v>
      </c>
      <c r="P239" s="3">
        <f t="shared" si="210"/>
        <v>3128.1</v>
      </c>
      <c r="Q239" s="3">
        <f>(ROUND((ROUND((((ET239*1.2))*AV239*I239),2)*BB239),2)+ROUND((ROUND(((AE239-((EU239*1.2)))*AV239*I239),2)*BS239),2))</f>
        <v>41089.82</v>
      </c>
      <c r="R239" s="3">
        <f>(ROUND((ROUND((((EU239*1.2))*AV239*I239),2)*BS239),2)+ROUND((ROUND(((AE239-((EU239*1.2)))*AV239*I239),2)*BS239),2))</f>
        <v>32040.61</v>
      </c>
      <c r="S239" s="3">
        <f t="shared" si="211"/>
        <v>46752.47</v>
      </c>
      <c r="T239" s="3">
        <f t="shared" si="212"/>
        <v>0</v>
      </c>
      <c r="U239" s="3">
        <f t="shared" si="213"/>
        <v>67.343039999999988</v>
      </c>
      <c r="V239" s="3">
        <f t="shared" si="214"/>
        <v>0</v>
      </c>
      <c r="W239" s="3">
        <f t="shared" si="215"/>
        <v>0</v>
      </c>
      <c r="X239" s="3">
        <f>(ROUND((((S239+ROUND((ROUND((((EU239*1.2))*AV239*I239),2)*BS239),2))*AT239)/100),2)+ROUND(((ROUND((ROUND(((AE239-((EU239*1.2)))*AV239*I239),2)*BS239),2)*AT239)/100),2))</f>
        <v>76429.289999999994</v>
      </c>
      <c r="Y239" s="3">
        <f>(ROUND((((S239+ROUND((ROUND((((EU239*1.2))*AV239*I239),2)*BS239),2))*AU239)/100),2)+ROUND(((ROUND((ROUND(((AE239-((EU239*1.2)))*AV239*I239),2)*BS239),2)*AU239)/100),2))</f>
        <v>40184.47</v>
      </c>
      <c r="AA239" s="3">
        <v>55919549</v>
      </c>
      <c r="AB239" s="3">
        <f t="shared" si="216"/>
        <v>1316.9580000000001</v>
      </c>
      <c r="AC239" s="3">
        <f>ROUND(((ES239*1)),6)</f>
        <v>288.57</v>
      </c>
      <c r="AD239" s="3">
        <f>ROUND(((((ET239*1.2))-((EU239*1.2)))+AE239),6)</f>
        <v>632.17200000000003</v>
      </c>
      <c r="AE239" s="3">
        <f>ROUND(((EU239*1.2)),6)</f>
        <v>271.536</v>
      </c>
      <c r="AF239" s="3">
        <f>ROUND(((EV239*1.2)),6)</f>
        <v>396.21600000000001</v>
      </c>
      <c r="AG239" s="3">
        <f t="shared" si="217"/>
        <v>0</v>
      </c>
      <c r="AH239" s="3">
        <f>((EW239*1.2))</f>
        <v>32.159999999999997</v>
      </c>
      <c r="AI239" s="3">
        <f>((EX239*1.2))</f>
        <v>0</v>
      </c>
      <c r="AJ239" s="3">
        <f t="shared" si="218"/>
        <v>0</v>
      </c>
      <c r="AK239" s="3">
        <v>1145.56</v>
      </c>
      <c r="AL239" s="3">
        <v>288.57</v>
      </c>
      <c r="AM239" s="3">
        <v>526.80999999999995</v>
      </c>
      <c r="AN239" s="3">
        <v>226.28</v>
      </c>
      <c r="AO239" s="3">
        <v>330.18</v>
      </c>
      <c r="AP239" s="3">
        <v>0</v>
      </c>
      <c r="AQ239" s="3">
        <v>26.8</v>
      </c>
      <c r="AR239" s="3">
        <v>0</v>
      </c>
      <c r="AS239" s="3">
        <v>0</v>
      </c>
      <c r="AT239" s="3">
        <v>97</v>
      </c>
      <c r="AU239" s="3">
        <v>51</v>
      </c>
      <c r="AV239" s="3">
        <v>1.0469999999999999</v>
      </c>
      <c r="AW239" s="3">
        <v>1</v>
      </c>
      <c r="AZ239" s="3">
        <v>1</v>
      </c>
      <c r="BA239" s="3">
        <v>56.35</v>
      </c>
      <c r="BB239" s="3">
        <v>31.04</v>
      </c>
      <c r="BC239" s="3">
        <v>5.42</v>
      </c>
      <c r="BD239" s="3" t="s">
        <v>3</v>
      </c>
      <c r="BE239" s="3" t="s">
        <v>3</v>
      </c>
      <c r="BF239" s="3" t="s">
        <v>3</v>
      </c>
      <c r="BG239" s="3" t="s">
        <v>3</v>
      </c>
      <c r="BH239" s="3">
        <v>0</v>
      </c>
      <c r="BI239" s="3">
        <v>2</v>
      </c>
      <c r="BJ239" s="3" t="s">
        <v>233</v>
      </c>
      <c r="BM239" s="3">
        <v>67</v>
      </c>
      <c r="BN239" s="3">
        <v>0</v>
      </c>
      <c r="BO239" s="3" t="s">
        <v>231</v>
      </c>
      <c r="BP239" s="3">
        <v>1</v>
      </c>
      <c r="BQ239" s="3">
        <v>40</v>
      </c>
      <c r="BR239" s="3">
        <v>0</v>
      </c>
      <c r="BS239" s="3">
        <v>56.35</v>
      </c>
      <c r="BT239" s="3">
        <v>1</v>
      </c>
      <c r="BU239" s="3">
        <v>1</v>
      </c>
      <c r="BV239" s="3">
        <v>1</v>
      </c>
      <c r="BW239" s="3">
        <v>1</v>
      </c>
      <c r="BX239" s="3">
        <v>1</v>
      </c>
      <c r="BY239" s="3" t="s">
        <v>3</v>
      </c>
      <c r="BZ239" s="3">
        <v>97</v>
      </c>
      <c r="CA239" s="3">
        <v>51</v>
      </c>
      <c r="CB239" s="3" t="s">
        <v>3</v>
      </c>
      <c r="CE239" s="3">
        <v>1566</v>
      </c>
      <c r="CF239" s="3">
        <v>0</v>
      </c>
      <c r="CG239" s="3">
        <v>0</v>
      </c>
      <c r="CM239" s="3">
        <v>0</v>
      </c>
      <c r="CN239" s="3" t="s">
        <v>491</v>
      </c>
      <c r="CO239" s="3">
        <v>0</v>
      </c>
      <c r="CP239" s="3">
        <f t="shared" si="219"/>
        <v>90970.39</v>
      </c>
      <c r="CQ239" s="3">
        <f t="shared" si="220"/>
        <v>1564.05</v>
      </c>
      <c r="CR239" s="3">
        <f>(ROUND((ROUND((((ET239*1.2))*AV239*1),2)*BB239),2)+ROUND((ROUND(((AE239-((EU239*1.2)))*AV239*1),2)*BS239),2))</f>
        <v>20544.759999999998</v>
      </c>
      <c r="CS239" s="3">
        <f>(ROUND((ROUND((((EU239*1.2))*AV239*1),2)*BS239),2)+ROUND((ROUND(((AE239-((EU239*1.2)))*AV239*1),2)*BS239),2))</f>
        <v>16020.31</v>
      </c>
      <c r="CT239" s="3">
        <f t="shared" si="221"/>
        <v>23376.23</v>
      </c>
      <c r="CU239" s="3">
        <f t="shared" si="222"/>
        <v>0</v>
      </c>
      <c r="CV239" s="3">
        <f t="shared" si="223"/>
        <v>33.671519999999994</v>
      </c>
      <c r="CW239" s="3">
        <f t="shared" si="224"/>
        <v>0</v>
      </c>
      <c r="CX239" s="3">
        <f t="shared" si="225"/>
        <v>0</v>
      </c>
      <c r="CY239" s="3">
        <f>(ROUND((((S239+ROUND((ROUND((((EU239*1.2))*AV239*1),2)*BS239),2))*AT239)/100),2)+ROUND(((ROUND((ROUND(((AE239-((EU239*1.2)))*AV239*1),2)*BS239),2)*AT239)/100),2))</f>
        <v>60889.599999999999</v>
      </c>
      <c r="CZ239" s="3">
        <f>(ROUND((((S239+ROUND((ROUND((((EU239*1.2))*AV239*1),2)*BS239),2))*AU239)/100),2)+ROUND(((ROUND((ROUND(((AE239-((EU239*1.2)))*AV239*1),2)*BS239),2)*AU239)/100),2))</f>
        <v>32014.12</v>
      </c>
      <c r="DB239" s="3">
        <v>56</v>
      </c>
      <c r="DC239" s="3" t="s">
        <v>3</v>
      </c>
      <c r="DD239" s="3" t="s">
        <v>56</v>
      </c>
      <c r="DE239" s="3" t="s">
        <v>57</v>
      </c>
      <c r="DF239" s="3" t="s">
        <v>57</v>
      </c>
      <c r="DG239" s="3" t="s">
        <v>57</v>
      </c>
      <c r="DH239" s="3" t="s">
        <v>3</v>
      </c>
      <c r="DI239" s="3" t="s">
        <v>57</v>
      </c>
      <c r="DJ239" s="3" t="s">
        <v>57</v>
      </c>
      <c r="DK239" s="3" t="s">
        <v>3</v>
      </c>
      <c r="DL239" s="3" t="s">
        <v>3</v>
      </c>
      <c r="DM239" s="3" t="s">
        <v>3</v>
      </c>
      <c r="DN239" s="3">
        <v>0</v>
      </c>
      <c r="DO239" s="3">
        <v>0</v>
      </c>
      <c r="DP239" s="3">
        <v>1</v>
      </c>
      <c r="DQ239" s="3">
        <v>1</v>
      </c>
      <c r="DU239" s="3">
        <v>1003</v>
      </c>
      <c r="DV239" s="3" t="s">
        <v>65</v>
      </c>
      <c r="DW239" s="3" t="s">
        <v>65</v>
      </c>
      <c r="DX239" s="3">
        <v>100</v>
      </c>
      <c r="DZ239" s="3" t="s">
        <v>3</v>
      </c>
      <c r="EA239" s="3" t="s">
        <v>3</v>
      </c>
      <c r="EB239" s="3" t="s">
        <v>3</v>
      </c>
      <c r="EC239" s="3" t="s">
        <v>3</v>
      </c>
      <c r="EE239" s="3">
        <v>55393699</v>
      </c>
      <c r="EF239" s="3">
        <v>40</v>
      </c>
      <c r="EG239" s="3" t="s">
        <v>26</v>
      </c>
      <c r="EH239" s="3">
        <v>0</v>
      </c>
      <c r="EI239" s="3" t="s">
        <v>3</v>
      </c>
      <c r="EJ239" s="3">
        <v>2</v>
      </c>
      <c r="EK239" s="3">
        <v>67</v>
      </c>
      <c r="EL239" s="3" t="s">
        <v>39</v>
      </c>
      <c r="EM239" s="3" t="s">
        <v>40</v>
      </c>
      <c r="EO239" s="3" t="s">
        <v>61</v>
      </c>
      <c r="EQ239" s="3">
        <v>0</v>
      </c>
      <c r="ER239" s="3">
        <v>1145.56</v>
      </c>
      <c r="ES239" s="3">
        <v>288.57</v>
      </c>
      <c r="ET239" s="3">
        <v>526.80999999999995</v>
      </c>
      <c r="EU239" s="3">
        <v>226.28</v>
      </c>
      <c r="EV239" s="3">
        <v>330.18</v>
      </c>
      <c r="EW239" s="3">
        <v>26.8</v>
      </c>
      <c r="EX239" s="3">
        <v>0</v>
      </c>
      <c r="EY239" s="3">
        <v>0</v>
      </c>
      <c r="FQ239" s="3">
        <v>0</v>
      </c>
      <c r="FR239" s="3">
        <v>0</v>
      </c>
      <c r="FS239" s="3">
        <v>0</v>
      </c>
      <c r="FX239" s="3">
        <v>97</v>
      </c>
      <c r="FY239" s="3">
        <v>51</v>
      </c>
      <c r="GA239" s="3" t="s">
        <v>3</v>
      </c>
      <c r="GD239" s="3">
        <v>1</v>
      </c>
      <c r="GF239" s="3">
        <v>-1540292139</v>
      </c>
      <c r="GG239" s="3">
        <v>2</v>
      </c>
      <c r="GH239" s="3">
        <v>1</v>
      </c>
      <c r="GI239" s="3">
        <v>2</v>
      </c>
      <c r="GJ239" s="3">
        <v>0</v>
      </c>
      <c r="GK239" s="3">
        <v>0</v>
      </c>
      <c r="GL239" s="3">
        <f t="shared" si="226"/>
        <v>0</v>
      </c>
      <c r="GM239" s="3">
        <f t="shared" si="227"/>
        <v>207584.15</v>
      </c>
      <c r="GN239" s="3">
        <f t="shared" si="228"/>
        <v>0</v>
      </c>
      <c r="GO239" s="3">
        <f t="shared" si="229"/>
        <v>207584.15</v>
      </c>
      <c r="GP239" s="3">
        <f t="shared" si="230"/>
        <v>0</v>
      </c>
      <c r="GR239" s="3">
        <v>0</v>
      </c>
      <c r="GS239" s="3">
        <v>3</v>
      </c>
      <c r="GT239" s="3">
        <v>0</v>
      </c>
      <c r="GU239" s="3" t="s">
        <v>3</v>
      </c>
      <c r="GV239" s="3">
        <f t="shared" si="231"/>
        <v>0</v>
      </c>
      <c r="GW239" s="3">
        <v>1</v>
      </c>
      <c r="GX239" s="3">
        <f t="shared" si="232"/>
        <v>0</v>
      </c>
      <c r="HA239" s="3">
        <v>0</v>
      </c>
      <c r="HB239" s="3">
        <v>0</v>
      </c>
      <c r="HC239" s="3">
        <f t="shared" si="233"/>
        <v>0</v>
      </c>
      <c r="HE239" s="3" t="s">
        <v>3</v>
      </c>
      <c r="HF239" s="3" t="s">
        <v>3</v>
      </c>
      <c r="HM239" s="3" t="s">
        <v>3</v>
      </c>
      <c r="HN239" s="3" t="s">
        <v>3</v>
      </c>
      <c r="HO239" s="3" t="s">
        <v>3</v>
      </c>
      <c r="HP239" s="3" t="s">
        <v>3</v>
      </c>
      <c r="HQ239" s="3" t="s">
        <v>3</v>
      </c>
      <c r="HS239" s="3">
        <v>0</v>
      </c>
      <c r="IK239" s="3">
        <v>0</v>
      </c>
    </row>
    <row r="240" spans="1:255" x14ac:dyDescent="0.2">
      <c r="A240" s="2">
        <v>18</v>
      </c>
      <c r="B240" s="2">
        <v>1</v>
      </c>
      <c r="C240" s="2">
        <v>166</v>
      </c>
      <c r="D240" s="2"/>
      <c r="E240" s="2" t="s">
        <v>234</v>
      </c>
      <c r="F240" s="2" t="s">
        <v>235</v>
      </c>
      <c r="G240" s="2" t="s">
        <v>236</v>
      </c>
      <c r="H240" s="2" t="s">
        <v>206</v>
      </c>
      <c r="I240" s="2">
        <f>I238*J240</f>
        <v>206</v>
      </c>
      <c r="J240" s="2">
        <v>103</v>
      </c>
      <c r="K240" s="2">
        <v>103</v>
      </c>
      <c r="L240" s="2"/>
      <c r="M240" s="2"/>
      <c r="N240" s="2"/>
      <c r="O240" s="2">
        <f t="shared" si="209"/>
        <v>3034.38</v>
      </c>
      <c r="P240" s="2">
        <f t="shared" si="210"/>
        <v>3034.38</v>
      </c>
      <c r="Q240" s="2">
        <f t="shared" ref="Q240:Q249" si="234">(ROUND((ROUND(((ET240)*AV240*I240),2)*BB240),2)+ROUND((ROUND(((AE240-(EU240))*AV240*I240),2)*BS240),2))</f>
        <v>0</v>
      </c>
      <c r="R240" s="2">
        <f t="shared" ref="R240:R249" si="235">(ROUND((ROUND(((EU240)*AV240*I240),2)*BS240),2)+ROUND((ROUND(((AE240-(EU240))*AV240*I240),2)*BS240),2))</f>
        <v>0</v>
      </c>
      <c r="S240" s="2">
        <f t="shared" si="211"/>
        <v>0</v>
      </c>
      <c r="T240" s="2">
        <f t="shared" si="212"/>
        <v>0</v>
      </c>
      <c r="U240" s="2">
        <f t="shared" si="213"/>
        <v>0</v>
      </c>
      <c r="V240" s="2">
        <f t="shared" si="214"/>
        <v>0</v>
      </c>
      <c r="W240" s="2">
        <f t="shared" si="215"/>
        <v>0</v>
      </c>
      <c r="X240" s="2">
        <f t="shared" ref="X240:X249" si="236">(ROUND((((S240+ROUND((ROUND(((EU240)*AV240*I240),2)*BS240),2))*AT240)/100),2)+ROUND(((ROUND((ROUND(((AE240-(EU240))*AV240*I240),2)*BS240),2)*AT240)/100),2))</f>
        <v>0</v>
      </c>
      <c r="Y240" s="2">
        <f t="shared" ref="Y240:Y249" si="237">(ROUND((((S240+ROUND((ROUND(((EU240)*AV240*I240),2)*BS240),2))*AU240)/100),2)+ROUND(((ROUND((ROUND(((AE240-(EU240))*AV240*I240),2)*BS240),2)*AU240)/100),2))</f>
        <v>0</v>
      </c>
      <c r="Z240" s="2"/>
      <c r="AA240" s="2">
        <v>55919547</v>
      </c>
      <c r="AB240" s="2">
        <f t="shared" si="216"/>
        <v>14.73</v>
      </c>
      <c r="AC240" s="2">
        <f t="shared" ref="AC240:AC249" si="238">ROUND((ES240),6)</f>
        <v>14.73</v>
      </c>
      <c r="AD240" s="2">
        <f t="shared" ref="AD240:AD249" si="239">ROUND((((ET240)-(EU240))+AE240),6)</f>
        <v>0</v>
      </c>
      <c r="AE240" s="2">
        <f t="shared" ref="AE240:AE249" si="240">ROUND((EU240),6)</f>
        <v>0</v>
      </c>
      <c r="AF240" s="2">
        <f t="shared" ref="AF240:AF249" si="241">ROUND((EV240),6)</f>
        <v>0</v>
      </c>
      <c r="AG240" s="2">
        <f t="shared" si="217"/>
        <v>0</v>
      </c>
      <c r="AH240" s="2">
        <f t="shared" ref="AH240:AH249" si="242">(EW240)</f>
        <v>0</v>
      </c>
      <c r="AI240" s="2">
        <f t="shared" ref="AI240:AI249" si="243">(EX240)</f>
        <v>0</v>
      </c>
      <c r="AJ240" s="2">
        <f t="shared" si="218"/>
        <v>0</v>
      </c>
      <c r="AK240" s="2">
        <v>14.729999999999999</v>
      </c>
      <c r="AL240" s="2">
        <v>14.729999999999999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1</v>
      </c>
      <c r="AW240" s="2">
        <v>1</v>
      </c>
      <c r="AX240" s="2"/>
      <c r="AY240" s="2"/>
      <c r="AZ240" s="2">
        <v>1</v>
      </c>
      <c r="BA240" s="2">
        <v>1</v>
      </c>
      <c r="BB240" s="2">
        <v>1</v>
      </c>
      <c r="BC240" s="2">
        <v>1</v>
      </c>
      <c r="BD240" s="2" t="s">
        <v>3</v>
      </c>
      <c r="BE240" s="2" t="s">
        <v>3</v>
      </c>
      <c r="BF240" s="2" t="s">
        <v>3</v>
      </c>
      <c r="BG240" s="2" t="s">
        <v>3</v>
      </c>
      <c r="BH240" s="2">
        <v>3</v>
      </c>
      <c r="BI240" s="2">
        <v>2</v>
      </c>
      <c r="BJ240" s="2" t="s">
        <v>235</v>
      </c>
      <c r="BK240" s="2"/>
      <c r="BL240" s="2"/>
      <c r="BM240" s="2">
        <v>400005</v>
      </c>
      <c r="BN240" s="2">
        <v>0</v>
      </c>
      <c r="BO240" s="2" t="s">
        <v>3</v>
      </c>
      <c r="BP240" s="2">
        <v>0</v>
      </c>
      <c r="BQ240" s="2">
        <v>213</v>
      </c>
      <c r="BR240" s="2">
        <v>0</v>
      </c>
      <c r="BS240" s="2">
        <v>1</v>
      </c>
      <c r="BT240" s="2">
        <v>1</v>
      </c>
      <c r="BU240" s="2">
        <v>1</v>
      </c>
      <c r="BV240" s="2">
        <v>1</v>
      </c>
      <c r="BW240" s="2">
        <v>1</v>
      </c>
      <c r="BX240" s="2">
        <v>1</v>
      </c>
      <c r="BY240" s="2" t="s">
        <v>3</v>
      </c>
      <c r="BZ240" s="2">
        <v>97</v>
      </c>
      <c r="CA240" s="2">
        <v>51</v>
      </c>
      <c r="CB240" s="2" t="s">
        <v>3</v>
      </c>
      <c r="CC240" s="2"/>
      <c r="CD240" s="2"/>
      <c r="CE240" s="2">
        <v>1566</v>
      </c>
      <c r="CF240" s="2">
        <v>0</v>
      </c>
      <c r="CG240" s="2">
        <v>0</v>
      </c>
      <c r="CH240" s="2"/>
      <c r="CI240" s="2"/>
      <c r="CJ240" s="2"/>
      <c r="CK240" s="2"/>
      <c r="CL240" s="2"/>
      <c r="CM240" s="2">
        <v>0</v>
      </c>
      <c r="CN240" s="2" t="s">
        <v>492</v>
      </c>
      <c r="CO240" s="2">
        <v>0</v>
      </c>
      <c r="CP240" s="2">
        <f t="shared" si="219"/>
        <v>3034.38</v>
      </c>
      <c r="CQ240" s="2">
        <f t="shared" si="220"/>
        <v>14.73</v>
      </c>
      <c r="CR240" s="2">
        <f t="shared" ref="CR240:CR249" si="244">(ROUND((ROUND(((ET240)*AV240*1),2)*BB240),2)+ROUND((ROUND(((AE240-(EU240))*AV240*1),2)*BS240),2))</f>
        <v>0</v>
      </c>
      <c r="CS240" s="2">
        <f t="shared" ref="CS240:CS249" si="245">(ROUND((ROUND(((EU240)*AV240*1),2)*BS240),2)+ROUND((ROUND(((AE240-(EU240))*AV240*1),2)*BS240),2))</f>
        <v>0</v>
      </c>
      <c r="CT240" s="2">
        <f t="shared" si="221"/>
        <v>0</v>
      </c>
      <c r="CU240" s="2">
        <f t="shared" si="222"/>
        <v>0</v>
      </c>
      <c r="CV240" s="2">
        <f t="shared" si="223"/>
        <v>0</v>
      </c>
      <c r="CW240" s="2">
        <f t="shared" si="224"/>
        <v>0</v>
      </c>
      <c r="CX240" s="2">
        <f t="shared" si="225"/>
        <v>0</v>
      </c>
      <c r="CY240" s="2">
        <f t="shared" ref="CY240:CY249" si="246">(ROUND((((S240+ROUND((ROUND(((EU240)*AV240*1),2)*BS240),2))*AT240)/100),2)+ROUND(((ROUND((ROUND(((AE240-(EU240))*AV240*1),2)*BS240),2)*AT240)/100),2))</f>
        <v>0</v>
      </c>
      <c r="CZ240" s="2">
        <f t="shared" ref="CZ240:CZ249" si="247">(ROUND((((S240+ROUND((ROUND(((EU240)*AV240*1),2)*BS240),2))*AU240)/100),2)+ROUND(((ROUND((ROUND(((AE240-(EU240))*AV240*1),2)*BS240),2)*AU240)/100),2))</f>
        <v>0</v>
      </c>
      <c r="DA240" s="2"/>
      <c r="DB240" s="2"/>
      <c r="DC240" s="2" t="s">
        <v>3</v>
      </c>
      <c r="DD240" s="2" t="s">
        <v>3</v>
      </c>
      <c r="DE240" s="2" t="s">
        <v>3</v>
      </c>
      <c r="DF240" s="2" t="s">
        <v>3</v>
      </c>
      <c r="DG240" s="2" t="s">
        <v>3</v>
      </c>
      <c r="DH240" s="2" t="s">
        <v>3</v>
      </c>
      <c r="DI240" s="2" t="s">
        <v>3</v>
      </c>
      <c r="DJ240" s="2" t="s">
        <v>3</v>
      </c>
      <c r="DK240" s="2" t="s">
        <v>3</v>
      </c>
      <c r="DL240" s="2" t="s">
        <v>3</v>
      </c>
      <c r="DM240" s="2" t="s">
        <v>3</v>
      </c>
      <c r="DN240" s="2">
        <v>0</v>
      </c>
      <c r="DO240" s="2">
        <v>0</v>
      </c>
      <c r="DP240" s="2">
        <v>1</v>
      </c>
      <c r="DQ240" s="2">
        <v>1</v>
      </c>
      <c r="DR240" s="2"/>
      <c r="DS240" s="2"/>
      <c r="DT240" s="2"/>
      <c r="DU240" s="2">
        <v>1003</v>
      </c>
      <c r="DV240" s="2" t="s">
        <v>206</v>
      </c>
      <c r="DW240" s="2" t="s">
        <v>206</v>
      </c>
      <c r="DX240" s="2">
        <v>1</v>
      </c>
      <c r="DY240" s="2"/>
      <c r="DZ240" s="2" t="s">
        <v>3</v>
      </c>
      <c r="EA240" s="2" t="s">
        <v>3</v>
      </c>
      <c r="EB240" s="2" t="s">
        <v>3</v>
      </c>
      <c r="EC240" s="2" t="s">
        <v>3</v>
      </c>
      <c r="ED240" s="2"/>
      <c r="EE240" s="2">
        <v>55393628</v>
      </c>
      <c r="EF240" s="2">
        <v>213</v>
      </c>
      <c r="EG240" s="2" t="s">
        <v>207</v>
      </c>
      <c r="EH240" s="2">
        <v>0</v>
      </c>
      <c r="EI240" s="2" t="s">
        <v>3</v>
      </c>
      <c r="EJ240" s="2">
        <v>1</v>
      </c>
      <c r="EK240" s="2">
        <v>400005</v>
      </c>
      <c r="EL240" s="2" t="s">
        <v>207</v>
      </c>
      <c r="EM240" s="2" t="s">
        <v>208</v>
      </c>
      <c r="EN240" s="2"/>
      <c r="EO240" s="2" t="s">
        <v>61</v>
      </c>
      <c r="EP240" s="2"/>
      <c r="EQ240" s="2">
        <v>16</v>
      </c>
      <c r="ER240" s="2">
        <v>0</v>
      </c>
      <c r="ES240" s="2">
        <v>14.729999999999999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>
        <v>0</v>
      </c>
      <c r="FR240" s="2">
        <v>0</v>
      </c>
      <c r="FS240" s="2">
        <v>0</v>
      </c>
      <c r="FT240" s="2"/>
      <c r="FU240" s="2"/>
      <c r="FV240" s="2"/>
      <c r="FW240" s="2"/>
      <c r="FX240" s="2">
        <v>97</v>
      </c>
      <c r="FY240" s="2">
        <v>51</v>
      </c>
      <c r="FZ240" s="2"/>
      <c r="GA240" s="2" t="s">
        <v>237</v>
      </c>
      <c r="GB240" s="2"/>
      <c r="GC240" s="2"/>
      <c r="GD240" s="2">
        <v>1</v>
      </c>
      <c r="GE240" s="2"/>
      <c r="GF240" s="2">
        <v>80376642</v>
      </c>
      <c r="GG240" s="2">
        <v>2</v>
      </c>
      <c r="GH240" s="2">
        <v>4</v>
      </c>
      <c r="GI240" s="2">
        <v>-2</v>
      </c>
      <c r="GJ240" s="2">
        <v>0</v>
      </c>
      <c r="GK240" s="2">
        <v>0</v>
      </c>
      <c r="GL240" s="2">
        <f t="shared" si="226"/>
        <v>0</v>
      </c>
      <c r="GM240" s="2">
        <f t="shared" si="227"/>
        <v>3034.38</v>
      </c>
      <c r="GN240" s="2">
        <f t="shared" si="228"/>
        <v>0</v>
      </c>
      <c r="GO240" s="2">
        <f t="shared" si="229"/>
        <v>3034.38</v>
      </c>
      <c r="GP240" s="2">
        <f t="shared" si="230"/>
        <v>0</v>
      </c>
      <c r="GQ240" s="2"/>
      <c r="GR240" s="2">
        <v>1</v>
      </c>
      <c r="GS240" s="2">
        <v>2</v>
      </c>
      <c r="GT240" s="2">
        <v>0</v>
      </c>
      <c r="GU240" s="2" t="s">
        <v>3</v>
      </c>
      <c r="GV240" s="2">
        <f t="shared" si="231"/>
        <v>0</v>
      </c>
      <c r="GW240" s="2">
        <v>1</v>
      </c>
      <c r="GX240" s="2">
        <f t="shared" si="232"/>
        <v>0</v>
      </c>
      <c r="GY240" s="2"/>
      <c r="GZ240" s="2"/>
      <c r="HA240" s="2">
        <v>0</v>
      </c>
      <c r="HB240" s="2">
        <v>0</v>
      </c>
      <c r="HC240" s="2">
        <f t="shared" si="233"/>
        <v>0</v>
      </c>
      <c r="HD240" s="2"/>
      <c r="HE240" s="2" t="s">
        <v>210</v>
      </c>
      <c r="HF240" s="2" t="s">
        <v>30</v>
      </c>
      <c r="HG240" s="2"/>
      <c r="HH240" s="2"/>
      <c r="HI240" s="2"/>
      <c r="HJ240" s="2"/>
      <c r="HK240" s="2"/>
      <c r="HL240" s="2"/>
      <c r="HM240" s="2" t="s">
        <v>56</v>
      </c>
      <c r="HN240" s="2" t="s">
        <v>3</v>
      </c>
      <c r="HO240" s="2" t="s">
        <v>3</v>
      </c>
      <c r="HP240" s="2" t="s">
        <v>3</v>
      </c>
      <c r="HQ240" s="2" t="s">
        <v>3</v>
      </c>
      <c r="HR240" s="2"/>
      <c r="HS240" s="2">
        <v>0</v>
      </c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>
        <v>0</v>
      </c>
      <c r="IL240" s="2"/>
      <c r="IM240" s="2"/>
      <c r="IN240" s="2"/>
      <c r="IO240" s="2"/>
      <c r="IP240" s="2"/>
      <c r="IQ240" s="2"/>
      <c r="IR240" s="2"/>
      <c r="IS240" s="2"/>
      <c r="IT240" s="2"/>
      <c r="IU240" s="2"/>
    </row>
    <row r="241" spans="1:255" x14ac:dyDescent="0.2">
      <c r="A241" s="3">
        <v>18</v>
      </c>
      <c r="B241" s="3">
        <v>1</v>
      </c>
      <c r="C241" s="3">
        <v>184</v>
      </c>
      <c r="E241" s="3" t="s">
        <v>234</v>
      </c>
      <c r="F241" s="3" t="s">
        <v>235</v>
      </c>
      <c r="G241" s="3" t="s">
        <v>236</v>
      </c>
      <c r="H241" s="3" t="s">
        <v>206</v>
      </c>
      <c r="I241" s="3">
        <f>I239*J241</f>
        <v>206</v>
      </c>
      <c r="J241" s="3">
        <v>103</v>
      </c>
      <c r="K241" s="3">
        <v>103</v>
      </c>
      <c r="O241" s="3">
        <f t="shared" si="209"/>
        <v>22970.26</v>
      </c>
      <c r="P241" s="3">
        <f t="shared" si="210"/>
        <v>22970.26</v>
      </c>
      <c r="Q241" s="3">
        <f t="shared" si="234"/>
        <v>0</v>
      </c>
      <c r="R241" s="3">
        <f t="shared" si="235"/>
        <v>0</v>
      </c>
      <c r="S241" s="3">
        <f t="shared" si="211"/>
        <v>0</v>
      </c>
      <c r="T241" s="3">
        <f t="shared" si="212"/>
        <v>0</v>
      </c>
      <c r="U241" s="3">
        <f t="shared" si="213"/>
        <v>0</v>
      </c>
      <c r="V241" s="3">
        <f t="shared" si="214"/>
        <v>0</v>
      </c>
      <c r="W241" s="3">
        <f t="shared" si="215"/>
        <v>0</v>
      </c>
      <c r="X241" s="3">
        <f t="shared" si="236"/>
        <v>0</v>
      </c>
      <c r="Y241" s="3">
        <f t="shared" si="237"/>
        <v>0</v>
      </c>
      <c r="AA241" s="3">
        <v>55919549</v>
      </c>
      <c r="AB241" s="3">
        <f t="shared" si="216"/>
        <v>14.73</v>
      </c>
      <c r="AC241" s="3">
        <f t="shared" si="238"/>
        <v>14.73</v>
      </c>
      <c r="AD241" s="3">
        <f t="shared" si="239"/>
        <v>0</v>
      </c>
      <c r="AE241" s="3">
        <f t="shared" si="240"/>
        <v>0</v>
      </c>
      <c r="AF241" s="3">
        <f t="shared" si="241"/>
        <v>0</v>
      </c>
      <c r="AG241" s="3">
        <f t="shared" si="217"/>
        <v>0</v>
      </c>
      <c r="AH241" s="3">
        <f t="shared" si="242"/>
        <v>0</v>
      </c>
      <c r="AI241" s="3">
        <f t="shared" si="243"/>
        <v>0</v>
      </c>
      <c r="AJ241" s="3">
        <f t="shared" si="218"/>
        <v>0</v>
      </c>
      <c r="AK241" s="3">
        <v>14.729999999999999</v>
      </c>
      <c r="AL241" s="3">
        <v>14.729999999999999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1</v>
      </c>
      <c r="AW241" s="3">
        <v>1</v>
      </c>
      <c r="AZ241" s="3">
        <v>1</v>
      </c>
      <c r="BA241" s="3">
        <v>1</v>
      </c>
      <c r="BB241" s="3">
        <v>1</v>
      </c>
      <c r="BC241" s="3">
        <v>7.57</v>
      </c>
      <c r="BD241" s="3" t="s">
        <v>3</v>
      </c>
      <c r="BE241" s="3" t="s">
        <v>3</v>
      </c>
      <c r="BF241" s="3" t="s">
        <v>3</v>
      </c>
      <c r="BG241" s="3" t="s">
        <v>3</v>
      </c>
      <c r="BH241" s="3">
        <v>3</v>
      </c>
      <c r="BI241" s="3">
        <v>2</v>
      </c>
      <c r="BJ241" s="3" t="s">
        <v>235</v>
      </c>
      <c r="BM241" s="3">
        <v>400005</v>
      </c>
      <c r="BN241" s="3">
        <v>0</v>
      </c>
      <c r="BO241" s="3" t="s">
        <v>3</v>
      </c>
      <c r="BP241" s="3">
        <v>0</v>
      </c>
      <c r="BQ241" s="3">
        <v>213</v>
      </c>
      <c r="BR241" s="3">
        <v>0</v>
      </c>
      <c r="BS241" s="3">
        <v>1</v>
      </c>
      <c r="BT241" s="3">
        <v>1</v>
      </c>
      <c r="BU241" s="3">
        <v>1</v>
      </c>
      <c r="BV241" s="3">
        <v>1</v>
      </c>
      <c r="BW241" s="3">
        <v>1</v>
      </c>
      <c r="BX241" s="3">
        <v>1</v>
      </c>
      <c r="BY241" s="3" t="s">
        <v>3</v>
      </c>
      <c r="BZ241" s="3">
        <v>97</v>
      </c>
      <c r="CA241" s="3">
        <v>51</v>
      </c>
      <c r="CB241" s="3" t="s">
        <v>3</v>
      </c>
      <c r="CE241" s="3">
        <v>1566</v>
      </c>
      <c r="CF241" s="3">
        <v>0</v>
      </c>
      <c r="CG241" s="3">
        <v>0</v>
      </c>
      <c r="CM241" s="3">
        <v>0</v>
      </c>
      <c r="CN241" s="3" t="s">
        <v>492</v>
      </c>
      <c r="CO241" s="3">
        <v>0</v>
      </c>
      <c r="CP241" s="3">
        <f t="shared" si="219"/>
        <v>22970.26</v>
      </c>
      <c r="CQ241" s="3">
        <f t="shared" si="220"/>
        <v>111.51</v>
      </c>
      <c r="CR241" s="3">
        <f t="shared" si="244"/>
        <v>0</v>
      </c>
      <c r="CS241" s="3">
        <f t="shared" si="245"/>
        <v>0</v>
      </c>
      <c r="CT241" s="3">
        <f t="shared" si="221"/>
        <v>0</v>
      </c>
      <c r="CU241" s="3">
        <f t="shared" si="222"/>
        <v>0</v>
      </c>
      <c r="CV241" s="3">
        <f t="shared" si="223"/>
        <v>0</v>
      </c>
      <c r="CW241" s="3">
        <f t="shared" si="224"/>
        <v>0</v>
      </c>
      <c r="CX241" s="3">
        <f t="shared" si="225"/>
        <v>0</v>
      </c>
      <c r="CY241" s="3">
        <f t="shared" si="246"/>
        <v>0</v>
      </c>
      <c r="CZ241" s="3">
        <f t="shared" si="247"/>
        <v>0</v>
      </c>
      <c r="DC241" s="3" t="s">
        <v>3</v>
      </c>
      <c r="DD241" s="3" t="s">
        <v>3</v>
      </c>
      <c r="DE241" s="3" t="s">
        <v>3</v>
      </c>
      <c r="DF241" s="3" t="s">
        <v>3</v>
      </c>
      <c r="DG241" s="3" t="s">
        <v>3</v>
      </c>
      <c r="DH241" s="3" t="s">
        <v>3</v>
      </c>
      <c r="DI241" s="3" t="s">
        <v>3</v>
      </c>
      <c r="DJ241" s="3" t="s">
        <v>3</v>
      </c>
      <c r="DK241" s="3" t="s">
        <v>3</v>
      </c>
      <c r="DL241" s="3" t="s">
        <v>3</v>
      </c>
      <c r="DM241" s="3" t="s">
        <v>3</v>
      </c>
      <c r="DN241" s="3">
        <v>0</v>
      </c>
      <c r="DO241" s="3">
        <v>0</v>
      </c>
      <c r="DP241" s="3">
        <v>1</v>
      </c>
      <c r="DQ241" s="3">
        <v>1</v>
      </c>
      <c r="DU241" s="3">
        <v>1003</v>
      </c>
      <c r="DV241" s="3" t="s">
        <v>206</v>
      </c>
      <c r="DW241" s="3" t="s">
        <v>206</v>
      </c>
      <c r="DX241" s="3">
        <v>1</v>
      </c>
      <c r="DZ241" s="3" t="s">
        <v>3</v>
      </c>
      <c r="EA241" s="3" t="s">
        <v>3</v>
      </c>
      <c r="EB241" s="3" t="s">
        <v>3</v>
      </c>
      <c r="EC241" s="3" t="s">
        <v>3</v>
      </c>
      <c r="EE241" s="3">
        <v>55393628</v>
      </c>
      <c r="EF241" s="3">
        <v>213</v>
      </c>
      <c r="EG241" s="3" t="s">
        <v>207</v>
      </c>
      <c r="EH241" s="3">
        <v>0</v>
      </c>
      <c r="EI241" s="3" t="s">
        <v>3</v>
      </c>
      <c r="EJ241" s="3">
        <v>1</v>
      </c>
      <c r="EK241" s="3">
        <v>400005</v>
      </c>
      <c r="EL241" s="3" t="s">
        <v>207</v>
      </c>
      <c r="EM241" s="3" t="s">
        <v>208</v>
      </c>
      <c r="EO241" s="3" t="s">
        <v>61</v>
      </c>
      <c r="EQ241" s="3">
        <v>16</v>
      </c>
      <c r="ER241" s="3">
        <v>0</v>
      </c>
      <c r="ES241" s="3">
        <v>14.729999999999999</v>
      </c>
      <c r="ET241" s="3">
        <v>0</v>
      </c>
      <c r="EU241" s="3">
        <v>0</v>
      </c>
      <c r="EV241" s="3">
        <v>0</v>
      </c>
      <c r="EW241" s="3">
        <v>0</v>
      </c>
      <c r="EX241" s="3">
        <v>0</v>
      </c>
      <c r="EZ241" s="3">
        <v>5</v>
      </c>
      <c r="FC241" s="3">
        <v>1</v>
      </c>
      <c r="FD241" s="3">
        <v>18</v>
      </c>
      <c r="FF241" s="3">
        <v>133.33000000000001</v>
      </c>
      <c r="FQ241" s="3">
        <v>0</v>
      </c>
      <c r="FR241" s="3">
        <v>0</v>
      </c>
      <c r="FS241" s="3">
        <v>0</v>
      </c>
      <c r="FX241" s="3">
        <v>97</v>
      </c>
      <c r="FY241" s="3">
        <v>51</v>
      </c>
      <c r="GA241" s="3" t="s">
        <v>237</v>
      </c>
      <c r="GD241" s="3">
        <v>1</v>
      </c>
      <c r="GF241" s="3">
        <v>80376642</v>
      </c>
      <c r="GG241" s="3">
        <v>2</v>
      </c>
      <c r="GH241" s="3">
        <v>3</v>
      </c>
      <c r="GI241" s="3">
        <v>5</v>
      </c>
      <c r="GJ241" s="3">
        <v>0</v>
      </c>
      <c r="GK241" s="3">
        <v>0</v>
      </c>
      <c r="GL241" s="3">
        <f t="shared" si="226"/>
        <v>0</v>
      </c>
      <c r="GM241" s="3">
        <f t="shared" si="227"/>
        <v>22970.26</v>
      </c>
      <c r="GN241" s="3">
        <f t="shared" si="228"/>
        <v>0</v>
      </c>
      <c r="GO241" s="3">
        <f t="shared" si="229"/>
        <v>22970.26</v>
      </c>
      <c r="GP241" s="3">
        <f t="shared" si="230"/>
        <v>0</v>
      </c>
      <c r="GR241" s="3">
        <v>1</v>
      </c>
      <c r="GS241" s="3">
        <v>1</v>
      </c>
      <c r="GT241" s="3">
        <v>0</v>
      </c>
      <c r="GU241" s="3" t="s">
        <v>3</v>
      </c>
      <c r="GV241" s="3">
        <f t="shared" si="231"/>
        <v>0</v>
      </c>
      <c r="GW241" s="3">
        <v>1</v>
      </c>
      <c r="GX241" s="3">
        <f t="shared" si="232"/>
        <v>0</v>
      </c>
      <c r="HA241" s="3">
        <v>0</v>
      </c>
      <c r="HB241" s="3">
        <v>0</v>
      </c>
      <c r="HC241" s="3">
        <f t="shared" si="233"/>
        <v>0</v>
      </c>
      <c r="HE241" s="3" t="s">
        <v>210</v>
      </c>
      <c r="HF241" s="3" t="s">
        <v>30</v>
      </c>
      <c r="HM241" s="3" t="s">
        <v>56</v>
      </c>
      <c r="HN241" s="3" t="s">
        <v>3</v>
      </c>
      <c r="HO241" s="3" t="s">
        <v>3</v>
      </c>
      <c r="HP241" s="3" t="s">
        <v>3</v>
      </c>
      <c r="HQ241" s="3" t="s">
        <v>3</v>
      </c>
      <c r="HS241" s="3">
        <v>0</v>
      </c>
      <c r="IK241" s="3">
        <v>0</v>
      </c>
    </row>
    <row r="242" spans="1:255" x14ac:dyDescent="0.2">
      <c r="A242" s="2">
        <v>18</v>
      </c>
      <c r="B242" s="2">
        <v>1</v>
      </c>
      <c r="C242" s="2">
        <v>162</v>
      </c>
      <c r="D242" s="2"/>
      <c r="E242" s="2" t="s">
        <v>238</v>
      </c>
      <c r="F242" s="2" t="s">
        <v>239</v>
      </c>
      <c r="G242" s="2" t="s">
        <v>240</v>
      </c>
      <c r="H242" s="2" t="s">
        <v>54</v>
      </c>
      <c r="I242" s="2">
        <f>I238*J242</f>
        <v>400</v>
      </c>
      <c r="J242" s="2">
        <v>200</v>
      </c>
      <c r="K242" s="2">
        <v>200</v>
      </c>
      <c r="L242" s="2"/>
      <c r="M242" s="2"/>
      <c r="N242" s="2"/>
      <c r="O242" s="2">
        <f t="shared" si="209"/>
        <v>58756</v>
      </c>
      <c r="P242" s="2">
        <f t="shared" si="210"/>
        <v>58756</v>
      </c>
      <c r="Q242" s="2">
        <f t="shared" si="234"/>
        <v>0</v>
      </c>
      <c r="R242" s="2">
        <f t="shared" si="235"/>
        <v>0</v>
      </c>
      <c r="S242" s="2">
        <f t="shared" si="211"/>
        <v>0</v>
      </c>
      <c r="T242" s="2">
        <f t="shared" si="212"/>
        <v>0</v>
      </c>
      <c r="U242" s="2">
        <f t="shared" si="213"/>
        <v>0</v>
      </c>
      <c r="V242" s="2">
        <f t="shared" si="214"/>
        <v>0</v>
      </c>
      <c r="W242" s="2">
        <f t="shared" si="215"/>
        <v>0</v>
      </c>
      <c r="X242" s="2">
        <f t="shared" si="236"/>
        <v>0</v>
      </c>
      <c r="Y242" s="2">
        <f t="shared" si="237"/>
        <v>0</v>
      </c>
      <c r="Z242" s="2"/>
      <c r="AA242" s="2">
        <v>55919547</v>
      </c>
      <c r="AB242" s="2">
        <f t="shared" si="216"/>
        <v>146.88999999999999</v>
      </c>
      <c r="AC242" s="2">
        <f t="shared" si="238"/>
        <v>146.88999999999999</v>
      </c>
      <c r="AD242" s="2">
        <f t="shared" si="239"/>
        <v>0</v>
      </c>
      <c r="AE242" s="2">
        <f t="shared" si="240"/>
        <v>0</v>
      </c>
      <c r="AF242" s="2">
        <f t="shared" si="241"/>
        <v>0</v>
      </c>
      <c r="AG242" s="2">
        <f t="shared" si="217"/>
        <v>0</v>
      </c>
      <c r="AH242" s="2">
        <f t="shared" si="242"/>
        <v>0</v>
      </c>
      <c r="AI242" s="2">
        <f t="shared" si="243"/>
        <v>0</v>
      </c>
      <c r="AJ242" s="2">
        <f t="shared" si="218"/>
        <v>0</v>
      </c>
      <c r="AK242" s="2">
        <v>146.88999999999999</v>
      </c>
      <c r="AL242" s="2">
        <v>146.88999999999999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97</v>
      </c>
      <c r="AU242" s="2">
        <v>51</v>
      </c>
      <c r="AV242" s="2">
        <v>1</v>
      </c>
      <c r="AW242" s="2">
        <v>1</v>
      </c>
      <c r="AX242" s="2"/>
      <c r="AY242" s="2"/>
      <c r="AZ242" s="2">
        <v>1</v>
      </c>
      <c r="BA242" s="2">
        <v>1</v>
      </c>
      <c r="BB242" s="2">
        <v>1</v>
      </c>
      <c r="BC242" s="2">
        <v>1</v>
      </c>
      <c r="BD242" s="2" t="s">
        <v>3</v>
      </c>
      <c r="BE242" s="2" t="s">
        <v>3</v>
      </c>
      <c r="BF242" s="2" t="s">
        <v>3</v>
      </c>
      <c r="BG242" s="2" t="s">
        <v>3</v>
      </c>
      <c r="BH242" s="2">
        <v>3</v>
      </c>
      <c r="BI242" s="2">
        <v>2</v>
      </c>
      <c r="BJ242" s="2" t="s">
        <v>241</v>
      </c>
      <c r="BK242" s="2"/>
      <c r="BL242" s="2"/>
      <c r="BM242" s="2">
        <v>67</v>
      </c>
      <c r="BN242" s="2">
        <v>0</v>
      </c>
      <c r="BO242" s="2" t="s">
        <v>3</v>
      </c>
      <c r="BP242" s="2">
        <v>0</v>
      </c>
      <c r="BQ242" s="2">
        <v>40</v>
      </c>
      <c r="BR242" s="2">
        <v>0</v>
      </c>
      <c r="BS242" s="2">
        <v>1</v>
      </c>
      <c r="BT242" s="2">
        <v>1</v>
      </c>
      <c r="BU242" s="2">
        <v>1</v>
      </c>
      <c r="BV242" s="2">
        <v>1</v>
      </c>
      <c r="BW242" s="2">
        <v>1</v>
      </c>
      <c r="BX242" s="2">
        <v>1</v>
      </c>
      <c r="BY242" s="2" t="s">
        <v>3</v>
      </c>
      <c r="BZ242" s="2">
        <v>97</v>
      </c>
      <c r="CA242" s="2">
        <v>51</v>
      </c>
      <c r="CB242" s="2" t="s">
        <v>3</v>
      </c>
      <c r="CC242" s="2"/>
      <c r="CD242" s="2"/>
      <c r="CE242" s="2">
        <v>1566</v>
      </c>
      <c r="CF242" s="2">
        <v>0</v>
      </c>
      <c r="CG242" s="2">
        <v>0</v>
      </c>
      <c r="CH242" s="2"/>
      <c r="CI242" s="2"/>
      <c r="CJ242" s="2"/>
      <c r="CK242" s="2"/>
      <c r="CL242" s="2"/>
      <c r="CM242" s="2">
        <v>0</v>
      </c>
      <c r="CN242" s="2" t="s">
        <v>492</v>
      </c>
      <c r="CO242" s="2">
        <v>0</v>
      </c>
      <c r="CP242" s="2">
        <f t="shared" si="219"/>
        <v>58756</v>
      </c>
      <c r="CQ242" s="2">
        <f t="shared" si="220"/>
        <v>146.88999999999999</v>
      </c>
      <c r="CR242" s="2">
        <f t="shared" si="244"/>
        <v>0</v>
      </c>
      <c r="CS242" s="2">
        <f t="shared" si="245"/>
        <v>0</v>
      </c>
      <c r="CT242" s="2">
        <f t="shared" si="221"/>
        <v>0</v>
      </c>
      <c r="CU242" s="2">
        <f t="shared" si="222"/>
        <v>0</v>
      </c>
      <c r="CV242" s="2">
        <f t="shared" si="223"/>
        <v>0</v>
      </c>
      <c r="CW242" s="2">
        <f t="shared" si="224"/>
        <v>0</v>
      </c>
      <c r="CX242" s="2">
        <f t="shared" si="225"/>
        <v>0</v>
      </c>
      <c r="CY242" s="2">
        <f t="shared" si="246"/>
        <v>0</v>
      </c>
      <c r="CZ242" s="2">
        <f t="shared" si="247"/>
        <v>0</v>
      </c>
      <c r="DA242" s="2"/>
      <c r="DB242" s="2"/>
      <c r="DC242" s="2" t="s">
        <v>3</v>
      </c>
      <c r="DD242" s="2" t="s">
        <v>3</v>
      </c>
      <c r="DE242" s="2" t="s">
        <v>3</v>
      </c>
      <c r="DF242" s="2" t="s">
        <v>3</v>
      </c>
      <c r="DG242" s="2" t="s">
        <v>3</v>
      </c>
      <c r="DH242" s="2" t="s">
        <v>3</v>
      </c>
      <c r="DI242" s="2" t="s">
        <v>3</v>
      </c>
      <c r="DJ242" s="2" t="s">
        <v>3</v>
      </c>
      <c r="DK242" s="2" t="s">
        <v>3</v>
      </c>
      <c r="DL242" s="2" t="s">
        <v>3</v>
      </c>
      <c r="DM242" s="2" t="s">
        <v>3</v>
      </c>
      <c r="DN242" s="2">
        <v>0</v>
      </c>
      <c r="DO242" s="2">
        <v>0</v>
      </c>
      <c r="DP242" s="2">
        <v>1</v>
      </c>
      <c r="DQ242" s="2">
        <v>1</v>
      </c>
      <c r="DR242" s="2"/>
      <c r="DS242" s="2"/>
      <c r="DT242" s="2"/>
      <c r="DU242" s="2">
        <v>1010</v>
      </c>
      <c r="DV242" s="2" t="s">
        <v>54</v>
      </c>
      <c r="DW242" s="2" t="s">
        <v>54</v>
      </c>
      <c r="DX242" s="2">
        <v>100</v>
      </c>
      <c r="DY242" s="2"/>
      <c r="DZ242" s="2" t="s">
        <v>3</v>
      </c>
      <c r="EA242" s="2" t="s">
        <v>3</v>
      </c>
      <c r="EB242" s="2" t="s">
        <v>3</v>
      </c>
      <c r="EC242" s="2" t="s">
        <v>3</v>
      </c>
      <c r="ED242" s="2"/>
      <c r="EE242" s="2">
        <v>55393699</v>
      </c>
      <c r="EF242" s="2">
        <v>40</v>
      </c>
      <c r="EG242" s="2" t="s">
        <v>26</v>
      </c>
      <c r="EH242" s="2">
        <v>0</v>
      </c>
      <c r="EI242" s="2" t="s">
        <v>3</v>
      </c>
      <c r="EJ242" s="2">
        <v>2</v>
      </c>
      <c r="EK242" s="2">
        <v>67</v>
      </c>
      <c r="EL242" s="2" t="s">
        <v>39</v>
      </c>
      <c r="EM242" s="2" t="s">
        <v>40</v>
      </c>
      <c r="EN242" s="2"/>
      <c r="EO242" s="2" t="s">
        <v>61</v>
      </c>
      <c r="EP242" s="2"/>
      <c r="EQ242" s="2">
        <v>0</v>
      </c>
      <c r="ER242" s="2">
        <v>146.88999999999999</v>
      </c>
      <c r="ES242" s="2">
        <v>146.88999999999999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>
        <v>0</v>
      </c>
      <c r="FR242" s="2">
        <v>0</v>
      </c>
      <c r="FS242" s="2">
        <v>0</v>
      </c>
      <c r="FT242" s="2"/>
      <c r="FU242" s="2"/>
      <c r="FV242" s="2"/>
      <c r="FW242" s="2"/>
      <c r="FX242" s="2">
        <v>97</v>
      </c>
      <c r="FY242" s="2">
        <v>51</v>
      </c>
      <c r="FZ242" s="2"/>
      <c r="GA242" s="2" t="s">
        <v>3</v>
      </c>
      <c r="GB242" s="2"/>
      <c r="GC242" s="2"/>
      <c r="GD242" s="2">
        <v>1</v>
      </c>
      <c r="GE242" s="2"/>
      <c r="GF242" s="2">
        <v>289520784</v>
      </c>
      <c r="GG242" s="2">
        <v>2</v>
      </c>
      <c r="GH242" s="2">
        <v>1</v>
      </c>
      <c r="GI242" s="2">
        <v>-2</v>
      </c>
      <c r="GJ242" s="2">
        <v>0</v>
      </c>
      <c r="GK242" s="2">
        <v>0</v>
      </c>
      <c r="GL242" s="2">
        <f t="shared" si="226"/>
        <v>0</v>
      </c>
      <c r="GM242" s="2">
        <f t="shared" si="227"/>
        <v>58756</v>
      </c>
      <c r="GN242" s="2">
        <f t="shared" si="228"/>
        <v>0</v>
      </c>
      <c r="GO242" s="2">
        <f t="shared" si="229"/>
        <v>58756</v>
      </c>
      <c r="GP242" s="2">
        <f t="shared" si="230"/>
        <v>0</v>
      </c>
      <c r="GQ242" s="2"/>
      <c r="GR242" s="2">
        <v>0</v>
      </c>
      <c r="GS242" s="2">
        <v>3</v>
      </c>
      <c r="GT242" s="2">
        <v>0</v>
      </c>
      <c r="GU242" s="2" t="s">
        <v>3</v>
      </c>
      <c r="GV242" s="2">
        <f t="shared" si="231"/>
        <v>0</v>
      </c>
      <c r="GW242" s="2">
        <v>1</v>
      </c>
      <c r="GX242" s="2">
        <f t="shared" si="232"/>
        <v>0</v>
      </c>
      <c r="GY242" s="2"/>
      <c r="GZ242" s="2"/>
      <c r="HA242" s="2">
        <v>0</v>
      </c>
      <c r="HB242" s="2">
        <v>0</v>
      </c>
      <c r="HC242" s="2">
        <f t="shared" si="233"/>
        <v>0</v>
      </c>
      <c r="HD242" s="2"/>
      <c r="HE242" s="2" t="s">
        <v>3</v>
      </c>
      <c r="HF242" s="2" t="s">
        <v>3</v>
      </c>
      <c r="HG242" s="2"/>
      <c r="HH242" s="2"/>
      <c r="HI242" s="2"/>
      <c r="HJ242" s="2"/>
      <c r="HK242" s="2"/>
      <c r="HL242" s="2"/>
      <c r="HM242" s="2" t="s">
        <v>3</v>
      </c>
      <c r="HN242" s="2" t="s">
        <v>3</v>
      </c>
      <c r="HO242" s="2" t="s">
        <v>3</v>
      </c>
      <c r="HP242" s="2" t="s">
        <v>3</v>
      </c>
      <c r="HQ242" s="2" t="s">
        <v>3</v>
      </c>
      <c r="HR242" s="2"/>
      <c r="HS242" s="2">
        <v>0</v>
      </c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>
        <v>0</v>
      </c>
      <c r="IL242" s="2"/>
      <c r="IM242" s="2"/>
      <c r="IN242" s="2"/>
      <c r="IO242" s="2"/>
      <c r="IP242" s="2"/>
      <c r="IQ242" s="2"/>
      <c r="IR242" s="2"/>
      <c r="IS242" s="2"/>
      <c r="IT242" s="2"/>
      <c r="IU242" s="2"/>
    </row>
    <row r="243" spans="1:255" x14ac:dyDescent="0.2">
      <c r="A243" s="3">
        <v>18</v>
      </c>
      <c r="B243" s="3">
        <v>1</v>
      </c>
      <c r="C243" s="3">
        <v>180</v>
      </c>
      <c r="E243" s="3" t="s">
        <v>238</v>
      </c>
      <c r="F243" s="3" t="s">
        <v>239</v>
      </c>
      <c r="G243" s="3" t="s">
        <v>240</v>
      </c>
      <c r="H243" s="3" t="s">
        <v>54</v>
      </c>
      <c r="I243" s="3">
        <f>I239*J243</f>
        <v>400</v>
      </c>
      <c r="J243" s="3">
        <v>200</v>
      </c>
      <c r="K243" s="3">
        <v>200</v>
      </c>
      <c r="O243" s="3">
        <f t="shared" si="209"/>
        <v>102235.44</v>
      </c>
      <c r="P243" s="3">
        <f t="shared" si="210"/>
        <v>102235.44</v>
      </c>
      <c r="Q243" s="3">
        <f t="shared" si="234"/>
        <v>0</v>
      </c>
      <c r="R243" s="3">
        <f t="shared" si="235"/>
        <v>0</v>
      </c>
      <c r="S243" s="3">
        <f t="shared" si="211"/>
        <v>0</v>
      </c>
      <c r="T243" s="3">
        <f t="shared" si="212"/>
        <v>0</v>
      </c>
      <c r="U243" s="3">
        <f t="shared" si="213"/>
        <v>0</v>
      </c>
      <c r="V243" s="3">
        <f t="shared" si="214"/>
        <v>0</v>
      </c>
      <c r="W243" s="3">
        <f t="shared" si="215"/>
        <v>0</v>
      </c>
      <c r="X243" s="3">
        <f t="shared" si="236"/>
        <v>0</v>
      </c>
      <c r="Y243" s="3">
        <f t="shared" si="237"/>
        <v>0</v>
      </c>
      <c r="AA243" s="3">
        <v>55919549</v>
      </c>
      <c r="AB243" s="3">
        <f t="shared" si="216"/>
        <v>146.88999999999999</v>
      </c>
      <c r="AC243" s="3">
        <f t="shared" si="238"/>
        <v>146.88999999999999</v>
      </c>
      <c r="AD243" s="3">
        <f t="shared" si="239"/>
        <v>0</v>
      </c>
      <c r="AE243" s="3">
        <f t="shared" si="240"/>
        <v>0</v>
      </c>
      <c r="AF243" s="3">
        <f t="shared" si="241"/>
        <v>0</v>
      </c>
      <c r="AG243" s="3">
        <f t="shared" si="217"/>
        <v>0</v>
      </c>
      <c r="AH243" s="3">
        <f t="shared" si="242"/>
        <v>0</v>
      </c>
      <c r="AI243" s="3">
        <f t="shared" si="243"/>
        <v>0</v>
      </c>
      <c r="AJ243" s="3">
        <f t="shared" si="218"/>
        <v>0</v>
      </c>
      <c r="AK243" s="3">
        <v>146.88999999999999</v>
      </c>
      <c r="AL243" s="3">
        <v>146.88999999999999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97</v>
      </c>
      <c r="AU243" s="3">
        <v>51</v>
      </c>
      <c r="AV243" s="3">
        <v>1</v>
      </c>
      <c r="AW243" s="3">
        <v>1</v>
      </c>
      <c r="AZ243" s="3">
        <v>1</v>
      </c>
      <c r="BA243" s="3">
        <v>1</v>
      </c>
      <c r="BB243" s="3">
        <v>1</v>
      </c>
      <c r="BC243" s="3">
        <v>1.74</v>
      </c>
      <c r="BD243" s="3" t="s">
        <v>3</v>
      </c>
      <c r="BE243" s="3" t="s">
        <v>3</v>
      </c>
      <c r="BF243" s="3" t="s">
        <v>3</v>
      </c>
      <c r="BG243" s="3" t="s">
        <v>3</v>
      </c>
      <c r="BH243" s="3">
        <v>3</v>
      </c>
      <c r="BI243" s="3">
        <v>2</v>
      </c>
      <c r="BJ243" s="3" t="s">
        <v>241</v>
      </c>
      <c r="BM243" s="3">
        <v>67</v>
      </c>
      <c r="BN243" s="3">
        <v>0</v>
      </c>
      <c r="BO243" s="3" t="s">
        <v>239</v>
      </c>
      <c r="BP243" s="3">
        <v>1</v>
      </c>
      <c r="BQ243" s="3">
        <v>40</v>
      </c>
      <c r="BR243" s="3">
        <v>0</v>
      </c>
      <c r="BS243" s="3">
        <v>1</v>
      </c>
      <c r="BT243" s="3">
        <v>1</v>
      </c>
      <c r="BU243" s="3">
        <v>1</v>
      </c>
      <c r="BV243" s="3">
        <v>1</v>
      </c>
      <c r="BW243" s="3">
        <v>1</v>
      </c>
      <c r="BX243" s="3">
        <v>1</v>
      </c>
      <c r="BY243" s="3" t="s">
        <v>3</v>
      </c>
      <c r="BZ243" s="3">
        <v>97</v>
      </c>
      <c r="CA243" s="3">
        <v>51</v>
      </c>
      <c r="CB243" s="3" t="s">
        <v>3</v>
      </c>
      <c r="CE243" s="3">
        <v>1566</v>
      </c>
      <c r="CF243" s="3">
        <v>0</v>
      </c>
      <c r="CG243" s="3">
        <v>0</v>
      </c>
      <c r="CM243" s="3">
        <v>0</v>
      </c>
      <c r="CN243" s="3" t="s">
        <v>492</v>
      </c>
      <c r="CO243" s="3">
        <v>0</v>
      </c>
      <c r="CP243" s="3">
        <f t="shared" si="219"/>
        <v>102235.44</v>
      </c>
      <c r="CQ243" s="3">
        <f t="shared" si="220"/>
        <v>255.59</v>
      </c>
      <c r="CR243" s="3">
        <f t="shared" si="244"/>
        <v>0</v>
      </c>
      <c r="CS243" s="3">
        <f t="shared" si="245"/>
        <v>0</v>
      </c>
      <c r="CT243" s="3">
        <f t="shared" si="221"/>
        <v>0</v>
      </c>
      <c r="CU243" s="3">
        <f t="shared" si="222"/>
        <v>0</v>
      </c>
      <c r="CV243" s="3">
        <f t="shared" si="223"/>
        <v>0</v>
      </c>
      <c r="CW243" s="3">
        <f t="shared" si="224"/>
        <v>0</v>
      </c>
      <c r="CX243" s="3">
        <f t="shared" si="225"/>
        <v>0</v>
      </c>
      <c r="CY243" s="3">
        <f t="shared" si="246"/>
        <v>0</v>
      </c>
      <c r="CZ243" s="3">
        <f t="shared" si="247"/>
        <v>0</v>
      </c>
      <c r="DC243" s="3" t="s">
        <v>3</v>
      </c>
      <c r="DD243" s="3" t="s">
        <v>3</v>
      </c>
      <c r="DE243" s="3" t="s">
        <v>3</v>
      </c>
      <c r="DF243" s="3" t="s">
        <v>3</v>
      </c>
      <c r="DG243" s="3" t="s">
        <v>3</v>
      </c>
      <c r="DH243" s="3" t="s">
        <v>3</v>
      </c>
      <c r="DI243" s="3" t="s">
        <v>3</v>
      </c>
      <c r="DJ243" s="3" t="s">
        <v>3</v>
      </c>
      <c r="DK243" s="3" t="s">
        <v>3</v>
      </c>
      <c r="DL243" s="3" t="s">
        <v>3</v>
      </c>
      <c r="DM243" s="3" t="s">
        <v>3</v>
      </c>
      <c r="DN243" s="3">
        <v>0</v>
      </c>
      <c r="DO243" s="3">
        <v>0</v>
      </c>
      <c r="DP243" s="3">
        <v>1</v>
      </c>
      <c r="DQ243" s="3">
        <v>1</v>
      </c>
      <c r="DU243" s="3">
        <v>1010</v>
      </c>
      <c r="DV243" s="3" t="s">
        <v>54</v>
      </c>
      <c r="DW243" s="3" t="s">
        <v>54</v>
      </c>
      <c r="DX243" s="3">
        <v>100</v>
      </c>
      <c r="DZ243" s="3" t="s">
        <v>3</v>
      </c>
      <c r="EA243" s="3" t="s">
        <v>3</v>
      </c>
      <c r="EB243" s="3" t="s">
        <v>3</v>
      </c>
      <c r="EC243" s="3" t="s">
        <v>3</v>
      </c>
      <c r="EE243" s="3">
        <v>55393699</v>
      </c>
      <c r="EF243" s="3">
        <v>40</v>
      </c>
      <c r="EG243" s="3" t="s">
        <v>26</v>
      </c>
      <c r="EH243" s="3">
        <v>0</v>
      </c>
      <c r="EI243" s="3" t="s">
        <v>3</v>
      </c>
      <c r="EJ243" s="3">
        <v>2</v>
      </c>
      <c r="EK243" s="3">
        <v>67</v>
      </c>
      <c r="EL243" s="3" t="s">
        <v>39</v>
      </c>
      <c r="EM243" s="3" t="s">
        <v>40</v>
      </c>
      <c r="EO243" s="3" t="s">
        <v>61</v>
      </c>
      <c r="EQ243" s="3">
        <v>0</v>
      </c>
      <c r="ER243" s="3">
        <v>146.88999999999999</v>
      </c>
      <c r="ES243" s="3">
        <v>146.88999999999999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FQ243" s="3">
        <v>0</v>
      </c>
      <c r="FR243" s="3">
        <v>0</v>
      </c>
      <c r="FS243" s="3">
        <v>0</v>
      </c>
      <c r="FX243" s="3">
        <v>97</v>
      </c>
      <c r="FY243" s="3">
        <v>51</v>
      </c>
      <c r="GA243" s="3" t="s">
        <v>3</v>
      </c>
      <c r="GD243" s="3">
        <v>1</v>
      </c>
      <c r="GF243" s="3">
        <v>289520784</v>
      </c>
      <c r="GG243" s="3">
        <v>2</v>
      </c>
      <c r="GH243" s="3">
        <v>1</v>
      </c>
      <c r="GI243" s="3">
        <v>2</v>
      </c>
      <c r="GJ243" s="3">
        <v>0</v>
      </c>
      <c r="GK243" s="3">
        <v>0</v>
      </c>
      <c r="GL243" s="3">
        <f t="shared" si="226"/>
        <v>0</v>
      </c>
      <c r="GM243" s="3">
        <f t="shared" si="227"/>
        <v>102235.44</v>
      </c>
      <c r="GN243" s="3">
        <f t="shared" si="228"/>
        <v>0</v>
      </c>
      <c r="GO243" s="3">
        <f t="shared" si="229"/>
        <v>102235.44</v>
      </c>
      <c r="GP243" s="3">
        <f t="shared" si="230"/>
        <v>0</v>
      </c>
      <c r="GR243" s="3">
        <v>0</v>
      </c>
      <c r="GS243" s="3">
        <v>3</v>
      </c>
      <c r="GT243" s="3">
        <v>0</v>
      </c>
      <c r="GU243" s="3" t="s">
        <v>3</v>
      </c>
      <c r="GV243" s="3">
        <f t="shared" si="231"/>
        <v>0</v>
      </c>
      <c r="GW243" s="3">
        <v>1</v>
      </c>
      <c r="GX243" s="3">
        <f t="shared" si="232"/>
        <v>0</v>
      </c>
      <c r="HA243" s="3">
        <v>0</v>
      </c>
      <c r="HB243" s="3">
        <v>0</v>
      </c>
      <c r="HC243" s="3">
        <f t="shared" si="233"/>
        <v>0</v>
      </c>
      <c r="HE243" s="3" t="s">
        <v>3</v>
      </c>
      <c r="HF243" s="3" t="s">
        <v>3</v>
      </c>
      <c r="HM243" s="3" t="s">
        <v>3</v>
      </c>
      <c r="HN243" s="3" t="s">
        <v>3</v>
      </c>
      <c r="HO243" s="3" t="s">
        <v>3</v>
      </c>
      <c r="HP243" s="3" t="s">
        <v>3</v>
      </c>
      <c r="HQ243" s="3" t="s">
        <v>3</v>
      </c>
      <c r="HS243" s="3">
        <v>0</v>
      </c>
      <c r="IK243" s="3">
        <v>0</v>
      </c>
    </row>
    <row r="244" spans="1:255" x14ac:dyDescent="0.2">
      <c r="A244" s="2">
        <v>18</v>
      </c>
      <c r="B244" s="2">
        <v>1</v>
      </c>
      <c r="C244" s="2">
        <v>161</v>
      </c>
      <c r="D244" s="2"/>
      <c r="E244" s="2" t="s">
        <v>242</v>
      </c>
      <c r="F244" s="2" t="s">
        <v>243</v>
      </c>
      <c r="G244" s="2" t="s">
        <v>244</v>
      </c>
      <c r="H244" s="2" t="s">
        <v>156</v>
      </c>
      <c r="I244" s="2">
        <f>I238*J244</f>
        <v>18</v>
      </c>
      <c r="J244" s="2">
        <v>9</v>
      </c>
      <c r="K244" s="2">
        <v>9</v>
      </c>
      <c r="L244" s="2"/>
      <c r="M244" s="2"/>
      <c r="N244" s="2"/>
      <c r="O244" s="2">
        <f t="shared" si="209"/>
        <v>552.41999999999996</v>
      </c>
      <c r="P244" s="2">
        <f t="shared" si="210"/>
        <v>552.41999999999996</v>
      </c>
      <c r="Q244" s="2">
        <f t="shared" si="234"/>
        <v>0</v>
      </c>
      <c r="R244" s="2">
        <f t="shared" si="235"/>
        <v>0</v>
      </c>
      <c r="S244" s="2">
        <f t="shared" si="211"/>
        <v>0</v>
      </c>
      <c r="T244" s="2">
        <f t="shared" si="212"/>
        <v>0</v>
      </c>
      <c r="U244" s="2">
        <f t="shared" si="213"/>
        <v>0</v>
      </c>
      <c r="V244" s="2">
        <f t="shared" si="214"/>
        <v>0</v>
      </c>
      <c r="W244" s="2">
        <f t="shared" si="215"/>
        <v>0</v>
      </c>
      <c r="X244" s="2">
        <f t="shared" si="236"/>
        <v>0</v>
      </c>
      <c r="Y244" s="2">
        <f t="shared" si="237"/>
        <v>0</v>
      </c>
      <c r="Z244" s="2"/>
      <c r="AA244" s="2">
        <v>55919547</v>
      </c>
      <c r="AB244" s="2">
        <f t="shared" si="216"/>
        <v>30.69</v>
      </c>
      <c r="AC244" s="2">
        <f t="shared" si="238"/>
        <v>30.69</v>
      </c>
      <c r="AD244" s="2">
        <f t="shared" si="239"/>
        <v>0</v>
      </c>
      <c r="AE244" s="2">
        <f t="shared" si="240"/>
        <v>0</v>
      </c>
      <c r="AF244" s="2">
        <f t="shared" si="241"/>
        <v>0</v>
      </c>
      <c r="AG244" s="2">
        <f t="shared" si="217"/>
        <v>0</v>
      </c>
      <c r="AH244" s="2">
        <f t="shared" si="242"/>
        <v>0</v>
      </c>
      <c r="AI244" s="2">
        <f t="shared" si="243"/>
        <v>0</v>
      </c>
      <c r="AJ244" s="2">
        <f t="shared" si="218"/>
        <v>0</v>
      </c>
      <c r="AK244" s="2">
        <v>30.69</v>
      </c>
      <c r="AL244" s="2">
        <v>30.69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97</v>
      </c>
      <c r="AU244" s="2">
        <v>51</v>
      </c>
      <c r="AV244" s="2">
        <v>1</v>
      </c>
      <c r="AW244" s="2">
        <v>1</v>
      </c>
      <c r="AX244" s="2"/>
      <c r="AY244" s="2"/>
      <c r="AZ244" s="2">
        <v>1</v>
      </c>
      <c r="BA244" s="2">
        <v>1</v>
      </c>
      <c r="BB244" s="2">
        <v>1</v>
      </c>
      <c r="BC244" s="2">
        <v>1</v>
      </c>
      <c r="BD244" s="2" t="s">
        <v>3</v>
      </c>
      <c r="BE244" s="2" t="s">
        <v>3</v>
      </c>
      <c r="BF244" s="2" t="s">
        <v>3</v>
      </c>
      <c r="BG244" s="2" t="s">
        <v>3</v>
      </c>
      <c r="BH244" s="2">
        <v>3</v>
      </c>
      <c r="BI244" s="2">
        <v>2</v>
      </c>
      <c r="BJ244" s="2" t="s">
        <v>245</v>
      </c>
      <c r="BK244" s="2"/>
      <c r="BL244" s="2"/>
      <c r="BM244" s="2">
        <v>67</v>
      </c>
      <c r="BN244" s="2">
        <v>0</v>
      </c>
      <c r="BO244" s="2" t="s">
        <v>3</v>
      </c>
      <c r="BP244" s="2">
        <v>0</v>
      </c>
      <c r="BQ244" s="2">
        <v>40</v>
      </c>
      <c r="BR244" s="2">
        <v>0</v>
      </c>
      <c r="BS244" s="2">
        <v>1</v>
      </c>
      <c r="BT244" s="2">
        <v>1</v>
      </c>
      <c r="BU244" s="2">
        <v>1</v>
      </c>
      <c r="BV244" s="2">
        <v>1</v>
      </c>
      <c r="BW244" s="2">
        <v>1</v>
      </c>
      <c r="BX244" s="2">
        <v>1</v>
      </c>
      <c r="BY244" s="2" t="s">
        <v>3</v>
      </c>
      <c r="BZ244" s="2">
        <v>97</v>
      </c>
      <c r="CA244" s="2">
        <v>51</v>
      </c>
      <c r="CB244" s="2" t="s">
        <v>3</v>
      </c>
      <c r="CC244" s="2"/>
      <c r="CD244" s="2"/>
      <c r="CE244" s="2">
        <v>1566</v>
      </c>
      <c r="CF244" s="2">
        <v>0</v>
      </c>
      <c r="CG244" s="2">
        <v>0</v>
      </c>
      <c r="CH244" s="2"/>
      <c r="CI244" s="2"/>
      <c r="CJ244" s="2"/>
      <c r="CK244" s="2"/>
      <c r="CL244" s="2"/>
      <c r="CM244" s="2">
        <v>0</v>
      </c>
      <c r="CN244" s="2" t="s">
        <v>492</v>
      </c>
      <c r="CO244" s="2">
        <v>0</v>
      </c>
      <c r="CP244" s="2">
        <f t="shared" si="219"/>
        <v>552.41999999999996</v>
      </c>
      <c r="CQ244" s="2">
        <f t="shared" si="220"/>
        <v>30.69</v>
      </c>
      <c r="CR244" s="2">
        <f t="shared" si="244"/>
        <v>0</v>
      </c>
      <c r="CS244" s="2">
        <f t="shared" si="245"/>
        <v>0</v>
      </c>
      <c r="CT244" s="2">
        <f t="shared" si="221"/>
        <v>0</v>
      </c>
      <c r="CU244" s="2">
        <f t="shared" si="222"/>
        <v>0</v>
      </c>
      <c r="CV244" s="2">
        <f t="shared" si="223"/>
        <v>0</v>
      </c>
      <c r="CW244" s="2">
        <f t="shared" si="224"/>
        <v>0</v>
      </c>
      <c r="CX244" s="2">
        <f t="shared" si="225"/>
        <v>0</v>
      </c>
      <c r="CY244" s="2">
        <f t="shared" si="246"/>
        <v>0</v>
      </c>
      <c r="CZ244" s="2">
        <f t="shared" si="247"/>
        <v>0</v>
      </c>
      <c r="DA244" s="2"/>
      <c r="DB244" s="2"/>
      <c r="DC244" s="2" t="s">
        <v>3</v>
      </c>
      <c r="DD244" s="2" t="s">
        <v>3</v>
      </c>
      <c r="DE244" s="2" t="s">
        <v>3</v>
      </c>
      <c r="DF244" s="2" t="s">
        <v>3</v>
      </c>
      <c r="DG244" s="2" t="s">
        <v>3</v>
      </c>
      <c r="DH244" s="2" t="s">
        <v>3</v>
      </c>
      <c r="DI244" s="2" t="s">
        <v>3</v>
      </c>
      <c r="DJ244" s="2" t="s">
        <v>3</v>
      </c>
      <c r="DK244" s="2" t="s">
        <v>3</v>
      </c>
      <c r="DL244" s="2" t="s">
        <v>3</v>
      </c>
      <c r="DM244" s="2" t="s">
        <v>3</v>
      </c>
      <c r="DN244" s="2">
        <v>0</v>
      </c>
      <c r="DO244" s="2">
        <v>0</v>
      </c>
      <c r="DP244" s="2">
        <v>1</v>
      </c>
      <c r="DQ244" s="2">
        <v>1</v>
      </c>
      <c r="DR244" s="2"/>
      <c r="DS244" s="2"/>
      <c r="DT244" s="2"/>
      <c r="DU244" s="2">
        <v>1010</v>
      </c>
      <c r="DV244" s="2" t="s">
        <v>156</v>
      </c>
      <c r="DW244" s="2" t="s">
        <v>156</v>
      </c>
      <c r="DX244" s="2">
        <v>1</v>
      </c>
      <c r="DY244" s="2"/>
      <c r="DZ244" s="2" t="s">
        <v>3</v>
      </c>
      <c r="EA244" s="2" t="s">
        <v>3</v>
      </c>
      <c r="EB244" s="2" t="s">
        <v>3</v>
      </c>
      <c r="EC244" s="2" t="s">
        <v>3</v>
      </c>
      <c r="ED244" s="2"/>
      <c r="EE244" s="2">
        <v>55393699</v>
      </c>
      <c r="EF244" s="2">
        <v>40</v>
      </c>
      <c r="EG244" s="2" t="s">
        <v>26</v>
      </c>
      <c r="EH244" s="2">
        <v>0</v>
      </c>
      <c r="EI244" s="2" t="s">
        <v>3</v>
      </c>
      <c r="EJ244" s="2">
        <v>2</v>
      </c>
      <c r="EK244" s="2">
        <v>67</v>
      </c>
      <c r="EL244" s="2" t="s">
        <v>39</v>
      </c>
      <c r="EM244" s="2" t="s">
        <v>40</v>
      </c>
      <c r="EN244" s="2"/>
      <c r="EO244" s="2" t="s">
        <v>61</v>
      </c>
      <c r="EP244" s="2"/>
      <c r="EQ244" s="2">
        <v>0</v>
      </c>
      <c r="ER244" s="2">
        <v>30.69</v>
      </c>
      <c r="ES244" s="2">
        <v>30.69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>
        <v>0</v>
      </c>
      <c r="FR244" s="2">
        <v>0</v>
      </c>
      <c r="FS244" s="2">
        <v>0</v>
      </c>
      <c r="FT244" s="2"/>
      <c r="FU244" s="2"/>
      <c r="FV244" s="2"/>
      <c r="FW244" s="2"/>
      <c r="FX244" s="2">
        <v>97</v>
      </c>
      <c r="FY244" s="2">
        <v>51</v>
      </c>
      <c r="FZ244" s="2"/>
      <c r="GA244" s="2" t="s">
        <v>3</v>
      </c>
      <c r="GB244" s="2"/>
      <c r="GC244" s="2"/>
      <c r="GD244" s="2">
        <v>1</v>
      </c>
      <c r="GE244" s="2"/>
      <c r="GF244" s="2">
        <v>907770592</v>
      </c>
      <c r="GG244" s="2">
        <v>2</v>
      </c>
      <c r="GH244" s="2">
        <v>1</v>
      </c>
      <c r="GI244" s="2">
        <v>-2</v>
      </c>
      <c r="GJ244" s="2">
        <v>0</v>
      </c>
      <c r="GK244" s="2">
        <v>0</v>
      </c>
      <c r="GL244" s="2">
        <f t="shared" si="226"/>
        <v>0</v>
      </c>
      <c r="GM244" s="2">
        <f t="shared" si="227"/>
        <v>552.41999999999996</v>
      </c>
      <c r="GN244" s="2">
        <f t="shared" si="228"/>
        <v>0</v>
      </c>
      <c r="GO244" s="2">
        <f t="shared" si="229"/>
        <v>552.41999999999996</v>
      </c>
      <c r="GP244" s="2">
        <f t="shared" si="230"/>
        <v>0</v>
      </c>
      <c r="GQ244" s="2"/>
      <c r="GR244" s="2">
        <v>0</v>
      </c>
      <c r="GS244" s="2">
        <v>3</v>
      </c>
      <c r="GT244" s="2">
        <v>0</v>
      </c>
      <c r="GU244" s="2" t="s">
        <v>3</v>
      </c>
      <c r="GV244" s="2">
        <f t="shared" si="231"/>
        <v>0</v>
      </c>
      <c r="GW244" s="2">
        <v>1</v>
      </c>
      <c r="GX244" s="2">
        <f t="shared" si="232"/>
        <v>0</v>
      </c>
      <c r="GY244" s="2"/>
      <c r="GZ244" s="2"/>
      <c r="HA244" s="2">
        <v>0</v>
      </c>
      <c r="HB244" s="2">
        <v>0</v>
      </c>
      <c r="HC244" s="2">
        <f t="shared" si="233"/>
        <v>0</v>
      </c>
      <c r="HD244" s="2"/>
      <c r="HE244" s="2" t="s">
        <v>3</v>
      </c>
      <c r="HF244" s="2" t="s">
        <v>3</v>
      </c>
      <c r="HG244" s="2"/>
      <c r="HH244" s="2"/>
      <c r="HI244" s="2"/>
      <c r="HJ244" s="2"/>
      <c r="HK244" s="2"/>
      <c r="HL244" s="2"/>
      <c r="HM244" s="2" t="s">
        <v>3</v>
      </c>
      <c r="HN244" s="2" t="s">
        <v>3</v>
      </c>
      <c r="HO244" s="2" t="s">
        <v>3</v>
      </c>
      <c r="HP244" s="2" t="s">
        <v>3</v>
      </c>
      <c r="HQ244" s="2" t="s">
        <v>3</v>
      </c>
      <c r="HR244" s="2"/>
      <c r="HS244" s="2">
        <v>0</v>
      </c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>
        <v>0</v>
      </c>
      <c r="IL244" s="2"/>
      <c r="IM244" s="2"/>
      <c r="IN244" s="2"/>
      <c r="IO244" s="2"/>
      <c r="IP244" s="2"/>
      <c r="IQ244" s="2"/>
      <c r="IR244" s="2"/>
      <c r="IS244" s="2"/>
      <c r="IT244" s="2"/>
      <c r="IU244" s="2"/>
    </row>
    <row r="245" spans="1:255" x14ac:dyDescent="0.2">
      <c r="A245" s="3">
        <v>18</v>
      </c>
      <c r="B245" s="3">
        <v>1</v>
      </c>
      <c r="C245" s="3">
        <v>179</v>
      </c>
      <c r="E245" s="3" t="s">
        <v>242</v>
      </c>
      <c r="F245" s="3" t="s">
        <v>243</v>
      </c>
      <c r="G245" s="3" t="s">
        <v>244</v>
      </c>
      <c r="H245" s="3" t="s">
        <v>156</v>
      </c>
      <c r="I245" s="3">
        <f>I239*J245</f>
        <v>18</v>
      </c>
      <c r="J245" s="3">
        <v>9</v>
      </c>
      <c r="K245" s="3">
        <v>9</v>
      </c>
      <c r="O245" s="3">
        <f t="shared" si="209"/>
        <v>3181.94</v>
      </c>
      <c r="P245" s="3">
        <f t="shared" si="210"/>
        <v>3181.94</v>
      </c>
      <c r="Q245" s="3">
        <f t="shared" si="234"/>
        <v>0</v>
      </c>
      <c r="R245" s="3">
        <f t="shared" si="235"/>
        <v>0</v>
      </c>
      <c r="S245" s="3">
        <f t="shared" si="211"/>
        <v>0</v>
      </c>
      <c r="T245" s="3">
        <f t="shared" si="212"/>
        <v>0</v>
      </c>
      <c r="U245" s="3">
        <f t="shared" si="213"/>
        <v>0</v>
      </c>
      <c r="V245" s="3">
        <f t="shared" si="214"/>
        <v>0</v>
      </c>
      <c r="W245" s="3">
        <f t="shared" si="215"/>
        <v>0</v>
      </c>
      <c r="X245" s="3">
        <f t="shared" si="236"/>
        <v>0</v>
      </c>
      <c r="Y245" s="3">
        <f t="shared" si="237"/>
        <v>0</v>
      </c>
      <c r="AA245" s="3">
        <v>55919549</v>
      </c>
      <c r="AB245" s="3">
        <f t="shared" si="216"/>
        <v>30.69</v>
      </c>
      <c r="AC245" s="3">
        <f t="shared" si="238"/>
        <v>30.69</v>
      </c>
      <c r="AD245" s="3">
        <f t="shared" si="239"/>
        <v>0</v>
      </c>
      <c r="AE245" s="3">
        <f t="shared" si="240"/>
        <v>0</v>
      </c>
      <c r="AF245" s="3">
        <f t="shared" si="241"/>
        <v>0</v>
      </c>
      <c r="AG245" s="3">
        <f t="shared" si="217"/>
        <v>0</v>
      </c>
      <c r="AH245" s="3">
        <f t="shared" si="242"/>
        <v>0</v>
      </c>
      <c r="AI245" s="3">
        <f t="shared" si="243"/>
        <v>0</v>
      </c>
      <c r="AJ245" s="3">
        <f t="shared" si="218"/>
        <v>0</v>
      </c>
      <c r="AK245" s="3">
        <v>30.69</v>
      </c>
      <c r="AL245" s="3">
        <v>30.69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97</v>
      </c>
      <c r="AU245" s="3">
        <v>51</v>
      </c>
      <c r="AV245" s="3">
        <v>1</v>
      </c>
      <c r="AW245" s="3">
        <v>1</v>
      </c>
      <c r="AZ245" s="3">
        <v>1</v>
      </c>
      <c r="BA245" s="3">
        <v>1</v>
      </c>
      <c r="BB245" s="3">
        <v>1</v>
      </c>
      <c r="BC245" s="3">
        <v>5.76</v>
      </c>
      <c r="BD245" s="3" t="s">
        <v>3</v>
      </c>
      <c r="BE245" s="3" t="s">
        <v>3</v>
      </c>
      <c r="BF245" s="3" t="s">
        <v>3</v>
      </c>
      <c r="BG245" s="3" t="s">
        <v>3</v>
      </c>
      <c r="BH245" s="3">
        <v>3</v>
      </c>
      <c r="BI245" s="3">
        <v>2</v>
      </c>
      <c r="BJ245" s="3" t="s">
        <v>245</v>
      </c>
      <c r="BM245" s="3">
        <v>67</v>
      </c>
      <c r="BN245" s="3">
        <v>0</v>
      </c>
      <c r="BO245" s="3" t="s">
        <v>243</v>
      </c>
      <c r="BP245" s="3">
        <v>1</v>
      </c>
      <c r="BQ245" s="3">
        <v>40</v>
      </c>
      <c r="BR245" s="3">
        <v>0</v>
      </c>
      <c r="BS245" s="3">
        <v>1</v>
      </c>
      <c r="BT245" s="3">
        <v>1</v>
      </c>
      <c r="BU245" s="3">
        <v>1</v>
      </c>
      <c r="BV245" s="3">
        <v>1</v>
      </c>
      <c r="BW245" s="3">
        <v>1</v>
      </c>
      <c r="BX245" s="3">
        <v>1</v>
      </c>
      <c r="BY245" s="3" t="s">
        <v>3</v>
      </c>
      <c r="BZ245" s="3">
        <v>97</v>
      </c>
      <c r="CA245" s="3">
        <v>51</v>
      </c>
      <c r="CB245" s="3" t="s">
        <v>3</v>
      </c>
      <c r="CE245" s="3">
        <v>1566</v>
      </c>
      <c r="CF245" s="3">
        <v>0</v>
      </c>
      <c r="CG245" s="3">
        <v>0</v>
      </c>
      <c r="CM245" s="3">
        <v>0</v>
      </c>
      <c r="CN245" s="3" t="s">
        <v>492</v>
      </c>
      <c r="CO245" s="3">
        <v>0</v>
      </c>
      <c r="CP245" s="3">
        <f t="shared" si="219"/>
        <v>3181.94</v>
      </c>
      <c r="CQ245" s="3">
        <f t="shared" si="220"/>
        <v>176.77</v>
      </c>
      <c r="CR245" s="3">
        <f t="shared" si="244"/>
        <v>0</v>
      </c>
      <c r="CS245" s="3">
        <f t="shared" si="245"/>
        <v>0</v>
      </c>
      <c r="CT245" s="3">
        <f t="shared" si="221"/>
        <v>0</v>
      </c>
      <c r="CU245" s="3">
        <f t="shared" si="222"/>
        <v>0</v>
      </c>
      <c r="CV245" s="3">
        <f t="shared" si="223"/>
        <v>0</v>
      </c>
      <c r="CW245" s="3">
        <f t="shared" si="224"/>
        <v>0</v>
      </c>
      <c r="CX245" s="3">
        <f t="shared" si="225"/>
        <v>0</v>
      </c>
      <c r="CY245" s="3">
        <f t="shared" si="246"/>
        <v>0</v>
      </c>
      <c r="CZ245" s="3">
        <f t="shared" si="247"/>
        <v>0</v>
      </c>
      <c r="DC245" s="3" t="s">
        <v>3</v>
      </c>
      <c r="DD245" s="3" t="s">
        <v>3</v>
      </c>
      <c r="DE245" s="3" t="s">
        <v>3</v>
      </c>
      <c r="DF245" s="3" t="s">
        <v>3</v>
      </c>
      <c r="DG245" s="3" t="s">
        <v>3</v>
      </c>
      <c r="DH245" s="3" t="s">
        <v>3</v>
      </c>
      <c r="DI245" s="3" t="s">
        <v>3</v>
      </c>
      <c r="DJ245" s="3" t="s">
        <v>3</v>
      </c>
      <c r="DK245" s="3" t="s">
        <v>3</v>
      </c>
      <c r="DL245" s="3" t="s">
        <v>3</v>
      </c>
      <c r="DM245" s="3" t="s">
        <v>3</v>
      </c>
      <c r="DN245" s="3">
        <v>0</v>
      </c>
      <c r="DO245" s="3">
        <v>0</v>
      </c>
      <c r="DP245" s="3">
        <v>1</v>
      </c>
      <c r="DQ245" s="3">
        <v>1</v>
      </c>
      <c r="DU245" s="3">
        <v>1010</v>
      </c>
      <c r="DV245" s="3" t="s">
        <v>156</v>
      </c>
      <c r="DW245" s="3" t="s">
        <v>156</v>
      </c>
      <c r="DX245" s="3">
        <v>1</v>
      </c>
      <c r="DZ245" s="3" t="s">
        <v>3</v>
      </c>
      <c r="EA245" s="3" t="s">
        <v>3</v>
      </c>
      <c r="EB245" s="3" t="s">
        <v>3</v>
      </c>
      <c r="EC245" s="3" t="s">
        <v>3</v>
      </c>
      <c r="EE245" s="3">
        <v>55393699</v>
      </c>
      <c r="EF245" s="3">
        <v>40</v>
      </c>
      <c r="EG245" s="3" t="s">
        <v>26</v>
      </c>
      <c r="EH245" s="3">
        <v>0</v>
      </c>
      <c r="EI245" s="3" t="s">
        <v>3</v>
      </c>
      <c r="EJ245" s="3">
        <v>2</v>
      </c>
      <c r="EK245" s="3">
        <v>67</v>
      </c>
      <c r="EL245" s="3" t="s">
        <v>39</v>
      </c>
      <c r="EM245" s="3" t="s">
        <v>40</v>
      </c>
      <c r="EO245" s="3" t="s">
        <v>61</v>
      </c>
      <c r="EQ245" s="3">
        <v>0</v>
      </c>
      <c r="ER245" s="3">
        <v>30.69</v>
      </c>
      <c r="ES245" s="3">
        <v>30.69</v>
      </c>
      <c r="ET245" s="3">
        <v>0</v>
      </c>
      <c r="EU245" s="3">
        <v>0</v>
      </c>
      <c r="EV245" s="3">
        <v>0</v>
      </c>
      <c r="EW245" s="3">
        <v>0</v>
      </c>
      <c r="EX245" s="3">
        <v>0</v>
      </c>
      <c r="FQ245" s="3">
        <v>0</v>
      </c>
      <c r="FR245" s="3">
        <v>0</v>
      </c>
      <c r="FS245" s="3">
        <v>0</v>
      </c>
      <c r="FX245" s="3">
        <v>97</v>
      </c>
      <c r="FY245" s="3">
        <v>51</v>
      </c>
      <c r="GA245" s="3" t="s">
        <v>3</v>
      </c>
      <c r="GD245" s="3">
        <v>1</v>
      </c>
      <c r="GF245" s="3">
        <v>907770592</v>
      </c>
      <c r="GG245" s="3">
        <v>2</v>
      </c>
      <c r="GH245" s="3">
        <v>1</v>
      </c>
      <c r="GI245" s="3">
        <v>2</v>
      </c>
      <c r="GJ245" s="3">
        <v>0</v>
      </c>
      <c r="GK245" s="3">
        <v>0</v>
      </c>
      <c r="GL245" s="3">
        <f t="shared" si="226"/>
        <v>0</v>
      </c>
      <c r="GM245" s="3">
        <f t="shared" si="227"/>
        <v>3181.94</v>
      </c>
      <c r="GN245" s="3">
        <f t="shared" si="228"/>
        <v>0</v>
      </c>
      <c r="GO245" s="3">
        <f t="shared" si="229"/>
        <v>3181.94</v>
      </c>
      <c r="GP245" s="3">
        <f t="shared" si="230"/>
        <v>0</v>
      </c>
      <c r="GR245" s="3">
        <v>0</v>
      </c>
      <c r="GS245" s="3">
        <v>3</v>
      </c>
      <c r="GT245" s="3">
        <v>0</v>
      </c>
      <c r="GU245" s="3" t="s">
        <v>3</v>
      </c>
      <c r="GV245" s="3">
        <f t="shared" si="231"/>
        <v>0</v>
      </c>
      <c r="GW245" s="3">
        <v>1</v>
      </c>
      <c r="GX245" s="3">
        <f t="shared" si="232"/>
        <v>0</v>
      </c>
      <c r="HA245" s="3">
        <v>0</v>
      </c>
      <c r="HB245" s="3">
        <v>0</v>
      </c>
      <c r="HC245" s="3">
        <f t="shared" si="233"/>
        <v>0</v>
      </c>
      <c r="HE245" s="3" t="s">
        <v>3</v>
      </c>
      <c r="HF245" s="3" t="s">
        <v>3</v>
      </c>
      <c r="HM245" s="3" t="s">
        <v>3</v>
      </c>
      <c r="HN245" s="3" t="s">
        <v>3</v>
      </c>
      <c r="HO245" s="3" t="s">
        <v>3</v>
      </c>
      <c r="HP245" s="3" t="s">
        <v>3</v>
      </c>
      <c r="HQ245" s="3" t="s">
        <v>3</v>
      </c>
      <c r="HS245" s="3">
        <v>0</v>
      </c>
      <c r="IK245" s="3">
        <v>0</v>
      </c>
    </row>
    <row r="246" spans="1:255" x14ac:dyDescent="0.2">
      <c r="A246" s="2">
        <v>18</v>
      </c>
      <c r="B246" s="2">
        <v>1</v>
      </c>
      <c r="C246" s="2">
        <v>160</v>
      </c>
      <c r="D246" s="2"/>
      <c r="E246" s="2" t="s">
        <v>246</v>
      </c>
      <c r="F246" s="2" t="s">
        <v>247</v>
      </c>
      <c r="G246" s="2" t="s">
        <v>248</v>
      </c>
      <c r="H246" s="2" t="s">
        <v>156</v>
      </c>
      <c r="I246" s="2">
        <f>I238*J246</f>
        <v>6</v>
      </c>
      <c r="J246" s="2">
        <v>3</v>
      </c>
      <c r="K246" s="2">
        <v>3</v>
      </c>
      <c r="L246" s="2"/>
      <c r="M246" s="2"/>
      <c r="N246" s="2"/>
      <c r="O246" s="2">
        <f t="shared" si="209"/>
        <v>54.72</v>
      </c>
      <c r="P246" s="2">
        <f t="shared" si="210"/>
        <v>54.72</v>
      </c>
      <c r="Q246" s="2">
        <f t="shared" si="234"/>
        <v>0</v>
      </c>
      <c r="R246" s="2">
        <f t="shared" si="235"/>
        <v>0</v>
      </c>
      <c r="S246" s="2">
        <f t="shared" si="211"/>
        <v>0</v>
      </c>
      <c r="T246" s="2">
        <f t="shared" si="212"/>
        <v>0</v>
      </c>
      <c r="U246" s="2">
        <f t="shared" si="213"/>
        <v>0</v>
      </c>
      <c r="V246" s="2">
        <f t="shared" si="214"/>
        <v>0</v>
      </c>
      <c r="W246" s="2">
        <f t="shared" si="215"/>
        <v>0</v>
      </c>
      <c r="X246" s="2">
        <f t="shared" si="236"/>
        <v>0</v>
      </c>
      <c r="Y246" s="2">
        <f t="shared" si="237"/>
        <v>0</v>
      </c>
      <c r="Z246" s="2"/>
      <c r="AA246" s="2">
        <v>55919547</v>
      </c>
      <c r="AB246" s="2">
        <f t="shared" si="216"/>
        <v>9.1199999999999992</v>
      </c>
      <c r="AC246" s="2">
        <f t="shared" si="238"/>
        <v>9.1199999999999992</v>
      </c>
      <c r="AD246" s="2">
        <f t="shared" si="239"/>
        <v>0</v>
      </c>
      <c r="AE246" s="2">
        <f t="shared" si="240"/>
        <v>0</v>
      </c>
      <c r="AF246" s="2">
        <f t="shared" si="241"/>
        <v>0</v>
      </c>
      <c r="AG246" s="2">
        <f t="shared" si="217"/>
        <v>0</v>
      </c>
      <c r="AH246" s="2">
        <f t="shared" si="242"/>
        <v>0</v>
      </c>
      <c r="AI246" s="2">
        <f t="shared" si="243"/>
        <v>0</v>
      </c>
      <c r="AJ246" s="2">
        <f t="shared" si="218"/>
        <v>0</v>
      </c>
      <c r="AK246" s="2">
        <v>9.1199999999999992</v>
      </c>
      <c r="AL246" s="2">
        <v>9.1199999999999992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97</v>
      </c>
      <c r="AU246" s="2">
        <v>51</v>
      </c>
      <c r="AV246" s="2">
        <v>1</v>
      </c>
      <c r="AW246" s="2">
        <v>1</v>
      </c>
      <c r="AX246" s="2"/>
      <c r="AY246" s="2"/>
      <c r="AZ246" s="2">
        <v>1</v>
      </c>
      <c r="BA246" s="2">
        <v>1</v>
      </c>
      <c r="BB246" s="2">
        <v>1</v>
      </c>
      <c r="BC246" s="2">
        <v>1</v>
      </c>
      <c r="BD246" s="2" t="s">
        <v>3</v>
      </c>
      <c r="BE246" s="2" t="s">
        <v>3</v>
      </c>
      <c r="BF246" s="2" t="s">
        <v>3</v>
      </c>
      <c r="BG246" s="2" t="s">
        <v>3</v>
      </c>
      <c r="BH246" s="2">
        <v>3</v>
      </c>
      <c r="BI246" s="2">
        <v>2</v>
      </c>
      <c r="BJ246" s="2" t="s">
        <v>249</v>
      </c>
      <c r="BK246" s="2"/>
      <c r="BL246" s="2"/>
      <c r="BM246" s="2">
        <v>67</v>
      </c>
      <c r="BN246" s="2">
        <v>0</v>
      </c>
      <c r="BO246" s="2" t="s">
        <v>3</v>
      </c>
      <c r="BP246" s="2">
        <v>0</v>
      </c>
      <c r="BQ246" s="2">
        <v>40</v>
      </c>
      <c r="BR246" s="2">
        <v>0</v>
      </c>
      <c r="BS246" s="2">
        <v>1</v>
      </c>
      <c r="BT246" s="2">
        <v>1</v>
      </c>
      <c r="BU246" s="2">
        <v>1</v>
      </c>
      <c r="BV246" s="2">
        <v>1</v>
      </c>
      <c r="BW246" s="2">
        <v>1</v>
      </c>
      <c r="BX246" s="2">
        <v>1</v>
      </c>
      <c r="BY246" s="2" t="s">
        <v>3</v>
      </c>
      <c r="BZ246" s="2">
        <v>97</v>
      </c>
      <c r="CA246" s="2">
        <v>51</v>
      </c>
      <c r="CB246" s="2" t="s">
        <v>3</v>
      </c>
      <c r="CC246" s="2"/>
      <c r="CD246" s="2"/>
      <c r="CE246" s="2">
        <v>1566</v>
      </c>
      <c r="CF246" s="2">
        <v>0</v>
      </c>
      <c r="CG246" s="2">
        <v>0</v>
      </c>
      <c r="CH246" s="2"/>
      <c r="CI246" s="2"/>
      <c r="CJ246" s="2"/>
      <c r="CK246" s="2"/>
      <c r="CL246" s="2"/>
      <c r="CM246" s="2">
        <v>0</v>
      </c>
      <c r="CN246" s="2" t="s">
        <v>492</v>
      </c>
      <c r="CO246" s="2">
        <v>0</v>
      </c>
      <c r="CP246" s="2">
        <f t="shared" si="219"/>
        <v>54.72</v>
      </c>
      <c r="CQ246" s="2">
        <f t="shared" si="220"/>
        <v>9.1199999999999992</v>
      </c>
      <c r="CR246" s="2">
        <f t="shared" si="244"/>
        <v>0</v>
      </c>
      <c r="CS246" s="2">
        <f t="shared" si="245"/>
        <v>0</v>
      </c>
      <c r="CT246" s="2">
        <f t="shared" si="221"/>
        <v>0</v>
      </c>
      <c r="CU246" s="2">
        <f t="shared" si="222"/>
        <v>0</v>
      </c>
      <c r="CV246" s="2">
        <f t="shared" si="223"/>
        <v>0</v>
      </c>
      <c r="CW246" s="2">
        <f t="shared" si="224"/>
        <v>0</v>
      </c>
      <c r="CX246" s="2">
        <f t="shared" si="225"/>
        <v>0</v>
      </c>
      <c r="CY246" s="2">
        <f t="shared" si="246"/>
        <v>0</v>
      </c>
      <c r="CZ246" s="2">
        <f t="shared" si="247"/>
        <v>0</v>
      </c>
      <c r="DA246" s="2"/>
      <c r="DB246" s="2"/>
      <c r="DC246" s="2" t="s">
        <v>3</v>
      </c>
      <c r="DD246" s="2" t="s">
        <v>3</v>
      </c>
      <c r="DE246" s="2" t="s">
        <v>3</v>
      </c>
      <c r="DF246" s="2" t="s">
        <v>3</v>
      </c>
      <c r="DG246" s="2" t="s">
        <v>3</v>
      </c>
      <c r="DH246" s="2" t="s">
        <v>3</v>
      </c>
      <c r="DI246" s="2" t="s">
        <v>3</v>
      </c>
      <c r="DJ246" s="2" t="s">
        <v>3</v>
      </c>
      <c r="DK246" s="2" t="s">
        <v>3</v>
      </c>
      <c r="DL246" s="2" t="s">
        <v>3</v>
      </c>
      <c r="DM246" s="2" t="s">
        <v>3</v>
      </c>
      <c r="DN246" s="2">
        <v>0</v>
      </c>
      <c r="DO246" s="2">
        <v>0</v>
      </c>
      <c r="DP246" s="2">
        <v>1</v>
      </c>
      <c r="DQ246" s="2">
        <v>1</v>
      </c>
      <c r="DR246" s="2"/>
      <c r="DS246" s="2"/>
      <c r="DT246" s="2"/>
      <c r="DU246" s="2">
        <v>1010</v>
      </c>
      <c r="DV246" s="2" t="s">
        <v>156</v>
      </c>
      <c r="DW246" s="2" t="s">
        <v>156</v>
      </c>
      <c r="DX246" s="2">
        <v>1</v>
      </c>
      <c r="DY246" s="2"/>
      <c r="DZ246" s="2" t="s">
        <v>3</v>
      </c>
      <c r="EA246" s="2" t="s">
        <v>3</v>
      </c>
      <c r="EB246" s="2" t="s">
        <v>3</v>
      </c>
      <c r="EC246" s="2" t="s">
        <v>3</v>
      </c>
      <c r="ED246" s="2"/>
      <c r="EE246" s="2">
        <v>55393699</v>
      </c>
      <c r="EF246" s="2">
        <v>40</v>
      </c>
      <c r="EG246" s="2" t="s">
        <v>26</v>
      </c>
      <c r="EH246" s="2">
        <v>0</v>
      </c>
      <c r="EI246" s="2" t="s">
        <v>3</v>
      </c>
      <c r="EJ246" s="2">
        <v>2</v>
      </c>
      <c r="EK246" s="2">
        <v>67</v>
      </c>
      <c r="EL246" s="2" t="s">
        <v>39</v>
      </c>
      <c r="EM246" s="2" t="s">
        <v>40</v>
      </c>
      <c r="EN246" s="2"/>
      <c r="EO246" s="2" t="s">
        <v>61</v>
      </c>
      <c r="EP246" s="2"/>
      <c r="EQ246" s="2">
        <v>0</v>
      </c>
      <c r="ER246" s="2">
        <v>9.1199999999999992</v>
      </c>
      <c r="ES246" s="2">
        <v>9.1199999999999992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>
        <v>0</v>
      </c>
      <c r="FR246" s="2">
        <v>0</v>
      </c>
      <c r="FS246" s="2">
        <v>0</v>
      </c>
      <c r="FT246" s="2"/>
      <c r="FU246" s="2"/>
      <c r="FV246" s="2"/>
      <c r="FW246" s="2"/>
      <c r="FX246" s="2">
        <v>97</v>
      </c>
      <c r="FY246" s="2">
        <v>51</v>
      </c>
      <c r="FZ246" s="2"/>
      <c r="GA246" s="2" t="s">
        <v>3</v>
      </c>
      <c r="GB246" s="2"/>
      <c r="GC246" s="2"/>
      <c r="GD246" s="2">
        <v>1</v>
      </c>
      <c r="GE246" s="2"/>
      <c r="GF246" s="2">
        <v>1350097796</v>
      </c>
      <c r="GG246" s="2">
        <v>2</v>
      </c>
      <c r="GH246" s="2">
        <v>1</v>
      </c>
      <c r="GI246" s="2">
        <v>-2</v>
      </c>
      <c r="GJ246" s="2">
        <v>0</v>
      </c>
      <c r="GK246" s="2">
        <v>0</v>
      </c>
      <c r="GL246" s="2">
        <f t="shared" si="226"/>
        <v>0</v>
      </c>
      <c r="GM246" s="2">
        <f t="shared" si="227"/>
        <v>54.72</v>
      </c>
      <c r="GN246" s="2">
        <f t="shared" si="228"/>
        <v>0</v>
      </c>
      <c r="GO246" s="2">
        <f t="shared" si="229"/>
        <v>54.72</v>
      </c>
      <c r="GP246" s="2">
        <f t="shared" si="230"/>
        <v>0</v>
      </c>
      <c r="GQ246" s="2"/>
      <c r="GR246" s="2">
        <v>0</v>
      </c>
      <c r="GS246" s="2">
        <v>3</v>
      </c>
      <c r="GT246" s="2">
        <v>0</v>
      </c>
      <c r="GU246" s="2" t="s">
        <v>3</v>
      </c>
      <c r="GV246" s="2">
        <f t="shared" si="231"/>
        <v>0</v>
      </c>
      <c r="GW246" s="2">
        <v>1</v>
      </c>
      <c r="GX246" s="2">
        <f t="shared" si="232"/>
        <v>0</v>
      </c>
      <c r="GY246" s="2"/>
      <c r="GZ246" s="2"/>
      <c r="HA246" s="2">
        <v>0</v>
      </c>
      <c r="HB246" s="2">
        <v>0</v>
      </c>
      <c r="HC246" s="2">
        <f t="shared" si="233"/>
        <v>0</v>
      </c>
      <c r="HD246" s="2"/>
      <c r="HE246" s="2" t="s">
        <v>3</v>
      </c>
      <c r="HF246" s="2" t="s">
        <v>3</v>
      </c>
      <c r="HG246" s="2"/>
      <c r="HH246" s="2"/>
      <c r="HI246" s="2"/>
      <c r="HJ246" s="2"/>
      <c r="HK246" s="2"/>
      <c r="HL246" s="2"/>
      <c r="HM246" s="2" t="s">
        <v>3</v>
      </c>
      <c r="HN246" s="2" t="s">
        <v>3</v>
      </c>
      <c r="HO246" s="2" t="s">
        <v>3</v>
      </c>
      <c r="HP246" s="2" t="s">
        <v>3</v>
      </c>
      <c r="HQ246" s="2" t="s">
        <v>3</v>
      </c>
      <c r="HR246" s="2"/>
      <c r="HS246" s="2">
        <v>0</v>
      </c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>
        <v>0</v>
      </c>
      <c r="IL246" s="2"/>
      <c r="IM246" s="2"/>
      <c r="IN246" s="2"/>
      <c r="IO246" s="2"/>
      <c r="IP246" s="2"/>
      <c r="IQ246" s="2"/>
      <c r="IR246" s="2"/>
      <c r="IS246" s="2"/>
      <c r="IT246" s="2"/>
      <c r="IU246" s="2"/>
    </row>
    <row r="247" spans="1:255" x14ac:dyDescent="0.2">
      <c r="A247" s="3">
        <v>18</v>
      </c>
      <c r="B247" s="3">
        <v>1</v>
      </c>
      <c r="C247" s="3">
        <v>178</v>
      </c>
      <c r="E247" s="3" t="s">
        <v>246</v>
      </c>
      <c r="F247" s="3" t="s">
        <v>247</v>
      </c>
      <c r="G247" s="3" t="s">
        <v>248</v>
      </c>
      <c r="H247" s="3" t="s">
        <v>156</v>
      </c>
      <c r="I247" s="3">
        <f>I239*J247</f>
        <v>6</v>
      </c>
      <c r="J247" s="3">
        <v>3</v>
      </c>
      <c r="K247" s="3">
        <v>3</v>
      </c>
      <c r="O247" s="3">
        <f t="shared" si="209"/>
        <v>149.93</v>
      </c>
      <c r="P247" s="3">
        <f t="shared" si="210"/>
        <v>149.93</v>
      </c>
      <c r="Q247" s="3">
        <f t="shared" si="234"/>
        <v>0</v>
      </c>
      <c r="R247" s="3">
        <f t="shared" si="235"/>
        <v>0</v>
      </c>
      <c r="S247" s="3">
        <f t="shared" si="211"/>
        <v>0</v>
      </c>
      <c r="T247" s="3">
        <f t="shared" si="212"/>
        <v>0</v>
      </c>
      <c r="U247" s="3">
        <f t="shared" si="213"/>
        <v>0</v>
      </c>
      <c r="V247" s="3">
        <f t="shared" si="214"/>
        <v>0</v>
      </c>
      <c r="W247" s="3">
        <f t="shared" si="215"/>
        <v>0</v>
      </c>
      <c r="X247" s="3">
        <f t="shared" si="236"/>
        <v>0</v>
      </c>
      <c r="Y247" s="3">
        <f t="shared" si="237"/>
        <v>0</v>
      </c>
      <c r="AA247" s="3">
        <v>55919549</v>
      </c>
      <c r="AB247" s="3">
        <f t="shared" si="216"/>
        <v>9.1199999999999992</v>
      </c>
      <c r="AC247" s="3">
        <f t="shared" si="238"/>
        <v>9.1199999999999992</v>
      </c>
      <c r="AD247" s="3">
        <f t="shared" si="239"/>
        <v>0</v>
      </c>
      <c r="AE247" s="3">
        <f t="shared" si="240"/>
        <v>0</v>
      </c>
      <c r="AF247" s="3">
        <f t="shared" si="241"/>
        <v>0</v>
      </c>
      <c r="AG247" s="3">
        <f t="shared" si="217"/>
        <v>0</v>
      </c>
      <c r="AH247" s="3">
        <f t="shared" si="242"/>
        <v>0</v>
      </c>
      <c r="AI247" s="3">
        <f t="shared" si="243"/>
        <v>0</v>
      </c>
      <c r="AJ247" s="3">
        <f t="shared" si="218"/>
        <v>0</v>
      </c>
      <c r="AK247" s="3">
        <v>9.1199999999999992</v>
      </c>
      <c r="AL247" s="3">
        <v>9.1199999999999992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97</v>
      </c>
      <c r="AU247" s="3">
        <v>51</v>
      </c>
      <c r="AV247" s="3">
        <v>1</v>
      </c>
      <c r="AW247" s="3">
        <v>1</v>
      </c>
      <c r="AZ247" s="3">
        <v>1</v>
      </c>
      <c r="BA247" s="3">
        <v>1</v>
      </c>
      <c r="BB247" s="3">
        <v>1</v>
      </c>
      <c r="BC247" s="3">
        <v>2.74</v>
      </c>
      <c r="BD247" s="3" t="s">
        <v>3</v>
      </c>
      <c r="BE247" s="3" t="s">
        <v>3</v>
      </c>
      <c r="BF247" s="3" t="s">
        <v>3</v>
      </c>
      <c r="BG247" s="3" t="s">
        <v>3</v>
      </c>
      <c r="BH247" s="3">
        <v>3</v>
      </c>
      <c r="BI247" s="3">
        <v>2</v>
      </c>
      <c r="BJ247" s="3" t="s">
        <v>249</v>
      </c>
      <c r="BM247" s="3">
        <v>67</v>
      </c>
      <c r="BN247" s="3">
        <v>0</v>
      </c>
      <c r="BO247" s="3" t="s">
        <v>247</v>
      </c>
      <c r="BP247" s="3">
        <v>1</v>
      </c>
      <c r="BQ247" s="3">
        <v>40</v>
      </c>
      <c r="BR247" s="3">
        <v>0</v>
      </c>
      <c r="BS247" s="3">
        <v>1</v>
      </c>
      <c r="BT247" s="3">
        <v>1</v>
      </c>
      <c r="BU247" s="3">
        <v>1</v>
      </c>
      <c r="BV247" s="3">
        <v>1</v>
      </c>
      <c r="BW247" s="3">
        <v>1</v>
      </c>
      <c r="BX247" s="3">
        <v>1</v>
      </c>
      <c r="BY247" s="3" t="s">
        <v>3</v>
      </c>
      <c r="BZ247" s="3">
        <v>97</v>
      </c>
      <c r="CA247" s="3">
        <v>51</v>
      </c>
      <c r="CB247" s="3" t="s">
        <v>3</v>
      </c>
      <c r="CE247" s="3">
        <v>1566</v>
      </c>
      <c r="CF247" s="3">
        <v>0</v>
      </c>
      <c r="CG247" s="3">
        <v>0</v>
      </c>
      <c r="CM247" s="3">
        <v>0</v>
      </c>
      <c r="CN247" s="3" t="s">
        <v>492</v>
      </c>
      <c r="CO247" s="3">
        <v>0</v>
      </c>
      <c r="CP247" s="3">
        <f t="shared" si="219"/>
        <v>149.93</v>
      </c>
      <c r="CQ247" s="3">
        <f t="shared" si="220"/>
        <v>24.99</v>
      </c>
      <c r="CR247" s="3">
        <f t="shared" si="244"/>
        <v>0</v>
      </c>
      <c r="CS247" s="3">
        <f t="shared" si="245"/>
        <v>0</v>
      </c>
      <c r="CT247" s="3">
        <f t="shared" si="221"/>
        <v>0</v>
      </c>
      <c r="CU247" s="3">
        <f t="shared" si="222"/>
        <v>0</v>
      </c>
      <c r="CV247" s="3">
        <f t="shared" si="223"/>
        <v>0</v>
      </c>
      <c r="CW247" s="3">
        <f t="shared" si="224"/>
        <v>0</v>
      </c>
      <c r="CX247" s="3">
        <f t="shared" si="225"/>
        <v>0</v>
      </c>
      <c r="CY247" s="3">
        <f t="shared" si="246"/>
        <v>0</v>
      </c>
      <c r="CZ247" s="3">
        <f t="shared" si="247"/>
        <v>0</v>
      </c>
      <c r="DC247" s="3" t="s">
        <v>3</v>
      </c>
      <c r="DD247" s="3" t="s">
        <v>3</v>
      </c>
      <c r="DE247" s="3" t="s">
        <v>3</v>
      </c>
      <c r="DF247" s="3" t="s">
        <v>3</v>
      </c>
      <c r="DG247" s="3" t="s">
        <v>3</v>
      </c>
      <c r="DH247" s="3" t="s">
        <v>3</v>
      </c>
      <c r="DI247" s="3" t="s">
        <v>3</v>
      </c>
      <c r="DJ247" s="3" t="s">
        <v>3</v>
      </c>
      <c r="DK247" s="3" t="s">
        <v>3</v>
      </c>
      <c r="DL247" s="3" t="s">
        <v>3</v>
      </c>
      <c r="DM247" s="3" t="s">
        <v>3</v>
      </c>
      <c r="DN247" s="3">
        <v>0</v>
      </c>
      <c r="DO247" s="3">
        <v>0</v>
      </c>
      <c r="DP247" s="3">
        <v>1</v>
      </c>
      <c r="DQ247" s="3">
        <v>1</v>
      </c>
      <c r="DU247" s="3">
        <v>1010</v>
      </c>
      <c r="DV247" s="3" t="s">
        <v>156</v>
      </c>
      <c r="DW247" s="3" t="s">
        <v>156</v>
      </c>
      <c r="DX247" s="3">
        <v>1</v>
      </c>
      <c r="DZ247" s="3" t="s">
        <v>3</v>
      </c>
      <c r="EA247" s="3" t="s">
        <v>3</v>
      </c>
      <c r="EB247" s="3" t="s">
        <v>3</v>
      </c>
      <c r="EC247" s="3" t="s">
        <v>3</v>
      </c>
      <c r="EE247" s="3">
        <v>55393699</v>
      </c>
      <c r="EF247" s="3">
        <v>40</v>
      </c>
      <c r="EG247" s="3" t="s">
        <v>26</v>
      </c>
      <c r="EH247" s="3">
        <v>0</v>
      </c>
      <c r="EI247" s="3" t="s">
        <v>3</v>
      </c>
      <c r="EJ247" s="3">
        <v>2</v>
      </c>
      <c r="EK247" s="3">
        <v>67</v>
      </c>
      <c r="EL247" s="3" t="s">
        <v>39</v>
      </c>
      <c r="EM247" s="3" t="s">
        <v>40</v>
      </c>
      <c r="EO247" s="3" t="s">
        <v>61</v>
      </c>
      <c r="EQ247" s="3">
        <v>0</v>
      </c>
      <c r="ER247" s="3">
        <v>9.1199999999999992</v>
      </c>
      <c r="ES247" s="3">
        <v>9.1199999999999992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FQ247" s="3">
        <v>0</v>
      </c>
      <c r="FR247" s="3">
        <v>0</v>
      </c>
      <c r="FS247" s="3">
        <v>0</v>
      </c>
      <c r="FX247" s="3">
        <v>97</v>
      </c>
      <c r="FY247" s="3">
        <v>51</v>
      </c>
      <c r="GA247" s="3" t="s">
        <v>3</v>
      </c>
      <c r="GD247" s="3">
        <v>1</v>
      </c>
      <c r="GF247" s="3">
        <v>1350097796</v>
      </c>
      <c r="GG247" s="3">
        <v>2</v>
      </c>
      <c r="GH247" s="3">
        <v>1</v>
      </c>
      <c r="GI247" s="3">
        <v>2</v>
      </c>
      <c r="GJ247" s="3">
        <v>0</v>
      </c>
      <c r="GK247" s="3">
        <v>0</v>
      </c>
      <c r="GL247" s="3">
        <f t="shared" si="226"/>
        <v>0</v>
      </c>
      <c r="GM247" s="3">
        <f t="shared" si="227"/>
        <v>149.93</v>
      </c>
      <c r="GN247" s="3">
        <f t="shared" si="228"/>
        <v>0</v>
      </c>
      <c r="GO247" s="3">
        <f t="shared" si="229"/>
        <v>149.93</v>
      </c>
      <c r="GP247" s="3">
        <f t="shared" si="230"/>
        <v>0</v>
      </c>
      <c r="GR247" s="3">
        <v>0</v>
      </c>
      <c r="GS247" s="3">
        <v>3</v>
      </c>
      <c r="GT247" s="3">
        <v>0</v>
      </c>
      <c r="GU247" s="3" t="s">
        <v>3</v>
      </c>
      <c r="GV247" s="3">
        <f t="shared" si="231"/>
        <v>0</v>
      </c>
      <c r="GW247" s="3">
        <v>1</v>
      </c>
      <c r="GX247" s="3">
        <f t="shared" si="232"/>
        <v>0</v>
      </c>
      <c r="HA247" s="3">
        <v>0</v>
      </c>
      <c r="HB247" s="3">
        <v>0</v>
      </c>
      <c r="HC247" s="3">
        <f t="shared" si="233"/>
        <v>0</v>
      </c>
      <c r="HE247" s="3" t="s">
        <v>3</v>
      </c>
      <c r="HF247" s="3" t="s">
        <v>3</v>
      </c>
      <c r="HM247" s="3" t="s">
        <v>3</v>
      </c>
      <c r="HN247" s="3" t="s">
        <v>3</v>
      </c>
      <c r="HO247" s="3" t="s">
        <v>3</v>
      </c>
      <c r="HP247" s="3" t="s">
        <v>3</v>
      </c>
      <c r="HQ247" s="3" t="s">
        <v>3</v>
      </c>
      <c r="HS247" s="3">
        <v>0</v>
      </c>
      <c r="IK247" s="3">
        <v>0</v>
      </c>
    </row>
    <row r="248" spans="1:255" x14ac:dyDescent="0.2">
      <c r="A248" s="2">
        <v>18</v>
      </c>
      <c r="B248" s="2">
        <v>1</v>
      </c>
      <c r="C248" s="2">
        <v>159</v>
      </c>
      <c r="D248" s="2"/>
      <c r="E248" s="2" t="s">
        <v>250</v>
      </c>
      <c r="F248" s="2" t="s">
        <v>251</v>
      </c>
      <c r="G248" s="2" t="s">
        <v>252</v>
      </c>
      <c r="H248" s="2" t="s">
        <v>156</v>
      </c>
      <c r="I248" s="2">
        <f>I238*J248</f>
        <v>19</v>
      </c>
      <c r="J248" s="2">
        <v>9.5</v>
      </c>
      <c r="K248" s="2">
        <v>9.5</v>
      </c>
      <c r="L248" s="2"/>
      <c r="M248" s="2"/>
      <c r="N248" s="2"/>
      <c r="O248" s="2">
        <f t="shared" si="209"/>
        <v>302.10000000000002</v>
      </c>
      <c r="P248" s="2">
        <f t="shared" si="210"/>
        <v>302.10000000000002</v>
      </c>
      <c r="Q248" s="2">
        <f t="shared" si="234"/>
        <v>0</v>
      </c>
      <c r="R248" s="2">
        <f t="shared" si="235"/>
        <v>0</v>
      </c>
      <c r="S248" s="2">
        <f t="shared" si="211"/>
        <v>0</v>
      </c>
      <c r="T248" s="2">
        <f t="shared" si="212"/>
        <v>0</v>
      </c>
      <c r="U248" s="2">
        <f t="shared" si="213"/>
        <v>0</v>
      </c>
      <c r="V248" s="2">
        <f t="shared" si="214"/>
        <v>0</v>
      </c>
      <c r="W248" s="2">
        <f t="shared" si="215"/>
        <v>0</v>
      </c>
      <c r="X248" s="2">
        <f t="shared" si="236"/>
        <v>0</v>
      </c>
      <c r="Y248" s="2">
        <f t="shared" si="237"/>
        <v>0</v>
      </c>
      <c r="Z248" s="2"/>
      <c r="AA248" s="2">
        <v>55919547</v>
      </c>
      <c r="AB248" s="2">
        <f t="shared" si="216"/>
        <v>15.9</v>
      </c>
      <c r="AC248" s="2">
        <f t="shared" si="238"/>
        <v>15.9</v>
      </c>
      <c r="AD248" s="2">
        <f t="shared" si="239"/>
        <v>0</v>
      </c>
      <c r="AE248" s="2">
        <f t="shared" si="240"/>
        <v>0</v>
      </c>
      <c r="AF248" s="2">
        <f t="shared" si="241"/>
        <v>0</v>
      </c>
      <c r="AG248" s="2">
        <f t="shared" si="217"/>
        <v>0</v>
      </c>
      <c r="AH248" s="2">
        <f t="shared" si="242"/>
        <v>0</v>
      </c>
      <c r="AI248" s="2">
        <f t="shared" si="243"/>
        <v>0</v>
      </c>
      <c r="AJ248" s="2">
        <f t="shared" si="218"/>
        <v>0</v>
      </c>
      <c r="AK248" s="2">
        <v>15.9</v>
      </c>
      <c r="AL248" s="2">
        <v>15.9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97</v>
      </c>
      <c r="AU248" s="2">
        <v>51</v>
      </c>
      <c r="AV248" s="2">
        <v>1</v>
      </c>
      <c r="AW248" s="2">
        <v>1</v>
      </c>
      <c r="AX248" s="2"/>
      <c r="AY248" s="2"/>
      <c r="AZ248" s="2">
        <v>1</v>
      </c>
      <c r="BA248" s="2">
        <v>1</v>
      </c>
      <c r="BB248" s="2">
        <v>1</v>
      </c>
      <c r="BC248" s="2">
        <v>1</v>
      </c>
      <c r="BD248" s="2" t="s">
        <v>3</v>
      </c>
      <c r="BE248" s="2" t="s">
        <v>3</v>
      </c>
      <c r="BF248" s="2" t="s">
        <v>3</v>
      </c>
      <c r="BG248" s="2" t="s">
        <v>3</v>
      </c>
      <c r="BH248" s="2">
        <v>3</v>
      </c>
      <c r="BI248" s="2">
        <v>2</v>
      </c>
      <c r="BJ248" s="2" t="s">
        <v>253</v>
      </c>
      <c r="BK248" s="2"/>
      <c r="BL248" s="2"/>
      <c r="BM248" s="2">
        <v>67</v>
      </c>
      <c r="BN248" s="2">
        <v>0</v>
      </c>
      <c r="BO248" s="2" t="s">
        <v>3</v>
      </c>
      <c r="BP248" s="2">
        <v>0</v>
      </c>
      <c r="BQ248" s="2">
        <v>40</v>
      </c>
      <c r="BR248" s="2">
        <v>0</v>
      </c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>
        <v>1</v>
      </c>
      <c r="BY248" s="2" t="s">
        <v>3</v>
      </c>
      <c r="BZ248" s="2">
        <v>97</v>
      </c>
      <c r="CA248" s="2">
        <v>51</v>
      </c>
      <c r="CB248" s="2" t="s">
        <v>3</v>
      </c>
      <c r="CC248" s="2"/>
      <c r="CD248" s="2"/>
      <c r="CE248" s="2">
        <v>1566</v>
      </c>
      <c r="CF248" s="2">
        <v>0</v>
      </c>
      <c r="CG248" s="2">
        <v>0</v>
      </c>
      <c r="CH248" s="2"/>
      <c r="CI248" s="2"/>
      <c r="CJ248" s="2"/>
      <c r="CK248" s="2"/>
      <c r="CL248" s="2"/>
      <c r="CM248" s="2">
        <v>0</v>
      </c>
      <c r="CN248" s="2" t="s">
        <v>492</v>
      </c>
      <c r="CO248" s="2">
        <v>0</v>
      </c>
      <c r="CP248" s="2">
        <f t="shared" si="219"/>
        <v>302.10000000000002</v>
      </c>
      <c r="CQ248" s="2">
        <f t="shared" si="220"/>
        <v>15.9</v>
      </c>
      <c r="CR248" s="2">
        <f t="shared" si="244"/>
        <v>0</v>
      </c>
      <c r="CS248" s="2">
        <f t="shared" si="245"/>
        <v>0</v>
      </c>
      <c r="CT248" s="2">
        <f t="shared" si="221"/>
        <v>0</v>
      </c>
      <c r="CU248" s="2">
        <f t="shared" si="222"/>
        <v>0</v>
      </c>
      <c r="CV248" s="2">
        <f t="shared" si="223"/>
        <v>0</v>
      </c>
      <c r="CW248" s="2">
        <f t="shared" si="224"/>
        <v>0</v>
      </c>
      <c r="CX248" s="2">
        <f t="shared" si="225"/>
        <v>0</v>
      </c>
      <c r="CY248" s="2">
        <f t="shared" si="246"/>
        <v>0</v>
      </c>
      <c r="CZ248" s="2">
        <f t="shared" si="247"/>
        <v>0</v>
      </c>
      <c r="DA248" s="2"/>
      <c r="DB248" s="2"/>
      <c r="DC248" s="2" t="s">
        <v>3</v>
      </c>
      <c r="DD248" s="2" t="s">
        <v>3</v>
      </c>
      <c r="DE248" s="2" t="s">
        <v>3</v>
      </c>
      <c r="DF248" s="2" t="s">
        <v>3</v>
      </c>
      <c r="DG248" s="2" t="s">
        <v>3</v>
      </c>
      <c r="DH248" s="2" t="s">
        <v>3</v>
      </c>
      <c r="DI248" s="2" t="s">
        <v>3</v>
      </c>
      <c r="DJ248" s="2" t="s">
        <v>3</v>
      </c>
      <c r="DK248" s="2" t="s">
        <v>3</v>
      </c>
      <c r="DL248" s="2" t="s">
        <v>3</v>
      </c>
      <c r="DM248" s="2" t="s">
        <v>3</v>
      </c>
      <c r="DN248" s="2">
        <v>0</v>
      </c>
      <c r="DO248" s="2">
        <v>0</v>
      </c>
      <c r="DP248" s="2">
        <v>1</v>
      </c>
      <c r="DQ248" s="2">
        <v>1</v>
      </c>
      <c r="DR248" s="2"/>
      <c r="DS248" s="2"/>
      <c r="DT248" s="2"/>
      <c r="DU248" s="2">
        <v>1010</v>
      </c>
      <c r="DV248" s="2" t="s">
        <v>156</v>
      </c>
      <c r="DW248" s="2" t="s">
        <v>156</v>
      </c>
      <c r="DX248" s="2">
        <v>1</v>
      </c>
      <c r="DY248" s="2"/>
      <c r="DZ248" s="2" t="s">
        <v>3</v>
      </c>
      <c r="EA248" s="2" t="s">
        <v>3</v>
      </c>
      <c r="EB248" s="2" t="s">
        <v>3</v>
      </c>
      <c r="EC248" s="2" t="s">
        <v>3</v>
      </c>
      <c r="ED248" s="2"/>
      <c r="EE248" s="2">
        <v>55393699</v>
      </c>
      <c r="EF248" s="2">
        <v>40</v>
      </c>
      <c r="EG248" s="2" t="s">
        <v>26</v>
      </c>
      <c r="EH248" s="2">
        <v>0</v>
      </c>
      <c r="EI248" s="2" t="s">
        <v>3</v>
      </c>
      <c r="EJ248" s="2">
        <v>2</v>
      </c>
      <c r="EK248" s="2">
        <v>67</v>
      </c>
      <c r="EL248" s="2" t="s">
        <v>39</v>
      </c>
      <c r="EM248" s="2" t="s">
        <v>40</v>
      </c>
      <c r="EN248" s="2"/>
      <c r="EO248" s="2" t="s">
        <v>61</v>
      </c>
      <c r="EP248" s="2"/>
      <c r="EQ248" s="2">
        <v>0</v>
      </c>
      <c r="ER248" s="2">
        <v>15.9</v>
      </c>
      <c r="ES248" s="2">
        <v>15.9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>
        <v>0</v>
      </c>
      <c r="FR248" s="2">
        <v>0</v>
      </c>
      <c r="FS248" s="2">
        <v>0</v>
      </c>
      <c r="FT248" s="2"/>
      <c r="FU248" s="2"/>
      <c r="FV248" s="2"/>
      <c r="FW248" s="2"/>
      <c r="FX248" s="2">
        <v>97</v>
      </c>
      <c r="FY248" s="2">
        <v>51</v>
      </c>
      <c r="FZ248" s="2"/>
      <c r="GA248" s="2" t="s">
        <v>3</v>
      </c>
      <c r="GB248" s="2"/>
      <c r="GC248" s="2"/>
      <c r="GD248" s="2">
        <v>1</v>
      </c>
      <c r="GE248" s="2"/>
      <c r="GF248" s="2">
        <v>-1151203687</v>
      </c>
      <c r="GG248" s="2">
        <v>2</v>
      </c>
      <c r="GH248" s="2">
        <v>1</v>
      </c>
      <c r="GI248" s="2">
        <v>-2</v>
      </c>
      <c r="GJ248" s="2">
        <v>0</v>
      </c>
      <c r="GK248" s="2">
        <v>0</v>
      </c>
      <c r="GL248" s="2">
        <f t="shared" si="226"/>
        <v>0</v>
      </c>
      <c r="GM248" s="2">
        <f t="shared" si="227"/>
        <v>302.10000000000002</v>
      </c>
      <c r="GN248" s="2">
        <f t="shared" si="228"/>
        <v>0</v>
      </c>
      <c r="GO248" s="2">
        <f t="shared" si="229"/>
        <v>302.10000000000002</v>
      </c>
      <c r="GP248" s="2">
        <f t="shared" si="230"/>
        <v>0</v>
      </c>
      <c r="GQ248" s="2"/>
      <c r="GR248" s="2">
        <v>0</v>
      </c>
      <c r="GS248" s="2">
        <v>3</v>
      </c>
      <c r="GT248" s="2">
        <v>0</v>
      </c>
      <c r="GU248" s="2" t="s">
        <v>3</v>
      </c>
      <c r="GV248" s="2">
        <f t="shared" si="231"/>
        <v>0</v>
      </c>
      <c r="GW248" s="2">
        <v>1</v>
      </c>
      <c r="GX248" s="2">
        <f t="shared" si="232"/>
        <v>0</v>
      </c>
      <c r="GY248" s="2"/>
      <c r="GZ248" s="2"/>
      <c r="HA248" s="2">
        <v>0</v>
      </c>
      <c r="HB248" s="2">
        <v>0</v>
      </c>
      <c r="HC248" s="2">
        <f t="shared" si="233"/>
        <v>0</v>
      </c>
      <c r="HD248" s="2"/>
      <c r="HE248" s="2" t="s">
        <v>3</v>
      </c>
      <c r="HF248" s="2" t="s">
        <v>3</v>
      </c>
      <c r="HG248" s="2"/>
      <c r="HH248" s="2"/>
      <c r="HI248" s="2"/>
      <c r="HJ248" s="2"/>
      <c r="HK248" s="2"/>
      <c r="HL248" s="2"/>
      <c r="HM248" s="2" t="s">
        <v>3</v>
      </c>
      <c r="HN248" s="2" t="s">
        <v>3</v>
      </c>
      <c r="HO248" s="2" t="s">
        <v>3</v>
      </c>
      <c r="HP248" s="2" t="s">
        <v>3</v>
      </c>
      <c r="HQ248" s="2" t="s">
        <v>3</v>
      </c>
      <c r="HR248" s="2"/>
      <c r="HS248" s="2">
        <v>0</v>
      </c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>
        <v>0</v>
      </c>
      <c r="IL248" s="2"/>
      <c r="IM248" s="2"/>
      <c r="IN248" s="2"/>
      <c r="IO248" s="2"/>
      <c r="IP248" s="2"/>
      <c r="IQ248" s="2"/>
      <c r="IR248" s="2"/>
      <c r="IS248" s="2"/>
      <c r="IT248" s="2"/>
      <c r="IU248" s="2"/>
    </row>
    <row r="249" spans="1:255" x14ac:dyDescent="0.2">
      <c r="A249" s="3">
        <v>18</v>
      </c>
      <c r="B249" s="3">
        <v>1</v>
      </c>
      <c r="C249" s="3">
        <v>177</v>
      </c>
      <c r="E249" s="3" t="s">
        <v>250</v>
      </c>
      <c r="F249" s="3" t="s">
        <v>251</v>
      </c>
      <c r="G249" s="3" t="s">
        <v>252</v>
      </c>
      <c r="H249" s="3" t="s">
        <v>156</v>
      </c>
      <c r="I249" s="3">
        <f>I239*J249</f>
        <v>19</v>
      </c>
      <c r="J249" s="3">
        <v>9.5</v>
      </c>
      <c r="K249" s="3">
        <v>9.5</v>
      </c>
      <c r="O249" s="3">
        <f t="shared" si="209"/>
        <v>1114.75</v>
      </c>
      <c r="P249" s="3">
        <f t="shared" si="210"/>
        <v>1114.75</v>
      </c>
      <c r="Q249" s="3">
        <f t="shared" si="234"/>
        <v>0</v>
      </c>
      <c r="R249" s="3">
        <f t="shared" si="235"/>
        <v>0</v>
      </c>
      <c r="S249" s="3">
        <f t="shared" si="211"/>
        <v>0</v>
      </c>
      <c r="T249" s="3">
        <f t="shared" si="212"/>
        <v>0</v>
      </c>
      <c r="U249" s="3">
        <f t="shared" si="213"/>
        <v>0</v>
      </c>
      <c r="V249" s="3">
        <f t="shared" si="214"/>
        <v>0</v>
      </c>
      <c r="W249" s="3">
        <f t="shared" si="215"/>
        <v>0</v>
      </c>
      <c r="X249" s="3">
        <f t="shared" si="236"/>
        <v>0</v>
      </c>
      <c r="Y249" s="3">
        <f t="shared" si="237"/>
        <v>0</v>
      </c>
      <c r="AA249" s="3">
        <v>55919549</v>
      </c>
      <c r="AB249" s="3">
        <f t="shared" si="216"/>
        <v>15.9</v>
      </c>
      <c r="AC249" s="3">
        <f t="shared" si="238"/>
        <v>15.9</v>
      </c>
      <c r="AD249" s="3">
        <f t="shared" si="239"/>
        <v>0</v>
      </c>
      <c r="AE249" s="3">
        <f t="shared" si="240"/>
        <v>0</v>
      </c>
      <c r="AF249" s="3">
        <f t="shared" si="241"/>
        <v>0</v>
      </c>
      <c r="AG249" s="3">
        <f t="shared" si="217"/>
        <v>0</v>
      </c>
      <c r="AH249" s="3">
        <f t="shared" si="242"/>
        <v>0</v>
      </c>
      <c r="AI249" s="3">
        <f t="shared" si="243"/>
        <v>0</v>
      </c>
      <c r="AJ249" s="3">
        <f t="shared" si="218"/>
        <v>0</v>
      </c>
      <c r="AK249" s="3">
        <v>15.9</v>
      </c>
      <c r="AL249" s="3">
        <v>15.9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97</v>
      </c>
      <c r="AU249" s="3">
        <v>51</v>
      </c>
      <c r="AV249" s="3">
        <v>1</v>
      </c>
      <c r="AW249" s="3">
        <v>1</v>
      </c>
      <c r="AZ249" s="3">
        <v>1</v>
      </c>
      <c r="BA249" s="3">
        <v>1</v>
      </c>
      <c r="BB249" s="3">
        <v>1</v>
      </c>
      <c r="BC249" s="3">
        <v>3.69</v>
      </c>
      <c r="BD249" s="3" t="s">
        <v>3</v>
      </c>
      <c r="BE249" s="3" t="s">
        <v>3</v>
      </c>
      <c r="BF249" s="3" t="s">
        <v>3</v>
      </c>
      <c r="BG249" s="3" t="s">
        <v>3</v>
      </c>
      <c r="BH249" s="3">
        <v>3</v>
      </c>
      <c r="BI249" s="3">
        <v>2</v>
      </c>
      <c r="BJ249" s="3" t="s">
        <v>253</v>
      </c>
      <c r="BM249" s="3">
        <v>67</v>
      </c>
      <c r="BN249" s="3">
        <v>0</v>
      </c>
      <c r="BO249" s="3" t="s">
        <v>251</v>
      </c>
      <c r="BP249" s="3">
        <v>1</v>
      </c>
      <c r="BQ249" s="3">
        <v>40</v>
      </c>
      <c r="BR249" s="3">
        <v>0</v>
      </c>
      <c r="BS249" s="3">
        <v>1</v>
      </c>
      <c r="BT249" s="3">
        <v>1</v>
      </c>
      <c r="BU249" s="3">
        <v>1</v>
      </c>
      <c r="BV249" s="3">
        <v>1</v>
      </c>
      <c r="BW249" s="3">
        <v>1</v>
      </c>
      <c r="BX249" s="3">
        <v>1</v>
      </c>
      <c r="BY249" s="3" t="s">
        <v>3</v>
      </c>
      <c r="BZ249" s="3">
        <v>97</v>
      </c>
      <c r="CA249" s="3">
        <v>51</v>
      </c>
      <c r="CB249" s="3" t="s">
        <v>3</v>
      </c>
      <c r="CE249" s="3">
        <v>1566</v>
      </c>
      <c r="CF249" s="3">
        <v>0</v>
      </c>
      <c r="CG249" s="3">
        <v>0</v>
      </c>
      <c r="CM249" s="3">
        <v>0</v>
      </c>
      <c r="CN249" s="3" t="s">
        <v>492</v>
      </c>
      <c r="CO249" s="3">
        <v>0</v>
      </c>
      <c r="CP249" s="3">
        <f t="shared" si="219"/>
        <v>1114.75</v>
      </c>
      <c r="CQ249" s="3">
        <f t="shared" si="220"/>
        <v>58.67</v>
      </c>
      <c r="CR249" s="3">
        <f t="shared" si="244"/>
        <v>0</v>
      </c>
      <c r="CS249" s="3">
        <f t="shared" si="245"/>
        <v>0</v>
      </c>
      <c r="CT249" s="3">
        <f t="shared" si="221"/>
        <v>0</v>
      </c>
      <c r="CU249" s="3">
        <f t="shared" si="222"/>
        <v>0</v>
      </c>
      <c r="CV249" s="3">
        <f t="shared" si="223"/>
        <v>0</v>
      </c>
      <c r="CW249" s="3">
        <f t="shared" si="224"/>
        <v>0</v>
      </c>
      <c r="CX249" s="3">
        <f t="shared" si="225"/>
        <v>0</v>
      </c>
      <c r="CY249" s="3">
        <f t="shared" si="246"/>
        <v>0</v>
      </c>
      <c r="CZ249" s="3">
        <f t="shared" si="247"/>
        <v>0</v>
      </c>
      <c r="DC249" s="3" t="s">
        <v>3</v>
      </c>
      <c r="DD249" s="3" t="s">
        <v>3</v>
      </c>
      <c r="DE249" s="3" t="s">
        <v>3</v>
      </c>
      <c r="DF249" s="3" t="s">
        <v>3</v>
      </c>
      <c r="DG249" s="3" t="s">
        <v>3</v>
      </c>
      <c r="DH249" s="3" t="s">
        <v>3</v>
      </c>
      <c r="DI249" s="3" t="s">
        <v>3</v>
      </c>
      <c r="DJ249" s="3" t="s">
        <v>3</v>
      </c>
      <c r="DK249" s="3" t="s">
        <v>3</v>
      </c>
      <c r="DL249" s="3" t="s">
        <v>3</v>
      </c>
      <c r="DM249" s="3" t="s">
        <v>3</v>
      </c>
      <c r="DN249" s="3">
        <v>0</v>
      </c>
      <c r="DO249" s="3">
        <v>0</v>
      </c>
      <c r="DP249" s="3">
        <v>1</v>
      </c>
      <c r="DQ249" s="3">
        <v>1</v>
      </c>
      <c r="DU249" s="3">
        <v>1010</v>
      </c>
      <c r="DV249" s="3" t="s">
        <v>156</v>
      </c>
      <c r="DW249" s="3" t="s">
        <v>156</v>
      </c>
      <c r="DX249" s="3">
        <v>1</v>
      </c>
      <c r="DZ249" s="3" t="s">
        <v>3</v>
      </c>
      <c r="EA249" s="3" t="s">
        <v>3</v>
      </c>
      <c r="EB249" s="3" t="s">
        <v>3</v>
      </c>
      <c r="EC249" s="3" t="s">
        <v>3</v>
      </c>
      <c r="EE249" s="3">
        <v>55393699</v>
      </c>
      <c r="EF249" s="3">
        <v>40</v>
      </c>
      <c r="EG249" s="3" t="s">
        <v>26</v>
      </c>
      <c r="EH249" s="3">
        <v>0</v>
      </c>
      <c r="EI249" s="3" t="s">
        <v>3</v>
      </c>
      <c r="EJ249" s="3">
        <v>2</v>
      </c>
      <c r="EK249" s="3">
        <v>67</v>
      </c>
      <c r="EL249" s="3" t="s">
        <v>39</v>
      </c>
      <c r="EM249" s="3" t="s">
        <v>40</v>
      </c>
      <c r="EO249" s="3" t="s">
        <v>61</v>
      </c>
      <c r="EQ249" s="3">
        <v>0</v>
      </c>
      <c r="ER249" s="3">
        <v>15.9</v>
      </c>
      <c r="ES249" s="3">
        <v>15.9</v>
      </c>
      <c r="ET249" s="3">
        <v>0</v>
      </c>
      <c r="EU249" s="3">
        <v>0</v>
      </c>
      <c r="EV249" s="3">
        <v>0</v>
      </c>
      <c r="EW249" s="3">
        <v>0</v>
      </c>
      <c r="EX249" s="3">
        <v>0</v>
      </c>
      <c r="FQ249" s="3">
        <v>0</v>
      </c>
      <c r="FR249" s="3">
        <v>0</v>
      </c>
      <c r="FS249" s="3">
        <v>0</v>
      </c>
      <c r="FX249" s="3">
        <v>97</v>
      </c>
      <c r="FY249" s="3">
        <v>51</v>
      </c>
      <c r="GA249" s="3" t="s">
        <v>3</v>
      </c>
      <c r="GD249" s="3">
        <v>1</v>
      </c>
      <c r="GF249" s="3">
        <v>-1151203687</v>
      </c>
      <c r="GG249" s="3">
        <v>2</v>
      </c>
      <c r="GH249" s="3">
        <v>1</v>
      </c>
      <c r="GI249" s="3">
        <v>2</v>
      </c>
      <c r="GJ249" s="3">
        <v>0</v>
      </c>
      <c r="GK249" s="3">
        <v>0</v>
      </c>
      <c r="GL249" s="3">
        <f t="shared" si="226"/>
        <v>0</v>
      </c>
      <c r="GM249" s="3">
        <f t="shared" si="227"/>
        <v>1114.75</v>
      </c>
      <c r="GN249" s="3">
        <f t="shared" si="228"/>
        <v>0</v>
      </c>
      <c r="GO249" s="3">
        <f t="shared" si="229"/>
        <v>1114.75</v>
      </c>
      <c r="GP249" s="3">
        <f t="shared" si="230"/>
        <v>0</v>
      </c>
      <c r="GR249" s="3">
        <v>0</v>
      </c>
      <c r="GS249" s="3">
        <v>3</v>
      </c>
      <c r="GT249" s="3">
        <v>0</v>
      </c>
      <c r="GU249" s="3" t="s">
        <v>3</v>
      </c>
      <c r="GV249" s="3">
        <f t="shared" si="231"/>
        <v>0</v>
      </c>
      <c r="GW249" s="3">
        <v>1</v>
      </c>
      <c r="GX249" s="3">
        <f t="shared" si="232"/>
        <v>0</v>
      </c>
      <c r="HA249" s="3">
        <v>0</v>
      </c>
      <c r="HB249" s="3">
        <v>0</v>
      </c>
      <c r="HC249" s="3">
        <f t="shared" si="233"/>
        <v>0</v>
      </c>
      <c r="HE249" s="3" t="s">
        <v>3</v>
      </c>
      <c r="HF249" s="3" t="s">
        <v>3</v>
      </c>
      <c r="HM249" s="3" t="s">
        <v>3</v>
      </c>
      <c r="HN249" s="3" t="s">
        <v>3</v>
      </c>
      <c r="HO249" s="3" t="s">
        <v>3</v>
      </c>
      <c r="HP249" s="3" t="s">
        <v>3</v>
      </c>
      <c r="HQ249" s="3" t="s">
        <v>3</v>
      </c>
      <c r="HS249" s="3">
        <v>0</v>
      </c>
      <c r="IK249" s="3">
        <v>0</v>
      </c>
    </row>
    <row r="250" spans="1:255" x14ac:dyDescent="0.2">
      <c r="A250" s="2">
        <v>17</v>
      </c>
      <c r="B250" s="2">
        <v>1</v>
      </c>
      <c r="C250" s="2">
        <f>ROW(SmtRes!A196)</f>
        <v>196</v>
      </c>
      <c r="D250" s="2">
        <f>ROW(EtalonRes!A220)</f>
        <v>220</v>
      </c>
      <c r="E250" s="2" t="s">
        <v>254</v>
      </c>
      <c r="F250" s="2" t="s">
        <v>72</v>
      </c>
      <c r="G250" s="2" t="s">
        <v>255</v>
      </c>
      <c r="H250" s="2" t="s">
        <v>65</v>
      </c>
      <c r="I250" s="2">
        <f>ROUND(10/100,9)</f>
        <v>0.1</v>
      </c>
      <c r="J250" s="2">
        <v>0</v>
      </c>
      <c r="K250" s="2">
        <f>ROUND(10/100,9)</f>
        <v>0.1</v>
      </c>
      <c r="L250" s="2"/>
      <c r="M250" s="2"/>
      <c r="N250" s="2"/>
      <c r="O250" s="2">
        <f t="shared" si="209"/>
        <v>238.87</v>
      </c>
      <c r="P250" s="2">
        <f t="shared" si="210"/>
        <v>176.37</v>
      </c>
      <c r="Q250" s="2">
        <f>(ROUND((ROUND((((ET250*1.2))*AV250*I250),2)*BB250),2)+ROUND((ROUND(((AE250-((EU250*1.2)))*AV250*I250),2)*BS250),2))</f>
        <v>16.22</v>
      </c>
      <c r="R250" s="2">
        <f>(ROUND((ROUND((((EU250*1.2))*AV250*I250),2)*BS250),2)+ROUND((ROUND(((AE250-((EU250*1.2)))*AV250*I250),2)*BS250),2))</f>
        <v>0.32</v>
      </c>
      <c r="S250" s="2">
        <f t="shared" si="211"/>
        <v>46.28</v>
      </c>
      <c r="T250" s="2">
        <f t="shared" si="212"/>
        <v>0</v>
      </c>
      <c r="U250" s="2">
        <f t="shared" si="213"/>
        <v>3.7566359999999999</v>
      </c>
      <c r="V250" s="2">
        <f t="shared" si="214"/>
        <v>0</v>
      </c>
      <c r="W250" s="2">
        <f t="shared" si="215"/>
        <v>0</v>
      </c>
      <c r="X250" s="2">
        <f>(ROUND((((S250+ROUND((ROUND((((EU250*1.2))*AV250*I250),2)*BS250),2))*AT250)/100),2)+ROUND(((ROUND((ROUND(((AE250-((EU250*1.2)))*AV250*I250),2)*BS250),2)*AT250)/100),2))</f>
        <v>45.2</v>
      </c>
      <c r="Y250" s="2">
        <f>(ROUND((((S250+ROUND((ROUND((((EU250*1.2))*AV250*I250),2)*BS250),2))*AU250)/100),2)+ROUND(((ROUND((ROUND(((AE250-((EU250*1.2)))*AV250*I250),2)*BS250),2)*AU250)/100),2))</f>
        <v>23.77</v>
      </c>
      <c r="Z250" s="2"/>
      <c r="AA250" s="2">
        <v>55919547</v>
      </c>
      <c r="AB250" s="2">
        <f t="shared" si="216"/>
        <v>2360.6559999999999</v>
      </c>
      <c r="AC250" s="2">
        <f>ROUND(((ES250*1)),6)</f>
        <v>1763.74</v>
      </c>
      <c r="AD250" s="2">
        <f>ROUND(((((ET250*1.2))-((EU250*1.2)))+AE250),6)</f>
        <v>154.87200000000001</v>
      </c>
      <c r="AE250" s="2">
        <f>ROUND(((EU250*1.2)),6)</f>
        <v>3.024</v>
      </c>
      <c r="AF250" s="2">
        <f>ROUND(((EV250*1.2)),6)</f>
        <v>442.04399999999998</v>
      </c>
      <c r="AG250" s="2">
        <f t="shared" si="217"/>
        <v>0</v>
      </c>
      <c r="AH250" s="2">
        <f>((EW250*1.2))</f>
        <v>35.879999999999995</v>
      </c>
      <c r="AI250" s="2">
        <f>((EX250*1.2))</f>
        <v>0</v>
      </c>
      <c r="AJ250" s="2">
        <f t="shared" si="218"/>
        <v>0</v>
      </c>
      <c r="AK250" s="2">
        <v>2261.17</v>
      </c>
      <c r="AL250" s="2">
        <v>1763.74</v>
      </c>
      <c r="AM250" s="2">
        <v>129.06</v>
      </c>
      <c r="AN250" s="2">
        <v>2.52</v>
      </c>
      <c r="AO250" s="2">
        <v>368.37</v>
      </c>
      <c r="AP250" s="2">
        <v>0</v>
      </c>
      <c r="AQ250" s="2">
        <v>29.9</v>
      </c>
      <c r="AR250" s="2">
        <v>0</v>
      </c>
      <c r="AS250" s="2">
        <v>0</v>
      </c>
      <c r="AT250" s="2">
        <v>97</v>
      </c>
      <c r="AU250" s="2">
        <v>51</v>
      </c>
      <c r="AV250" s="2">
        <v>1.0469999999999999</v>
      </c>
      <c r="AW250" s="2">
        <v>1</v>
      </c>
      <c r="AX250" s="2"/>
      <c r="AY250" s="2"/>
      <c r="AZ250" s="2">
        <v>1</v>
      </c>
      <c r="BA250" s="2">
        <v>1</v>
      </c>
      <c r="BB250" s="2">
        <v>1</v>
      </c>
      <c r="BC250" s="2">
        <v>1</v>
      </c>
      <c r="BD250" s="2" t="s">
        <v>3</v>
      </c>
      <c r="BE250" s="2" t="s">
        <v>3</v>
      </c>
      <c r="BF250" s="2" t="s">
        <v>3</v>
      </c>
      <c r="BG250" s="2" t="s">
        <v>3</v>
      </c>
      <c r="BH250" s="2">
        <v>0</v>
      </c>
      <c r="BI250" s="2">
        <v>2</v>
      </c>
      <c r="BJ250" s="2" t="s">
        <v>74</v>
      </c>
      <c r="BK250" s="2"/>
      <c r="BL250" s="2"/>
      <c r="BM250" s="2">
        <v>67</v>
      </c>
      <c r="BN250" s="2">
        <v>0</v>
      </c>
      <c r="BO250" s="2" t="s">
        <v>72</v>
      </c>
      <c r="BP250" s="2">
        <v>1</v>
      </c>
      <c r="BQ250" s="2">
        <v>40</v>
      </c>
      <c r="BR250" s="2">
        <v>0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1</v>
      </c>
      <c r="BY250" s="2" t="s">
        <v>3</v>
      </c>
      <c r="BZ250" s="2">
        <v>97</v>
      </c>
      <c r="CA250" s="2">
        <v>51</v>
      </c>
      <c r="CB250" s="2" t="s">
        <v>3</v>
      </c>
      <c r="CC250" s="2"/>
      <c r="CD250" s="2"/>
      <c r="CE250" s="2">
        <v>1566</v>
      </c>
      <c r="CF250" s="2">
        <v>0</v>
      </c>
      <c r="CG250" s="2">
        <v>0</v>
      </c>
      <c r="CH250" s="2"/>
      <c r="CI250" s="2"/>
      <c r="CJ250" s="2"/>
      <c r="CK250" s="2"/>
      <c r="CL250" s="2"/>
      <c r="CM250" s="2">
        <v>0</v>
      </c>
      <c r="CN250" s="2" t="s">
        <v>491</v>
      </c>
      <c r="CO250" s="2">
        <v>0</v>
      </c>
      <c r="CP250" s="2">
        <f t="shared" si="219"/>
        <v>238.87</v>
      </c>
      <c r="CQ250" s="2">
        <f t="shared" si="220"/>
        <v>1763.74</v>
      </c>
      <c r="CR250" s="2">
        <f>(ROUND((ROUND((((ET250*1.2))*AV250*1),2)*BB250),2)+ROUND((ROUND(((AE250-((EU250*1.2)))*AV250*1),2)*BS250),2))</f>
        <v>162.15</v>
      </c>
      <c r="CS250" s="2">
        <f>(ROUND((ROUND((((EU250*1.2))*AV250*1),2)*BS250),2)+ROUND((ROUND(((AE250-((EU250*1.2)))*AV250*1),2)*BS250),2))</f>
        <v>3.17</v>
      </c>
      <c r="CT250" s="2">
        <f t="shared" si="221"/>
        <v>462.82</v>
      </c>
      <c r="CU250" s="2">
        <f t="shared" si="222"/>
        <v>0</v>
      </c>
      <c r="CV250" s="2">
        <f t="shared" si="223"/>
        <v>37.566359999999996</v>
      </c>
      <c r="CW250" s="2">
        <f t="shared" si="224"/>
        <v>0</v>
      </c>
      <c r="CX250" s="2">
        <f t="shared" si="225"/>
        <v>0</v>
      </c>
      <c r="CY250" s="2">
        <f>(ROUND((((S250+ROUND((ROUND((((EU250*1.2))*AV250*1),2)*BS250),2))*AT250)/100),2)+ROUND(((ROUND((ROUND(((AE250-((EU250*1.2)))*AV250*1),2)*BS250),2)*AT250)/100),2))</f>
        <v>47.97</v>
      </c>
      <c r="CZ250" s="2">
        <f>(ROUND((((S250+ROUND((ROUND((((EU250*1.2))*AV250*1),2)*BS250),2))*AU250)/100),2)+ROUND(((ROUND((ROUND(((AE250-((EU250*1.2)))*AV250*1),2)*BS250),2)*AU250)/100),2))</f>
        <v>25.22</v>
      </c>
      <c r="DA250" s="2"/>
      <c r="DB250" s="2">
        <v>57</v>
      </c>
      <c r="DC250" s="2" t="s">
        <v>3</v>
      </c>
      <c r="DD250" s="2" t="s">
        <v>56</v>
      </c>
      <c r="DE250" s="2" t="s">
        <v>57</v>
      </c>
      <c r="DF250" s="2" t="s">
        <v>57</v>
      </c>
      <c r="DG250" s="2" t="s">
        <v>57</v>
      </c>
      <c r="DH250" s="2" t="s">
        <v>3</v>
      </c>
      <c r="DI250" s="2" t="s">
        <v>57</v>
      </c>
      <c r="DJ250" s="2" t="s">
        <v>57</v>
      </c>
      <c r="DK250" s="2" t="s">
        <v>3</v>
      </c>
      <c r="DL250" s="2" t="s">
        <v>3</v>
      </c>
      <c r="DM250" s="2" t="s">
        <v>3</v>
      </c>
      <c r="DN250" s="2">
        <v>0</v>
      </c>
      <c r="DO250" s="2">
        <v>0</v>
      </c>
      <c r="DP250" s="2">
        <v>1</v>
      </c>
      <c r="DQ250" s="2">
        <v>1</v>
      </c>
      <c r="DR250" s="2"/>
      <c r="DS250" s="2"/>
      <c r="DT250" s="2"/>
      <c r="DU250" s="2">
        <v>1003</v>
      </c>
      <c r="DV250" s="2" t="s">
        <v>65</v>
      </c>
      <c r="DW250" s="2" t="s">
        <v>65</v>
      </c>
      <c r="DX250" s="2">
        <v>100</v>
      </c>
      <c r="DY250" s="2"/>
      <c r="DZ250" s="2" t="s">
        <v>3</v>
      </c>
      <c r="EA250" s="2" t="s">
        <v>3</v>
      </c>
      <c r="EB250" s="2" t="s">
        <v>3</v>
      </c>
      <c r="EC250" s="2" t="s">
        <v>3</v>
      </c>
      <c r="ED250" s="2"/>
      <c r="EE250" s="2">
        <v>55393699</v>
      </c>
      <c r="EF250" s="2">
        <v>40</v>
      </c>
      <c r="EG250" s="2" t="s">
        <v>26</v>
      </c>
      <c r="EH250" s="2">
        <v>0</v>
      </c>
      <c r="EI250" s="2" t="s">
        <v>3</v>
      </c>
      <c r="EJ250" s="2">
        <v>2</v>
      </c>
      <c r="EK250" s="2">
        <v>67</v>
      </c>
      <c r="EL250" s="2" t="s">
        <v>39</v>
      </c>
      <c r="EM250" s="2" t="s">
        <v>40</v>
      </c>
      <c r="EN250" s="2"/>
      <c r="EO250" s="2" t="s">
        <v>61</v>
      </c>
      <c r="EP250" s="2"/>
      <c r="EQ250" s="2">
        <v>0</v>
      </c>
      <c r="ER250" s="2">
        <v>2261.17</v>
      </c>
      <c r="ES250" s="2">
        <v>1763.74</v>
      </c>
      <c r="ET250" s="2">
        <v>129.06</v>
      </c>
      <c r="EU250" s="2">
        <v>2.52</v>
      </c>
      <c r="EV250" s="2">
        <v>368.37</v>
      </c>
      <c r="EW250" s="2">
        <v>29.9</v>
      </c>
      <c r="EX250" s="2">
        <v>0</v>
      </c>
      <c r="EY250" s="2">
        <v>0</v>
      </c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>
        <v>0</v>
      </c>
      <c r="FR250" s="2">
        <v>0</v>
      </c>
      <c r="FS250" s="2">
        <v>0</v>
      </c>
      <c r="FT250" s="2"/>
      <c r="FU250" s="2"/>
      <c r="FV250" s="2"/>
      <c r="FW250" s="2"/>
      <c r="FX250" s="2">
        <v>97</v>
      </c>
      <c r="FY250" s="2">
        <v>51</v>
      </c>
      <c r="FZ250" s="2"/>
      <c r="GA250" s="2" t="s">
        <v>3</v>
      </c>
      <c r="GB250" s="2"/>
      <c r="GC250" s="2"/>
      <c r="GD250" s="2">
        <v>1</v>
      </c>
      <c r="GE250" s="2"/>
      <c r="GF250" s="2">
        <v>-1914670721</v>
      </c>
      <c r="GG250" s="2">
        <v>2</v>
      </c>
      <c r="GH250" s="2">
        <v>1</v>
      </c>
      <c r="GI250" s="2">
        <v>2</v>
      </c>
      <c r="GJ250" s="2">
        <v>0</v>
      </c>
      <c r="GK250" s="2">
        <v>0</v>
      </c>
      <c r="GL250" s="2">
        <f t="shared" si="226"/>
        <v>0</v>
      </c>
      <c r="GM250" s="2">
        <f t="shared" si="227"/>
        <v>307.83999999999997</v>
      </c>
      <c r="GN250" s="2">
        <f t="shared" si="228"/>
        <v>0</v>
      </c>
      <c r="GO250" s="2">
        <f t="shared" si="229"/>
        <v>307.83999999999997</v>
      </c>
      <c r="GP250" s="2">
        <f t="shared" si="230"/>
        <v>0</v>
      </c>
      <c r="GQ250" s="2"/>
      <c r="GR250" s="2">
        <v>0</v>
      </c>
      <c r="GS250" s="2">
        <v>3</v>
      </c>
      <c r="GT250" s="2">
        <v>0</v>
      </c>
      <c r="GU250" s="2" t="s">
        <v>3</v>
      </c>
      <c r="GV250" s="2">
        <f t="shared" si="231"/>
        <v>0</v>
      </c>
      <c r="GW250" s="2">
        <v>1</v>
      </c>
      <c r="GX250" s="2">
        <f t="shared" si="232"/>
        <v>0</v>
      </c>
      <c r="GY250" s="2"/>
      <c r="GZ250" s="2"/>
      <c r="HA250" s="2">
        <v>0</v>
      </c>
      <c r="HB250" s="2">
        <v>0</v>
      </c>
      <c r="HC250" s="2">
        <f t="shared" si="233"/>
        <v>0</v>
      </c>
      <c r="HD250" s="2"/>
      <c r="HE250" s="2" t="s">
        <v>3</v>
      </c>
      <c r="HF250" s="2" t="s">
        <v>3</v>
      </c>
      <c r="HG250" s="2"/>
      <c r="HH250" s="2"/>
      <c r="HI250" s="2"/>
      <c r="HJ250" s="2"/>
      <c r="HK250" s="2"/>
      <c r="HL250" s="2"/>
      <c r="HM250" s="2" t="s">
        <v>3</v>
      </c>
      <c r="HN250" s="2" t="s">
        <v>3</v>
      </c>
      <c r="HO250" s="2" t="s">
        <v>3</v>
      </c>
      <c r="HP250" s="2" t="s">
        <v>3</v>
      </c>
      <c r="HQ250" s="2" t="s">
        <v>3</v>
      </c>
      <c r="HR250" s="2"/>
      <c r="HS250" s="2">
        <v>0</v>
      </c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>
        <v>0</v>
      </c>
      <c r="IL250" s="2"/>
      <c r="IM250" s="2"/>
      <c r="IN250" s="2"/>
      <c r="IO250" s="2"/>
      <c r="IP250" s="2"/>
      <c r="IQ250" s="2"/>
      <c r="IR250" s="2"/>
      <c r="IS250" s="2"/>
      <c r="IT250" s="2"/>
      <c r="IU250" s="2"/>
    </row>
    <row r="251" spans="1:255" x14ac:dyDescent="0.2">
      <c r="A251" s="3">
        <v>17</v>
      </c>
      <c r="B251" s="3">
        <v>1</v>
      </c>
      <c r="C251" s="3">
        <f>ROW(SmtRes!A208)</f>
        <v>208</v>
      </c>
      <c r="D251" s="3">
        <f>ROW(EtalonRes!A236)</f>
        <v>236</v>
      </c>
      <c r="E251" s="3" t="s">
        <v>254</v>
      </c>
      <c r="F251" s="3" t="s">
        <v>72</v>
      </c>
      <c r="G251" s="3" t="s">
        <v>255</v>
      </c>
      <c r="H251" s="3" t="s">
        <v>65</v>
      </c>
      <c r="I251" s="3">
        <f>ROUND(10/100,9)</f>
        <v>0.1</v>
      </c>
      <c r="J251" s="3">
        <v>0</v>
      </c>
      <c r="K251" s="3">
        <f>ROUND(10/100,9)</f>
        <v>0.1</v>
      </c>
      <c r="O251" s="3">
        <f t="shared" si="209"/>
        <v>3544.89</v>
      </c>
      <c r="P251" s="3">
        <f t="shared" si="210"/>
        <v>712.53</v>
      </c>
      <c r="Q251" s="3">
        <f>(ROUND((ROUND((((ET251*1.2))*AV251*I251),2)*BB251),2)+ROUND((ROUND(((AE251-((EU251*1.2)))*AV251*I251),2)*BS251),2))</f>
        <v>224.48</v>
      </c>
      <c r="R251" s="3">
        <f>(ROUND((ROUND((((EU251*1.2))*AV251*I251),2)*BS251),2)+ROUND((ROUND(((AE251-((EU251*1.2)))*AV251*I251),2)*BS251),2))</f>
        <v>18.03</v>
      </c>
      <c r="S251" s="3">
        <f t="shared" si="211"/>
        <v>2607.88</v>
      </c>
      <c r="T251" s="3">
        <f t="shared" si="212"/>
        <v>0</v>
      </c>
      <c r="U251" s="3">
        <f t="shared" si="213"/>
        <v>3.7566359999999999</v>
      </c>
      <c r="V251" s="3">
        <f t="shared" si="214"/>
        <v>0</v>
      </c>
      <c r="W251" s="3">
        <f t="shared" si="215"/>
        <v>0</v>
      </c>
      <c r="X251" s="3">
        <f>(ROUND((((S251+ROUND((ROUND((((EU251*1.2))*AV251*I251),2)*BS251),2))*AT251)/100),2)+ROUND(((ROUND((ROUND(((AE251-((EU251*1.2)))*AV251*I251),2)*BS251),2)*AT251)/100),2))</f>
        <v>2547.13</v>
      </c>
      <c r="Y251" s="3">
        <f>(ROUND((((S251+ROUND((ROUND((((EU251*1.2))*AV251*I251),2)*BS251),2))*AU251)/100),2)+ROUND(((ROUND((ROUND(((AE251-((EU251*1.2)))*AV251*I251),2)*BS251),2)*AU251)/100),2))</f>
        <v>1339.21</v>
      </c>
      <c r="AA251" s="3">
        <v>55919549</v>
      </c>
      <c r="AB251" s="3">
        <f t="shared" si="216"/>
        <v>2360.6559999999999</v>
      </c>
      <c r="AC251" s="3">
        <f>ROUND(((ES251*1)),6)</f>
        <v>1763.74</v>
      </c>
      <c r="AD251" s="3">
        <f>ROUND(((((ET251*1.2))-((EU251*1.2)))+AE251),6)</f>
        <v>154.87200000000001</v>
      </c>
      <c r="AE251" s="3">
        <f>ROUND(((EU251*1.2)),6)</f>
        <v>3.024</v>
      </c>
      <c r="AF251" s="3">
        <f>ROUND(((EV251*1.2)),6)</f>
        <v>442.04399999999998</v>
      </c>
      <c r="AG251" s="3">
        <f t="shared" si="217"/>
        <v>0</v>
      </c>
      <c r="AH251" s="3">
        <f>((EW251*1.2))</f>
        <v>35.879999999999995</v>
      </c>
      <c r="AI251" s="3">
        <f>((EX251*1.2))</f>
        <v>0</v>
      </c>
      <c r="AJ251" s="3">
        <f t="shared" si="218"/>
        <v>0</v>
      </c>
      <c r="AK251" s="3">
        <v>2261.17</v>
      </c>
      <c r="AL251" s="3">
        <v>1763.74</v>
      </c>
      <c r="AM251" s="3">
        <v>129.06</v>
      </c>
      <c r="AN251" s="3">
        <v>2.52</v>
      </c>
      <c r="AO251" s="3">
        <v>368.37</v>
      </c>
      <c r="AP251" s="3">
        <v>0</v>
      </c>
      <c r="AQ251" s="3">
        <v>29.9</v>
      </c>
      <c r="AR251" s="3">
        <v>0</v>
      </c>
      <c r="AS251" s="3">
        <v>0</v>
      </c>
      <c r="AT251" s="3">
        <v>97</v>
      </c>
      <c r="AU251" s="3">
        <v>51</v>
      </c>
      <c r="AV251" s="3">
        <v>1.0469999999999999</v>
      </c>
      <c r="AW251" s="3">
        <v>1</v>
      </c>
      <c r="AZ251" s="3">
        <v>1</v>
      </c>
      <c r="BA251" s="3">
        <v>56.35</v>
      </c>
      <c r="BB251" s="3">
        <v>13.84</v>
      </c>
      <c r="BC251" s="3">
        <v>4.04</v>
      </c>
      <c r="BD251" s="3" t="s">
        <v>3</v>
      </c>
      <c r="BE251" s="3" t="s">
        <v>3</v>
      </c>
      <c r="BF251" s="3" t="s">
        <v>3</v>
      </c>
      <c r="BG251" s="3" t="s">
        <v>3</v>
      </c>
      <c r="BH251" s="3">
        <v>0</v>
      </c>
      <c r="BI251" s="3">
        <v>2</v>
      </c>
      <c r="BJ251" s="3" t="s">
        <v>74</v>
      </c>
      <c r="BM251" s="3">
        <v>67</v>
      </c>
      <c r="BN251" s="3">
        <v>0</v>
      </c>
      <c r="BO251" s="3" t="s">
        <v>72</v>
      </c>
      <c r="BP251" s="3">
        <v>1</v>
      </c>
      <c r="BQ251" s="3">
        <v>40</v>
      </c>
      <c r="BR251" s="3">
        <v>0</v>
      </c>
      <c r="BS251" s="3">
        <v>56.35</v>
      </c>
      <c r="BT251" s="3">
        <v>1</v>
      </c>
      <c r="BU251" s="3">
        <v>1</v>
      </c>
      <c r="BV251" s="3">
        <v>1</v>
      </c>
      <c r="BW251" s="3">
        <v>1</v>
      </c>
      <c r="BX251" s="3">
        <v>1</v>
      </c>
      <c r="BY251" s="3" t="s">
        <v>3</v>
      </c>
      <c r="BZ251" s="3">
        <v>97</v>
      </c>
      <c r="CA251" s="3">
        <v>51</v>
      </c>
      <c r="CB251" s="3" t="s">
        <v>3</v>
      </c>
      <c r="CE251" s="3">
        <v>1566</v>
      </c>
      <c r="CF251" s="3">
        <v>0</v>
      </c>
      <c r="CG251" s="3">
        <v>0</v>
      </c>
      <c r="CM251" s="3">
        <v>0</v>
      </c>
      <c r="CN251" s="3" t="s">
        <v>491</v>
      </c>
      <c r="CO251" s="3">
        <v>0</v>
      </c>
      <c r="CP251" s="3">
        <f t="shared" si="219"/>
        <v>3544.8900000000003</v>
      </c>
      <c r="CQ251" s="3">
        <f t="shared" si="220"/>
        <v>7125.51</v>
      </c>
      <c r="CR251" s="3">
        <f>(ROUND((ROUND((((ET251*1.2))*AV251*1),2)*BB251),2)+ROUND((ROUND(((AE251-((EU251*1.2)))*AV251*1),2)*BS251),2))</f>
        <v>2244.16</v>
      </c>
      <c r="CS251" s="3">
        <f>(ROUND((ROUND((((EU251*1.2))*AV251*1),2)*BS251),2)+ROUND((ROUND(((AE251-((EU251*1.2)))*AV251*1),2)*BS251),2))</f>
        <v>178.63</v>
      </c>
      <c r="CT251" s="3">
        <f t="shared" si="221"/>
        <v>26079.91</v>
      </c>
      <c r="CU251" s="3">
        <f t="shared" si="222"/>
        <v>0</v>
      </c>
      <c r="CV251" s="3">
        <f t="shared" si="223"/>
        <v>37.566359999999996</v>
      </c>
      <c r="CW251" s="3">
        <f t="shared" si="224"/>
        <v>0</v>
      </c>
      <c r="CX251" s="3">
        <f t="shared" si="225"/>
        <v>0</v>
      </c>
      <c r="CY251" s="3">
        <f>(ROUND((((S251+ROUND((ROUND((((EU251*1.2))*AV251*1),2)*BS251),2))*AT251)/100),2)+ROUND(((ROUND((ROUND(((AE251-((EU251*1.2)))*AV251*1),2)*BS251),2)*AT251)/100),2))</f>
        <v>2702.91</v>
      </c>
      <c r="CZ251" s="3">
        <f>(ROUND((((S251+ROUND((ROUND((((EU251*1.2))*AV251*1),2)*BS251),2))*AU251)/100),2)+ROUND(((ROUND((ROUND(((AE251-((EU251*1.2)))*AV251*1),2)*BS251),2)*AU251)/100),2))</f>
        <v>1421.12</v>
      </c>
      <c r="DB251" s="3">
        <v>58</v>
      </c>
      <c r="DC251" s="3" t="s">
        <v>3</v>
      </c>
      <c r="DD251" s="3" t="s">
        <v>56</v>
      </c>
      <c r="DE251" s="3" t="s">
        <v>57</v>
      </c>
      <c r="DF251" s="3" t="s">
        <v>57</v>
      </c>
      <c r="DG251" s="3" t="s">
        <v>57</v>
      </c>
      <c r="DH251" s="3" t="s">
        <v>3</v>
      </c>
      <c r="DI251" s="3" t="s">
        <v>57</v>
      </c>
      <c r="DJ251" s="3" t="s">
        <v>57</v>
      </c>
      <c r="DK251" s="3" t="s">
        <v>3</v>
      </c>
      <c r="DL251" s="3" t="s">
        <v>3</v>
      </c>
      <c r="DM251" s="3" t="s">
        <v>3</v>
      </c>
      <c r="DN251" s="3">
        <v>0</v>
      </c>
      <c r="DO251" s="3">
        <v>0</v>
      </c>
      <c r="DP251" s="3">
        <v>1</v>
      </c>
      <c r="DQ251" s="3">
        <v>1</v>
      </c>
      <c r="DU251" s="3">
        <v>1003</v>
      </c>
      <c r="DV251" s="3" t="s">
        <v>65</v>
      </c>
      <c r="DW251" s="3" t="s">
        <v>65</v>
      </c>
      <c r="DX251" s="3">
        <v>100</v>
      </c>
      <c r="DZ251" s="3" t="s">
        <v>3</v>
      </c>
      <c r="EA251" s="3" t="s">
        <v>3</v>
      </c>
      <c r="EB251" s="3" t="s">
        <v>3</v>
      </c>
      <c r="EC251" s="3" t="s">
        <v>3</v>
      </c>
      <c r="EE251" s="3">
        <v>55393699</v>
      </c>
      <c r="EF251" s="3">
        <v>40</v>
      </c>
      <c r="EG251" s="3" t="s">
        <v>26</v>
      </c>
      <c r="EH251" s="3">
        <v>0</v>
      </c>
      <c r="EI251" s="3" t="s">
        <v>3</v>
      </c>
      <c r="EJ251" s="3">
        <v>2</v>
      </c>
      <c r="EK251" s="3">
        <v>67</v>
      </c>
      <c r="EL251" s="3" t="s">
        <v>39</v>
      </c>
      <c r="EM251" s="3" t="s">
        <v>40</v>
      </c>
      <c r="EO251" s="3" t="s">
        <v>61</v>
      </c>
      <c r="EQ251" s="3">
        <v>0</v>
      </c>
      <c r="ER251" s="3">
        <v>2261.17</v>
      </c>
      <c r="ES251" s="3">
        <v>1763.74</v>
      </c>
      <c r="ET251" s="3">
        <v>129.06</v>
      </c>
      <c r="EU251" s="3">
        <v>2.52</v>
      </c>
      <c r="EV251" s="3">
        <v>368.37</v>
      </c>
      <c r="EW251" s="3">
        <v>29.9</v>
      </c>
      <c r="EX251" s="3">
        <v>0</v>
      </c>
      <c r="EY251" s="3">
        <v>0</v>
      </c>
      <c r="FQ251" s="3">
        <v>0</v>
      </c>
      <c r="FR251" s="3">
        <v>0</v>
      </c>
      <c r="FS251" s="3">
        <v>0</v>
      </c>
      <c r="FX251" s="3">
        <v>97</v>
      </c>
      <c r="FY251" s="3">
        <v>51</v>
      </c>
      <c r="GA251" s="3" t="s">
        <v>3</v>
      </c>
      <c r="GD251" s="3">
        <v>1</v>
      </c>
      <c r="GF251" s="3">
        <v>-1914670721</v>
      </c>
      <c r="GG251" s="3">
        <v>2</v>
      </c>
      <c r="GH251" s="3">
        <v>1</v>
      </c>
      <c r="GI251" s="3">
        <v>2</v>
      </c>
      <c r="GJ251" s="3">
        <v>0</v>
      </c>
      <c r="GK251" s="3">
        <v>0</v>
      </c>
      <c r="GL251" s="3">
        <f t="shared" si="226"/>
        <v>0</v>
      </c>
      <c r="GM251" s="3">
        <f t="shared" si="227"/>
        <v>7431.23</v>
      </c>
      <c r="GN251" s="3">
        <f t="shared" si="228"/>
        <v>0</v>
      </c>
      <c r="GO251" s="3">
        <f t="shared" si="229"/>
        <v>7431.23</v>
      </c>
      <c r="GP251" s="3">
        <f t="shared" si="230"/>
        <v>0</v>
      </c>
      <c r="GR251" s="3">
        <v>0</v>
      </c>
      <c r="GS251" s="3">
        <v>3</v>
      </c>
      <c r="GT251" s="3">
        <v>0</v>
      </c>
      <c r="GU251" s="3" t="s">
        <v>3</v>
      </c>
      <c r="GV251" s="3">
        <f t="shared" si="231"/>
        <v>0</v>
      </c>
      <c r="GW251" s="3">
        <v>1</v>
      </c>
      <c r="GX251" s="3">
        <f t="shared" si="232"/>
        <v>0</v>
      </c>
      <c r="HA251" s="3">
        <v>0</v>
      </c>
      <c r="HB251" s="3">
        <v>0</v>
      </c>
      <c r="HC251" s="3">
        <f t="shared" si="233"/>
        <v>0</v>
      </c>
      <c r="HE251" s="3" t="s">
        <v>3</v>
      </c>
      <c r="HF251" s="3" t="s">
        <v>3</v>
      </c>
      <c r="HM251" s="3" t="s">
        <v>3</v>
      </c>
      <c r="HN251" s="3" t="s">
        <v>3</v>
      </c>
      <c r="HO251" s="3" t="s">
        <v>3</v>
      </c>
      <c r="HP251" s="3" t="s">
        <v>3</v>
      </c>
      <c r="HQ251" s="3" t="s">
        <v>3</v>
      </c>
      <c r="HS251" s="3">
        <v>0</v>
      </c>
      <c r="IK251" s="3">
        <v>0</v>
      </c>
    </row>
    <row r="252" spans="1:255" x14ac:dyDescent="0.2">
      <c r="A252" s="2">
        <v>18</v>
      </c>
      <c r="B252" s="2">
        <v>1</v>
      </c>
      <c r="C252" s="2">
        <v>195</v>
      </c>
      <c r="D252" s="2"/>
      <c r="E252" s="2" t="s">
        <v>256</v>
      </c>
      <c r="F252" s="2" t="s">
        <v>257</v>
      </c>
      <c r="G252" s="2" t="s">
        <v>258</v>
      </c>
      <c r="H252" s="2" t="s">
        <v>206</v>
      </c>
      <c r="I252" s="2">
        <f>I250*J252</f>
        <v>10.3</v>
      </c>
      <c r="J252" s="2">
        <v>103</v>
      </c>
      <c r="K252" s="2">
        <v>103</v>
      </c>
      <c r="L252" s="2"/>
      <c r="M252" s="2"/>
      <c r="N252" s="2"/>
      <c r="O252" s="2">
        <f t="shared" si="209"/>
        <v>132.15</v>
      </c>
      <c r="P252" s="2">
        <f t="shared" si="210"/>
        <v>132.15</v>
      </c>
      <c r="Q252" s="2">
        <f>(ROUND((ROUND(((ET252)*AV252*I252),2)*BB252),2)+ROUND((ROUND(((AE252-(EU252))*AV252*I252),2)*BS252),2))</f>
        <v>0</v>
      </c>
      <c r="R252" s="2">
        <f>(ROUND((ROUND(((EU252)*AV252*I252),2)*BS252),2)+ROUND((ROUND(((AE252-(EU252))*AV252*I252),2)*BS252),2))</f>
        <v>0</v>
      </c>
      <c r="S252" s="2">
        <f t="shared" si="211"/>
        <v>0</v>
      </c>
      <c r="T252" s="2">
        <f t="shared" si="212"/>
        <v>0</v>
      </c>
      <c r="U252" s="2">
        <f t="shared" si="213"/>
        <v>0</v>
      </c>
      <c r="V252" s="2">
        <f t="shared" si="214"/>
        <v>0</v>
      </c>
      <c r="W252" s="2">
        <f t="shared" si="215"/>
        <v>0</v>
      </c>
      <c r="X252" s="2">
        <f>(ROUND((((S252+ROUND((ROUND(((EU252)*AV252*I252),2)*BS252),2))*AT252)/100),2)+ROUND(((ROUND((ROUND(((AE252-(EU252))*AV252*I252),2)*BS252),2)*AT252)/100),2))</f>
        <v>0</v>
      </c>
      <c r="Y252" s="2">
        <f>(ROUND((((S252+ROUND((ROUND(((EU252)*AV252*I252),2)*BS252),2))*AU252)/100),2)+ROUND(((ROUND((ROUND(((AE252-(EU252))*AV252*I252),2)*BS252),2)*AU252)/100),2))</f>
        <v>0</v>
      </c>
      <c r="Z252" s="2"/>
      <c r="AA252" s="2">
        <v>55919547</v>
      </c>
      <c r="AB252" s="2">
        <f t="shared" si="216"/>
        <v>12.83</v>
      </c>
      <c r="AC252" s="2">
        <f>ROUND((ES252),6)</f>
        <v>12.83</v>
      </c>
      <c r="AD252" s="2">
        <f>ROUND((((ET252)-(EU252))+AE252),6)</f>
        <v>0</v>
      </c>
      <c r="AE252" s="2">
        <f>ROUND((EU252),6)</f>
        <v>0</v>
      </c>
      <c r="AF252" s="2">
        <f>ROUND((EV252),6)</f>
        <v>0</v>
      </c>
      <c r="AG252" s="2">
        <f t="shared" si="217"/>
        <v>0</v>
      </c>
      <c r="AH252" s="2">
        <f>(EW252)</f>
        <v>0</v>
      </c>
      <c r="AI252" s="2">
        <f>(EX252)</f>
        <v>0</v>
      </c>
      <c r="AJ252" s="2">
        <f t="shared" si="218"/>
        <v>0</v>
      </c>
      <c r="AK252" s="2">
        <v>12.83</v>
      </c>
      <c r="AL252" s="2">
        <v>12.83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97</v>
      </c>
      <c r="AU252" s="2">
        <v>51</v>
      </c>
      <c r="AV252" s="2">
        <v>1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3</v>
      </c>
      <c r="BI252" s="2">
        <v>2</v>
      </c>
      <c r="BJ252" s="2" t="s">
        <v>259</v>
      </c>
      <c r="BK252" s="2"/>
      <c r="BL252" s="2"/>
      <c r="BM252" s="2">
        <v>67</v>
      </c>
      <c r="BN252" s="2">
        <v>0</v>
      </c>
      <c r="BO252" s="2" t="s">
        <v>3</v>
      </c>
      <c r="BP252" s="2">
        <v>0</v>
      </c>
      <c r="BQ252" s="2">
        <v>40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97</v>
      </c>
      <c r="CA252" s="2">
        <v>51</v>
      </c>
      <c r="CB252" s="2" t="s">
        <v>3</v>
      </c>
      <c r="CC252" s="2"/>
      <c r="CD252" s="2"/>
      <c r="CE252" s="2">
        <v>1566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492</v>
      </c>
      <c r="CO252" s="2">
        <v>0</v>
      </c>
      <c r="CP252" s="2">
        <f t="shared" si="219"/>
        <v>132.15</v>
      </c>
      <c r="CQ252" s="2">
        <f t="shared" si="220"/>
        <v>12.83</v>
      </c>
      <c r="CR252" s="2">
        <f>(ROUND((ROUND(((ET252)*AV252*1),2)*BB252),2)+ROUND((ROUND(((AE252-(EU252))*AV252*1),2)*BS252),2))</f>
        <v>0</v>
      </c>
      <c r="CS252" s="2">
        <f>(ROUND((ROUND(((EU252)*AV252*1),2)*BS252),2)+ROUND((ROUND(((AE252-(EU252))*AV252*1),2)*BS252),2))</f>
        <v>0</v>
      </c>
      <c r="CT252" s="2">
        <f t="shared" si="221"/>
        <v>0</v>
      </c>
      <c r="CU252" s="2">
        <f t="shared" si="222"/>
        <v>0</v>
      </c>
      <c r="CV252" s="2">
        <f t="shared" si="223"/>
        <v>0</v>
      </c>
      <c r="CW252" s="2">
        <f t="shared" si="224"/>
        <v>0</v>
      </c>
      <c r="CX252" s="2">
        <f t="shared" si="225"/>
        <v>0</v>
      </c>
      <c r="CY252" s="2">
        <f>(ROUND((((S252+ROUND((ROUND(((EU252)*AV252*1),2)*BS252),2))*AT252)/100),2)+ROUND(((ROUND((ROUND(((AE252-(EU252))*AV252*1),2)*BS252),2)*AT252)/100),2))</f>
        <v>0</v>
      </c>
      <c r="CZ252" s="2">
        <f>(ROUND((((S252+ROUND((ROUND(((EU252)*AV252*1),2)*BS252),2))*AU252)/100),2)+ROUND(((ROUND((ROUND(((AE252-(EU252))*AV252*1),2)*BS252),2)*AU252)/100),2))</f>
        <v>0</v>
      </c>
      <c r="DA252" s="2"/>
      <c r="DB252" s="2"/>
      <c r="DC252" s="2" t="s">
        <v>3</v>
      </c>
      <c r="DD252" s="2" t="s">
        <v>3</v>
      </c>
      <c r="DE252" s="2" t="s">
        <v>3</v>
      </c>
      <c r="DF252" s="2" t="s">
        <v>3</v>
      </c>
      <c r="DG252" s="2" t="s">
        <v>3</v>
      </c>
      <c r="DH252" s="2" t="s">
        <v>3</v>
      </c>
      <c r="DI252" s="2" t="s">
        <v>3</v>
      </c>
      <c r="DJ252" s="2" t="s">
        <v>3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1003</v>
      </c>
      <c r="DV252" s="2" t="s">
        <v>206</v>
      </c>
      <c r="DW252" s="2" t="s">
        <v>206</v>
      </c>
      <c r="DX252" s="2">
        <v>1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55393699</v>
      </c>
      <c r="EF252" s="2">
        <v>40</v>
      </c>
      <c r="EG252" s="2" t="s">
        <v>26</v>
      </c>
      <c r="EH252" s="2">
        <v>0</v>
      </c>
      <c r="EI252" s="2" t="s">
        <v>3</v>
      </c>
      <c r="EJ252" s="2">
        <v>2</v>
      </c>
      <c r="EK252" s="2">
        <v>67</v>
      </c>
      <c r="EL252" s="2" t="s">
        <v>39</v>
      </c>
      <c r="EM252" s="2" t="s">
        <v>40</v>
      </c>
      <c r="EN252" s="2"/>
      <c r="EO252" s="2" t="s">
        <v>61</v>
      </c>
      <c r="EP252" s="2"/>
      <c r="EQ252" s="2">
        <v>0</v>
      </c>
      <c r="ER252" s="2">
        <v>12.83</v>
      </c>
      <c r="ES252" s="2">
        <v>12.83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v>0</v>
      </c>
      <c r="FS252" s="2">
        <v>0</v>
      </c>
      <c r="FT252" s="2"/>
      <c r="FU252" s="2"/>
      <c r="FV252" s="2"/>
      <c r="FW252" s="2"/>
      <c r="FX252" s="2">
        <v>97</v>
      </c>
      <c r="FY252" s="2">
        <v>51</v>
      </c>
      <c r="FZ252" s="2"/>
      <c r="GA252" s="2" t="s">
        <v>3</v>
      </c>
      <c r="GB252" s="2"/>
      <c r="GC252" s="2"/>
      <c r="GD252" s="2">
        <v>1</v>
      </c>
      <c r="GE252" s="2"/>
      <c r="GF252" s="2">
        <v>357884200</v>
      </c>
      <c r="GG252" s="2">
        <v>2</v>
      </c>
      <c r="GH252" s="2">
        <v>1</v>
      </c>
      <c r="GI252" s="2">
        <v>-2</v>
      </c>
      <c r="GJ252" s="2">
        <v>0</v>
      </c>
      <c r="GK252" s="2">
        <v>0</v>
      </c>
      <c r="GL252" s="2">
        <f t="shared" si="226"/>
        <v>0</v>
      </c>
      <c r="GM252" s="2">
        <f t="shared" si="227"/>
        <v>132.15</v>
      </c>
      <c r="GN252" s="2">
        <f t="shared" si="228"/>
        <v>0</v>
      </c>
      <c r="GO252" s="2">
        <f t="shared" si="229"/>
        <v>132.15</v>
      </c>
      <c r="GP252" s="2">
        <f t="shared" si="230"/>
        <v>0</v>
      </c>
      <c r="GQ252" s="2"/>
      <c r="GR252" s="2">
        <v>0</v>
      </c>
      <c r="GS252" s="2">
        <v>3</v>
      </c>
      <c r="GT252" s="2">
        <v>0</v>
      </c>
      <c r="GU252" s="2" t="s">
        <v>3</v>
      </c>
      <c r="GV252" s="2">
        <f t="shared" si="231"/>
        <v>0</v>
      </c>
      <c r="GW252" s="2">
        <v>1</v>
      </c>
      <c r="GX252" s="2">
        <f t="shared" si="232"/>
        <v>0</v>
      </c>
      <c r="GY252" s="2"/>
      <c r="GZ252" s="2"/>
      <c r="HA252" s="2">
        <v>0</v>
      </c>
      <c r="HB252" s="2">
        <v>0</v>
      </c>
      <c r="HC252" s="2">
        <f t="shared" si="233"/>
        <v>0</v>
      </c>
      <c r="HD252" s="2"/>
      <c r="HE252" s="2" t="s">
        <v>3</v>
      </c>
      <c r="HF252" s="2" t="s">
        <v>3</v>
      </c>
      <c r="HG252" s="2"/>
      <c r="HH252" s="2"/>
      <c r="HI252" s="2"/>
      <c r="HJ252" s="2"/>
      <c r="HK252" s="2"/>
      <c r="HL252" s="2"/>
      <c r="HM252" s="2" t="s">
        <v>3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">
      <c r="A253" s="3">
        <v>18</v>
      </c>
      <c r="B253" s="3">
        <v>1</v>
      </c>
      <c r="C253" s="3">
        <v>207</v>
      </c>
      <c r="E253" s="3" t="s">
        <v>256</v>
      </c>
      <c r="F253" s="3" t="s">
        <v>257</v>
      </c>
      <c r="G253" s="3" t="s">
        <v>258</v>
      </c>
      <c r="H253" s="3" t="s">
        <v>206</v>
      </c>
      <c r="I253" s="3">
        <f>I251*J253</f>
        <v>10.3</v>
      </c>
      <c r="J253" s="3">
        <v>103</v>
      </c>
      <c r="K253" s="3">
        <v>103</v>
      </c>
      <c r="O253" s="3">
        <f t="shared" si="209"/>
        <v>484.99</v>
      </c>
      <c r="P253" s="3">
        <f t="shared" si="210"/>
        <v>484.99</v>
      </c>
      <c r="Q253" s="3">
        <f>(ROUND((ROUND(((ET253)*AV253*I253),2)*BB253),2)+ROUND((ROUND(((AE253-(EU253))*AV253*I253),2)*BS253),2))</f>
        <v>0</v>
      </c>
      <c r="R253" s="3">
        <f>(ROUND((ROUND(((EU253)*AV253*I253),2)*BS253),2)+ROUND((ROUND(((AE253-(EU253))*AV253*I253),2)*BS253),2))</f>
        <v>0</v>
      </c>
      <c r="S253" s="3">
        <f t="shared" si="211"/>
        <v>0</v>
      </c>
      <c r="T253" s="3">
        <f t="shared" si="212"/>
        <v>0</v>
      </c>
      <c r="U253" s="3">
        <f t="shared" si="213"/>
        <v>0</v>
      </c>
      <c r="V253" s="3">
        <f t="shared" si="214"/>
        <v>0</v>
      </c>
      <c r="W253" s="3">
        <f t="shared" si="215"/>
        <v>0</v>
      </c>
      <c r="X253" s="3">
        <f>(ROUND((((S253+ROUND((ROUND(((EU253)*AV253*I253),2)*BS253),2))*AT253)/100),2)+ROUND(((ROUND((ROUND(((AE253-(EU253))*AV253*I253),2)*BS253),2)*AT253)/100),2))</f>
        <v>0</v>
      </c>
      <c r="Y253" s="3">
        <f>(ROUND((((S253+ROUND((ROUND(((EU253)*AV253*I253),2)*BS253),2))*AU253)/100),2)+ROUND(((ROUND((ROUND(((AE253-(EU253))*AV253*I253),2)*BS253),2)*AU253)/100),2))</f>
        <v>0</v>
      </c>
      <c r="AA253" s="3">
        <v>55919549</v>
      </c>
      <c r="AB253" s="3">
        <f t="shared" si="216"/>
        <v>12.83</v>
      </c>
      <c r="AC253" s="3">
        <f>ROUND((ES253),6)</f>
        <v>12.83</v>
      </c>
      <c r="AD253" s="3">
        <f>ROUND((((ET253)-(EU253))+AE253),6)</f>
        <v>0</v>
      </c>
      <c r="AE253" s="3">
        <f>ROUND((EU253),6)</f>
        <v>0</v>
      </c>
      <c r="AF253" s="3">
        <f>ROUND((EV253),6)</f>
        <v>0</v>
      </c>
      <c r="AG253" s="3">
        <f t="shared" si="217"/>
        <v>0</v>
      </c>
      <c r="AH253" s="3">
        <f>(EW253)</f>
        <v>0</v>
      </c>
      <c r="AI253" s="3">
        <f>(EX253)</f>
        <v>0</v>
      </c>
      <c r="AJ253" s="3">
        <f t="shared" si="218"/>
        <v>0</v>
      </c>
      <c r="AK253" s="3">
        <v>12.83</v>
      </c>
      <c r="AL253" s="3">
        <v>12.83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97</v>
      </c>
      <c r="AU253" s="3">
        <v>51</v>
      </c>
      <c r="AV253" s="3">
        <v>1</v>
      </c>
      <c r="AW253" s="3">
        <v>1</v>
      </c>
      <c r="AZ253" s="3">
        <v>1</v>
      </c>
      <c r="BA253" s="3">
        <v>1</v>
      </c>
      <c r="BB253" s="3">
        <v>1</v>
      </c>
      <c r="BC253" s="3">
        <v>3.67</v>
      </c>
      <c r="BD253" s="3" t="s">
        <v>3</v>
      </c>
      <c r="BE253" s="3" t="s">
        <v>3</v>
      </c>
      <c r="BF253" s="3" t="s">
        <v>3</v>
      </c>
      <c r="BG253" s="3" t="s">
        <v>3</v>
      </c>
      <c r="BH253" s="3">
        <v>3</v>
      </c>
      <c r="BI253" s="3">
        <v>2</v>
      </c>
      <c r="BJ253" s="3" t="s">
        <v>259</v>
      </c>
      <c r="BM253" s="3">
        <v>67</v>
      </c>
      <c r="BN253" s="3">
        <v>0</v>
      </c>
      <c r="BO253" s="3" t="s">
        <v>257</v>
      </c>
      <c r="BP253" s="3">
        <v>1</v>
      </c>
      <c r="BQ253" s="3">
        <v>40</v>
      </c>
      <c r="BR253" s="3">
        <v>0</v>
      </c>
      <c r="BS253" s="3">
        <v>1</v>
      </c>
      <c r="BT253" s="3">
        <v>1</v>
      </c>
      <c r="BU253" s="3">
        <v>1</v>
      </c>
      <c r="BV253" s="3">
        <v>1</v>
      </c>
      <c r="BW253" s="3">
        <v>1</v>
      </c>
      <c r="BX253" s="3">
        <v>1</v>
      </c>
      <c r="BY253" s="3" t="s">
        <v>3</v>
      </c>
      <c r="BZ253" s="3">
        <v>97</v>
      </c>
      <c r="CA253" s="3">
        <v>51</v>
      </c>
      <c r="CB253" s="3" t="s">
        <v>3</v>
      </c>
      <c r="CE253" s="3">
        <v>1566</v>
      </c>
      <c r="CF253" s="3">
        <v>0</v>
      </c>
      <c r="CG253" s="3">
        <v>0</v>
      </c>
      <c r="CM253" s="3">
        <v>0</v>
      </c>
      <c r="CN253" s="3" t="s">
        <v>492</v>
      </c>
      <c r="CO253" s="3">
        <v>0</v>
      </c>
      <c r="CP253" s="3">
        <f t="shared" si="219"/>
        <v>484.99</v>
      </c>
      <c r="CQ253" s="3">
        <f t="shared" si="220"/>
        <v>47.09</v>
      </c>
      <c r="CR253" s="3">
        <f>(ROUND((ROUND(((ET253)*AV253*1),2)*BB253),2)+ROUND((ROUND(((AE253-(EU253))*AV253*1),2)*BS253),2))</f>
        <v>0</v>
      </c>
      <c r="CS253" s="3">
        <f>(ROUND((ROUND(((EU253)*AV253*1),2)*BS253),2)+ROUND((ROUND(((AE253-(EU253))*AV253*1),2)*BS253),2))</f>
        <v>0</v>
      </c>
      <c r="CT253" s="3">
        <f t="shared" si="221"/>
        <v>0</v>
      </c>
      <c r="CU253" s="3">
        <f t="shared" si="222"/>
        <v>0</v>
      </c>
      <c r="CV253" s="3">
        <f t="shared" si="223"/>
        <v>0</v>
      </c>
      <c r="CW253" s="3">
        <f t="shared" si="224"/>
        <v>0</v>
      </c>
      <c r="CX253" s="3">
        <f t="shared" si="225"/>
        <v>0</v>
      </c>
      <c r="CY253" s="3">
        <f>(ROUND((((S253+ROUND((ROUND(((EU253)*AV253*1),2)*BS253),2))*AT253)/100),2)+ROUND(((ROUND((ROUND(((AE253-(EU253))*AV253*1),2)*BS253),2)*AT253)/100),2))</f>
        <v>0</v>
      </c>
      <c r="CZ253" s="3">
        <f>(ROUND((((S253+ROUND((ROUND(((EU253)*AV253*1),2)*BS253),2))*AU253)/100),2)+ROUND(((ROUND((ROUND(((AE253-(EU253))*AV253*1),2)*BS253),2)*AU253)/100),2))</f>
        <v>0</v>
      </c>
      <c r="DC253" s="3" t="s">
        <v>3</v>
      </c>
      <c r="DD253" s="3" t="s">
        <v>3</v>
      </c>
      <c r="DE253" s="3" t="s">
        <v>3</v>
      </c>
      <c r="DF253" s="3" t="s">
        <v>3</v>
      </c>
      <c r="DG253" s="3" t="s">
        <v>3</v>
      </c>
      <c r="DH253" s="3" t="s">
        <v>3</v>
      </c>
      <c r="DI253" s="3" t="s">
        <v>3</v>
      </c>
      <c r="DJ253" s="3" t="s">
        <v>3</v>
      </c>
      <c r="DK253" s="3" t="s">
        <v>3</v>
      </c>
      <c r="DL253" s="3" t="s">
        <v>3</v>
      </c>
      <c r="DM253" s="3" t="s">
        <v>3</v>
      </c>
      <c r="DN253" s="3">
        <v>0</v>
      </c>
      <c r="DO253" s="3">
        <v>0</v>
      </c>
      <c r="DP253" s="3">
        <v>1</v>
      </c>
      <c r="DQ253" s="3">
        <v>1</v>
      </c>
      <c r="DU253" s="3">
        <v>1003</v>
      </c>
      <c r="DV253" s="3" t="s">
        <v>206</v>
      </c>
      <c r="DW253" s="3" t="s">
        <v>206</v>
      </c>
      <c r="DX253" s="3">
        <v>1</v>
      </c>
      <c r="DZ253" s="3" t="s">
        <v>3</v>
      </c>
      <c r="EA253" s="3" t="s">
        <v>3</v>
      </c>
      <c r="EB253" s="3" t="s">
        <v>3</v>
      </c>
      <c r="EC253" s="3" t="s">
        <v>3</v>
      </c>
      <c r="EE253" s="3">
        <v>55393699</v>
      </c>
      <c r="EF253" s="3">
        <v>40</v>
      </c>
      <c r="EG253" s="3" t="s">
        <v>26</v>
      </c>
      <c r="EH253" s="3">
        <v>0</v>
      </c>
      <c r="EI253" s="3" t="s">
        <v>3</v>
      </c>
      <c r="EJ253" s="3">
        <v>2</v>
      </c>
      <c r="EK253" s="3">
        <v>67</v>
      </c>
      <c r="EL253" s="3" t="s">
        <v>39</v>
      </c>
      <c r="EM253" s="3" t="s">
        <v>40</v>
      </c>
      <c r="EO253" s="3" t="s">
        <v>61</v>
      </c>
      <c r="EQ253" s="3">
        <v>0</v>
      </c>
      <c r="ER253" s="3">
        <v>12.83</v>
      </c>
      <c r="ES253" s="3">
        <v>12.83</v>
      </c>
      <c r="ET253" s="3">
        <v>0</v>
      </c>
      <c r="EU253" s="3">
        <v>0</v>
      </c>
      <c r="EV253" s="3">
        <v>0</v>
      </c>
      <c r="EW253" s="3">
        <v>0</v>
      </c>
      <c r="EX253" s="3">
        <v>0</v>
      </c>
      <c r="FQ253" s="3">
        <v>0</v>
      </c>
      <c r="FR253" s="3">
        <v>0</v>
      </c>
      <c r="FS253" s="3">
        <v>0</v>
      </c>
      <c r="FX253" s="3">
        <v>97</v>
      </c>
      <c r="FY253" s="3">
        <v>51</v>
      </c>
      <c r="GA253" s="3" t="s">
        <v>3</v>
      </c>
      <c r="GD253" s="3">
        <v>1</v>
      </c>
      <c r="GF253" s="3">
        <v>357884200</v>
      </c>
      <c r="GG253" s="3">
        <v>2</v>
      </c>
      <c r="GH253" s="3">
        <v>1</v>
      </c>
      <c r="GI253" s="3">
        <v>2</v>
      </c>
      <c r="GJ253" s="3">
        <v>0</v>
      </c>
      <c r="GK253" s="3">
        <v>0</v>
      </c>
      <c r="GL253" s="3">
        <f t="shared" si="226"/>
        <v>0</v>
      </c>
      <c r="GM253" s="3">
        <f t="shared" si="227"/>
        <v>484.99</v>
      </c>
      <c r="GN253" s="3">
        <f t="shared" si="228"/>
        <v>0</v>
      </c>
      <c r="GO253" s="3">
        <f t="shared" si="229"/>
        <v>484.99</v>
      </c>
      <c r="GP253" s="3">
        <f t="shared" si="230"/>
        <v>0</v>
      </c>
      <c r="GR253" s="3">
        <v>0</v>
      </c>
      <c r="GS253" s="3">
        <v>3</v>
      </c>
      <c r="GT253" s="3">
        <v>0</v>
      </c>
      <c r="GU253" s="3" t="s">
        <v>3</v>
      </c>
      <c r="GV253" s="3">
        <f t="shared" si="231"/>
        <v>0</v>
      </c>
      <c r="GW253" s="3">
        <v>1</v>
      </c>
      <c r="GX253" s="3">
        <f t="shared" si="232"/>
        <v>0</v>
      </c>
      <c r="HA253" s="3">
        <v>0</v>
      </c>
      <c r="HB253" s="3">
        <v>0</v>
      </c>
      <c r="HC253" s="3">
        <f t="shared" si="233"/>
        <v>0</v>
      </c>
      <c r="HE253" s="3" t="s">
        <v>3</v>
      </c>
      <c r="HF253" s="3" t="s">
        <v>3</v>
      </c>
      <c r="HM253" s="3" t="s">
        <v>3</v>
      </c>
      <c r="HN253" s="3" t="s">
        <v>3</v>
      </c>
      <c r="HO253" s="3" t="s">
        <v>3</v>
      </c>
      <c r="HP253" s="3" t="s">
        <v>3</v>
      </c>
      <c r="HQ253" s="3" t="s">
        <v>3</v>
      </c>
      <c r="HS253" s="3">
        <v>0</v>
      </c>
      <c r="IK253" s="3">
        <v>0</v>
      </c>
    </row>
    <row r="255" spans="1:255" x14ac:dyDescent="0.2">
      <c r="A255" s="11">
        <v>51</v>
      </c>
      <c r="B255" s="11">
        <f>B234</f>
        <v>1</v>
      </c>
      <c r="C255" s="11">
        <f>A234</f>
        <v>4</v>
      </c>
      <c r="D255" s="11">
        <f>ROW(A234)</f>
        <v>234</v>
      </c>
      <c r="E255" s="11"/>
      <c r="F255" s="11" t="str">
        <f>IF(F234&lt;&gt;"",F234,"")</f>
        <v>4</v>
      </c>
      <c r="G255" s="11" t="str">
        <f>IF(G234&lt;&gt;"",G234,"")</f>
        <v>Материалы</v>
      </c>
      <c r="H255" s="11">
        <v>0</v>
      </c>
      <c r="I255" s="11"/>
      <c r="J255" s="11"/>
      <c r="K255" s="11"/>
      <c r="L255" s="11"/>
      <c r="M255" s="11"/>
      <c r="N255" s="11"/>
      <c r="O255" s="11">
        <f t="shared" ref="O255:T255" si="248">ROUND(AB255,2)</f>
        <v>65801.23</v>
      </c>
      <c r="P255" s="11">
        <f t="shared" si="248"/>
        <v>63585.279999999999</v>
      </c>
      <c r="Q255" s="11">
        <f t="shared" si="248"/>
        <v>1339.99</v>
      </c>
      <c r="R255" s="11">
        <f t="shared" si="248"/>
        <v>568.91999999999996</v>
      </c>
      <c r="S255" s="11">
        <f t="shared" si="248"/>
        <v>875.96</v>
      </c>
      <c r="T255" s="11">
        <f t="shared" si="248"/>
        <v>0</v>
      </c>
      <c r="U255" s="11">
        <f>AH255</f>
        <v>71.099675999999988</v>
      </c>
      <c r="V255" s="11">
        <f>AI255</f>
        <v>0</v>
      </c>
      <c r="W255" s="11">
        <f>ROUND(AJ255,2)</f>
        <v>0</v>
      </c>
      <c r="X255" s="11">
        <f>ROUND(AK255,2)</f>
        <v>1401.53</v>
      </c>
      <c r="Y255" s="11">
        <f>ROUND(AL255,2)</f>
        <v>736.89</v>
      </c>
      <c r="Z255" s="11"/>
      <c r="AA255" s="11"/>
      <c r="AB255" s="11">
        <f>ROUND(SUMIF(AA238:AA253,"=55919547",O238:O253),2)</f>
        <v>65801.23</v>
      </c>
      <c r="AC255" s="11">
        <f>ROUND(SUMIF(AA238:AA253,"=55919547",P238:P253),2)</f>
        <v>63585.279999999999</v>
      </c>
      <c r="AD255" s="11">
        <f>ROUND(SUMIF(AA238:AA253,"=55919547",Q238:Q253),2)</f>
        <v>1339.99</v>
      </c>
      <c r="AE255" s="11">
        <f>ROUND(SUMIF(AA238:AA253,"=55919547",R238:R253),2)</f>
        <v>568.91999999999996</v>
      </c>
      <c r="AF255" s="11">
        <f>ROUND(SUMIF(AA238:AA253,"=55919547",S238:S253),2)</f>
        <v>875.96</v>
      </c>
      <c r="AG255" s="11">
        <f>ROUND(SUMIF(AA238:AA253,"=55919547",T238:T253),2)</f>
        <v>0</v>
      </c>
      <c r="AH255" s="11">
        <f>SUMIF(AA238:AA253,"=55919547",U238:U253)</f>
        <v>71.099675999999988</v>
      </c>
      <c r="AI255" s="11">
        <f>SUMIF(AA238:AA253,"=55919547",V238:V253)</f>
        <v>0</v>
      </c>
      <c r="AJ255" s="11">
        <f>ROUND(SUMIF(AA238:AA253,"=55919547",W238:W253),2)</f>
        <v>0</v>
      </c>
      <c r="AK255" s="11">
        <f>ROUND(SUMIF(AA238:AA253,"=55919547",X238:X253),2)</f>
        <v>1401.53</v>
      </c>
      <c r="AL255" s="11">
        <f>ROUND(SUMIF(AA238:AA253,"=55919547",Y238:Y253),2)</f>
        <v>736.89</v>
      </c>
      <c r="AM255" s="11"/>
      <c r="AN255" s="11"/>
      <c r="AO255" s="11">
        <f t="shared" ref="AO255:BD255" si="249">ROUND(BX255,2)</f>
        <v>0</v>
      </c>
      <c r="AP255" s="11">
        <f t="shared" si="249"/>
        <v>0</v>
      </c>
      <c r="AQ255" s="11">
        <f t="shared" si="249"/>
        <v>0</v>
      </c>
      <c r="AR255" s="11">
        <f t="shared" si="249"/>
        <v>67939.649999999994</v>
      </c>
      <c r="AS255" s="11">
        <f t="shared" si="249"/>
        <v>0</v>
      </c>
      <c r="AT255" s="11">
        <f t="shared" si="249"/>
        <v>67939.649999999994</v>
      </c>
      <c r="AU255" s="11">
        <f t="shared" si="249"/>
        <v>0</v>
      </c>
      <c r="AV255" s="11">
        <f t="shared" si="249"/>
        <v>63585.279999999999</v>
      </c>
      <c r="AW255" s="11">
        <f t="shared" si="249"/>
        <v>63585.279999999999</v>
      </c>
      <c r="AX255" s="11">
        <f t="shared" si="249"/>
        <v>0</v>
      </c>
      <c r="AY255" s="11">
        <f t="shared" si="249"/>
        <v>63585.279999999999</v>
      </c>
      <c r="AZ255" s="11">
        <f t="shared" si="249"/>
        <v>0</v>
      </c>
      <c r="BA255" s="11">
        <f t="shared" si="249"/>
        <v>0</v>
      </c>
      <c r="BB255" s="11">
        <f t="shared" si="249"/>
        <v>0</v>
      </c>
      <c r="BC255" s="11">
        <f t="shared" si="249"/>
        <v>0</v>
      </c>
      <c r="BD255" s="11">
        <f t="shared" si="249"/>
        <v>0</v>
      </c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>
        <f>ROUND(SUMIF(AA238:AA253,"=55919547",FQ238:FQ253),2)</f>
        <v>0</v>
      </c>
      <c r="BY255" s="11">
        <f>ROUND(SUMIF(AA238:AA253,"=55919547",FR238:FR253),2)</f>
        <v>0</v>
      </c>
      <c r="BZ255" s="11">
        <f>ROUND(SUMIF(AA238:AA253,"=55919547",GL238:GL253),2)</f>
        <v>0</v>
      </c>
      <c r="CA255" s="11">
        <f>ROUND(SUMIF(AA238:AA253,"=55919547",GM238:GM253),2)</f>
        <v>67939.649999999994</v>
      </c>
      <c r="CB255" s="11">
        <f>ROUND(SUMIF(AA238:AA253,"=55919547",GN238:GN253),2)</f>
        <v>0</v>
      </c>
      <c r="CC255" s="11">
        <f>ROUND(SUMIF(AA238:AA253,"=55919547",GO238:GO253),2)</f>
        <v>67939.649999999994</v>
      </c>
      <c r="CD255" s="11">
        <f>ROUND(SUMIF(AA238:AA253,"=55919547",GP238:GP253),2)</f>
        <v>0</v>
      </c>
      <c r="CE255" s="11">
        <f>AC255-BX255</f>
        <v>63585.279999999999</v>
      </c>
      <c r="CF255" s="11">
        <f>AC255-BY255</f>
        <v>63585.279999999999</v>
      </c>
      <c r="CG255" s="11">
        <f>BX255-BZ255</f>
        <v>0</v>
      </c>
      <c r="CH255" s="11">
        <f>AC255-BX255-BY255+BZ255</f>
        <v>63585.279999999999</v>
      </c>
      <c r="CI255" s="11">
        <f>BY255-BZ255</f>
        <v>0</v>
      </c>
      <c r="CJ255" s="11">
        <f>ROUND(SUMIF(AA238:AA253,"=55919547",GX238:GX253),2)</f>
        <v>0</v>
      </c>
      <c r="CK255" s="11">
        <f>ROUND(SUMIF(AA238:AA253,"=55919547",GY238:GY253),2)</f>
        <v>0</v>
      </c>
      <c r="CL255" s="11">
        <f>ROUND(SUMIF(AA238:AA253,"=55919547",GZ238:GZ253),2)</f>
        <v>0</v>
      </c>
      <c r="CM255" s="11">
        <f>ROUND(SUMIF(AA238:AA253,"=55919547",HD238:HD253),2)</f>
        <v>0</v>
      </c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2">
        <f t="shared" ref="DG255:DL255" si="250">ROUND(DT255,2)</f>
        <v>224652.59</v>
      </c>
      <c r="DH255" s="12">
        <f t="shared" si="250"/>
        <v>133977.94</v>
      </c>
      <c r="DI255" s="12">
        <f t="shared" si="250"/>
        <v>41314.300000000003</v>
      </c>
      <c r="DJ255" s="12">
        <f t="shared" si="250"/>
        <v>32058.639999999999</v>
      </c>
      <c r="DK255" s="12">
        <f t="shared" si="250"/>
        <v>49360.35</v>
      </c>
      <c r="DL255" s="12">
        <f t="shared" si="250"/>
        <v>0</v>
      </c>
      <c r="DM255" s="12">
        <f>DZ255</f>
        <v>71.099675999999988</v>
      </c>
      <c r="DN255" s="12">
        <f>EA255</f>
        <v>0</v>
      </c>
      <c r="DO255" s="12">
        <f>ROUND(EB255,2)</f>
        <v>0</v>
      </c>
      <c r="DP255" s="12">
        <f>ROUND(EC255,2)</f>
        <v>78976.42</v>
      </c>
      <c r="DQ255" s="12">
        <f>ROUND(ED255,2)</f>
        <v>41523.68</v>
      </c>
      <c r="DR255" s="12"/>
      <c r="DS255" s="12"/>
      <c r="DT255" s="12">
        <f>ROUND(SUMIF(AA238:AA253,"=55919549",O238:O253),2)</f>
        <v>224652.59</v>
      </c>
      <c r="DU255" s="12">
        <f>ROUND(SUMIF(AA238:AA253,"=55919549",P238:P253),2)</f>
        <v>133977.94</v>
      </c>
      <c r="DV255" s="12">
        <f>ROUND(SUMIF(AA238:AA253,"=55919549",Q238:Q253),2)</f>
        <v>41314.300000000003</v>
      </c>
      <c r="DW255" s="12">
        <f>ROUND(SUMIF(AA238:AA253,"=55919549",R238:R253),2)</f>
        <v>32058.639999999999</v>
      </c>
      <c r="DX255" s="12">
        <f>ROUND(SUMIF(AA238:AA253,"=55919549",S238:S253),2)</f>
        <v>49360.35</v>
      </c>
      <c r="DY255" s="12">
        <f>ROUND(SUMIF(AA238:AA253,"=55919549",T238:T253),2)</f>
        <v>0</v>
      </c>
      <c r="DZ255" s="12">
        <f>SUMIF(AA238:AA253,"=55919549",U238:U253)</f>
        <v>71.099675999999988</v>
      </c>
      <c r="EA255" s="12">
        <f>SUMIF(AA238:AA253,"=55919549",V238:V253)</f>
        <v>0</v>
      </c>
      <c r="EB255" s="12">
        <f>ROUND(SUMIF(AA238:AA253,"=55919549",W238:W253),2)</f>
        <v>0</v>
      </c>
      <c r="EC255" s="12">
        <f>ROUND(SUMIF(AA238:AA253,"=55919549",X238:X253),2)</f>
        <v>78976.42</v>
      </c>
      <c r="ED255" s="12">
        <f>ROUND(SUMIF(AA238:AA253,"=55919549",Y238:Y253),2)</f>
        <v>41523.68</v>
      </c>
      <c r="EE255" s="12"/>
      <c r="EF255" s="12"/>
      <c r="EG255" s="12">
        <f t="shared" ref="EG255:EV255" si="251">ROUND(FP255,2)</f>
        <v>0</v>
      </c>
      <c r="EH255" s="12">
        <f t="shared" si="251"/>
        <v>0</v>
      </c>
      <c r="EI255" s="12">
        <f t="shared" si="251"/>
        <v>0</v>
      </c>
      <c r="EJ255" s="12">
        <f t="shared" si="251"/>
        <v>345152.69</v>
      </c>
      <c r="EK255" s="12">
        <f t="shared" si="251"/>
        <v>0</v>
      </c>
      <c r="EL255" s="12">
        <f t="shared" si="251"/>
        <v>345152.69</v>
      </c>
      <c r="EM255" s="12">
        <f t="shared" si="251"/>
        <v>0</v>
      </c>
      <c r="EN255" s="12">
        <f t="shared" si="251"/>
        <v>133977.94</v>
      </c>
      <c r="EO255" s="12">
        <f t="shared" si="251"/>
        <v>133977.94</v>
      </c>
      <c r="EP255" s="12">
        <f t="shared" si="251"/>
        <v>0</v>
      </c>
      <c r="EQ255" s="12">
        <f t="shared" si="251"/>
        <v>133977.94</v>
      </c>
      <c r="ER255" s="12">
        <f t="shared" si="251"/>
        <v>0</v>
      </c>
      <c r="ES255" s="12">
        <f t="shared" si="251"/>
        <v>0</v>
      </c>
      <c r="ET255" s="12">
        <f t="shared" si="251"/>
        <v>0</v>
      </c>
      <c r="EU255" s="12">
        <f t="shared" si="251"/>
        <v>0</v>
      </c>
      <c r="EV255" s="12">
        <f t="shared" si="251"/>
        <v>0</v>
      </c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>
        <f>ROUND(SUMIF(AA238:AA253,"=55919549",FQ238:FQ253),2)</f>
        <v>0</v>
      </c>
      <c r="FQ255" s="12">
        <f>ROUND(SUMIF(AA238:AA253,"=55919549",FR238:FR253),2)</f>
        <v>0</v>
      </c>
      <c r="FR255" s="12">
        <f>ROUND(SUMIF(AA238:AA253,"=55919549",GL238:GL253),2)</f>
        <v>0</v>
      </c>
      <c r="FS255" s="12">
        <f>ROUND(SUMIF(AA238:AA253,"=55919549",GM238:GM253),2)</f>
        <v>345152.69</v>
      </c>
      <c r="FT255" s="12">
        <f>ROUND(SUMIF(AA238:AA253,"=55919549",GN238:GN253),2)</f>
        <v>0</v>
      </c>
      <c r="FU255" s="12">
        <f>ROUND(SUMIF(AA238:AA253,"=55919549",GO238:GO253),2)</f>
        <v>345152.69</v>
      </c>
      <c r="FV255" s="12">
        <f>ROUND(SUMIF(AA238:AA253,"=55919549",GP238:GP253),2)</f>
        <v>0</v>
      </c>
      <c r="FW255" s="12">
        <f>DU255-FP255</f>
        <v>133977.94</v>
      </c>
      <c r="FX255" s="12">
        <f>DU255-FQ255</f>
        <v>133977.94</v>
      </c>
      <c r="FY255" s="12">
        <f>FP255-FR255</f>
        <v>0</v>
      </c>
      <c r="FZ255" s="12">
        <f>DU255-FP255-FQ255+FR255</f>
        <v>133977.94</v>
      </c>
      <c r="GA255" s="12">
        <f>FQ255-FR255</f>
        <v>0</v>
      </c>
      <c r="GB255" s="12">
        <f>ROUND(SUMIF(AA238:AA253,"=55919549",GX238:GX253),2)</f>
        <v>0</v>
      </c>
      <c r="GC255" s="12">
        <f>ROUND(SUMIF(AA238:AA253,"=55919549",GY238:GY253),2)</f>
        <v>0</v>
      </c>
      <c r="GD255" s="12">
        <f>ROUND(SUMIF(AA238:AA253,"=55919549",GZ238:GZ253),2)</f>
        <v>0</v>
      </c>
      <c r="GE255" s="12">
        <f>ROUND(SUMIF(AA238:AA253,"=55919549",HD238:HD253),2)</f>
        <v>0</v>
      </c>
      <c r="GF255" s="12"/>
      <c r="GG255" s="12"/>
      <c r="GH255" s="12"/>
      <c r="GI255" s="12"/>
      <c r="GJ255" s="12"/>
      <c r="GK255" s="12"/>
      <c r="GL255" s="12"/>
      <c r="GM255" s="12"/>
      <c r="GN255" s="12"/>
      <c r="GO255" s="12"/>
      <c r="GP255" s="12"/>
      <c r="GQ255" s="12"/>
      <c r="GR255" s="12"/>
      <c r="GS255" s="12"/>
      <c r="GT255" s="12"/>
      <c r="GU255" s="12"/>
      <c r="GV255" s="12"/>
      <c r="GW255" s="12"/>
      <c r="GX255" s="12">
        <v>0</v>
      </c>
    </row>
    <row r="257" spans="1:28" x14ac:dyDescent="0.2">
      <c r="A257" s="13">
        <v>50</v>
      </c>
      <c r="B257" s="13">
        <v>0</v>
      </c>
      <c r="C257" s="13">
        <v>0</v>
      </c>
      <c r="D257" s="13">
        <v>1</v>
      </c>
      <c r="E257" s="13">
        <v>201</v>
      </c>
      <c r="F257" s="13">
        <f>ROUND(Source!O255,O257)</f>
        <v>65801.23</v>
      </c>
      <c r="G257" s="13" t="s">
        <v>75</v>
      </c>
      <c r="H257" s="13" t="s">
        <v>76</v>
      </c>
      <c r="I257" s="13"/>
      <c r="J257" s="13"/>
      <c r="K257" s="13">
        <v>201</v>
      </c>
      <c r="L257" s="13">
        <v>1</v>
      </c>
      <c r="M257" s="13">
        <v>3</v>
      </c>
      <c r="N257" s="13" t="s">
        <v>3</v>
      </c>
      <c r="O257" s="13">
        <v>2</v>
      </c>
      <c r="P257" s="13">
        <f>ROUND(Source!DG255,O257)</f>
        <v>224652.59</v>
      </c>
      <c r="Q257" s="13"/>
      <c r="R257" s="13"/>
      <c r="S257" s="13"/>
      <c r="T257" s="13"/>
      <c r="U257" s="13"/>
      <c r="V257" s="13"/>
      <c r="W257" s="13">
        <v>65801.23</v>
      </c>
      <c r="X257" s="13">
        <v>1</v>
      </c>
      <c r="Y257" s="13">
        <v>65801.23</v>
      </c>
      <c r="Z257" s="13">
        <v>224652.59</v>
      </c>
      <c r="AA257" s="13">
        <v>1</v>
      </c>
      <c r="AB257" s="13">
        <v>224652.59</v>
      </c>
    </row>
    <row r="258" spans="1:28" x14ac:dyDescent="0.2">
      <c r="A258" s="13">
        <v>50</v>
      </c>
      <c r="B258" s="13">
        <v>0</v>
      </c>
      <c r="C258" s="13">
        <v>0</v>
      </c>
      <c r="D258" s="13">
        <v>1</v>
      </c>
      <c r="E258" s="13">
        <v>202</v>
      </c>
      <c r="F258" s="13">
        <f>ROUND(Source!P255,O258)</f>
        <v>63585.279999999999</v>
      </c>
      <c r="G258" s="13" t="s">
        <v>77</v>
      </c>
      <c r="H258" s="13" t="s">
        <v>78</v>
      </c>
      <c r="I258" s="13"/>
      <c r="J258" s="13"/>
      <c r="K258" s="13">
        <v>202</v>
      </c>
      <c r="L258" s="13">
        <v>2</v>
      </c>
      <c r="M258" s="13">
        <v>3</v>
      </c>
      <c r="N258" s="13" t="s">
        <v>3</v>
      </c>
      <c r="O258" s="13">
        <v>2</v>
      </c>
      <c r="P258" s="13">
        <f>ROUND(Source!DH255,O258)</f>
        <v>133977.94</v>
      </c>
      <c r="Q258" s="13"/>
      <c r="R258" s="13"/>
      <c r="S258" s="13"/>
      <c r="T258" s="13"/>
      <c r="U258" s="13"/>
      <c r="V258" s="13"/>
      <c r="W258" s="13">
        <v>63585.279999999999</v>
      </c>
      <c r="X258" s="13">
        <v>1</v>
      </c>
      <c r="Y258" s="13">
        <v>63585.279999999999</v>
      </c>
      <c r="Z258" s="13">
        <v>133977.94</v>
      </c>
      <c r="AA258" s="13">
        <v>1</v>
      </c>
      <c r="AB258" s="13">
        <v>133977.94</v>
      </c>
    </row>
    <row r="259" spans="1:28" x14ac:dyDescent="0.2">
      <c r="A259" s="13">
        <v>50</v>
      </c>
      <c r="B259" s="13">
        <v>0</v>
      </c>
      <c r="C259" s="13">
        <v>0</v>
      </c>
      <c r="D259" s="13">
        <v>1</v>
      </c>
      <c r="E259" s="13">
        <v>222</v>
      </c>
      <c r="F259" s="13">
        <f>ROUND(Source!AO255,O259)</f>
        <v>0</v>
      </c>
      <c r="G259" s="13" t="s">
        <v>79</v>
      </c>
      <c r="H259" s="13" t="s">
        <v>80</v>
      </c>
      <c r="I259" s="13"/>
      <c r="J259" s="13"/>
      <c r="K259" s="13">
        <v>222</v>
      </c>
      <c r="L259" s="13">
        <v>3</v>
      </c>
      <c r="M259" s="13">
        <v>3</v>
      </c>
      <c r="N259" s="13" t="s">
        <v>3</v>
      </c>
      <c r="O259" s="13">
        <v>2</v>
      </c>
      <c r="P259" s="13">
        <f>ROUND(Source!EG255,O259)</f>
        <v>0</v>
      </c>
      <c r="Q259" s="13"/>
      <c r="R259" s="13"/>
      <c r="S259" s="13"/>
      <c r="T259" s="13"/>
      <c r="U259" s="13"/>
      <c r="V259" s="13"/>
      <c r="W259" s="13">
        <v>0</v>
      </c>
      <c r="X259" s="13">
        <v>1</v>
      </c>
      <c r="Y259" s="13">
        <v>0</v>
      </c>
      <c r="Z259" s="13">
        <v>0</v>
      </c>
      <c r="AA259" s="13">
        <v>1</v>
      </c>
      <c r="AB259" s="13">
        <v>0</v>
      </c>
    </row>
    <row r="260" spans="1:28" x14ac:dyDescent="0.2">
      <c r="A260" s="13">
        <v>50</v>
      </c>
      <c r="B260" s="13">
        <v>0</v>
      </c>
      <c r="C260" s="13">
        <v>0</v>
      </c>
      <c r="D260" s="13">
        <v>1</v>
      </c>
      <c r="E260" s="13">
        <v>225</v>
      </c>
      <c r="F260" s="13">
        <f>ROUND(Source!AV255,O260)</f>
        <v>63585.279999999999</v>
      </c>
      <c r="G260" s="13" t="s">
        <v>81</v>
      </c>
      <c r="H260" s="13" t="s">
        <v>82</v>
      </c>
      <c r="I260" s="13"/>
      <c r="J260" s="13"/>
      <c r="K260" s="13">
        <v>225</v>
      </c>
      <c r="L260" s="13">
        <v>4</v>
      </c>
      <c r="M260" s="13">
        <v>3</v>
      </c>
      <c r="N260" s="13" t="s">
        <v>3</v>
      </c>
      <c r="O260" s="13">
        <v>2</v>
      </c>
      <c r="P260" s="13">
        <f>ROUND(Source!EN255,O260)</f>
        <v>133977.94</v>
      </c>
      <c r="Q260" s="13"/>
      <c r="R260" s="13"/>
      <c r="S260" s="13"/>
      <c r="T260" s="13"/>
      <c r="U260" s="13"/>
      <c r="V260" s="13"/>
      <c r="W260" s="13">
        <v>63585.279999999999</v>
      </c>
      <c r="X260" s="13">
        <v>1</v>
      </c>
      <c r="Y260" s="13">
        <v>63585.279999999999</v>
      </c>
      <c r="Z260" s="13">
        <v>133977.94</v>
      </c>
      <c r="AA260" s="13">
        <v>1</v>
      </c>
      <c r="AB260" s="13">
        <v>133977.94</v>
      </c>
    </row>
    <row r="261" spans="1:28" x14ac:dyDescent="0.2">
      <c r="A261" s="13">
        <v>50</v>
      </c>
      <c r="B261" s="13">
        <v>0</v>
      </c>
      <c r="C261" s="13">
        <v>0</v>
      </c>
      <c r="D261" s="13">
        <v>1</v>
      </c>
      <c r="E261" s="13">
        <v>226</v>
      </c>
      <c r="F261" s="13">
        <f>ROUND(Source!AW255,O261)</f>
        <v>63585.279999999999</v>
      </c>
      <c r="G261" s="13" t="s">
        <v>83</v>
      </c>
      <c r="H261" s="13" t="s">
        <v>84</v>
      </c>
      <c r="I261" s="13"/>
      <c r="J261" s="13"/>
      <c r="K261" s="13">
        <v>226</v>
      </c>
      <c r="L261" s="13">
        <v>5</v>
      </c>
      <c r="M261" s="13">
        <v>3</v>
      </c>
      <c r="N261" s="13" t="s">
        <v>3</v>
      </c>
      <c r="O261" s="13">
        <v>2</v>
      </c>
      <c r="P261" s="13">
        <f>ROUND(Source!EO255,O261)</f>
        <v>133977.94</v>
      </c>
      <c r="Q261" s="13"/>
      <c r="R261" s="13"/>
      <c r="S261" s="13"/>
      <c r="T261" s="13"/>
      <c r="U261" s="13"/>
      <c r="V261" s="13"/>
      <c r="W261" s="13">
        <v>63585.279999999999</v>
      </c>
      <c r="X261" s="13">
        <v>1</v>
      </c>
      <c r="Y261" s="13">
        <v>63585.279999999999</v>
      </c>
      <c r="Z261" s="13">
        <v>133977.94</v>
      </c>
      <c r="AA261" s="13">
        <v>1</v>
      </c>
      <c r="AB261" s="13">
        <v>133977.94</v>
      </c>
    </row>
    <row r="262" spans="1:28" x14ac:dyDescent="0.2">
      <c r="A262" s="13">
        <v>50</v>
      </c>
      <c r="B262" s="13">
        <v>0</v>
      </c>
      <c r="C262" s="13">
        <v>0</v>
      </c>
      <c r="D262" s="13">
        <v>1</v>
      </c>
      <c r="E262" s="13">
        <v>227</v>
      </c>
      <c r="F262" s="13">
        <f>ROUND(Source!AX255,O262)</f>
        <v>0</v>
      </c>
      <c r="G262" s="13" t="s">
        <v>85</v>
      </c>
      <c r="H262" s="13" t="s">
        <v>86</v>
      </c>
      <c r="I262" s="13"/>
      <c r="J262" s="13"/>
      <c r="K262" s="13">
        <v>227</v>
      </c>
      <c r="L262" s="13">
        <v>6</v>
      </c>
      <c r="M262" s="13">
        <v>3</v>
      </c>
      <c r="N262" s="13" t="s">
        <v>3</v>
      </c>
      <c r="O262" s="13">
        <v>2</v>
      </c>
      <c r="P262" s="13">
        <f>ROUND(Source!EP255,O262)</f>
        <v>0</v>
      </c>
      <c r="Q262" s="13"/>
      <c r="R262" s="13"/>
      <c r="S262" s="13"/>
      <c r="T262" s="13"/>
      <c r="U262" s="13"/>
      <c r="V262" s="13"/>
      <c r="W262" s="13">
        <v>0</v>
      </c>
      <c r="X262" s="13">
        <v>1</v>
      </c>
      <c r="Y262" s="13">
        <v>0</v>
      </c>
      <c r="Z262" s="13">
        <v>0</v>
      </c>
      <c r="AA262" s="13">
        <v>1</v>
      </c>
      <c r="AB262" s="13">
        <v>0</v>
      </c>
    </row>
    <row r="263" spans="1:28" x14ac:dyDescent="0.2">
      <c r="A263" s="13">
        <v>50</v>
      </c>
      <c r="B263" s="13">
        <v>0</v>
      </c>
      <c r="C263" s="13">
        <v>0</v>
      </c>
      <c r="D263" s="13">
        <v>1</v>
      </c>
      <c r="E263" s="13">
        <v>228</v>
      </c>
      <c r="F263" s="13">
        <f>ROUND(Source!AY255,O263)</f>
        <v>63585.279999999999</v>
      </c>
      <c r="G263" s="13" t="s">
        <v>87</v>
      </c>
      <c r="H263" s="13" t="s">
        <v>88</v>
      </c>
      <c r="I263" s="13"/>
      <c r="J263" s="13"/>
      <c r="K263" s="13">
        <v>228</v>
      </c>
      <c r="L263" s="13">
        <v>7</v>
      </c>
      <c r="M263" s="13">
        <v>3</v>
      </c>
      <c r="N263" s="13" t="s">
        <v>3</v>
      </c>
      <c r="O263" s="13">
        <v>2</v>
      </c>
      <c r="P263" s="13">
        <f>ROUND(Source!EQ255,O263)</f>
        <v>133977.94</v>
      </c>
      <c r="Q263" s="13"/>
      <c r="R263" s="13"/>
      <c r="S263" s="13"/>
      <c r="T263" s="13"/>
      <c r="U263" s="13"/>
      <c r="V263" s="13"/>
      <c r="W263" s="13">
        <v>63585.279999999999</v>
      </c>
      <c r="X263" s="13">
        <v>1</v>
      </c>
      <c r="Y263" s="13">
        <v>63585.279999999999</v>
      </c>
      <c r="Z263" s="13">
        <v>133977.94</v>
      </c>
      <c r="AA263" s="13">
        <v>1</v>
      </c>
      <c r="AB263" s="13">
        <v>133977.94</v>
      </c>
    </row>
    <row r="264" spans="1:28" x14ac:dyDescent="0.2">
      <c r="A264" s="13">
        <v>50</v>
      </c>
      <c r="B264" s="13">
        <v>0</v>
      </c>
      <c r="C264" s="13">
        <v>0</v>
      </c>
      <c r="D264" s="13">
        <v>1</v>
      </c>
      <c r="E264" s="13">
        <v>216</v>
      </c>
      <c r="F264" s="13">
        <f>ROUND(Source!AP255,O264)</f>
        <v>0</v>
      </c>
      <c r="G264" s="13" t="s">
        <v>89</v>
      </c>
      <c r="H264" s="13" t="s">
        <v>90</v>
      </c>
      <c r="I264" s="13"/>
      <c r="J264" s="13"/>
      <c r="K264" s="13">
        <v>216</v>
      </c>
      <c r="L264" s="13">
        <v>8</v>
      </c>
      <c r="M264" s="13">
        <v>3</v>
      </c>
      <c r="N264" s="13" t="s">
        <v>3</v>
      </c>
      <c r="O264" s="13">
        <v>2</v>
      </c>
      <c r="P264" s="13">
        <f>ROUND(Source!EH255,O264)</f>
        <v>0</v>
      </c>
      <c r="Q264" s="13"/>
      <c r="R264" s="13"/>
      <c r="S264" s="13"/>
      <c r="T264" s="13"/>
      <c r="U264" s="13"/>
      <c r="V264" s="13"/>
      <c r="W264" s="13">
        <v>0</v>
      </c>
      <c r="X264" s="13">
        <v>1</v>
      </c>
      <c r="Y264" s="13">
        <v>0</v>
      </c>
      <c r="Z264" s="13">
        <v>0</v>
      </c>
      <c r="AA264" s="13">
        <v>1</v>
      </c>
      <c r="AB264" s="13">
        <v>0</v>
      </c>
    </row>
    <row r="265" spans="1:28" x14ac:dyDescent="0.2">
      <c r="A265" s="13">
        <v>50</v>
      </c>
      <c r="B265" s="13">
        <v>0</v>
      </c>
      <c r="C265" s="13">
        <v>0</v>
      </c>
      <c r="D265" s="13">
        <v>1</v>
      </c>
      <c r="E265" s="13">
        <v>223</v>
      </c>
      <c r="F265" s="13">
        <f>ROUND(Source!AQ255,O265)</f>
        <v>0</v>
      </c>
      <c r="G265" s="13" t="s">
        <v>91</v>
      </c>
      <c r="H265" s="13" t="s">
        <v>92</v>
      </c>
      <c r="I265" s="13"/>
      <c r="J265" s="13"/>
      <c r="K265" s="13">
        <v>223</v>
      </c>
      <c r="L265" s="13">
        <v>9</v>
      </c>
      <c r="M265" s="13">
        <v>3</v>
      </c>
      <c r="N265" s="13" t="s">
        <v>3</v>
      </c>
      <c r="O265" s="13">
        <v>2</v>
      </c>
      <c r="P265" s="13">
        <f>ROUND(Source!EI255,O265)</f>
        <v>0</v>
      </c>
      <c r="Q265" s="13"/>
      <c r="R265" s="13"/>
      <c r="S265" s="13"/>
      <c r="T265" s="13"/>
      <c r="U265" s="13"/>
      <c r="V265" s="13"/>
      <c r="W265" s="13">
        <v>0</v>
      </c>
      <c r="X265" s="13">
        <v>1</v>
      </c>
      <c r="Y265" s="13">
        <v>0</v>
      </c>
      <c r="Z265" s="13">
        <v>0</v>
      </c>
      <c r="AA265" s="13">
        <v>1</v>
      </c>
      <c r="AB265" s="13">
        <v>0</v>
      </c>
    </row>
    <row r="266" spans="1:28" x14ac:dyDescent="0.2">
      <c r="A266" s="13">
        <v>50</v>
      </c>
      <c r="B266" s="13">
        <v>0</v>
      </c>
      <c r="C266" s="13">
        <v>0</v>
      </c>
      <c r="D266" s="13">
        <v>1</v>
      </c>
      <c r="E266" s="13">
        <v>229</v>
      </c>
      <c r="F266" s="13">
        <f>ROUND(Source!AZ255,O266)</f>
        <v>0</v>
      </c>
      <c r="G266" s="13" t="s">
        <v>93</v>
      </c>
      <c r="H266" s="13" t="s">
        <v>94</v>
      </c>
      <c r="I266" s="13"/>
      <c r="J266" s="13"/>
      <c r="K266" s="13">
        <v>229</v>
      </c>
      <c r="L266" s="13">
        <v>10</v>
      </c>
      <c r="M266" s="13">
        <v>3</v>
      </c>
      <c r="N266" s="13" t="s">
        <v>3</v>
      </c>
      <c r="O266" s="13">
        <v>2</v>
      </c>
      <c r="P266" s="13">
        <f>ROUND(Source!ER255,O266)</f>
        <v>0</v>
      </c>
      <c r="Q266" s="13"/>
      <c r="R266" s="13"/>
      <c r="S266" s="13"/>
      <c r="T266" s="13"/>
      <c r="U266" s="13"/>
      <c r="V266" s="13"/>
      <c r="W266" s="13">
        <v>0</v>
      </c>
      <c r="X266" s="13">
        <v>1</v>
      </c>
      <c r="Y266" s="13">
        <v>0</v>
      </c>
      <c r="Z266" s="13">
        <v>0</v>
      </c>
      <c r="AA266" s="13">
        <v>1</v>
      </c>
      <c r="AB266" s="13">
        <v>0</v>
      </c>
    </row>
    <row r="267" spans="1:28" x14ac:dyDescent="0.2">
      <c r="A267" s="13">
        <v>50</v>
      </c>
      <c r="B267" s="13">
        <v>0</v>
      </c>
      <c r="C267" s="13">
        <v>0</v>
      </c>
      <c r="D267" s="13">
        <v>1</v>
      </c>
      <c r="E267" s="13">
        <v>203</v>
      </c>
      <c r="F267" s="13">
        <f>ROUND(Source!Q255,O267)</f>
        <v>1339.99</v>
      </c>
      <c r="G267" s="13" t="s">
        <v>95</v>
      </c>
      <c r="H267" s="13" t="s">
        <v>96</v>
      </c>
      <c r="I267" s="13"/>
      <c r="J267" s="13"/>
      <c r="K267" s="13">
        <v>203</v>
      </c>
      <c r="L267" s="13">
        <v>11</v>
      </c>
      <c r="M267" s="13">
        <v>3</v>
      </c>
      <c r="N267" s="13" t="s">
        <v>3</v>
      </c>
      <c r="O267" s="13">
        <v>2</v>
      </c>
      <c r="P267" s="13">
        <f>ROUND(Source!DI255,O267)</f>
        <v>41314.300000000003</v>
      </c>
      <c r="Q267" s="13"/>
      <c r="R267" s="13"/>
      <c r="S267" s="13"/>
      <c r="T267" s="13"/>
      <c r="U267" s="13"/>
      <c r="V267" s="13"/>
      <c r="W267" s="13">
        <v>1339.99</v>
      </c>
      <c r="X267" s="13">
        <v>1</v>
      </c>
      <c r="Y267" s="13">
        <v>1339.99</v>
      </c>
      <c r="Z267" s="13">
        <v>41314.300000000003</v>
      </c>
      <c r="AA267" s="13">
        <v>1</v>
      </c>
      <c r="AB267" s="13">
        <v>41314.300000000003</v>
      </c>
    </row>
    <row r="268" spans="1:28" x14ac:dyDescent="0.2">
      <c r="A268" s="13">
        <v>50</v>
      </c>
      <c r="B268" s="13">
        <v>0</v>
      </c>
      <c r="C268" s="13">
        <v>0</v>
      </c>
      <c r="D268" s="13">
        <v>1</v>
      </c>
      <c r="E268" s="13">
        <v>231</v>
      </c>
      <c r="F268" s="13">
        <f>ROUND(Source!BB255,O268)</f>
        <v>0</v>
      </c>
      <c r="G268" s="13" t="s">
        <v>97</v>
      </c>
      <c r="H268" s="13" t="s">
        <v>98</v>
      </c>
      <c r="I268" s="13"/>
      <c r="J268" s="13"/>
      <c r="K268" s="13">
        <v>231</v>
      </c>
      <c r="L268" s="13">
        <v>12</v>
      </c>
      <c r="M268" s="13">
        <v>3</v>
      </c>
      <c r="N268" s="13" t="s">
        <v>3</v>
      </c>
      <c r="O268" s="13">
        <v>2</v>
      </c>
      <c r="P268" s="13">
        <f>ROUND(Source!ET255,O268)</f>
        <v>0</v>
      </c>
      <c r="Q268" s="13"/>
      <c r="R268" s="13"/>
      <c r="S268" s="13"/>
      <c r="T268" s="13"/>
      <c r="U268" s="13"/>
      <c r="V268" s="13"/>
      <c r="W268" s="13">
        <v>0</v>
      </c>
      <c r="X268" s="13">
        <v>1</v>
      </c>
      <c r="Y268" s="13">
        <v>0</v>
      </c>
      <c r="Z268" s="13">
        <v>0</v>
      </c>
      <c r="AA268" s="13">
        <v>1</v>
      </c>
      <c r="AB268" s="13">
        <v>0</v>
      </c>
    </row>
    <row r="269" spans="1:28" x14ac:dyDescent="0.2">
      <c r="A269" s="13">
        <v>50</v>
      </c>
      <c r="B269" s="13">
        <v>0</v>
      </c>
      <c r="C269" s="13">
        <v>0</v>
      </c>
      <c r="D269" s="13">
        <v>1</v>
      </c>
      <c r="E269" s="13">
        <v>204</v>
      </c>
      <c r="F269" s="13">
        <f>ROUND(Source!R255,O269)</f>
        <v>568.91999999999996</v>
      </c>
      <c r="G269" s="13" t="s">
        <v>99</v>
      </c>
      <c r="H269" s="13" t="s">
        <v>100</v>
      </c>
      <c r="I269" s="13"/>
      <c r="J269" s="13"/>
      <c r="K269" s="13">
        <v>204</v>
      </c>
      <c r="L269" s="13">
        <v>13</v>
      </c>
      <c r="M269" s="13">
        <v>3</v>
      </c>
      <c r="N269" s="13" t="s">
        <v>3</v>
      </c>
      <c r="O269" s="13">
        <v>2</v>
      </c>
      <c r="P269" s="13">
        <f>ROUND(Source!DJ255,O269)</f>
        <v>32058.639999999999</v>
      </c>
      <c r="Q269" s="13"/>
      <c r="R269" s="13"/>
      <c r="S269" s="13"/>
      <c r="T269" s="13"/>
      <c r="U269" s="13"/>
      <c r="V269" s="13"/>
      <c r="W269" s="13">
        <v>568.91999999999996</v>
      </c>
      <c r="X269" s="13">
        <v>1</v>
      </c>
      <c r="Y269" s="13">
        <v>568.91999999999996</v>
      </c>
      <c r="Z269" s="13">
        <v>32058.639999999999</v>
      </c>
      <c r="AA269" s="13">
        <v>1</v>
      </c>
      <c r="AB269" s="13">
        <v>32058.639999999999</v>
      </c>
    </row>
    <row r="270" spans="1:28" x14ac:dyDescent="0.2">
      <c r="A270" s="13">
        <v>50</v>
      </c>
      <c r="B270" s="13">
        <v>0</v>
      </c>
      <c r="C270" s="13">
        <v>0</v>
      </c>
      <c r="D270" s="13">
        <v>1</v>
      </c>
      <c r="E270" s="13">
        <v>205</v>
      </c>
      <c r="F270" s="13">
        <f>ROUND(Source!S255,O270)</f>
        <v>875.96</v>
      </c>
      <c r="G270" s="13" t="s">
        <v>101</v>
      </c>
      <c r="H270" s="13" t="s">
        <v>102</v>
      </c>
      <c r="I270" s="13"/>
      <c r="J270" s="13"/>
      <c r="K270" s="13">
        <v>205</v>
      </c>
      <c r="L270" s="13">
        <v>14</v>
      </c>
      <c r="M270" s="13">
        <v>3</v>
      </c>
      <c r="N270" s="13" t="s">
        <v>3</v>
      </c>
      <c r="O270" s="13">
        <v>2</v>
      </c>
      <c r="P270" s="13">
        <f>ROUND(Source!DK255,O270)</f>
        <v>49360.35</v>
      </c>
      <c r="Q270" s="13"/>
      <c r="R270" s="13"/>
      <c r="S270" s="13"/>
      <c r="T270" s="13"/>
      <c r="U270" s="13"/>
      <c r="V270" s="13"/>
      <c r="W270" s="13">
        <v>875.96</v>
      </c>
      <c r="X270" s="13">
        <v>1</v>
      </c>
      <c r="Y270" s="13">
        <v>875.96</v>
      </c>
      <c r="Z270" s="13">
        <v>49360.35</v>
      </c>
      <c r="AA270" s="13">
        <v>1</v>
      </c>
      <c r="AB270" s="13">
        <v>49360.35</v>
      </c>
    </row>
    <row r="271" spans="1:28" x14ac:dyDescent="0.2">
      <c r="A271" s="13">
        <v>50</v>
      </c>
      <c r="B271" s="13">
        <v>0</v>
      </c>
      <c r="C271" s="13">
        <v>0</v>
      </c>
      <c r="D271" s="13">
        <v>1</v>
      </c>
      <c r="E271" s="13">
        <v>232</v>
      </c>
      <c r="F271" s="13">
        <f>ROUND(Source!BC255,O271)</f>
        <v>0</v>
      </c>
      <c r="G271" s="13" t="s">
        <v>103</v>
      </c>
      <c r="H271" s="13" t="s">
        <v>104</v>
      </c>
      <c r="I271" s="13"/>
      <c r="J271" s="13"/>
      <c r="K271" s="13">
        <v>232</v>
      </c>
      <c r="L271" s="13">
        <v>15</v>
      </c>
      <c r="M271" s="13">
        <v>3</v>
      </c>
      <c r="N271" s="13" t="s">
        <v>3</v>
      </c>
      <c r="O271" s="13">
        <v>2</v>
      </c>
      <c r="P271" s="13">
        <f>ROUND(Source!EU255,O271)</f>
        <v>0</v>
      </c>
      <c r="Q271" s="13"/>
      <c r="R271" s="13"/>
      <c r="S271" s="13"/>
      <c r="T271" s="13"/>
      <c r="U271" s="13"/>
      <c r="V271" s="13"/>
      <c r="W271" s="13">
        <v>0</v>
      </c>
      <c r="X271" s="13">
        <v>1</v>
      </c>
      <c r="Y271" s="13">
        <v>0</v>
      </c>
      <c r="Z271" s="13">
        <v>0</v>
      </c>
      <c r="AA271" s="13">
        <v>1</v>
      </c>
      <c r="AB271" s="13">
        <v>0</v>
      </c>
    </row>
    <row r="272" spans="1:28" x14ac:dyDescent="0.2">
      <c r="A272" s="13">
        <v>50</v>
      </c>
      <c r="B272" s="13">
        <v>0</v>
      </c>
      <c r="C272" s="13">
        <v>0</v>
      </c>
      <c r="D272" s="13">
        <v>1</v>
      </c>
      <c r="E272" s="13">
        <v>214</v>
      </c>
      <c r="F272" s="13">
        <f>ROUND(Source!AS255,O272)</f>
        <v>0</v>
      </c>
      <c r="G272" s="13" t="s">
        <v>105</v>
      </c>
      <c r="H272" s="13" t="s">
        <v>106</v>
      </c>
      <c r="I272" s="13"/>
      <c r="J272" s="13"/>
      <c r="K272" s="13">
        <v>214</v>
      </c>
      <c r="L272" s="13">
        <v>16</v>
      </c>
      <c r="M272" s="13">
        <v>3</v>
      </c>
      <c r="N272" s="13" t="s">
        <v>3</v>
      </c>
      <c r="O272" s="13">
        <v>2</v>
      </c>
      <c r="P272" s="13">
        <f>ROUND(Source!EK255,O272)</f>
        <v>0</v>
      </c>
      <c r="Q272" s="13"/>
      <c r="R272" s="13"/>
      <c r="S272" s="13"/>
      <c r="T272" s="13"/>
      <c r="U272" s="13"/>
      <c r="V272" s="13"/>
      <c r="W272" s="13">
        <v>0</v>
      </c>
      <c r="X272" s="13">
        <v>1</v>
      </c>
      <c r="Y272" s="13">
        <v>0</v>
      </c>
      <c r="Z272" s="13">
        <v>0</v>
      </c>
      <c r="AA272" s="13">
        <v>1</v>
      </c>
      <c r="AB272" s="13">
        <v>0</v>
      </c>
    </row>
    <row r="273" spans="1:206" x14ac:dyDescent="0.2">
      <c r="A273" s="13">
        <v>50</v>
      </c>
      <c r="B273" s="13">
        <v>0</v>
      </c>
      <c r="C273" s="13">
        <v>0</v>
      </c>
      <c r="D273" s="13">
        <v>1</v>
      </c>
      <c r="E273" s="13">
        <v>215</v>
      </c>
      <c r="F273" s="13">
        <f>ROUND(Source!AT255,O273)</f>
        <v>67939.649999999994</v>
      </c>
      <c r="G273" s="13" t="s">
        <v>107</v>
      </c>
      <c r="H273" s="13" t="s">
        <v>108</v>
      </c>
      <c r="I273" s="13"/>
      <c r="J273" s="13"/>
      <c r="K273" s="13">
        <v>215</v>
      </c>
      <c r="L273" s="13">
        <v>17</v>
      </c>
      <c r="M273" s="13">
        <v>3</v>
      </c>
      <c r="N273" s="13" t="s">
        <v>3</v>
      </c>
      <c r="O273" s="13">
        <v>2</v>
      </c>
      <c r="P273" s="13">
        <f>ROUND(Source!EL255,O273)</f>
        <v>345152.69</v>
      </c>
      <c r="Q273" s="13"/>
      <c r="R273" s="13"/>
      <c r="S273" s="13"/>
      <c r="T273" s="13"/>
      <c r="U273" s="13"/>
      <c r="V273" s="13"/>
      <c r="W273" s="13">
        <v>67939.649999999994</v>
      </c>
      <c r="X273" s="13">
        <v>1</v>
      </c>
      <c r="Y273" s="13">
        <v>67939.649999999994</v>
      </c>
      <c r="Z273" s="13">
        <v>345152.69</v>
      </c>
      <c r="AA273" s="13">
        <v>1</v>
      </c>
      <c r="AB273" s="13">
        <v>345152.69</v>
      </c>
    </row>
    <row r="274" spans="1:206" x14ac:dyDescent="0.2">
      <c r="A274" s="13">
        <v>50</v>
      </c>
      <c r="B274" s="13">
        <v>0</v>
      </c>
      <c r="C274" s="13">
        <v>0</v>
      </c>
      <c r="D274" s="13">
        <v>1</v>
      </c>
      <c r="E274" s="13">
        <v>217</v>
      </c>
      <c r="F274" s="13">
        <f>ROUND(Source!AU255,O274)</f>
        <v>0</v>
      </c>
      <c r="G274" s="13" t="s">
        <v>109</v>
      </c>
      <c r="H274" s="13" t="s">
        <v>110</v>
      </c>
      <c r="I274" s="13"/>
      <c r="J274" s="13"/>
      <c r="K274" s="13">
        <v>217</v>
      </c>
      <c r="L274" s="13">
        <v>18</v>
      </c>
      <c r="M274" s="13">
        <v>3</v>
      </c>
      <c r="N274" s="13" t="s">
        <v>3</v>
      </c>
      <c r="O274" s="13">
        <v>2</v>
      </c>
      <c r="P274" s="13">
        <f>ROUND(Source!EM255,O274)</f>
        <v>0</v>
      </c>
      <c r="Q274" s="13"/>
      <c r="R274" s="13"/>
      <c r="S274" s="13"/>
      <c r="T274" s="13"/>
      <c r="U274" s="13"/>
      <c r="V274" s="13"/>
      <c r="W274" s="13">
        <v>0</v>
      </c>
      <c r="X274" s="13">
        <v>1</v>
      </c>
      <c r="Y274" s="13">
        <v>0</v>
      </c>
      <c r="Z274" s="13">
        <v>0</v>
      </c>
      <c r="AA274" s="13">
        <v>1</v>
      </c>
      <c r="AB274" s="13">
        <v>0</v>
      </c>
    </row>
    <row r="275" spans="1:206" x14ac:dyDescent="0.2">
      <c r="A275" s="13">
        <v>50</v>
      </c>
      <c r="B275" s="13">
        <v>0</v>
      </c>
      <c r="C275" s="13">
        <v>0</v>
      </c>
      <c r="D275" s="13">
        <v>1</v>
      </c>
      <c r="E275" s="13">
        <v>230</v>
      </c>
      <c r="F275" s="13">
        <f>ROUND(Source!BA255,O275)</f>
        <v>0</v>
      </c>
      <c r="G275" s="13" t="s">
        <v>111</v>
      </c>
      <c r="H275" s="13" t="s">
        <v>112</v>
      </c>
      <c r="I275" s="13"/>
      <c r="J275" s="13"/>
      <c r="K275" s="13">
        <v>230</v>
      </c>
      <c r="L275" s="13">
        <v>19</v>
      </c>
      <c r="M275" s="13">
        <v>3</v>
      </c>
      <c r="N275" s="13" t="s">
        <v>3</v>
      </c>
      <c r="O275" s="13">
        <v>2</v>
      </c>
      <c r="P275" s="13">
        <f>ROUND(Source!ES255,O275)</f>
        <v>0</v>
      </c>
      <c r="Q275" s="13"/>
      <c r="R275" s="13"/>
      <c r="S275" s="13"/>
      <c r="T275" s="13"/>
      <c r="U275" s="13"/>
      <c r="V275" s="13"/>
      <c r="W275" s="13">
        <v>0</v>
      </c>
      <c r="X275" s="13">
        <v>1</v>
      </c>
      <c r="Y275" s="13">
        <v>0</v>
      </c>
      <c r="Z275" s="13">
        <v>0</v>
      </c>
      <c r="AA275" s="13">
        <v>1</v>
      </c>
      <c r="AB275" s="13">
        <v>0</v>
      </c>
    </row>
    <row r="276" spans="1:206" x14ac:dyDescent="0.2">
      <c r="A276" s="13">
        <v>50</v>
      </c>
      <c r="B276" s="13">
        <v>0</v>
      </c>
      <c r="C276" s="13">
        <v>0</v>
      </c>
      <c r="D276" s="13">
        <v>1</v>
      </c>
      <c r="E276" s="13">
        <v>206</v>
      </c>
      <c r="F276" s="13">
        <f>ROUND(Source!T255,O276)</f>
        <v>0</v>
      </c>
      <c r="G276" s="13" t="s">
        <v>113</v>
      </c>
      <c r="H276" s="13" t="s">
        <v>114</v>
      </c>
      <c r="I276" s="13"/>
      <c r="J276" s="13"/>
      <c r="K276" s="13">
        <v>206</v>
      </c>
      <c r="L276" s="13">
        <v>20</v>
      </c>
      <c r="M276" s="13">
        <v>3</v>
      </c>
      <c r="N276" s="13" t="s">
        <v>3</v>
      </c>
      <c r="O276" s="13">
        <v>2</v>
      </c>
      <c r="P276" s="13">
        <f>ROUND(Source!DL255,O276)</f>
        <v>0</v>
      </c>
      <c r="Q276" s="13"/>
      <c r="R276" s="13"/>
      <c r="S276" s="13"/>
      <c r="T276" s="13"/>
      <c r="U276" s="13"/>
      <c r="V276" s="13"/>
      <c r="W276" s="13">
        <v>0</v>
      </c>
      <c r="X276" s="13">
        <v>1</v>
      </c>
      <c r="Y276" s="13">
        <v>0</v>
      </c>
      <c r="Z276" s="13">
        <v>0</v>
      </c>
      <c r="AA276" s="13">
        <v>1</v>
      </c>
      <c r="AB276" s="13">
        <v>0</v>
      </c>
    </row>
    <row r="277" spans="1:206" x14ac:dyDescent="0.2">
      <c r="A277" s="13">
        <v>50</v>
      </c>
      <c r="B277" s="13">
        <v>0</v>
      </c>
      <c r="C277" s="13">
        <v>0</v>
      </c>
      <c r="D277" s="13">
        <v>1</v>
      </c>
      <c r="E277" s="13">
        <v>207</v>
      </c>
      <c r="F277" s="13">
        <f>Source!U255</f>
        <v>71.099675999999988</v>
      </c>
      <c r="G277" s="13" t="s">
        <v>115</v>
      </c>
      <c r="H277" s="13" t="s">
        <v>116</v>
      </c>
      <c r="I277" s="13"/>
      <c r="J277" s="13"/>
      <c r="K277" s="13">
        <v>207</v>
      </c>
      <c r="L277" s="13">
        <v>21</v>
      </c>
      <c r="M277" s="13">
        <v>3</v>
      </c>
      <c r="N277" s="13" t="s">
        <v>3</v>
      </c>
      <c r="O277" s="13">
        <v>-1</v>
      </c>
      <c r="P277" s="13">
        <f>Source!DM255</f>
        <v>71.099675999999988</v>
      </c>
      <c r="Q277" s="13"/>
      <c r="R277" s="13"/>
      <c r="S277" s="13"/>
      <c r="T277" s="13"/>
      <c r="U277" s="13"/>
      <c r="V277" s="13"/>
      <c r="W277" s="13">
        <v>71.099676000000002</v>
      </c>
      <c r="X277" s="13">
        <v>1</v>
      </c>
      <c r="Y277" s="13">
        <v>71.099676000000002</v>
      </c>
      <c r="Z277" s="13">
        <v>71.099676000000002</v>
      </c>
      <c r="AA277" s="13">
        <v>1</v>
      </c>
      <c r="AB277" s="13">
        <v>71.099676000000002</v>
      </c>
    </row>
    <row r="278" spans="1:206" x14ac:dyDescent="0.2">
      <c r="A278" s="13">
        <v>50</v>
      </c>
      <c r="B278" s="13">
        <v>0</v>
      </c>
      <c r="C278" s="13">
        <v>0</v>
      </c>
      <c r="D278" s="13">
        <v>1</v>
      </c>
      <c r="E278" s="13">
        <v>208</v>
      </c>
      <c r="F278" s="13">
        <f>Source!V255</f>
        <v>0</v>
      </c>
      <c r="G278" s="13" t="s">
        <v>117</v>
      </c>
      <c r="H278" s="13" t="s">
        <v>118</v>
      </c>
      <c r="I278" s="13"/>
      <c r="J278" s="13"/>
      <c r="K278" s="13">
        <v>208</v>
      </c>
      <c r="L278" s="13">
        <v>22</v>
      </c>
      <c r="M278" s="13">
        <v>3</v>
      </c>
      <c r="N278" s="13" t="s">
        <v>3</v>
      </c>
      <c r="O278" s="13">
        <v>-1</v>
      </c>
      <c r="P278" s="13">
        <f>Source!DN255</f>
        <v>0</v>
      </c>
      <c r="Q278" s="13"/>
      <c r="R278" s="13"/>
      <c r="S278" s="13"/>
      <c r="T278" s="13"/>
      <c r="U278" s="13"/>
      <c r="V278" s="13"/>
      <c r="W278" s="13">
        <v>0</v>
      </c>
      <c r="X278" s="13">
        <v>1</v>
      </c>
      <c r="Y278" s="13">
        <v>0</v>
      </c>
      <c r="Z278" s="13">
        <v>0</v>
      </c>
      <c r="AA278" s="13">
        <v>1</v>
      </c>
      <c r="AB278" s="13">
        <v>0</v>
      </c>
    </row>
    <row r="279" spans="1:206" x14ac:dyDescent="0.2">
      <c r="A279" s="13">
        <v>50</v>
      </c>
      <c r="B279" s="13">
        <v>0</v>
      </c>
      <c r="C279" s="13">
        <v>0</v>
      </c>
      <c r="D279" s="13">
        <v>1</v>
      </c>
      <c r="E279" s="13">
        <v>209</v>
      </c>
      <c r="F279" s="13">
        <f>ROUND(Source!W255,O279)</f>
        <v>0</v>
      </c>
      <c r="G279" s="13" t="s">
        <v>119</v>
      </c>
      <c r="H279" s="13" t="s">
        <v>120</v>
      </c>
      <c r="I279" s="13"/>
      <c r="J279" s="13"/>
      <c r="K279" s="13">
        <v>209</v>
      </c>
      <c r="L279" s="13">
        <v>23</v>
      </c>
      <c r="M279" s="13">
        <v>3</v>
      </c>
      <c r="N279" s="13" t="s">
        <v>3</v>
      </c>
      <c r="O279" s="13">
        <v>2</v>
      </c>
      <c r="P279" s="13">
        <f>ROUND(Source!DO255,O279)</f>
        <v>0</v>
      </c>
      <c r="Q279" s="13"/>
      <c r="R279" s="13"/>
      <c r="S279" s="13"/>
      <c r="T279" s="13"/>
      <c r="U279" s="13"/>
      <c r="V279" s="13"/>
      <c r="W279" s="13">
        <v>0</v>
      </c>
      <c r="X279" s="13">
        <v>1</v>
      </c>
      <c r="Y279" s="13">
        <v>0</v>
      </c>
      <c r="Z279" s="13">
        <v>0</v>
      </c>
      <c r="AA279" s="13">
        <v>1</v>
      </c>
      <c r="AB279" s="13">
        <v>0</v>
      </c>
    </row>
    <row r="280" spans="1:206" x14ac:dyDescent="0.2">
      <c r="A280" s="13">
        <v>50</v>
      </c>
      <c r="B280" s="13">
        <v>0</v>
      </c>
      <c r="C280" s="13">
        <v>0</v>
      </c>
      <c r="D280" s="13">
        <v>1</v>
      </c>
      <c r="E280" s="13">
        <v>233</v>
      </c>
      <c r="F280" s="13">
        <f>ROUND(Source!BD255,O280)</f>
        <v>0</v>
      </c>
      <c r="G280" s="13" t="s">
        <v>121</v>
      </c>
      <c r="H280" s="13" t="s">
        <v>122</v>
      </c>
      <c r="I280" s="13"/>
      <c r="J280" s="13"/>
      <c r="K280" s="13">
        <v>233</v>
      </c>
      <c r="L280" s="13">
        <v>24</v>
      </c>
      <c r="M280" s="13">
        <v>3</v>
      </c>
      <c r="N280" s="13" t="s">
        <v>3</v>
      </c>
      <c r="O280" s="13">
        <v>2</v>
      </c>
      <c r="P280" s="13">
        <f>ROUND(Source!EV255,O280)</f>
        <v>0</v>
      </c>
      <c r="Q280" s="13"/>
      <c r="R280" s="13"/>
      <c r="S280" s="13"/>
      <c r="T280" s="13"/>
      <c r="U280" s="13"/>
      <c r="V280" s="13"/>
      <c r="W280" s="13">
        <v>0</v>
      </c>
      <c r="X280" s="13">
        <v>1</v>
      </c>
      <c r="Y280" s="13">
        <v>0</v>
      </c>
      <c r="Z280" s="13">
        <v>0</v>
      </c>
      <c r="AA280" s="13">
        <v>1</v>
      </c>
      <c r="AB280" s="13">
        <v>0</v>
      </c>
    </row>
    <row r="281" spans="1:206" x14ac:dyDescent="0.2">
      <c r="A281" s="13">
        <v>50</v>
      </c>
      <c r="B281" s="13">
        <v>0</v>
      </c>
      <c r="C281" s="13">
        <v>0</v>
      </c>
      <c r="D281" s="13">
        <v>1</v>
      </c>
      <c r="E281" s="13">
        <v>210</v>
      </c>
      <c r="F281" s="13">
        <f>ROUND(Source!X255,O281)</f>
        <v>1401.53</v>
      </c>
      <c r="G281" s="13" t="s">
        <v>123</v>
      </c>
      <c r="H281" s="13" t="s">
        <v>124</v>
      </c>
      <c r="I281" s="13"/>
      <c r="J281" s="13"/>
      <c r="K281" s="13">
        <v>210</v>
      </c>
      <c r="L281" s="13">
        <v>25</v>
      </c>
      <c r="M281" s="13">
        <v>3</v>
      </c>
      <c r="N281" s="13" t="s">
        <v>3</v>
      </c>
      <c r="O281" s="13">
        <v>2</v>
      </c>
      <c r="P281" s="13">
        <f>ROUND(Source!DP255,O281)</f>
        <v>78976.42</v>
      </c>
      <c r="Q281" s="13"/>
      <c r="R281" s="13"/>
      <c r="S281" s="13"/>
      <c r="T281" s="13"/>
      <c r="U281" s="13"/>
      <c r="V281" s="13"/>
      <c r="W281" s="13">
        <v>1401.53</v>
      </c>
      <c r="X281" s="13">
        <v>1</v>
      </c>
      <c r="Y281" s="13">
        <v>1401.53</v>
      </c>
      <c r="Z281" s="13">
        <v>78976.42</v>
      </c>
      <c r="AA281" s="13">
        <v>1</v>
      </c>
      <c r="AB281" s="13">
        <v>78976.42</v>
      </c>
    </row>
    <row r="282" spans="1:206" x14ac:dyDescent="0.2">
      <c r="A282" s="13">
        <v>50</v>
      </c>
      <c r="B282" s="13">
        <v>0</v>
      </c>
      <c r="C282" s="13">
        <v>0</v>
      </c>
      <c r="D282" s="13">
        <v>1</v>
      </c>
      <c r="E282" s="13">
        <v>211</v>
      </c>
      <c r="F282" s="13">
        <f>ROUND(Source!Y255,O282)</f>
        <v>736.89</v>
      </c>
      <c r="G282" s="13" t="s">
        <v>125</v>
      </c>
      <c r="H282" s="13" t="s">
        <v>126</v>
      </c>
      <c r="I282" s="13"/>
      <c r="J282" s="13"/>
      <c r="K282" s="13">
        <v>211</v>
      </c>
      <c r="L282" s="13">
        <v>26</v>
      </c>
      <c r="M282" s="13">
        <v>3</v>
      </c>
      <c r="N282" s="13" t="s">
        <v>3</v>
      </c>
      <c r="O282" s="13">
        <v>2</v>
      </c>
      <c r="P282" s="13">
        <f>ROUND(Source!DQ255,O282)</f>
        <v>41523.68</v>
      </c>
      <c r="Q282" s="13"/>
      <c r="R282" s="13"/>
      <c r="S282" s="13"/>
      <c r="T282" s="13"/>
      <c r="U282" s="13"/>
      <c r="V282" s="13"/>
      <c r="W282" s="13">
        <v>736.89</v>
      </c>
      <c r="X282" s="13">
        <v>1</v>
      </c>
      <c r="Y282" s="13">
        <v>736.89</v>
      </c>
      <c r="Z282" s="13">
        <v>41523.68</v>
      </c>
      <c r="AA282" s="13">
        <v>1</v>
      </c>
      <c r="AB282" s="13">
        <v>41523.68</v>
      </c>
    </row>
    <row r="283" spans="1:206" x14ac:dyDescent="0.2">
      <c r="A283" s="13">
        <v>50</v>
      </c>
      <c r="B283" s="13">
        <v>0</v>
      </c>
      <c r="C283" s="13">
        <v>0</v>
      </c>
      <c r="D283" s="13">
        <v>1</v>
      </c>
      <c r="E283" s="13">
        <v>224</v>
      </c>
      <c r="F283" s="13">
        <f>ROUND(Source!AR255,O283)</f>
        <v>67939.649999999994</v>
      </c>
      <c r="G283" s="13" t="s">
        <v>127</v>
      </c>
      <c r="H283" s="13" t="s">
        <v>128</v>
      </c>
      <c r="I283" s="13"/>
      <c r="J283" s="13"/>
      <c r="K283" s="13">
        <v>224</v>
      </c>
      <c r="L283" s="13">
        <v>27</v>
      </c>
      <c r="M283" s="13">
        <v>3</v>
      </c>
      <c r="N283" s="13" t="s">
        <v>3</v>
      </c>
      <c r="O283" s="13">
        <v>2</v>
      </c>
      <c r="P283" s="13">
        <f>ROUND(Source!EJ255,O283)</f>
        <v>345152.69</v>
      </c>
      <c r="Q283" s="13"/>
      <c r="R283" s="13"/>
      <c r="S283" s="13"/>
      <c r="T283" s="13"/>
      <c r="U283" s="13"/>
      <c r="V283" s="13"/>
      <c r="W283" s="13">
        <v>67939.649999999994</v>
      </c>
      <c r="X283" s="13">
        <v>1</v>
      </c>
      <c r="Y283" s="13">
        <v>67939.649999999994</v>
      </c>
      <c r="Z283" s="13">
        <v>345152.69</v>
      </c>
      <c r="AA283" s="13">
        <v>1</v>
      </c>
      <c r="AB283" s="13">
        <v>345152.69</v>
      </c>
    </row>
    <row r="285" spans="1:206" x14ac:dyDescent="0.2">
      <c r="A285" s="11">
        <v>51</v>
      </c>
      <c r="B285" s="11">
        <f>B20</f>
        <v>1</v>
      </c>
      <c r="C285" s="11">
        <f>A20</f>
        <v>3</v>
      </c>
      <c r="D285" s="11">
        <f>ROW(A20)</f>
        <v>20</v>
      </c>
      <c r="E285" s="11"/>
      <c r="F285" s="11" t="str">
        <f>IF(F20&lt;&gt;"",F20,"")</f>
        <v>02-01-12</v>
      </c>
      <c r="G285" s="11" t="str">
        <f>IF(G20&lt;&gt;"",G20,"")</f>
        <v>Система кабельного телевидения</v>
      </c>
      <c r="H285" s="11">
        <v>0</v>
      </c>
      <c r="I285" s="11"/>
      <c r="J285" s="11"/>
      <c r="K285" s="11"/>
      <c r="L285" s="11"/>
      <c r="M285" s="11"/>
      <c r="N285" s="11"/>
      <c r="O285" s="11">
        <f t="shared" ref="O285:T285" si="252">ROUND(O49+O110+O155+O204+O255+AB285,2)</f>
        <v>92685.73</v>
      </c>
      <c r="P285" s="11">
        <f t="shared" si="252"/>
        <v>87368.36</v>
      </c>
      <c r="Q285" s="11">
        <f t="shared" si="252"/>
        <v>1518.75</v>
      </c>
      <c r="R285" s="11">
        <f t="shared" si="252"/>
        <v>581.53</v>
      </c>
      <c r="S285" s="11">
        <f t="shared" si="252"/>
        <v>3798.62</v>
      </c>
      <c r="T285" s="11">
        <f t="shared" si="252"/>
        <v>0</v>
      </c>
      <c r="U285" s="11">
        <f>U49+U110+U155+U204+U255+AH285</f>
        <v>323.30434151999998</v>
      </c>
      <c r="V285" s="11">
        <f>V49+V110+V155+V204+V255+AI285</f>
        <v>0</v>
      </c>
      <c r="W285" s="11">
        <f>ROUND(W49+W110+W155+W204+W255+AJ285,2)</f>
        <v>0</v>
      </c>
      <c r="X285" s="11">
        <f>ROUND(X49+X110+X155+X204+X255+AK285,2)</f>
        <v>4161.38</v>
      </c>
      <c r="Y285" s="11">
        <f>ROUND(Y49+Y110+Y155+Y204+Y255+AL285,2)</f>
        <v>2204.9499999999998</v>
      </c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>
        <f t="shared" ref="AO285:BD285" si="253">ROUND(AO49+AO110+AO155+AO204+AO255+BX285,2)</f>
        <v>0</v>
      </c>
      <c r="AP285" s="11">
        <f t="shared" si="253"/>
        <v>8481.81</v>
      </c>
      <c r="AQ285" s="11">
        <f t="shared" si="253"/>
        <v>0</v>
      </c>
      <c r="AR285" s="11">
        <f t="shared" si="253"/>
        <v>99052.06</v>
      </c>
      <c r="AS285" s="11">
        <f t="shared" si="253"/>
        <v>3087.67</v>
      </c>
      <c r="AT285" s="11">
        <f t="shared" si="253"/>
        <v>87482.58</v>
      </c>
      <c r="AU285" s="11">
        <f t="shared" si="253"/>
        <v>0</v>
      </c>
      <c r="AV285" s="11">
        <f t="shared" si="253"/>
        <v>87368.36</v>
      </c>
      <c r="AW285" s="11">
        <f t="shared" si="253"/>
        <v>78886.55</v>
      </c>
      <c r="AX285" s="11">
        <f t="shared" si="253"/>
        <v>0</v>
      </c>
      <c r="AY285" s="11">
        <f t="shared" si="253"/>
        <v>78886.55</v>
      </c>
      <c r="AZ285" s="11">
        <f t="shared" si="253"/>
        <v>8481.81</v>
      </c>
      <c r="BA285" s="11">
        <f t="shared" si="253"/>
        <v>0</v>
      </c>
      <c r="BB285" s="11">
        <f t="shared" si="253"/>
        <v>0</v>
      </c>
      <c r="BC285" s="11">
        <f t="shared" si="253"/>
        <v>0</v>
      </c>
      <c r="BD285" s="11">
        <f t="shared" si="253"/>
        <v>0</v>
      </c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2">
        <f t="shared" ref="DG285:DL285" si="254">ROUND(DG49+DG110+DG155+DG204+DG255+DT285,2)</f>
        <v>569499.51</v>
      </c>
      <c r="DH285" s="12">
        <f t="shared" si="254"/>
        <v>311411.52</v>
      </c>
      <c r="DI285" s="12">
        <f t="shared" si="254"/>
        <v>44035.75</v>
      </c>
      <c r="DJ285" s="12">
        <f t="shared" si="254"/>
        <v>32769.22</v>
      </c>
      <c r="DK285" s="12">
        <f t="shared" si="254"/>
        <v>214052.24</v>
      </c>
      <c r="DL285" s="12">
        <f t="shared" si="254"/>
        <v>0</v>
      </c>
      <c r="DM285" s="12">
        <f>DM49+DM110+DM155+DM204+DM255+DZ285</f>
        <v>323.30434151999998</v>
      </c>
      <c r="DN285" s="12">
        <f>DN49+DN110+DN155+DN204+DN255+EA285</f>
        <v>0</v>
      </c>
      <c r="DO285" s="12">
        <f>ROUND(DO49+DO110+DO155+DO204+DO255+EB285,2)</f>
        <v>0</v>
      </c>
      <c r="DP285" s="12">
        <f>ROUND(DP49+DP110+DP155+DP204+DP255+EC285,2)</f>
        <v>234494.24</v>
      </c>
      <c r="DQ285" s="12">
        <f>ROUND(DQ49+DQ110+DQ155+DQ204+DQ255+ED285,2)</f>
        <v>124249.59</v>
      </c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>
        <f t="shared" ref="EG285:EV285" si="255">ROUND(EG49+EG110+EG155+EG204+EG255+FP285,2)</f>
        <v>0</v>
      </c>
      <c r="EH285" s="12">
        <f t="shared" si="255"/>
        <v>83461.009999999995</v>
      </c>
      <c r="EI285" s="12">
        <f t="shared" si="255"/>
        <v>0</v>
      </c>
      <c r="EJ285" s="12">
        <f t="shared" si="255"/>
        <v>928243.34</v>
      </c>
      <c r="EK285" s="12">
        <f t="shared" si="255"/>
        <v>173989.92</v>
      </c>
      <c r="EL285" s="12">
        <f t="shared" si="255"/>
        <v>670792.41</v>
      </c>
      <c r="EM285" s="12">
        <f t="shared" si="255"/>
        <v>0</v>
      </c>
      <c r="EN285" s="12">
        <f t="shared" si="255"/>
        <v>311411.52</v>
      </c>
      <c r="EO285" s="12">
        <f t="shared" si="255"/>
        <v>227950.51</v>
      </c>
      <c r="EP285" s="12">
        <f t="shared" si="255"/>
        <v>0</v>
      </c>
      <c r="EQ285" s="12">
        <f t="shared" si="255"/>
        <v>227950.51</v>
      </c>
      <c r="ER285" s="12">
        <f t="shared" si="255"/>
        <v>83461.009999999995</v>
      </c>
      <c r="ES285" s="12">
        <f t="shared" si="255"/>
        <v>0</v>
      </c>
      <c r="ET285" s="12">
        <f t="shared" si="255"/>
        <v>0</v>
      </c>
      <c r="EU285" s="12">
        <f t="shared" si="255"/>
        <v>0</v>
      </c>
      <c r="EV285" s="12">
        <f t="shared" si="255"/>
        <v>0</v>
      </c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12"/>
      <c r="GH285" s="12"/>
      <c r="GI285" s="12"/>
      <c r="GJ285" s="12"/>
      <c r="GK285" s="12"/>
      <c r="GL285" s="12"/>
      <c r="GM285" s="12"/>
      <c r="GN285" s="12"/>
      <c r="GO285" s="12"/>
      <c r="GP285" s="12"/>
      <c r="GQ285" s="12"/>
      <c r="GR285" s="12"/>
      <c r="GS285" s="12"/>
      <c r="GT285" s="12"/>
      <c r="GU285" s="12"/>
      <c r="GV285" s="12"/>
      <c r="GW285" s="12"/>
      <c r="GX285" s="12">
        <v>0</v>
      </c>
    </row>
    <row r="287" spans="1:206" x14ac:dyDescent="0.2">
      <c r="A287" s="13">
        <v>50</v>
      </c>
      <c r="B287" s="13">
        <v>0</v>
      </c>
      <c r="C287" s="13">
        <v>0</v>
      </c>
      <c r="D287" s="13">
        <v>1</v>
      </c>
      <c r="E287" s="13">
        <v>201</v>
      </c>
      <c r="F287" s="13">
        <f>ROUND(Source!O285,O287)</f>
        <v>92685.73</v>
      </c>
      <c r="G287" s="13" t="s">
        <v>75</v>
      </c>
      <c r="H287" s="13" t="s">
        <v>76</v>
      </c>
      <c r="I287" s="13"/>
      <c r="J287" s="13"/>
      <c r="K287" s="13">
        <v>201</v>
      </c>
      <c r="L287" s="13">
        <v>1</v>
      </c>
      <c r="M287" s="13">
        <v>3</v>
      </c>
      <c r="N287" s="13" t="s">
        <v>3</v>
      </c>
      <c r="O287" s="13">
        <v>2</v>
      </c>
      <c r="P287" s="13">
        <f>ROUND(Source!DG285,O287)</f>
        <v>569499.51</v>
      </c>
      <c r="Q287" s="13"/>
      <c r="R287" s="13"/>
      <c r="S287" s="13"/>
      <c r="T287" s="13"/>
      <c r="U287" s="13"/>
      <c r="V287" s="13"/>
      <c r="W287" s="13">
        <v>92685.73</v>
      </c>
      <c r="X287" s="13">
        <v>1</v>
      </c>
      <c r="Y287" s="13">
        <v>92685.73</v>
      </c>
      <c r="Z287" s="13">
        <v>569499.51</v>
      </c>
      <c r="AA287" s="13">
        <v>1</v>
      </c>
      <c r="AB287" s="13">
        <v>569499.51</v>
      </c>
    </row>
    <row r="288" spans="1:206" x14ac:dyDescent="0.2">
      <c r="A288" s="13">
        <v>50</v>
      </c>
      <c r="B288" s="13">
        <v>0</v>
      </c>
      <c r="C288" s="13">
        <v>0</v>
      </c>
      <c r="D288" s="13">
        <v>1</v>
      </c>
      <c r="E288" s="13">
        <v>202</v>
      </c>
      <c r="F288" s="13">
        <f>ROUND(Source!P285,O288)</f>
        <v>87368.36</v>
      </c>
      <c r="G288" s="13" t="s">
        <v>77</v>
      </c>
      <c r="H288" s="13" t="s">
        <v>78</v>
      </c>
      <c r="I288" s="13"/>
      <c r="J288" s="13"/>
      <c r="K288" s="13">
        <v>202</v>
      </c>
      <c r="L288" s="13">
        <v>2</v>
      </c>
      <c r="M288" s="13">
        <v>3</v>
      </c>
      <c r="N288" s="13" t="s">
        <v>3</v>
      </c>
      <c r="O288" s="13">
        <v>2</v>
      </c>
      <c r="P288" s="13">
        <f>ROUND(Source!DH285,O288)</f>
        <v>311411.52</v>
      </c>
      <c r="Q288" s="13"/>
      <c r="R288" s="13"/>
      <c r="S288" s="13"/>
      <c r="T288" s="13"/>
      <c r="U288" s="13"/>
      <c r="V288" s="13"/>
      <c r="W288" s="13">
        <v>87368.36</v>
      </c>
      <c r="X288" s="13">
        <v>1</v>
      </c>
      <c r="Y288" s="13">
        <v>87368.36</v>
      </c>
      <c r="Z288" s="13">
        <v>311411.52</v>
      </c>
      <c r="AA288" s="13">
        <v>1</v>
      </c>
      <c r="AB288" s="13">
        <v>311411.52</v>
      </c>
    </row>
    <row r="289" spans="1:28" x14ac:dyDescent="0.2">
      <c r="A289" s="13">
        <v>50</v>
      </c>
      <c r="B289" s="13">
        <v>0</v>
      </c>
      <c r="C289" s="13">
        <v>0</v>
      </c>
      <c r="D289" s="13">
        <v>1</v>
      </c>
      <c r="E289" s="13">
        <v>222</v>
      </c>
      <c r="F289" s="13">
        <f>ROUND(Source!AO285,O289)</f>
        <v>0</v>
      </c>
      <c r="G289" s="13" t="s">
        <v>79</v>
      </c>
      <c r="H289" s="13" t="s">
        <v>80</v>
      </c>
      <c r="I289" s="13"/>
      <c r="J289" s="13"/>
      <c r="K289" s="13">
        <v>222</v>
      </c>
      <c r="L289" s="13">
        <v>3</v>
      </c>
      <c r="M289" s="13">
        <v>3</v>
      </c>
      <c r="N289" s="13" t="s">
        <v>3</v>
      </c>
      <c r="O289" s="13">
        <v>2</v>
      </c>
      <c r="P289" s="13">
        <f>ROUND(Source!EG285,O289)</f>
        <v>0</v>
      </c>
      <c r="Q289" s="13"/>
      <c r="R289" s="13"/>
      <c r="S289" s="13"/>
      <c r="T289" s="13"/>
      <c r="U289" s="13"/>
      <c r="V289" s="13"/>
      <c r="W289" s="13">
        <v>0</v>
      </c>
      <c r="X289" s="13">
        <v>1</v>
      </c>
      <c r="Y289" s="13">
        <v>0</v>
      </c>
      <c r="Z289" s="13">
        <v>0</v>
      </c>
      <c r="AA289" s="13">
        <v>1</v>
      </c>
      <c r="AB289" s="13">
        <v>0</v>
      </c>
    </row>
    <row r="290" spans="1:28" x14ac:dyDescent="0.2">
      <c r="A290" s="13">
        <v>50</v>
      </c>
      <c r="B290" s="13">
        <v>0</v>
      </c>
      <c r="C290" s="13">
        <v>0</v>
      </c>
      <c r="D290" s="13">
        <v>1</v>
      </c>
      <c r="E290" s="13">
        <v>225</v>
      </c>
      <c r="F290" s="13">
        <f>ROUND(Source!AV285,O290)</f>
        <v>87368.36</v>
      </c>
      <c r="G290" s="13" t="s">
        <v>81</v>
      </c>
      <c r="H290" s="13" t="s">
        <v>82</v>
      </c>
      <c r="I290" s="13"/>
      <c r="J290" s="13"/>
      <c r="K290" s="13">
        <v>225</v>
      </c>
      <c r="L290" s="13">
        <v>4</v>
      </c>
      <c r="M290" s="13">
        <v>3</v>
      </c>
      <c r="N290" s="13" t="s">
        <v>3</v>
      </c>
      <c r="O290" s="13">
        <v>2</v>
      </c>
      <c r="P290" s="13">
        <f>ROUND(Source!EN285,O290)</f>
        <v>311411.52</v>
      </c>
      <c r="Q290" s="13"/>
      <c r="R290" s="13"/>
      <c r="S290" s="13"/>
      <c r="T290" s="13"/>
      <c r="U290" s="13"/>
      <c r="V290" s="13"/>
      <c r="W290" s="13">
        <v>87368.36</v>
      </c>
      <c r="X290" s="13">
        <v>1</v>
      </c>
      <c r="Y290" s="13">
        <v>87368.36</v>
      </c>
      <c r="Z290" s="13">
        <v>311411.52</v>
      </c>
      <c r="AA290" s="13">
        <v>1</v>
      </c>
      <c r="AB290" s="13">
        <v>311411.52</v>
      </c>
    </row>
    <row r="291" spans="1:28" x14ac:dyDescent="0.2">
      <c r="A291" s="13">
        <v>50</v>
      </c>
      <c r="B291" s="13">
        <v>0</v>
      </c>
      <c r="C291" s="13">
        <v>0</v>
      </c>
      <c r="D291" s="13">
        <v>1</v>
      </c>
      <c r="E291" s="13">
        <v>226</v>
      </c>
      <c r="F291" s="13">
        <f>ROUND(Source!AW285,O291)</f>
        <v>78886.55</v>
      </c>
      <c r="G291" s="13" t="s">
        <v>83</v>
      </c>
      <c r="H291" s="13" t="s">
        <v>84</v>
      </c>
      <c r="I291" s="13"/>
      <c r="J291" s="13"/>
      <c r="K291" s="13">
        <v>226</v>
      </c>
      <c r="L291" s="13">
        <v>5</v>
      </c>
      <c r="M291" s="13">
        <v>3</v>
      </c>
      <c r="N291" s="13" t="s">
        <v>3</v>
      </c>
      <c r="O291" s="13">
        <v>2</v>
      </c>
      <c r="P291" s="13">
        <f>ROUND(Source!EO285,O291)</f>
        <v>227950.51</v>
      </c>
      <c r="Q291" s="13"/>
      <c r="R291" s="13"/>
      <c r="S291" s="13"/>
      <c r="T291" s="13"/>
      <c r="U291" s="13"/>
      <c r="V291" s="13"/>
      <c r="W291" s="13">
        <v>78886.55</v>
      </c>
      <c r="X291" s="13">
        <v>1</v>
      </c>
      <c r="Y291" s="13">
        <v>78886.55</v>
      </c>
      <c r="Z291" s="13">
        <v>227950.51</v>
      </c>
      <c r="AA291" s="13">
        <v>1</v>
      </c>
      <c r="AB291" s="13">
        <v>227950.51</v>
      </c>
    </row>
    <row r="292" spans="1:28" x14ac:dyDescent="0.2">
      <c r="A292" s="13">
        <v>50</v>
      </c>
      <c r="B292" s="13">
        <v>0</v>
      </c>
      <c r="C292" s="13">
        <v>0</v>
      </c>
      <c r="D292" s="13">
        <v>1</v>
      </c>
      <c r="E292" s="13">
        <v>227</v>
      </c>
      <c r="F292" s="13">
        <f>ROUND(Source!AX285,O292)</f>
        <v>0</v>
      </c>
      <c r="G292" s="13" t="s">
        <v>85</v>
      </c>
      <c r="H292" s="13" t="s">
        <v>86</v>
      </c>
      <c r="I292" s="13"/>
      <c r="J292" s="13"/>
      <c r="K292" s="13">
        <v>227</v>
      </c>
      <c r="L292" s="13">
        <v>6</v>
      </c>
      <c r="M292" s="13">
        <v>3</v>
      </c>
      <c r="N292" s="13" t="s">
        <v>3</v>
      </c>
      <c r="O292" s="13">
        <v>2</v>
      </c>
      <c r="P292" s="13">
        <f>ROUND(Source!EP285,O292)</f>
        <v>0</v>
      </c>
      <c r="Q292" s="13"/>
      <c r="R292" s="13"/>
      <c r="S292" s="13"/>
      <c r="T292" s="13"/>
      <c r="U292" s="13"/>
      <c r="V292" s="13"/>
      <c r="W292" s="13">
        <v>0</v>
      </c>
      <c r="X292" s="13">
        <v>1</v>
      </c>
      <c r="Y292" s="13">
        <v>0</v>
      </c>
      <c r="Z292" s="13">
        <v>0</v>
      </c>
      <c r="AA292" s="13">
        <v>1</v>
      </c>
      <c r="AB292" s="13">
        <v>0</v>
      </c>
    </row>
    <row r="293" spans="1:28" x14ac:dyDescent="0.2">
      <c r="A293" s="13">
        <v>50</v>
      </c>
      <c r="B293" s="13">
        <v>0</v>
      </c>
      <c r="C293" s="13">
        <v>0</v>
      </c>
      <c r="D293" s="13">
        <v>1</v>
      </c>
      <c r="E293" s="13">
        <v>228</v>
      </c>
      <c r="F293" s="13">
        <f>ROUND(Source!AY285,O293)</f>
        <v>78886.55</v>
      </c>
      <c r="G293" s="13" t="s">
        <v>87</v>
      </c>
      <c r="H293" s="13" t="s">
        <v>88</v>
      </c>
      <c r="I293" s="13"/>
      <c r="J293" s="13"/>
      <c r="K293" s="13">
        <v>228</v>
      </c>
      <c r="L293" s="13">
        <v>7</v>
      </c>
      <c r="M293" s="13">
        <v>3</v>
      </c>
      <c r="N293" s="13" t="s">
        <v>3</v>
      </c>
      <c r="O293" s="13">
        <v>2</v>
      </c>
      <c r="P293" s="13">
        <f>ROUND(Source!EQ285,O293)</f>
        <v>227950.51</v>
      </c>
      <c r="Q293" s="13"/>
      <c r="R293" s="13"/>
      <c r="S293" s="13"/>
      <c r="T293" s="13"/>
      <c r="U293" s="13"/>
      <c r="V293" s="13"/>
      <c r="W293" s="13">
        <v>78886.55</v>
      </c>
      <c r="X293" s="13">
        <v>1</v>
      </c>
      <c r="Y293" s="13">
        <v>78886.55</v>
      </c>
      <c r="Z293" s="13">
        <v>227950.51</v>
      </c>
      <c r="AA293" s="13">
        <v>1</v>
      </c>
      <c r="AB293" s="13">
        <v>227950.51</v>
      </c>
    </row>
    <row r="294" spans="1:28" x14ac:dyDescent="0.2">
      <c r="A294" s="13">
        <v>50</v>
      </c>
      <c r="B294" s="13">
        <v>0</v>
      </c>
      <c r="C294" s="13">
        <v>0</v>
      </c>
      <c r="D294" s="13">
        <v>1</v>
      </c>
      <c r="E294" s="13">
        <v>216</v>
      </c>
      <c r="F294" s="13">
        <f>ROUND(Source!AP285,O294)</f>
        <v>8481.81</v>
      </c>
      <c r="G294" s="13" t="s">
        <v>89</v>
      </c>
      <c r="H294" s="13" t="s">
        <v>90</v>
      </c>
      <c r="I294" s="13"/>
      <c r="J294" s="13"/>
      <c r="K294" s="13">
        <v>216</v>
      </c>
      <c r="L294" s="13">
        <v>8</v>
      </c>
      <c r="M294" s="13">
        <v>3</v>
      </c>
      <c r="N294" s="13" t="s">
        <v>3</v>
      </c>
      <c r="O294" s="13">
        <v>2</v>
      </c>
      <c r="P294" s="13">
        <f>ROUND(Source!EH285,O294)</f>
        <v>83461.009999999995</v>
      </c>
      <c r="Q294" s="13"/>
      <c r="R294" s="13"/>
      <c r="S294" s="13"/>
      <c r="T294" s="13"/>
      <c r="U294" s="13"/>
      <c r="V294" s="13"/>
      <c r="W294" s="13">
        <v>8481.81</v>
      </c>
      <c r="X294" s="13">
        <v>1</v>
      </c>
      <c r="Y294" s="13">
        <v>8481.81</v>
      </c>
      <c r="Z294" s="13">
        <v>83461.009999999995</v>
      </c>
      <c r="AA294" s="13">
        <v>1</v>
      </c>
      <c r="AB294" s="13">
        <v>83461.009999999995</v>
      </c>
    </row>
    <row r="295" spans="1:28" x14ac:dyDescent="0.2">
      <c r="A295" s="13">
        <v>50</v>
      </c>
      <c r="B295" s="13">
        <v>0</v>
      </c>
      <c r="C295" s="13">
        <v>0</v>
      </c>
      <c r="D295" s="13">
        <v>1</v>
      </c>
      <c r="E295" s="13">
        <v>223</v>
      </c>
      <c r="F295" s="13">
        <f>ROUND(Source!AQ285,O295)</f>
        <v>0</v>
      </c>
      <c r="G295" s="13" t="s">
        <v>91</v>
      </c>
      <c r="H295" s="13" t="s">
        <v>92</v>
      </c>
      <c r="I295" s="13"/>
      <c r="J295" s="13"/>
      <c r="K295" s="13">
        <v>223</v>
      </c>
      <c r="L295" s="13">
        <v>9</v>
      </c>
      <c r="M295" s="13">
        <v>3</v>
      </c>
      <c r="N295" s="13" t="s">
        <v>3</v>
      </c>
      <c r="O295" s="13">
        <v>2</v>
      </c>
      <c r="P295" s="13">
        <f>ROUND(Source!EI285,O295)</f>
        <v>0</v>
      </c>
      <c r="Q295" s="13"/>
      <c r="R295" s="13"/>
      <c r="S295" s="13"/>
      <c r="T295" s="13"/>
      <c r="U295" s="13"/>
      <c r="V295" s="13"/>
      <c r="W295" s="13">
        <v>0</v>
      </c>
      <c r="X295" s="13">
        <v>1</v>
      </c>
      <c r="Y295" s="13">
        <v>0</v>
      </c>
      <c r="Z295" s="13">
        <v>0</v>
      </c>
      <c r="AA295" s="13">
        <v>1</v>
      </c>
      <c r="AB295" s="13">
        <v>0</v>
      </c>
    </row>
    <row r="296" spans="1:28" x14ac:dyDescent="0.2">
      <c r="A296" s="13">
        <v>50</v>
      </c>
      <c r="B296" s="13">
        <v>0</v>
      </c>
      <c r="C296" s="13">
        <v>0</v>
      </c>
      <c r="D296" s="13">
        <v>1</v>
      </c>
      <c r="E296" s="13">
        <v>229</v>
      </c>
      <c r="F296" s="13">
        <f>ROUND(Source!AZ285,O296)</f>
        <v>8481.81</v>
      </c>
      <c r="G296" s="13" t="s">
        <v>93</v>
      </c>
      <c r="H296" s="13" t="s">
        <v>94</v>
      </c>
      <c r="I296" s="13"/>
      <c r="J296" s="13"/>
      <c r="K296" s="13">
        <v>229</v>
      </c>
      <c r="L296" s="13">
        <v>10</v>
      </c>
      <c r="M296" s="13">
        <v>3</v>
      </c>
      <c r="N296" s="13" t="s">
        <v>3</v>
      </c>
      <c r="O296" s="13">
        <v>2</v>
      </c>
      <c r="P296" s="13">
        <f>ROUND(Source!ER285,O296)</f>
        <v>83461.009999999995</v>
      </c>
      <c r="Q296" s="13"/>
      <c r="R296" s="13"/>
      <c r="S296" s="13"/>
      <c r="T296" s="13"/>
      <c r="U296" s="13"/>
      <c r="V296" s="13"/>
      <c r="W296" s="13">
        <v>8481.81</v>
      </c>
      <c r="X296" s="13">
        <v>1</v>
      </c>
      <c r="Y296" s="13">
        <v>8481.81</v>
      </c>
      <c r="Z296" s="13">
        <v>83461.009999999995</v>
      </c>
      <c r="AA296" s="13">
        <v>1</v>
      </c>
      <c r="AB296" s="13">
        <v>83461.009999999995</v>
      </c>
    </row>
    <row r="297" spans="1:28" x14ac:dyDescent="0.2">
      <c r="A297" s="13">
        <v>50</v>
      </c>
      <c r="B297" s="13">
        <v>0</v>
      </c>
      <c r="C297" s="13">
        <v>0</v>
      </c>
      <c r="D297" s="13">
        <v>1</v>
      </c>
      <c r="E297" s="13">
        <v>203</v>
      </c>
      <c r="F297" s="13">
        <f>ROUND(Source!Q285,O297)</f>
        <v>1518.75</v>
      </c>
      <c r="G297" s="13" t="s">
        <v>95</v>
      </c>
      <c r="H297" s="13" t="s">
        <v>96</v>
      </c>
      <c r="I297" s="13"/>
      <c r="J297" s="13"/>
      <c r="K297" s="13">
        <v>203</v>
      </c>
      <c r="L297" s="13">
        <v>11</v>
      </c>
      <c r="M297" s="13">
        <v>3</v>
      </c>
      <c r="N297" s="13" t="s">
        <v>3</v>
      </c>
      <c r="O297" s="13">
        <v>2</v>
      </c>
      <c r="P297" s="13">
        <f>ROUND(Source!DI285,O297)</f>
        <v>44035.75</v>
      </c>
      <c r="Q297" s="13"/>
      <c r="R297" s="13"/>
      <c r="S297" s="13"/>
      <c r="T297" s="13"/>
      <c r="U297" s="13"/>
      <c r="V297" s="13"/>
      <c r="W297" s="13">
        <v>1518.75</v>
      </c>
      <c r="X297" s="13">
        <v>1</v>
      </c>
      <c r="Y297" s="13">
        <v>1518.75</v>
      </c>
      <c r="Z297" s="13">
        <v>44035.75</v>
      </c>
      <c r="AA297" s="13">
        <v>1</v>
      </c>
      <c r="AB297" s="13">
        <v>44035.75</v>
      </c>
    </row>
    <row r="298" spans="1:28" x14ac:dyDescent="0.2">
      <c r="A298" s="13">
        <v>50</v>
      </c>
      <c r="B298" s="13">
        <v>0</v>
      </c>
      <c r="C298" s="13">
        <v>0</v>
      </c>
      <c r="D298" s="13">
        <v>1</v>
      </c>
      <c r="E298" s="13">
        <v>231</v>
      </c>
      <c r="F298" s="13">
        <f>ROUND(Source!BB285,O298)</f>
        <v>0</v>
      </c>
      <c r="G298" s="13" t="s">
        <v>97</v>
      </c>
      <c r="H298" s="13" t="s">
        <v>98</v>
      </c>
      <c r="I298" s="13"/>
      <c r="J298" s="13"/>
      <c r="K298" s="13">
        <v>231</v>
      </c>
      <c r="L298" s="13">
        <v>12</v>
      </c>
      <c r="M298" s="13">
        <v>3</v>
      </c>
      <c r="N298" s="13" t="s">
        <v>3</v>
      </c>
      <c r="O298" s="13">
        <v>2</v>
      </c>
      <c r="P298" s="13">
        <f>ROUND(Source!ET285,O298)</f>
        <v>0</v>
      </c>
      <c r="Q298" s="13"/>
      <c r="R298" s="13"/>
      <c r="S298" s="13"/>
      <c r="T298" s="13"/>
      <c r="U298" s="13"/>
      <c r="V298" s="13"/>
      <c r="W298" s="13">
        <v>0</v>
      </c>
      <c r="X298" s="13">
        <v>1</v>
      </c>
      <c r="Y298" s="13">
        <v>0</v>
      </c>
      <c r="Z298" s="13">
        <v>0</v>
      </c>
      <c r="AA298" s="13">
        <v>1</v>
      </c>
      <c r="AB298" s="13">
        <v>0</v>
      </c>
    </row>
    <row r="299" spans="1:28" x14ac:dyDescent="0.2">
      <c r="A299" s="13">
        <v>50</v>
      </c>
      <c r="B299" s="13">
        <v>0</v>
      </c>
      <c r="C299" s="13">
        <v>0</v>
      </c>
      <c r="D299" s="13">
        <v>1</v>
      </c>
      <c r="E299" s="13">
        <v>204</v>
      </c>
      <c r="F299" s="13">
        <f>ROUND(Source!R285,O299)</f>
        <v>581.53</v>
      </c>
      <c r="G299" s="13" t="s">
        <v>99</v>
      </c>
      <c r="H299" s="13" t="s">
        <v>100</v>
      </c>
      <c r="I299" s="13"/>
      <c r="J299" s="13"/>
      <c r="K299" s="13">
        <v>204</v>
      </c>
      <c r="L299" s="13">
        <v>13</v>
      </c>
      <c r="M299" s="13">
        <v>3</v>
      </c>
      <c r="N299" s="13" t="s">
        <v>3</v>
      </c>
      <c r="O299" s="13">
        <v>2</v>
      </c>
      <c r="P299" s="13">
        <f>ROUND(Source!DJ285,O299)</f>
        <v>32769.22</v>
      </c>
      <c r="Q299" s="13"/>
      <c r="R299" s="13"/>
      <c r="S299" s="13"/>
      <c r="T299" s="13"/>
      <c r="U299" s="13"/>
      <c r="V299" s="13"/>
      <c r="W299" s="13">
        <v>581.53</v>
      </c>
      <c r="X299" s="13">
        <v>1</v>
      </c>
      <c r="Y299" s="13">
        <v>581.53</v>
      </c>
      <c r="Z299" s="13">
        <v>32769.22</v>
      </c>
      <c r="AA299" s="13">
        <v>1</v>
      </c>
      <c r="AB299" s="13">
        <v>32769.22</v>
      </c>
    </row>
    <row r="300" spans="1:28" x14ac:dyDescent="0.2">
      <c r="A300" s="13">
        <v>50</v>
      </c>
      <c r="B300" s="13">
        <v>0</v>
      </c>
      <c r="C300" s="13">
        <v>0</v>
      </c>
      <c r="D300" s="13">
        <v>1</v>
      </c>
      <c r="E300" s="13">
        <v>205</v>
      </c>
      <c r="F300" s="13">
        <f>ROUND(Source!S285,O300)</f>
        <v>3798.62</v>
      </c>
      <c r="G300" s="13" t="s">
        <v>101</v>
      </c>
      <c r="H300" s="13" t="s">
        <v>102</v>
      </c>
      <c r="I300" s="13"/>
      <c r="J300" s="13"/>
      <c r="K300" s="13">
        <v>205</v>
      </c>
      <c r="L300" s="13">
        <v>14</v>
      </c>
      <c r="M300" s="13">
        <v>3</v>
      </c>
      <c r="N300" s="13" t="s">
        <v>3</v>
      </c>
      <c r="O300" s="13">
        <v>2</v>
      </c>
      <c r="P300" s="13">
        <f>ROUND(Source!DK285,O300)</f>
        <v>214052.24</v>
      </c>
      <c r="Q300" s="13"/>
      <c r="R300" s="13"/>
      <c r="S300" s="13"/>
      <c r="T300" s="13"/>
      <c r="U300" s="13"/>
      <c r="V300" s="13"/>
      <c r="W300" s="13">
        <v>3798.62</v>
      </c>
      <c r="X300" s="13">
        <v>1</v>
      </c>
      <c r="Y300" s="13">
        <v>3798.62</v>
      </c>
      <c r="Z300" s="13">
        <v>214052.24</v>
      </c>
      <c r="AA300" s="13">
        <v>1</v>
      </c>
      <c r="AB300" s="13">
        <v>214052.24</v>
      </c>
    </row>
    <row r="301" spans="1:28" x14ac:dyDescent="0.2">
      <c r="A301" s="13">
        <v>50</v>
      </c>
      <c r="B301" s="13">
        <v>0</v>
      </c>
      <c r="C301" s="13">
        <v>0</v>
      </c>
      <c r="D301" s="13">
        <v>1</v>
      </c>
      <c r="E301" s="13">
        <v>232</v>
      </c>
      <c r="F301" s="13">
        <f>ROUND(Source!BC285,O301)</f>
        <v>0</v>
      </c>
      <c r="G301" s="13" t="s">
        <v>103</v>
      </c>
      <c r="H301" s="13" t="s">
        <v>104</v>
      </c>
      <c r="I301" s="13"/>
      <c r="J301" s="13"/>
      <c r="K301" s="13">
        <v>232</v>
      </c>
      <c r="L301" s="13">
        <v>15</v>
      </c>
      <c r="M301" s="13">
        <v>3</v>
      </c>
      <c r="N301" s="13" t="s">
        <v>3</v>
      </c>
      <c r="O301" s="13">
        <v>2</v>
      </c>
      <c r="P301" s="13">
        <f>ROUND(Source!EU285,O301)</f>
        <v>0</v>
      </c>
      <c r="Q301" s="13"/>
      <c r="R301" s="13"/>
      <c r="S301" s="13"/>
      <c r="T301" s="13"/>
      <c r="U301" s="13"/>
      <c r="V301" s="13"/>
      <c r="W301" s="13">
        <v>0</v>
      </c>
      <c r="X301" s="13">
        <v>1</v>
      </c>
      <c r="Y301" s="13">
        <v>0</v>
      </c>
      <c r="Z301" s="13">
        <v>0</v>
      </c>
      <c r="AA301" s="13">
        <v>1</v>
      </c>
      <c r="AB301" s="13">
        <v>0</v>
      </c>
    </row>
    <row r="302" spans="1:28" x14ac:dyDescent="0.2">
      <c r="A302" s="13">
        <v>50</v>
      </c>
      <c r="B302" s="13">
        <v>0</v>
      </c>
      <c r="C302" s="13">
        <v>0</v>
      </c>
      <c r="D302" s="13">
        <v>1</v>
      </c>
      <c r="E302" s="13">
        <v>214</v>
      </c>
      <c r="F302" s="13">
        <f>ROUND(Source!AS285,O302)</f>
        <v>3087.67</v>
      </c>
      <c r="G302" s="13" t="s">
        <v>105</v>
      </c>
      <c r="H302" s="13" t="s">
        <v>106</v>
      </c>
      <c r="I302" s="13"/>
      <c r="J302" s="13"/>
      <c r="K302" s="13">
        <v>214</v>
      </c>
      <c r="L302" s="13">
        <v>16</v>
      </c>
      <c r="M302" s="13">
        <v>3</v>
      </c>
      <c r="N302" s="13" t="s">
        <v>3</v>
      </c>
      <c r="O302" s="13">
        <v>2</v>
      </c>
      <c r="P302" s="13">
        <f>ROUND(Source!EK285,O302)</f>
        <v>173989.92</v>
      </c>
      <c r="Q302" s="13"/>
      <c r="R302" s="13"/>
      <c r="S302" s="13"/>
      <c r="T302" s="13"/>
      <c r="U302" s="13"/>
      <c r="V302" s="13"/>
      <c r="W302" s="13">
        <v>3087.67</v>
      </c>
      <c r="X302" s="13">
        <v>1</v>
      </c>
      <c r="Y302" s="13">
        <v>3087.67</v>
      </c>
      <c r="Z302" s="13">
        <v>173989.92</v>
      </c>
      <c r="AA302" s="13">
        <v>1</v>
      </c>
      <c r="AB302" s="13">
        <v>173989.92</v>
      </c>
    </row>
    <row r="303" spans="1:28" x14ac:dyDescent="0.2">
      <c r="A303" s="13">
        <v>50</v>
      </c>
      <c r="B303" s="13">
        <v>0</v>
      </c>
      <c r="C303" s="13">
        <v>0</v>
      </c>
      <c r="D303" s="13">
        <v>1</v>
      </c>
      <c r="E303" s="13">
        <v>215</v>
      </c>
      <c r="F303" s="13">
        <f>ROUND(Source!AT285,O303)</f>
        <v>87482.58</v>
      </c>
      <c r="G303" s="13" t="s">
        <v>107</v>
      </c>
      <c r="H303" s="13" t="s">
        <v>108</v>
      </c>
      <c r="I303" s="13"/>
      <c r="J303" s="13"/>
      <c r="K303" s="13">
        <v>215</v>
      </c>
      <c r="L303" s="13">
        <v>17</v>
      </c>
      <c r="M303" s="13">
        <v>3</v>
      </c>
      <c r="N303" s="13" t="s">
        <v>3</v>
      </c>
      <c r="O303" s="13">
        <v>2</v>
      </c>
      <c r="P303" s="13">
        <f>ROUND(Source!EL285,O303)</f>
        <v>670792.41</v>
      </c>
      <c r="Q303" s="13"/>
      <c r="R303" s="13"/>
      <c r="S303" s="13"/>
      <c r="T303" s="13"/>
      <c r="U303" s="13"/>
      <c r="V303" s="13"/>
      <c r="W303" s="13">
        <v>87482.58</v>
      </c>
      <c r="X303" s="13">
        <v>1</v>
      </c>
      <c r="Y303" s="13">
        <v>87482.58</v>
      </c>
      <c r="Z303" s="13">
        <v>670792.41</v>
      </c>
      <c r="AA303" s="13">
        <v>1</v>
      </c>
      <c r="AB303" s="13">
        <v>670792.41</v>
      </c>
    </row>
    <row r="304" spans="1:28" x14ac:dyDescent="0.2">
      <c r="A304" s="13">
        <v>50</v>
      </c>
      <c r="B304" s="13">
        <v>0</v>
      </c>
      <c r="C304" s="13">
        <v>0</v>
      </c>
      <c r="D304" s="13">
        <v>1</v>
      </c>
      <c r="E304" s="13">
        <v>217</v>
      </c>
      <c r="F304" s="13">
        <f>ROUND(Source!AU285,O304)</f>
        <v>0</v>
      </c>
      <c r="G304" s="13" t="s">
        <v>109</v>
      </c>
      <c r="H304" s="13" t="s">
        <v>110</v>
      </c>
      <c r="I304" s="13"/>
      <c r="J304" s="13"/>
      <c r="K304" s="13">
        <v>217</v>
      </c>
      <c r="L304" s="13">
        <v>18</v>
      </c>
      <c r="M304" s="13">
        <v>3</v>
      </c>
      <c r="N304" s="13" t="s">
        <v>3</v>
      </c>
      <c r="O304" s="13">
        <v>2</v>
      </c>
      <c r="P304" s="13">
        <f>ROUND(Source!EM285,O304)</f>
        <v>0</v>
      </c>
      <c r="Q304" s="13"/>
      <c r="R304" s="13"/>
      <c r="S304" s="13"/>
      <c r="T304" s="13"/>
      <c r="U304" s="13"/>
      <c r="V304" s="13"/>
      <c r="W304" s="13">
        <v>0</v>
      </c>
      <c r="X304" s="13">
        <v>1</v>
      </c>
      <c r="Y304" s="13">
        <v>0</v>
      </c>
      <c r="Z304" s="13">
        <v>0</v>
      </c>
      <c r="AA304" s="13">
        <v>1</v>
      </c>
      <c r="AB304" s="13">
        <v>0</v>
      </c>
    </row>
    <row r="305" spans="1:206" x14ac:dyDescent="0.2">
      <c r="A305" s="13">
        <v>50</v>
      </c>
      <c r="B305" s="13">
        <v>0</v>
      </c>
      <c r="C305" s="13">
        <v>0</v>
      </c>
      <c r="D305" s="13">
        <v>1</v>
      </c>
      <c r="E305" s="13">
        <v>230</v>
      </c>
      <c r="F305" s="13">
        <f>ROUND(Source!BA285,O305)</f>
        <v>0</v>
      </c>
      <c r="G305" s="13" t="s">
        <v>111</v>
      </c>
      <c r="H305" s="13" t="s">
        <v>112</v>
      </c>
      <c r="I305" s="13"/>
      <c r="J305" s="13"/>
      <c r="K305" s="13">
        <v>230</v>
      </c>
      <c r="L305" s="13">
        <v>19</v>
      </c>
      <c r="M305" s="13">
        <v>3</v>
      </c>
      <c r="N305" s="13" t="s">
        <v>3</v>
      </c>
      <c r="O305" s="13">
        <v>2</v>
      </c>
      <c r="P305" s="13">
        <f>ROUND(Source!ES285,O305)</f>
        <v>0</v>
      </c>
      <c r="Q305" s="13"/>
      <c r="R305" s="13"/>
      <c r="S305" s="13"/>
      <c r="T305" s="13"/>
      <c r="U305" s="13"/>
      <c r="V305" s="13"/>
      <c r="W305" s="13">
        <v>0</v>
      </c>
      <c r="X305" s="13">
        <v>1</v>
      </c>
      <c r="Y305" s="13">
        <v>0</v>
      </c>
      <c r="Z305" s="13">
        <v>0</v>
      </c>
      <c r="AA305" s="13">
        <v>1</v>
      </c>
      <c r="AB305" s="13">
        <v>0</v>
      </c>
    </row>
    <row r="306" spans="1:206" x14ac:dyDescent="0.2">
      <c r="A306" s="13">
        <v>50</v>
      </c>
      <c r="B306" s="13">
        <v>0</v>
      </c>
      <c r="C306" s="13">
        <v>0</v>
      </c>
      <c r="D306" s="13">
        <v>1</v>
      </c>
      <c r="E306" s="13">
        <v>206</v>
      </c>
      <c r="F306" s="13">
        <f>ROUND(Source!T285,O306)</f>
        <v>0</v>
      </c>
      <c r="G306" s="13" t="s">
        <v>113</v>
      </c>
      <c r="H306" s="13" t="s">
        <v>114</v>
      </c>
      <c r="I306" s="13"/>
      <c r="J306" s="13"/>
      <c r="K306" s="13">
        <v>206</v>
      </c>
      <c r="L306" s="13">
        <v>20</v>
      </c>
      <c r="M306" s="13">
        <v>3</v>
      </c>
      <c r="N306" s="13" t="s">
        <v>3</v>
      </c>
      <c r="O306" s="13">
        <v>2</v>
      </c>
      <c r="P306" s="13">
        <f>ROUND(Source!DL285,O306)</f>
        <v>0</v>
      </c>
      <c r="Q306" s="13"/>
      <c r="R306" s="13"/>
      <c r="S306" s="13"/>
      <c r="T306" s="13"/>
      <c r="U306" s="13"/>
      <c r="V306" s="13"/>
      <c r="W306" s="13">
        <v>0</v>
      </c>
      <c r="X306" s="13">
        <v>1</v>
      </c>
      <c r="Y306" s="13">
        <v>0</v>
      </c>
      <c r="Z306" s="13">
        <v>0</v>
      </c>
      <c r="AA306" s="13">
        <v>1</v>
      </c>
      <c r="AB306" s="13">
        <v>0</v>
      </c>
    </row>
    <row r="307" spans="1:206" x14ac:dyDescent="0.2">
      <c r="A307" s="13">
        <v>50</v>
      </c>
      <c r="B307" s="13">
        <v>0</v>
      </c>
      <c r="C307" s="13">
        <v>0</v>
      </c>
      <c r="D307" s="13">
        <v>1</v>
      </c>
      <c r="E307" s="13">
        <v>207</v>
      </c>
      <c r="F307" s="13">
        <f>Source!U285</f>
        <v>323.30434151999998</v>
      </c>
      <c r="G307" s="13" t="s">
        <v>115</v>
      </c>
      <c r="H307" s="13" t="s">
        <v>116</v>
      </c>
      <c r="I307" s="13"/>
      <c r="J307" s="13"/>
      <c r="K307" s="13">
        <v>207</v>
      </c>
      <c r="L307" s="13">
        <v>21</v>
      </c>
      <c r="M307" s="13">
        <v>3</v>
      </c>
      <c r="N307" s="13" t="s">
        <v>3</v>
      </c>
      <c r="O307" s="13">
        <v>-1</v>
      </c>
      <c r="P307" s="13">
        <f>Source!DM285</f>
        <v>323.30434151999998</v>
      </c>
      <c r="Q307" s="13"/>
      <c r="R307" s="13"/>
      <c r="S307" s="13"/>
      <c r="T307" s="13"/>
      <c r="U307" s="13"/>
      <c r="V307" s="13"/>
      <c r="W307" s="13">
        <v>323.30434152000004</v>
      </c>
      <c r="X307" s="13">
        <v>1</v>
      </c>
      <c r="Y307" s="13">
        <v>323.30434152000004</v>
      </c>
      <c r="Z307" s="13">
        <v>323.30434152000004</v>
      </c>
      <c r="AA307" s="13">
        <v>1</v>
      </c>
      <c r="AB307" s="13">
        <v>323.30434152000004</v>
      </c>
    </row>
    <row r="308" spans="1:206" x14ac:dyDescent="0.2">
      <c r="A308" s="13">
        <v>50</v>
      </c>
      <c r="B308" s="13">
        <v>0</v>
      </c>
      <c r="C308" s="13">
        <v>0</v>
      </c>
      <c r="D308" s="13">
        <v>1</v>
      </c>
      <c r="E308" s="13">
        <v>208</v>
      </c>
      <c r="F308" s="13">
        <f>Source!V285</f>
        <v>0</v>
      </c>
      <c r="G308" s="13" t="s">
        <v>117</v>
      </c>
      <c r="H308" s="13" t="s">
        <v>118</v>
      </c>
      <c r="I308" s="13"/>
      <c r="J308" s="13"/>
      <c r="K308" s="13">
        <v>208</v>
      </c>
      <c r="L308" s="13">
        <v>22</v>
      </c>
      <c r="M308" s="13">
        <v>3</v>
      </c>
      <c r="N308" s="13" t="s">
        <v>3</v>
      </c>
      <c r="O308" s="13">
        <v>-1</v>
      </c>
      <c r="P308" s="13">
        <f>Source!DN285</f>
        <v>0</v>
      </c>
      <c r="Q308" s="13"/>
      <c r="R308" s="13"/>
      <c r="S308" s="13"/>
      <c r="T308" s="13"/>
      <c r="U308" s="13"/>
      <c r="V308" s="13"/>
      <c r="W308" s="13">
        <v>0</v>
      </c>
      <c r="X308" s="13">
        <v>1</v>
      </c>
      <c r="Y308" s="13">
        <v>0</v>
      </c>
      <c r="Z308" s="13">
        <v>0</v>
      </c>
      <c r="AA308" s="13">
        <v>1</v>
      </c>
      <c r="AB308" s="13">
        <v>0</v>
      </c>
    </row>
    <row r="309" spans="1:206" x14ac:dyDescent="0.2">
      <c r="A309" s="13">
        <v>50</v>
      </c>
      <c r="B309" s="13">
        <v>0</v>
      </c>
      <c r="C309" s="13">
        <v>0</v>
      </c>
      <c r="D309" s="13">
        <v>1</v>
      </c>
      <c r="E309" s="13">
        <v>209</v>
      </c>
      <c r="F309" s="13">
        <f>ROUND(Source!W285,O309)</f>
        <v>0</v>
      </c>
      <c r="G309" s="13" t="s">
        <v>119</v>
      </c>
      <c r="H309" s="13" t="s">
        <v>120</v>
      </c>
      <c r="I309" s="13"/>
      <c r="J309" s="13"/>
      <c r="K309" s="13">
        <v>209</v>
      </c>
      <c r="L309" s="13">
        <v>23</v>
      </c>
      <c r="M309" s="13">
        <v>3</v>
      </c>
      <c r="N309" s="13" t="s">
        <v>3</v>
      </c>
      <c r="O309" s="13">
        <v>2</v>
      </c>
      <c r="P309" s="13">
        <f>ROUND(Source!DO285,O309)</f>
        <v>0</v>
      </c>
      <c r="Q309" s="13"/>
      <c r="R309" s="13"/>
      <c r="S309" s="13"/>
      <c r="T309" s="13"/>
      <c r="U309" s="13"/>
      <c r="V309" s="13"/>
      <c r="W309" s="13">
        <v>0</v>
      </c>
      <c r="X309" s="13">
        <v>1</v>
      </c>
      <c r="Y309" s="13">
        <v>0</v>
      </c>
      <c r="Z309" s="13">
        <v>0</v>
      </c>
      <c r="AA309" s="13">
        <v>1</v>
      </c>
      <c r="AB309" s="13">
        <v>0</v>
      </c>
    </row>
    <row r="310" spans="1:206" x14ac:dyDescent="0.2">
      <c r="A310" s="13">
        <v>50</v>
      </c>
      <c r="B310" s="13">
        <v>0</v>
      </c>
      <c r="C310" s="13">
        <v>0</v>
      </c>
      <c r="D310" s="13">
        <v>1</v>
      </c>
      <c r="E310" s="13">
        <v>233</v>
      </c>
      <c r="F310" s="13">
        <f>ROUND(Source!BD285,O310)</f>
        <v>0</v>
      </c>
      <c r="G310" s="13" t="s">
        <v>121</v>
      </c>
      <c r="H310" s="13" t="s">
        <v>122</v>
      </c>
      <c r="I310" s="13"/>
      <c r="J310" s="13"/>
      <c r="K310" s="13">
        <v>233</v>
      </c>
      <c r="L310" s="13">
        <v>24</v>
      </c>
      <c r="M310" s="13">
        <v>3</v>
      </c>
      <c r="N310" s="13" t="s">
        <v>3</v>
      </c>
      <c r="O310" s="13">
        <v>2</v>
      </c>
      <c r="P310" s="13">
        <f>ROUND(Source!EV285,O310)</f>
        <v>0</v>
      </c>
      <c r="Q310" s="13"/>
      <c r="R310" s="13"/>
      <c r="S310" s="13"/>
      <c r="T310" s="13"/>
      <c r="U310" s="13"/>
      <c r="V310" s="13"/>
      <c r="W310" s="13">
        <v>0</v>
      </c>
      <c r="X310" s="13">
        <v>1</v>
      </c>
      <c r="Y310" s="13">
        <v>0</v>
      </c>
      <c r="Z310" s="13">
        <v>0</v>
      </c>
      <c r="AA310" s="13">
        <v>1</v>
      </c>
      <c r="AB310" s="13">
        <v>0</v>
      </c>
    </row>
    <row r="311" spans="1:206" x14ac:dyDescent="0.2">
      <c r="A311" s="13">
        <v>50</v>
      </c>
      <c r="B311" s="13">
        <v>0</v>
      </c>
      <c r="C311" s="13">
        <v>0</v>
      </c>
      <c r="D311" s="13">
        <v>1</v>
      </c>
      <c r="E311" s="13">
        <v>210</v>
      </c>
      <c r="F311" s="13">
        <f>ROUND(Source!X285,O311)</f>
        <v>4161.38</v>
      </c>
      <c r="G311" s="13" t="s">
        <v>123</v>
      </c>
      <c r="H311" s="13" t="s">
        <v>124</v>
      </c>
      <c r="I311" s="13"/>
      <c r="J311" s="13"/>
      <c r="K311" s="13">
        <v>210</v>
      </c>
      <c r="L311" s="13">
        <v>25</v>
      </c>
      <c r="M311" s="13">
        <v>3</v>
      </c>
      <c r="N311" s="13" t="s">
        <v>3</v>
      </c>
      <c r="O311" s="13">
        <v>2</v>
      </c>
      <c r="P311" s="13">
        <f>ROUND(Source!DP285,O311)</f>
        <v>234494.24</v>
      </c>
      <c r="Q311" s="13"/>
      <c r="R311" s="13"/>
      <c r="S311" s="13"/>
      <c r="T311" s="13"/>
      <c r="U311" s="13"/>
      <c r="V311" s="13"/>
      <c r="W311" s="13">
        <v>4161.38</v>
      </c>
      <c r="X311" s="13">
        <v>1</v>
      </c>
      <c r="Y311" s="13">
        <v>4161.38</v>
      </c>
      <c r="Z311" s="13">
        <v>234494.24</v>
      </c>
      <c r="AA311" s="13">
        <v>1</v>
      </c>
      <c r="AB311" s="13">
        <v>234494.24</v>
      </c>
    </row>
    <row r="312" spans="1:206" x14ac:dyDescent="0.2">
      <c r="A312" s="13">
        <v>50</v>
      </c>
      <c r="B312" s="13">
        <v>0</v>
      </c>
      <c r="C312" s="13">
        <v>0</v>
      </c>
      <c r="D312" s="13">
        <v>1</v>
      </c>
      <c r="E312" s="13">
        <v>211</v>
      </c>
      <c r="F312" s="13">
        <f>ROUND(Source!Y285,O312)</f>
        <v>2204.9499999999998</v>
      </c>
      <c r="G312" s="13" t="s">
        <v>125</v>
      </c>
      <c r="H312" s="13" t="s">
        <v>126</v>
      </c>
      <c r="I312" s="13"/>
      <c r="J312" s="13"/>
      <c r="K312" s="13">
        <v>211</v>
      </c>
      <c r="L312" s="13">
        <v>26</v>
      </c>
      <c r="M312" s="13">
        <v>3</v>
      </c>
      <c r="N312" s="13" t="s">
        <v>3</v>
      </c>
      <c r="O312" s="13">
        <v>2</v>
      </c>
      <c r="P312" s="13">
        <f>ROUND(Source!DQ285,O312)</f>
        <v>124249.59</v>
      </c>
      <c r="Q312" s="13"/>
      <c r="R312" s="13"/>
      <c r="S312" s="13"/>
      <c r="T312" s="13"/>
      <c r="U312" s="13"/>
      <c r="V312" s="13"/>
      <c r="W312" s="13">
        <v>2204.9499999999998</v>
      </c>
      <c r="X312" s="13">
        <v>1</v>
      </c>
      <c r="Y312" s="13">
        <v>2204.9499999999998</v>
      </c>
      <c r="Z312" s="13">
        <v>124249.59</v>
      </c>
      <c r="AA312" s="13">
        <v>1</v>
      </c>
      <c r="AB312" s="13">
        <v>124249.59</v>
      </c>
    </row>
    <row r="313" spans="1:206" x14ac:dyDescent="0.2">
      <c r="A313" s="13">
        <v>50</v>
      </c>
      <c r="B313" s="13">
        <v>0</v>
      </c>
      <c r="C313" s="13">
        <v>0</v>
      </c>
      <c r="D313" s="13">
        <v>1</v>
      </c>
      <c r="E313" s="13">
        <v>224</v>
      </c>
      <c r="F313" s="13">
        <f>ROUND(Source!AR285,O313)</f>
        <v>99052.06</v>
      </c>
      <c r="G313" s="13" t="s">
        <v>127</v>
      </c>
      <c r="H313" s="13" t="s">
        <v>128</v>
      </c>
      <c r="I313" s="13"/>
      <c r="J313" s="13"/>
      <c r="K313" s="13">
        <v>224</v>
      </c>
      <c r="L313" s="13">
        <v>27</v>
      </c>
      <c r="M313" s="13">
        <v>3</v>
      </c>
      <c r="N313" s="13" t="s">
        <v>3</v>
      </c>
      <c r="O313" s="13">
        <v>2</v>
      </c>
      <c r="P313" s="13">
        <f>ROUND(Source!EJ285,O313)</f>
        <v>928243.34</v>
      </c>
      <c r="Q313" s="13"/>
      <c r="R313" s="13"/>
      <c r="S313" s="13"/>
      <c r="T313" s="13"/>
      <c r="U313" s="13"/>
      <c r="V313" s="13"/>
      <c r="W313" s="13">
        <v>99052.06</v>
      </c>
      <c r="X313" s="13">
        <v>1</v>
      </c>
      <c r="Y313" s="13">
        <v>99052.06</v>
      </c>
      <c r="Z313" s="13">
        <v>928243.34</v>
      </c>
      <c r="AA313" s="13">
        <v>1</v>
      </c>
      <c r="AB313" s="13">
        <v>928243.34</v>
      </c>
    </row>
    <row r="315" spans="1:206" x14ac:dyDescent="0.2">
      <c r="A315" s="11">
        <v>51</v>
      </c>
      <c r="B315" s="11">
        <f>B12</f>
        <v>354</v>
      </c>
      <c r="C315" s="11">
        <f>A12</f>
        <v>1</v>
      </c>
      <c r="D315" s="11">
        <f>ROW(A12)</f>
        <v>12</v>
      </c>
      <c r="E315" s="11"/>
      <c r="F315" s="11" t="str">
        <f>IF(F12&lt;&gt;"",F12,"")</f>
        <v>02-01-12</v>
      </c>
      <c r="G315" s="11" t="str">
        <f>IF(G12&lt;&gt;"",G12,"")</f>
        <v>02-01-12 СКТ</v>
      </c>
      <c r="H315" s="11">
        <v>0</v>
      </c>
      <c r="I315" s="11"/>
      <c r="J315" s="11"/>
      <c r="K315" s="11"/>
      <c r="L315" s="11"/>
      <c r="M315" s="11"/>
      <c r="N315" s="11"/>
      <c r="O315" s="11">
        <f t="shared" ref="O315:T315" si="256">ROUND(O285,2)</f>
        <v>92685.73</v>
      </c>
      <c r="P315" s="11">
        <f t="shared" si="256"/>
        <v>87368.36</v>
      </c>
      <c r="Q315" s="11">
        <f t="shared" si="256"/>
        <v>1518.75</v>
      </c>
      <c r="R315" s="11">
        <f t="shared" si="256"/>
        <v>581.53</v>
      </c>
      <c r="S315" s="11">
        <f t="shared" si="256"/>
        <v>3798.62</v>
      </c>
      <c r="T315" s="11">
        <f t="shared" si="256"/>
        <v>0</v>
      </c>
      <c r="U315" s="11">
        <f>U285</f>
        <v>323.30434151999998</v>
      </c>
      <c r="V315" s="11">
        <f>V285</f>
        <v>0</v>
      </c>
      <c r="W315" s="11">
        <f>ROUND(W285,2)</f>
        <v>0</v>
      </c>
      <c r="X315" s="11">
        <f>ROUND(X285,2)</f>
        <v>4161.38</v>
      </c>
      <c r="Y315" s="11">
        <f>ROUND(Y285,2)</f>
        <v>2204.9499999999998</v>
      </c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>
        <f t="shared" ref="AO315:BD315" si="257">ROUND(AO285,2)</f>
        <v>0</v>
      </c>
      <c r="AP315" s="11">
        <f t="shared" si="257"/>
        <v>8481.81</v>
      </c>
      <c r="AQ315" s="11">
        <f t="shared" si="257"/>
        <v>0</v>
      </c>
      <c r="AR315" s="11">
        <f t="shared" si="257"/>
        <v>99052.06</v>
      </c>
      <c r="AS315" s="11">
        <f t="shared" si="257"/>
        <v>3087.67</v>
      </c>
      <c r="AT315" s="11">
        <f t="shared" si="257"/>
        <v>87482.58</v>
      </c>
      <c r="AU315" s="11">
        <f t="shared" si="257"/>
        <v>0</v>
      </c>
      <c r="AV315" s="11">
        <f t="shared" si="257"/>
        <v>87368.36</v>
      </c>
      <c r="AW315" s="11">
        <f t="shared" si="257"/>
        <v>78886.55</v>
      </c>
      <c r="AX315" s="11">
        <f t="shared" si="257"/>
        <v>0</v>
      </c>
      <c r="AY315" s="11">
        <f t="shared" si="257"/>
        <v>78886.55</v>
      </c>
      <c r="AZ315" s="11">
        <f t="shared" si="257"/>
        <v>8481.81</v>
      </c>
      <c r="BA315" s="11">
        <f t="shared" si="257"/>
        <v>0</v>
      </c>
      <c r="BB315" s="11">
        <f t="shared" si="257"/>
        <v>0</v>
      </c>
      <c r="BC315" s="11">
        <f t="shared" si="257"/>
        <v>0</v>
      </c>
      <c r="BD315" s="11">
        <f t="shared" si="257"/>
        <v>0</v>
      </c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2">
        <f t="shared" ref="DG315:DL315" si="258">ROUND(DG285,2)</f>
        <v>569499.51</v>
      </c>
      <c r="DH315" s="12">
        <f t="shared" si="258"/>
        <v>311411.52</v>
      </c>
      <c r="DI315" s="12">
        <f t="shared" si="258"/>
        <v>44035.75</v>
      </c>
      <c r="DJ315" s="12">
        <f t="shared" si="258"/>
        <v>32769.22</v>
      </c>
      <c r="DK315" s="12">
        <f t="shared" si="258"/>
        <v>214052.24</v>
      </c>
      <c r="DL315" s="12">
        <f t="shared" si="258"/>
        <v>0</v>
      </c>
      <c r="DM315" s="12">
        <f>DM285</f>
        <v>323.30434151999998</v>
      </c>
      <c r="DN315" s="12">
        <f>DN285</f>
        <v>0</v>
      </c>
      <c r="DO315" s="12">
        <f>ROUND(DO285,2)</f>
        <v>0</v>
      </c>
      <c r="DP315" s="12">
        <f>ROUND(DP285,2)</f>
        <v>234494.24</v>
      </c>
      <c r="DQ315" s="12">
        <f>ROUND(DQ285,2)</f>
        <v>124249.59</v>
      </c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>
        <f t="shared" ref="EG315:EV315" si="259">ROUND(EG285,2)</f>
        <v>0</v>
      </c>
      <c r="EH315" s="12">
        <f t="shared" si="259"/>
        <v>83461.009999999995</v>
      </c>
      <c r="EI315" s="12">
        <f t="shared" si="259"/>
        <v>0</v>
      </c>
      <c r="EJ315" s="12">
        <f t="shared" si="259"/>
        <v>928243.34</v>
      </c>
      <c r="EK315" s="12">
        <f t="shared" si="259"/>
        <v>173989.92</v>
      </c>
      <c r="EL315" s="12">
        <f t="shared" si="259"/>
        <v>670792.41</v>
      </c>
      <c r="EM315" s="12">
        <f t="shared" si="259"/>
        <v>0</v>
      </c>
      <c r="EN315" s="12">
        <f t="shared" si="259"/>
        <v>311411.52</v>
      </c>
      <c r="EO315" s="12">
        <f t="shared" si="259"/>
        <v>227950.51</v>
      </c>
      <c r="EP315" s="12">
        <f t="shared" si="259"/>
        <v>0</v>
      </c>
      <c r="EQ315" s="12">
        <f t="shared" si="259"/>
        <v>227950.51</v>
      </c>
      <c r="ER315" s="12">
        <f t="shared" si="259"/>
        <v>83461.009999999995</v>
      </c>
      <c r="ES315" s="12">
        <f t="shared" si="259"/>
        <v>0</v>
      </c>
      <c r="ET315" s="12">
        <f t="shared" si="259"/>
        <v>0</v>
      </c>
      <c r="EU315" s="12">
        <f t="shared" si="259"/>
        <v>0</v>
      </c>
      <c r="EV315" s="12">
        <f t="shared" si="259"/>
        <v>0</v>
      </c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  <c r="GU315" s="12"/>
      <c r="GV315" s="12"/>
      <c r="GW315" s="12"/>
      <c r="GX315" s="12">
        <v>0</v>
      </c>
    </row>
    <row r="317" spans="1:206" x14ac:dyDescent="0.2">
      <c r="A317" s="13">
        <v>50</v>
      </c>
      <c r="B317" s="13">
        <v>0</v>
      </c>
      <c r="C317" s="13">
        <v>0</v>
      </c>
      <c r="D317" s="13">
        <v>1</v>
      </c>
      <c r="E317" s="13">
        <v>201</v>
      </c>
      <c r="F317" s="13">
        <f>ROUND(Source!O315,O317)</f>
        <v>92685.73</v>
      </c>
      <c r="G317" s="13" t="s">
        <v>75</v>
      </c>
      <c r="H317" s="13" t="s">
        <v>76</v>
      </c>
      <c r="I317" s="13"/>
      <c r="J317" s="13"/>
      <c r="K317" s="13">
        <v>201</v>
      </c>
      <c r="L317" s="13">
        <v>1</v>
      </c>
      <c r="M317" s="13">
        <v>3</v>
      </c>
      <c r="N317" s="13" t="s">
        <v>3</v>
      </c>
      <c r="O317" s="13">
        <v>2</v>
      </c>
      <c r="P317" s="13">
        <f>ROUND(Source!DG315,O317)</f>
        <v>569499.51</v>
      </c>
      <c r="Q317" s="13"/>
      <c r="R317" s="13"/>
      <c r="S317" s="13"/>
      <c r="T317" s="13"/>
      <c r="U317" s="13"/>
      <c r="V317" s="13"/>
      <c r="W317" s="13">
        <v>92685.73</v>
      </c>
      <c r="X317" s="13">
        <v>1</v>
      </c>
      <c r="Y317" s="13">
        <v>92685.73</v>
      </c>
      <c r="Z317" s="13">
        <v>569499.51</v>
      </c>
      <c r="AA317" s="13">
        <v>1</v>
      </c>
      <c r="AB317" s="13">
        <v>569499.51</v>
      </c>
    </row>
    <row r="318" spans="1:206" x14ac:dyDescent="0.2">
      <c r="A318" s="13">
        <v>50</v>
      </c>
      <c r="B318" s="13">
        <v>0</v>
      </c>
      <c r="C318" s="13">
        <v>0</v>
      </c>
      <c r="D318" s="13">
        <v>1</v>
      </c>
      <c r="E318" s="13">
        <v>202</v>
      </c>
      <c r="F318" s="13">
        <f>ROUND(Source!P315,O318)</f>
        <v>87368.36</v>
      </c>
      <c r="G318" s="13" t="s">
        <v>77</v>
      </c>
      <c r="H318" s="13" t="s">
        <v>78</v>
      </c>
      <c r="I318" s="13"/>
      <c r="J318" s="13"/>
      <c r="K318" s="13">
        <v>202</v>
      </c>
      <c r="L318" s="13">
        <v>2</v>
      </c>
      <c r="M318" s="13">
        <v>3</v>
      </c>
      <c r="N318" s="13" t="s">
        <v>3</v>
      </c>
      <c r="O318" s="13">
        <v>2</v>
      </c>
      <c r="P318" s="13">
        <f>ROUND(Source!DH315,O318)</f>
        <v>311411.52</v>
      </c>
      <c r="Q318" s="13"/>
      <c r="R318" s="13"/>
      <c r="S318" s="13"/>
      <c r="T318" s="13"/>
      <c r="U318" s="13"/>
      <c r="V318" s="13"/>
      <c r="W318" s="13">
        <v>87368.36</v>
      </c>
      <c r="X318" s="13">
        <v>1</v>
      </c>
      <c r="Y318" s="13">
        <v>87368.36</v>
      </c>
      <c r="Z318" s="13">
        <v>311411.52</v>
      </c>
      <c r="AA318" s="13">
        <v>1</v>
      </c>
      <c r="AB318" s="13">
        <v>311411.52</v>
      </c>
    </row>
    <row r="319" spans="1:206" x14ac:dyDescent="0.2">
      <c r="A319" s="13">
        <v>50</v>
      </c>
      <c r="B319" s="13">
        <v>0</v>
      </c>
      <c r="C319" s="13">
        <v>0</v>
      </c>
      <c r="D319" s="13">
        <v>1</v>
      </c>
      <c r="E319" s="13">
        <v>222</v>
      </c>
      <c r="F319" s="13">
        <f>ROUND(Source!AO315,O319)</f>
        <v>0</v>
      </c>
      <c r="G319" s="13" t="s">
        <v>79</v>
      </c>
      <c r="H319" s="13" t="s">
        <v>80</v>
      </c>
      <c r="I319" s="13"/>
      <c r="J319" s="13"/>
      <c r="K319" s="13">
        <v>222</v>
      </c>
      <c r="L319" s="13">
        <v>3</v>
      </c>
      <c r="M319" s="13">
        <v>3</v>
      </c>
      <c r="N319" s="13" t="s">
        <v>3</v>
      </c>
      <c r="O319" s="13">
        <v>2</v>
      </c>
      <c r="P319" s="13">
        <f>ROUND(Source!EG315,O319)</f>
        <v>0</v>
      </c>
      <c r="Q319" s="13"/>
      <c r="R319" s="13"/>
      <c r="S319" s="13"/>
      <c r="T319" s="13"/>
      <c r="U319" s="13"/>
      <c r="V319" s="13"/>
      <c r="W319" s="13">
        <v>0</v>
      </c>
      <c r="X319" s="13">
        <v>1</v>
      </c>
      <c r="Y319" s="13">
        <v>0</v>
      </c>
      <c r="Z319" s="13">
        <v>0</v>
      </c>
      <c r="AA319" s="13">
        <v>1</v>
      </c>
      <c r="AB319" s="13">
        <v>0</v>
      </c>
    </row>
    <row r="320" spans="1:206" x14ac:dyDescent="0.2">
      <c r="A320" s="13">
        <v>50</v>
      </c>
      <c r="B320" s="13">
        <v>0</v>
      </c>
      <c r="C320" s="13">
        <v>0</v>
      </c>
      <c r="D320" s="13">
        <v>1</v>
      </c>
      <c r="E320" s="13">
        <v>225</v>
      </c>
      <c r="F320" s="13">
        <f>ROUND(Source!AV315,O320)</f>
        <v>87368.36</v>
      </c>
      <c r="G320" s="13" t="s">
        <v>81</v>
      </c>
      <c r="H320" s="13" t="s">
        <v>82</v>
      </c>
      <c r="I320" s="13"/>
      <c r="J320" s="13"/>
      <c r="K320" s="13">
        <v>225</v>
      </c>
      <c r="L320" s="13">
        <v>4</v>
      </c>
      <c r="M320" s="13">
        <v>3</v>
      </c>
      <c r="N320" s="13" t="s">
        <v>3</v>
      </c>
      <c r="O320" s="13">
        <v>2</v>
      </c>
      <c r="P320" s="13">
        <f>ROUND(Source!EN315,O320)</f>
        <v>311411.52</v>
      </c>
      <c r="Q320" s="13"/>
      <c r="R320" s="13"/>
      <c r="S320" s="13"/>
      <c r="T320" s="13"/>
      <c r="U320" s="13"/>
      <c r="V320" s="13"/>
      <c r="W320" s="13">
        <v>87368.36</v>
      </c>
      <c r="X320" s="13">
        <v>1</v>
      </c>
      <c r="Y320" s="13">
        <v>87368.36</v>
      </c>
      <c r="Z320" s="13">
        <v>311411.52</v>
      </c>
      <c r="AA320" s="13">
        <v>1</v>
      </c>
      <c r="AB320" s="13">
        <v>311411.52</v>
      </c>
    </row>
    <row r="321" spans="1:28" x14ac:dyDescent="0.2">
      <c r="A321" s="13">
        <v>50</v>
      </c>
      <c r="B321" s="13">
        <v>0</v>
      </c>
      <c r="C321" s="13">
        <v>0</v>
      </c>
      <c r="D321" s="13">
        <v>1</v>
      </c>
      <c r="E321" s="13">
        <v>226</v>
      </c>
      <c r="F321" s="13">
        <f>ROUND(Source!AW315,O321)</f>
        <v>78886.55</v>
      </c>
      <c r="G321" s="13" t="s">
        <v>83</v>
      </c>
      <c r="H321" s="13" t="s">
        <v>84</v>
      </c>
      <c r="I321" s="13"/>
      <c r="J321" s="13"/>
      <c r="K321" s="13">
        <v>226</v>
      </c>
      <c r="L321" s="13">
        <v>5</v>
      </c>
      <c r="M321" s="13">
        <v>3</v>
      </c>
      <c r="N321" s="13" t="s">
        <v>3</v>
      </c>
      <c r="O321" s="13">
        <v>2</v>
      </c>
      <c r="P321" s="13">
        <f>ROUND(Source!EO315,O321)</f>
        <v>227950.51</v>
      </c>
      <c r="Q321" s="13"/>
      <c r="R321" s="13"/>
      <c r="S321" s="13"/>
      <c r="T321" s="13"/>
      <c r="U321" s="13"/>
      <c r="V321" s="13"/>
      <c r="W321" s="13">
        <v>78886.55</v>
      </c>
      <c r="X321" s="13">
        <v>1</v>
      </c>
      <c r="Y321" s="13">
        <v>78886.55</v>
      </c>
      <c r="Z321" s="13">
        <v>227950.51</v>
      </c>
      <c r="AA321" s="13">
        <v>1</v>
      </c>
      <c r="AB321" s="13">
        <v>227950.51</v>
      </c>
    </row>
    <row r="322" spans="1:28" x14ac:dyDescent="0.2">
      <c r="A322" s="13">
        <v>50</v>
      </c>
      <c r="B322" s="13">
        <v>0</v>
      </c>
      <c r="C322" s="13">
        <v>0</v>
      </c>
      <c r="D322" s="13">
        <v>1</v>
      </c>
      <c r="E322" s="13">
        <v>227</v>
      </c>
      <c r="F322" s="13">
        <f>ROUND(Source!AX315,O322)</f>
        <v>0</v>
      </c>
      <c r="G322" s="13" t="s">
        <v>85</v>
      </c>
      <c r="H322" s="13" t="s">
        <v>86</v>
      </c>
      <c r="I322" s="13"/>
      <c r="J322" s="13"/>
      <c r="K322" s="13">
        <v>227</v>
      </c>
      <c r="L322" s="13">
        <v>6</v>
      </c>
      <c r="M322" s="13">
        <v>3</v>
      </c>
      <c r="N322" s="13" t="s">
        <v>3</v>
      </c>
      <c r="O322" s="13">
        <v>2</v>
      </c>
      <c r="P322" s="13">
        <f>ROUND(Source!EP315,O322)</f>
        <v>0</v>
      </c>
      <c r="Q322" s="13"/>
      <c r="R322" s="13"/>
      <c r="S322" s="13"/>
      <c r="T322" s="13"/>
      <c r="U322" s="13"/>
      <c r="V322" s="13"/>
      <c r="W322" s="13">
        <v>0</v>
      </c>
      <c r="X322" s="13">
        <v>1</v>
      </c>
      <c r="Y322" s="13">
        <v>0</v>
      </c>
      <c r="Z322" s="13">
        <v>0</v>
      </c>
      <c r="AA322" s="13">
        <v>1</v>
      </c>
      <c r="AB322" s="13">
        <v>0</v>
      </c>
    </row>
    <row r="323" spans="1:28" x14ac:dyDescent="0.2">
      <c r="A323" s="13">
        <v>50</v>
      </c>
      <c r="B323" s="13">
        <v>0</v>
      </c>
      <c r="C323" s="13">
        <v>0</v>
      </c>
      <c r="D323" s="13">
        <v>1</v>
      </c>
      <c r="E323" s="13">
        <v>228</v>
      </c>
      <c r="F323" s="13">
        <f>ROUND(Source!AY315,O323)</f>
        <v>78886.55</v>
      </c>
      <c r="G323" s="13" t="s">
        <v>87</v>
      </c>
      <c r="H323" s="13" t="s">
        <v>88</v>
      </c>
      <c r="I323" s="13"/>
      <c r="J323" s="13"/>
      <c r="K323" s="13">
        <v>228</v>
      </c>
      <c r="L323" s="13">
        <v>7</v>
      </c>
      <c r="M323" s="13">
        <v>3</v>
      </c>
      <c r="N323" s="13" t="s">
        <v>3</v>
      </c>
      <c r="O323" s="13">
        <v>2</v>
      </c>
      <c r="P323" s="13">
        <f>ROUND(Source!EQ315,O323)</f>
        <v>227950.51</v>
      </c>
      <c r="Q323" s="13"/>
      <c r="R323" s="13"/>
      <c r="S323" s="13"/>
      <c r="T323" s="13"/>
      <c r="U323" s="13"/>
      <c r="V323" s="13"/>
      <c r="W323" s="13">
        <v>78886.55</v>
      </c>
      <c r="X323" s="13">
        <v>1</v>
      </c>
      <c r="Y323" s="13">
        <v>78886.55</v>
      </c>
      <c r="Z323" s="13">
        <v>227950.51</v>
      </c>
      <c r="AA323" s="13">
        <v>1</v>
      </c>
      <c r="AB323" s="13">
        <v>227950.51</v>
      </c>
    </row>
    <row r="324" spans="1:28" x14ac:dyDescent="0.2">
      <c r="A324" s="13">
        <v>50</v>
      </c>
      <c r="B324" s="13">
        <v>0</v>
      </c>
      <c r="C324" s="13">
        <v>0</v>
      </c>
      <c r="D324" s="13">
        <v>1</v>
      </c>
      <c r="E324" s="13">
        <v>216</v>
      </c>
      <c r="F324" s="13">
        <f>ROUND(Source!AP315,O324)</f>
        <v>8481.81</v>
      </c>
      <c r="G324" s="13" t="s">
        <v>89</v>
      </c>
      <c r="H324" s="13" t="s">
        <v>90</v>
      </c>
      <c r="I324" s="13"/>
      <c r="J324" s="13"/>
      <c r="K324" s="13">
        <v>216</v>
      </c>
      <c r="L324" s="13">
        <v>8</v>
      </c>
      <c r="M324" s="13">
        <v>3</v>
      </c>
      <c r="N324" s="13" t="s">
        <v>3</v>
      </c>
      <c r="O324" s="13">
        <v>2</v>
      </c>
      <c r="P324" s="13">
        <f>ROUND(Source!EH315,O324)</f>
        <v>83461.009999999995</v>
      </c>
      <c r="Q324" s="13"/>
      <c r="R324" s="13"/>
      <c r="S324" s="13"/>
      <c r="T324" s="13"/>
      <c r="U324" s="13"/>
      <c r="V324" s="13"/>
      <c r="W324" s="13">
        <v>8481.81</v>
      </c>
      <c r="X324" s="13">
        <v>1</v>
      </c>
      <c r="Y324" s="13">
        <v>8481.81</v>
      </c>
      <c r="Z324" s="13">
        <v>83461.009999999995</v>
      </c>
      <c r="AA324" s="13">
        <v>1</v>
      </c>
      <c r="AB324" s="13">
        <v>83461.009999999995</v>
      </c>
    </row>
    <row r="325" spans="1:28" x14ac:dyDescent="0.2">
      <c r="A325" s="13">
        <v>50</v>
      </c>
      <c r="B325" s="13">
        <v>0</v>
      </c>
      <c r="C325" s="13">
        <v>0</v>
      </c>
      <c r="D325" s="13">
        <v>1</v>
      </c>
      <c r="E325" s="13">
        <v>223</v>
      </c>
      <c r="F325" s="13">
        <f>ROUND(Source!AQ315,O325)</f>
        <v>0</v>
      </c>
      <c r="G325" s="13" t="s">
        <v>91</v>
      </c>
      <c r="H325" s="13" t="s">
        <v>92</v>
      </c>
      <c r="I325" s="13"/>
      <c r="J325" s="13"/>
      <c r="K325" s="13">
        <v>223</v>
      </c>
      <c r="L325" s="13">
        <v>9</v>
      </c>
      <c r="M325" s="13">
        <v>3</v>
      </c>
      <c r="N325" s="13" t="s">
        <v>3</v>
      </c>
      <c r="O325" s="13">
        <v>2</v>
      </c>
      <c r="P325" s="13">
        <f>ROUND(Source!EI315,O325)</f>
        <v>0</v>
      </c>
      <c r="Q325" s="13"/>
      <c r="R325" s="13"/>
      <c r="S325" s="13"/>
      <c r="T325" s="13"/>
      <c r="U325" s="13"/>
      <c r="V325" s="13"/>
      <c r="W325" s="13">
        <v>0</v>
      </c>
      <c r="X325" s="13">
        <v>1</v>
      </c>
      <c r="Y325" s="13">
        <v>0</v>
      </c>
      <c r="Z325" s="13">
        <v>0</v>
      </c>
      <c r="AA325" s="13">
        <v>1</v>
      </c>
      <c r="AB325" s="13">
        <v>0</v>
      </c>
    </row>
    <row r="326" spans="1:28" x14ac:dyDescent="0.2">
      <c r="A326" s="13">
        <v>50</v>
      </c>
      <c r="B326" s="13">
        <v>0</v>
      </c>
      <c r="C326" s="13">
        <v>0</v>
      </c>
      <c r="D326" s="13">
        <v>1</v>
      </c>
      <c r="E326" s="13">
        <v>229</v>
      </c>
      <c r="F326" s="13">
        <f>ROUND(Source!AZ315,O326)</f>
        <v>8481.81</v>
      </c>
      <c r="G326" s="13" t="s">
        <v>93</v>
      </c>
      <c r="H326" s="13" t="s">
        <v>94</v>
      </c>
      <c r="I326" s="13"/>
      <c r="J326" s="13"/>
      <c r="K326" s="13">
        <v>229</v>
      </c>
      <c r="L326" s="13">
        <v>10</v>
      </c>
      <c r="M326" s="13">
        <v>3</v>
      </c>
      <c r="N326" s="13" t="s">
        <v>3</v>
      </c>
      <c r="O326" s="13">
        <v>2</v>
      </c>
      <c r="P326" s="13">
        <f>ROUND(Source!ER315,O326)</f>
        <v>83461.009999999995</v>
      </c>
      <c r="Q326" s="13"/>
      <c r="R326" s="13"/>
      <c r="S326" s="13"/>
      <c r="T326" s="13"/>
      <c r="U326" s="13"/>
      <c r="V326" s="13"/>
      <c r="W326" s="13">
        <v>8481.81</v>
      </c>
      <c r="X326" s="13">
        <v>1</v>
      </c>
      <c r="Y326" s="13">
        <v>8481.81</v>
      </c>
      <c r="Z326" s="13">
        <v>83461.009999999995</v>
      </c>
      <c r="AA326" s="13">
        <v>1</v>
      </c>
      <c r="AB326" s="13">
        <v>83461.009999999995</v>
      </c>
    </row>
    <row r="327" spans="1:28" x14ac:dyDescent="0.2">
      <c r="A327" s="13">
        <v>50</v>
      </c>
      <c r="B327" s="13">
        <v>0</v>
      </c>
      <c r="C327" s="13">
        <v>0</v>
      </c>
      <c r="D327" s="13">
        <v>1</v>
      </c>
      <c r="E327" s="13">
        <v>203</v>
      </c>
      <c r="F327" s="13">
        <f>ROUND(Source!Q315,O327)</f>
        <v>1518.75</v>
      </c>
      <c r="G327" s="13" t="s">
        <v>95</v>
      </c>
      <c r="H327" s="13" t="s">
        <v>96</v>
      </c>
      <c r="I327" s="13"/>
      <c r="J327" s="13"/>
      <c r="K327" s="13">
        <v>203</v>
      </c>
      <c r="L327" s="13">
        <v>11</v>
      </c>
      <c r="M327" s="13">
        <v>3</v>
      </c>
      <c r="N327" s="13" t="s">
        <v>3</v>
      </c>
      <c r="O327" s="13">
        <v>2</v>
      </c>
      <c r="P327" s="13">
        <f>ROUND(Source!DI315,O327)</f>
        <v>44035.75</v>
      </c>
      <c r="Q327" s="13"/>
      <c r="R327" s="13"/>
      <c r="S327" s="13"/>
      <c r="T327" s="13"/>
      <c r="U327" s="13"/>
      <c r="V327" s="13"/>
      <c r="W327" s="13">
        <v>1518.75</v>
      </c>
      <c r="X327" s="13">
        <v>1</v>
      </c>
      <c r="Y327" s="13">
        <v>1518.75</v>
      </c>
      <c r="Z327" s="13">
        <v>44035.75</v>
      </c>
      <c r="AA327" s="13">
        <v>1</v>
      </c>
      <c r="AB327" s="13">
        <v>44035.75</v>
      </c>
    </row>
    <row r="328" spans="1:28" x14ac:dyDescent="0.2">
      <c r="A328" s="13">
        <v>50</v>
      </c>
      <c r="B328" s="13">
        <v>0</v>
      </c>
      <c r="C328" s="13">
        <v>0</v>
      </c>
      <c r="D328" s="13">
        <v>1</v>
      </c>
      <c r="E328" s="13">
        <v>231</v>
      </c>
      <c r="F328" s="13">
        <f>ROUND(Source!BB315,O328)</f>
        <v>0</v>
      </c>
      <c r="G328" s="13" t="s">
        <v>97</v>
      </c>
      <c r="H328" s="13" t="s">
        <v>98</v>
      </c>
      <c r="I328" s="13"/>
      <c r="J328" s="13"/>
      <c r="K328" s="13">
        <v>231</v>
      </c>
      <c r="L328" s="13">
        <v>12</v>
      </c>
      <c r="M328" s="13">
        <v>3</v>
      </c>
      <c r="N328" s="13" t="s">
        <v>3</v>
      </c>
      <c r="O328" s="13">
        <v>2</v>
      </c>
      <c r="P328" s="13">
        <f>ROUND(Source!ET315,O328)</f>
        <v>0</v>
      </c>
      <c r="Q328" s="13"/>
      <c r="R328" s="13"/>
      <c r="S328" s="13"/>
      <c r="T328" s="13"/>
      <c r="U328" s="13"/>
      <c r="V328" s="13"/>
      <c r="W328" s="13">
        <v>0</v>
      </c>
      <c r="X328" s="13">
        <v>1</v>
      </c>
      <c r="Y328" s="13">
        <v>0</v>
      </c>
      <c r="Z328" s="13">
        <v>0</v>
      </c>
      <c r="AA328" s="13">
        <v>1</v>
      </c>
      <c r="AB328" s="13">
        <v>0</v>
      </c>
    </row>
    <row r="329" spans="1:28" x14ac:dyDescent="0.2">
      <c r="A329" s="13">
        <v>50</v>
      </c>
      <c r="B329" s="13">
        <v>0</v>
      </c>
      <c r="C329" s="13">
        <v>0</v>
      </c>
      <c r="D329" s="13">
        <v>1</v>
      </c>
      <c r="E329" s="13">
        <v>204</v>
      </c>
      <c r="F329" s="13">
        <f>ROUND(Source!R315,O329)</f>
        <v>581.53</v>
      </c>
      <c r="G329" s="13" t="s">
        <v>99</v>
      </c>
      <c r="H329" s="13" t="s">
        <v>100</v>
      </c>
      <c r="I329" s="13"/>
      <c r="J329" s="13"/>
      <c r="K329" s="13">
        <v>204</v>
      </c>
      <c r="L329" s="13">
        <v>13</v>
      </c>
      <c r="M329" s="13">
        <v>3</v>
      </c>
      <c r="N329" s="13" t="s">
        <v>3</v>
      </c>
      <c r="O329" s="13">
        <v>2</v>
      </c>
      <c r="P329" s="13">
        <f>ROUND(Source!DJ315,O329)</f>
        <v>32769.22</v>
      </c>
      <c r="Q329" s="13"/>
      <c r="R329" s="13"/>
      <c r="S329" s="13"/>
      <c r="T329" s="13"/>
      <c r="U329" s="13"/>
      <c r="V329" s="13"/>
      <c r="W329" s="13">
        <v>581.53</v>
      </c>
      <c r="X329" s="13">
        <v>1</v>
      </c>
      <c r="Y329" s="13">
        <v>581.53</v>
      </c>
      <c r="Z329" s="13">
        <v>32769.22</v>
      </c>
      <c r="AA329" s="13">
        <v>1</v>
      </c>
      <c r="AB329" s="13">
        <v>32769.22</v>
      </c>
    </row>
    <row r="330" spans="1:28" x14ac:dyDescent="0.2">
      <c r="A330" s="13">
        <v>50</v>
      </c>
      <c r="B330" s="13">
        <v>0</v>
      </c>
      <c r="C330" s="13">
        <v>0</v>
      </c>
      <c r="D330" s="13">
        <v>1</v>
      </c>
      <c r="E330" s="13">
        <v>205</v>
      </c>
      <c r="F330" s="13">
        <f>ROUND(Source!S315,O330)</f>
        <v>3798.62</v>
      </c>
      <c r="G330" s="13" t="s">
        <v>101</v>
      </c>
      <c r="H330" s="13" t="s">
        <v>102</v>
      </c>
      <c r="I330" s="13"/>
      <c r="J330" s="13"/>
      <c r="K330" s="13">
        <v>205</v>
      </c>
      <c r="L330" s="13">
        <v>14</v>
      </c>
      <c r="M330" s="13">
        <v>3</v>
      </c>
      <c r="N330" s="13" t="s">
        <v>3</v>
      </c>
      <c r="O330" s="13">
        <v>2</v>
      </c>
      <c r="P330" s="13">
        <f>ROUND(Source!DK315,O330)</f>
        <v>214052.24</v>
      </c>
      <c r="Q330" s="13"/>
      <c r="R330" s="13"/>
      <c r="S330" s="13"/>
      <c r="T330" s="13"/>
      <c r="U330" s="13"/>
      <c r="V330" s="13"/>
      <c r="W330" s="13">
        <v>3798.62</v>
      </c>
      <c r="X330" s="13">
        <v>1</v>
      </c>
      <c r="Y330" s="13">
        <v>3798.62</v>
      </c>
      <c r="Z330" s="13">
        <v>214052.24</v>
      </c>
      <c r="AA330" s="13">
        <v>1</v>
      </c>
      <c r="AB330" s="13">
        <v>214052.24</v>
      </c>
    </row>
    <row r="331" spans="1:28" x14ac:dyDescent="0.2">
      <c r="A331" s="13">
        <v>50</v>
      </c>
      <c r="B331" s="13">
        <v>0</v>
      </c>
      <c r="C331" s="13">
        <v>0</v>
      </c>
      <c r="D331" s="13">
        <v>1</v>
      </c>
      <c r="E331" s="13">
        <v>232</v>
      </c>
      <c r="F331" s="13">
        <f>ROUND(Source!BC315,O331)</f>
        <v>0</v>
      </c>
      <c r="G331" s="13" t="s">
        <v>103</v>
      </c>
      <c r="H331" s="13" t="s">
        <v>104</v>
      </c>
      <c r="I331" s="13"/>
      <c r="J331" s="13"/>
      <c r="K331" s="13">
        <v>232</v>
      </c>
      <c r="L331" s="13">
        <v>15</v>
      </c>
      <c r="M331" s="13">
        <v>3</v>
      </c>
      <c r="N331" s="13" t="s">
        <v>3</v>
      </c>
      <c r="O331" s="13">
        <v>2</v>
      </c>
      <c r="P331" s="13">
        <f>ROUND(Source!EU315,O331)</f>
        <v>0</v>
      </c>
      <c r="Q331" s="13"/>
      <c r="R331" s="13"/>
      <c r="S331" s="13"/>
      <c r="T331" s="13"/>
      <c r="U331" s="13"/>
      <c r="V331" s="13"/>
      <c r="W331" s="13">
        <v>0</v>
      </c>
      <c r="X331" s="13">
        <v>1</v>
      </c>
      <c r="Y331" s="13">
        <v>0</v>
      </c>
      <c r="Z331" s="13">
        <v>0</v>
      </c>
      <c r="AA331" s="13">
        <v>1</v>
      </c>
      <c r="AB331" s="13">
        <v>0</v>
      </c>
    </row>
    <row r="332" spans="1:28" x14ac:dyDescent="0.2">
      <c r="A332" s="13">
        <v>50</v>
      </c>
      <c r="B332" s="13">
        <v>0</v>
      </c>
      <c r="C332" s="13">
        <v>0</v>
      </c>
      <c r="D332" s="13">
        <v>1</v>
      </c>
      <c r="E332" s="13">
        <v>214</v>
      </c>
      <c r="F332" s="13">
        <f>ROUND(Source!AS315,O332)</f>
        <v>3087.67</v>
      </c>
      <c r="G332" s="13" t="s">
        <v>105</v>
      </c>
      <c r="H332" s="13" t="s">
        <v>106</v>
      </c>
      <c r="I332" s="13"/>
      <c r="J332" s="13"/>
      <c r="K332" s="13">
        <v>214</v>
      </c>
      <c r="L332" s="13">
        <v>16</v>
      </c>
      <c r="M332" s="13">
        <v>3</v>
      </c>
      <c r="N332" s="13" t="s">
        <v>3</v>
      </c>
      <c r="O332" s="13">
        <v>2</v>
      </c>
      <c r="P332" s="13">
        <f>ROUND(Source!EK315,O332)</f>
        <v>173989.92</v>
      </c>
      <c r="Q332" s="13"/>
      <c r="R332" s="13"/>
      <c r="S332" s="13"/>
      <c r="T332" s="13"/>
      <c r="U332" s="13"/>
      <c r="V332" s="13"/>
      <c r="W332" s="13">
        <v>3087.67</v>
      </c>
      <c r="X332" s="13">
        <v>1</v>
      </c>
      <c r="Y332" s="13">
        <v>3087.67</v>
      </c>
      <c r="Z332" s="13">
        <v>173989.92</v>
      </c>
      <c r="AA332" s="13">
        <v>1</v>
      </c>
      <c r="AB332" s="13">
        <v>173989.92</v>
      </c>
    </row>
    <row r="333" spans="1:28" x14ac:dyDescent="0.2">
      <c r="A333" s="13">
        <v>50</v>
      </c>
      <c r="B333" s="13">
        <v>0</v>
      </c>
      <c r="C333" s="13">
        <v>0</v>
      </c>
      <c r="D333" s="13">
        <v>1</v>
      </c>
      <c r="E333" s="13">
        <v>215</v>
      </c>
      <c r="F333" s="13">
        <f>ROUND(Source!AT315,O333)</f>
        <v>87482.58</v>
      </c>
      <c r="G333" s="13" t="s">
        <v>107</v>
      </c>
      <c r="H333" s="13" t="s">
        <v>108</v>
      </c>
      <c r="I333" s="13"/>
      <c r="J333" s="13"/>
      <c r="K333" s="13">
        <v>215</v>
      </c>
      <c r="L333" s="13">
        <v>17</v>
      </c>
      <c r="M333" s="13">
        <v>3</v>
      </c>
      <c r="N333" s="13" t="s">
        <v>3</v>
      </c>
      <c r="O333" s="13">
        <v>2</v>
      </c>
      <c r="P333" s="13">
        <f>ROUND(Source!EL315,O333)</f>
        <v>670792.41</v>
      </c>
      <c r="Q333" s="13"/>
      <c r="R333" s="13"/>
      <c r="S333" s="13"/>
      <c r="T333" s="13"/>
      <c r="U333" s="13"/>
      <c r="V333" s="13"/>
      <c r="W333" s="13">
        <v>87482.58</v>
      </c>
      <c r="X333" s="13">
        <v>1</v>
      </c>
      <c r="Y333" s="13">
        <v>87482.58</v>
      </c>
      <c r="Z333" s="13">
        <v>670792.41</v>
      </c>
      <c r="AA333" s="13">
        <v>1</v>
      </c>
      <c r="AB333" s="13">
        <v>670792.41</v>
      </c>
    </row>
    <row r="334" spans="1:28" x14ac:dyDescent="0.2">
      <c r="A334" s="13">
        <v>50</v>
      </c>
      <c r="B334" s="13">
        <v>0</v>
      </c>
      <c r="C334" s="13">
        <v>0</v>
      </c>
      <c r="D334" s="13">
        <v>1</v>
      </c>
      <c r="E334" s="13">
        <v>217</v>
      </c>
      <c r="F334" s="13">
        <f>ROUND(Source!AU315,O334)</f>
        <v>0</v>
      </c>
      <c r="G334" s="13" t="s">
        <v>109</v>
      </c>
      <c r="H334" s="13" t="s">
        <v>110</v>
      </c>
      <c r="I334" s="13"/>
      <c r="J334" s="13"/>
      <c r="K334" s="13">
        <v>217</v>
      </c>
      <c r="L334" s="13">
        <v>18</v>
      </c>
      <c r="M334" s="13">
        <v>3</v>
      </c>
      <c r="N334" s="13" t="s">
        <v>3</v>
      </c>
      <c r="O334" s="13">
        <v>2</v>
      </c>
      <c r="P334" s="13">
        <f>ROUND(Source!EM315,O334)</f>
        <v>0</v>
      </c>
      <c r="Q334" s="13"/>
      <c r="R334" s="13"/>
      <c r="S334" s="13"/>
      <c r="T334" s="13"/>
      <c r="U334" s="13"/>
      <c r="V334" s="13"/>
      <c r="W334" s="13">
        <v>0</v>
      </c>
      <c r="X334" s="13">
        <v>1</v>
      </c>
      <c r="Y334" s="13">
        <v>0</v>
      </c>
      <c r="Z334" s="13">
        <v>0</v>
      </c>
      <c r="AA334" s="13">
        <v>1</v>
      </c>
      <c r="AB334" s="13">
        <v>0</v>
      </c>
    </row>
    <row r="335" spans="1:28" x14ac:dyDescent="0.2">
      <c r="A335" s="13">
        <v>50</v>
      </c>
      <c r="B335" s="13">
        <v>0</v>
      </c>
      <c r="C335" s="13">
        <v>0</v>
      </c>
      <c r="D335" s="13">
        <v>1</v>
      </c>
      <c r="E335" s="13">
        <v>230</v>
      </c>
      <c r="F335" s="13">
        <f>ROUND(Source!BA315,O335)</f>
        <v>0</v>
      </c>
      <c r="G335" s="13" t="s">
        <v>111</v>
      </c>
      <c r="H335" s="13" t="s">
        <v>112</v>
      </c>
      <c r="I335" s="13"/>
      <c r="J335" s="13"/>
      <c r="K335" s="13">
        <v>230</v>
      </c>
      <c r="L335" s="13">
        <v>19</v>
      </c>
      <c r="M335" s="13">
        <v>3</v>
      </c>
      <c r="N335" s="13" t="s">
        <v>3</v>
      </c>
      <c r="O335" s="13">
        <v>2</v>
      </c>
      <c r="P335" s="13">
        <f>ROUND(Source!ES315,O335)</f>
        <v>0</v>
      </c>
      <c r="Q335" s="13"/>
      <c r="R335" s="13"/>
      <c r="S335" s="13"/>
      <c r="T335" s="13"/>
      <c r="U335" s="13"/>
      <c r="V335" s="13"/>
      <c r="W335" s="13">
        <v>0</v>
      </c>
      <c r="X335" s="13">
        <v>1</v>
      </c>
      <c r="Y335" s="13">
        <v>0</v>
      </c>
      <c r="Z335" s="13">
        <v>0</v>
      </c>
      <c r="AA335" s="13">
        <v>1</v>
      </c>
      <c r="AB335" s="13">
        <v>0</v>
      </c>
    </row>
    <row r="336" spans="1:28" x14ac:dyDescent="0.2">
      <c r="A336" s="13">
        <v>50</v>
      </c>
      <c r="B336" s="13">
        <v>0</v>
      </c>
      <c r="C336" s="13">
        <v>0</v>
      </c>
      <c r="D336" s="13">
        <v>1</v>
      </c>
      <c r="E336" s="13">
        <v>206</v>
      </c>
      <c r="F336" s="13">
        <f>ROUND(Source!T315,O336)</f>
        <v>0</v>
      </c>
      <c r="G336" s="13" t="s">
        <v>113</v>
      </c>
      <c r="H336" s="13" t="s">
        <v>114</v>
      </c>
      <c r="I336" s="13"/>
      <c r="J336" s="13"/>
      <c r="K336" s="13">
        <v>206</v>
      </c>
      <c r="L336" s="13">
        <v>20</v>
      </c>
      <c r="M336" s="13">
        <v>3</v>
      </c>
      <c r="N336" s="13" t="s">
        <v>3</v>
      </c>
      <c r="O336" s="13">
        <v>2</v>
      </c>
      <c r="P336" s="13">
        <f>ROUND(Source!DL315,O336)</f>
        <v>0</v>
      </c>
      <c r="Q336" s="13"/>
      <c r="R336" s="13"/>
      <c r="S336" s="13"/>
      <c r="T336" s="13"/>
      <c r="U336" s="13"/>
      <c r="V336" s="13"/>
      <c r="W336" s="13">
        <v>0</v>
      </c>
      <c r="X336" s="13">
        <v>1</v>
      </c>
      <c r="Y336" s="13">
        <v>0</v>
      </c>
      <c r="Z336" s="13">
        <v>0</v>
      </c>
      <c r="AA336" s="13">
        <v>1</v>
      </c>
      <c r="AB336" s="13">
        <v>0</v>
      </c>
    </row>
    <row r="337" spans="1:28" x14ac:dyDescent="0.2">
      <c r="A337" s="13">
        <v>50</v>
      </c>
      <c r="B337" s="13">
        <v>0</v>
      </c>
      <c r="C337" s="13">
        <v>0</v>
      </c>
      <c r="D337" s="13">
        <v>1</v>
      </c>
      <c r="E337" s="13">
        <v>207</v>
      </c>
      <c r="F337" s="13">
        <f>Source!U315</f>
        <v>323.30434151999998</v>
      </c>
      <c r="G337" s="13" t="s">
        <v>115</v>
      </c>
      <c r="H337" s="13" t="s">
        <v>116</v>
      </c>
      <c r="I337" s="13"/>
      <c r="J337" s="13"/>
      <c r="K337" s="13">
        <v>207</v>
      </c>
      <c r="L337" s="13">
        <v>21</v>
      </c>
      <c r="M337" s="13">
        <v>3</v>
      </c>
      <c r="N337" s="13" t="s">
        <v>3</v>
      </c>
      <c r="O337" s="13">
        <v>-1</v>
      </c>
      <c r="P337" s="13">
        <f>Source!DM315</f>
        <v>323.30434151999998</v>
      </c>
      <c r="Q337" s="13"/>
      <c r="R337" s="13"/>
      <c r="S337" s="13"/>
      <c r="T337" s="13"/>
      <c r="U337" s="13"/>
      <c r="V337" s="13"/>
      <c r="W337" s="13">
        <v>323.30434152000004</v>
      </c>
      <c r="X337" s="13">
        <v>1</v>
      </c>
      <c r="Y337" s="13">
        <v>323.30434152000004</v>
      </c>
      <c r="Z337" s="13">
        <v>323.30434152000004</v>
      </c>
      <c r="AA337" s="13">
        <v>1</v>
      </c>
      <c r="AB337" s="13">
        <v>323.30434152000004</v>
      </c>
    </row>
    <row r="338" spans="1:28" x14ac:dyDescent="0.2">
      <c r="A338" s="13">
        <v>50</v>
      </c>
      <c r="B338" s="13">
        <v>0</v>
      </c>
      <c r="C338" s="13">
        <v>0</v>
      </c>
      <c r="D338" s="13">
        <v>1</v>
      </c>
      <c r="E338" s="13">
        <v>208</v>
      </c>
      <c r="F338" s="13">
        <f>Source!V315</f>
        <v>0</v>
      </c>
      <c r="G338" s="13" t="s">
        <v>117</v>
      </c>
      <c r="H338" s="13" t="s">
        <v>118</v>
      </c>
      <c r="I338" s="13"/>
      <c r="J338" s="13"/>
      <c r="K338" s="13">
        <v>208</v>
      </c>
      <c r="L338" s="13">
        <v>22</v>
      </c>
      <c r="M338" s="13">
        <v>3</v>
      </c>
      <c r="N338" s="13" t="s">
        <v>3</v>
      </c>
      <c r="O338" s="13">
        <v>-1</v>
      </c>
      <c r="P338" s="13">
        <f>Source!DN315</f>
        <v>0</v>
      </c>
      <c r="Q338" s="13"/>
      <c r="R338" s="13"/>
      <c r="S338" s="13"/>
      <c r="T338" s="13"/>
      <c r="U338" s="13"/>
      <c r="V338" s="13"/>
      <c r="W338" s="13">
        <v>0</v>
      </c>
      <c r="X338" s="13">
        <v>1</v>
      </c>
      <c r="Y338" s="13">
        <v>0</v>
      </c>
      <c r="Z338" s="13">
        <v>0</v>
      </c>
      <c r="AA338" s="13">
        <v>1</v>
      </c>
      <c r="AB338" s="13">
        <v>0</v>
      </c>
    </row>
    <row r="339" spans="1:28" x14ac:dyDescent="0.2">
      <c r="A339" s="13">
        <v>50</v>
      </c>
      <c r="B339" s="13">
        <v>0</v>
      </c>
      <c r="C339" s="13">
        <v>0</v>
      </c>
      <c r="D339" s="13">
        <v>1</v>
      </c>
      <c r="E339" s="13">
        <v>209</v>
      </c>
      <c r="F339" s="13">
        <f>ROUND(Source!W315,O339)</f>
        <v>0</v>
      </c>
      <c r="G339" s="13" t="s">
        <v>119</v>
      </c>
      <c r="H339" s="13" t="s">
        <v>120</v>
      </c>
      <c r="I339" s="13"/>
      <c r="J339" s="13"/>
      <c r="K339" s="13">
        <v>209</v>
      </c>
      <c r="L339" s="13">
        <v>23</v>
      </c>
      <c r="M339" s="13">
        <v>3</v>
      </c>
      <c r="N339" s="13" t="s">
        <v>3</v>
      </c>
      <c r="O339" s="13">
        <v>2</v>
      </c>
      <c r="P339" s="13">
        <f>ROUND(Source!DO315,O339)</f>
        <v>0</v>
      </c>
      <c r="Q339" s="13"/>
      <c r="R339" s="13"/>
      <c r="S339" s="13"/>
      <c r="T339" s="13"/>
      <c r="U339" s="13"/>
      <c r="V339" s="13"/>
      <c r="W339" s="13">
        <v>0</v>
      </c>
      <c r="X339" s="13">
        <v>1</v>
      </c>
      <c r="Y339" s="13">
        <v>0</v>
      </c>
      <c r="Z339" s="13">
        <v>0</v>
      </c>
      <c r="AA339" s="13">
        <v>1</v>
      </c>
      <c r="AB339" s="13">
        <v>0</v>
      </c>
    </row>
    <row r="340" spans="1:28" x14ac:dyDescent="0.2">
      <c r="A340" s="13">
        <v>50</v>
      </c>
      <c r="B340" s="13">
        <v>0</v>
      </c>
      <c r="C340" s="13">
        <v>0</v>
      </c>
      <c r="D340" s="13">
        <v>1</v>
      </c>
      <c r="E340" s="13">
        <v>233</v>
      </c>
      <c r="F340" s="13">
        <f>ROUND(Source!BD315,O340)</f>
        <v>0</v>
      </c>
      <c r="G340" s="13" t="s">
        <v>121</v>
      </c>
      <c r="H340" s="13" t="s">
        <v>122</v>
      </c>
      <c r="I340" s="13"/>
      <c r="J340" s="13"/>
      <c r="K340" s="13">
        <v>233</v>
      </c>
      <c r="L340" s="13">
        <v>24</v>
      </c>
      <c r="M340" s="13">
        <v>3</v>
      </c>
      <c r="N340" s="13" t="s">
        <v>3</v>
      </c>
      <c r="O340" s="13">
        <v>2</v>
      </c>
      <c r="P340" s="13">
        <f>ROUND(Source!EV315,O340)</f>
        <v>0</v>
      </c>
      <c r="Q340" s="13"/>
      <c r="R340" s="13"/>
      <c r="S340" s="13"/>
      <c r="T340" s="13"/>
      <c r="U340" s="13"/>
      <c r="V340" s="13"/>
      <c r="W340" s="13">
        <v>0</v>
      </c>
      <c r="X340" s="13">
        <v>1</v>
      </c>
      <c r="Y340" s="13">
        <v>0</v>
      </c>
      <c r="Z340" s="13">
        <v>0</v>
      </c>
      <c r="AA340" s="13">
        <v>1</v>
      </c>
      <c r="AB340" s="13">
        <v>0</v>
      </c>
    </row>
    <row r="341" spans="1:28" x14ac:dyDescent="0.2">
      <c r="A341" s="13">
        <v>50</v>
      </c>
      <c r="B341" s="13">
        <v>0</v>
      </c>
      <c r="C341" s="13">
        <v>0</v>
      </c>
      <c r="D341" s="13">
        <v>1</v>
      </c>
      <c r="E341" s="13">
        <v>210</v>
      </c>
      <c r="F341" s="13">
        <f>ROUND(Source!X315,O341)</f>
        <v>4161.38</v>
      </c>
      <c r="G341" s="13" t="s">
        <v>123</v>
      </c>
      <c r="H341" s="13" t="s">
        <v>124</v>
      </c>
      <c r="I341" s="13"/>
      <c r="J341" s="13"/>
      <c r="K341" s="13">
        <v>210</v>
      </c>
      <c r="L341" s="13">
        <v>25</v>
      </c>
      <c r="M341" s="13">
        <v>3</v>
      </c>
      <c r="N341" s="13" t="s">
        <v>3</v>
      </c>
      <c r="O341" s="13">
        <v>2</v>
      </c>
      <c r="P341" s="13">
        <f>ROUND(Source!DP315,O341)</f>
        <v>234494.24</v>
      </c>
      <c r="Q341" s="13"/>
      <c r="R341" s="13"/>
      <c r="S341" s="13"/>
      <c r="T341" s="13"/>
      <c r="U341" s="13"/>
      <c r="V341" s="13"/>
      <c r="W341" s="13">
        <v>4161.38</v>
      </c>
      <c r="X341" s="13">
        <v>1</v>
      </c>
      <c r="Y341" s="13">
        <v>4161.38</v>
      </c>
      <c r="Z341" s="13">
        <v>234494.24</v>
      </c>
      <c r="AA341" s="13">
        <v>1</v>
      </c>
      <c r="AB341" s="13">
        <v>234494.24</v>
      </c>
    </row>
    <row r="342" spans="1:28" x14ac:dyDescent="0.2">
      <c r="A342" s="13">
        <v>50</v>
      </c>
      <c r="B342" s="13">
        <v>0</v>
      </c>
      <c r="C342" s="13">
        <v>0</v>
      </c>
      <c r="D342" s="13">
        <v>1</v>
      </c>
      <c r="E342" s="13">
        <v>211</v>
      </c>
      <c r="F342" s="13">
        <f>ROUND(Source!Y315,O342)</f>
        <v>2204.9499999999998</v>
      </c>
      <c r="G342" s="13" t="s">
        <v>125</v>
      </c>
      <c r="H342" s="13" t="s">
        <v>126</v>
      </c>
      <c r="I342" s="13"/>
      <c r="J342" s="13"/>
      <c r="K342" s="13">
        <v>211</v>
      </c>
      <c r="L342" s="13">
        <v>26</v>
      </c>
      <c r="M342" s="13">
        <v>3</v>
      </c>
      <c r="N342" s="13" t="s">
        <v>3</v>
      </c>
      <c r="O342" s="13">
        <v>2</v>
      </c>
      <c r="P342" s="13">
        <f>ROUND(Source!DQ315,O342)</f>
        <v>124249.59</v>
      </c>
      <c r="Q342" s="13"/>
      <c r="R342" s="13"/>
      <c r="S342" s="13"/>
      <c r="T342" s="13"/>
      <c r="U342" s="13"/>
      <c r="V342" s="13"/>
      <c r="W342" s="13">
        <v>2204.9499999999998</v>
      </c>
      <c r="X342" s="13">
        <v>1</v>
      </c>
      <c r="Y342" s="13">
        <v>2204.9499999999998</v>
      </c>
      <c r="Z342" s="13">
        <v>124249.59</v>
      </c>
      <c r="AA342" s="13">
        <v>1</v>
      </c>
      <c r="AB342" s="13">
        <v>124249.59</v>
      </c>
    </row>
    <row r="343" spans="1:28" x14ac:dyDescent="0.2">
      <c r="A343" s="13">
        <v>50</v>
      </c>
      <c r="B343" s="13">
        <v>0</v>
      </c>
      <c r="C343" s="13">
        <v>0</v>
      </c>
      <c r="D343" s="13">
        <v>1</v>
      </c>
      <c r="E343" s="13">
        <v>224</v>
      </c>
      <c r="F343" s="13">
        <f>ROUND(Source!AR315,O343)</f>
        <v>99052.06</v>
      </c>
      <c r="G343" s="13" t="s">
        <v>127</v>
      </c>
      <c r="H343" s="13" t="s">
        <v>128</v>
      </c>
      <c r="I343" s="13"/>
      <c r="J343" s="13"/>
      <c r="K343" s="13">
        <v>224</v>
      </c>
      <c r="L343" s="13">
        <v>27</v>
      </c>
      <c r="M343" s="13">
        <v>3</v>
      </c>
      <c r="N343" s="13" t="s">
        <v>3</v>
      </c>
      <c r="O343" s="13">
        <v>2</v>
      </c>
      <c r="P343" s="13">
        <f>ROUND(Source!EJ315,O343)</f>
        <v>928243.34</v>
      </c>
      <c r="Q343" s="13"/>
      <c r="R343" s="13"/>
      <c r="S343" s="13"/>
      <c r="T343" s="13"/>
      <c r="U343" s="13"/>
      <c r="V343" s="13"/>
      <c r="W343" s="13">
        <v>99052.06</v>
      </c>
      <c r="X343" s="13">
        <v>1</v>
      </c>
      <c r="Y343" s="13">
        <v>99052.06</v>
      </c>
      <c r="Z343" s="13">
        <v>928243.34</v>
      </c>
      <c r="AA343" s="13">
        <v>1</v>
      </c>
      <c r="AB343" s="13">
        <v>928243.34</v>
      </c>
    </row>
    <row r="346" spans="1:28" x14ac:dyDescent="0.2">
      <c r="A346" s="3">
        <v>70</v>
      </c>
      <c r="B346" s="3">
        <v>1</v>
      </c>
      <c r="D346" s="3">
        <v>1</v>
      </c>
      <c r="E346" s="3" t="s">
        <v>260</v>
      </c>
      <c r="F346" s="3" t="s">
        <v>261</v>
      </c>
      <c r="G346" s="3">
        <v>0</v>
      </c>
      <c r="H346" s="3">
        <v>0</v>
      </c>
      <c r="I346" s="3" t="s">
        <v>3</v>
      </c>
      <c r="J346" s="3">
        <v>1</v>
      </c>
      <c r="K346" s="3">
        <v>0</v>
      </c>
      <c r="L346" s="3" t="s">
        <v>3</v>
      </c>
      <c r="M346" s="3" t="s">
        <v>3</v>
      </c>
      <c r="N346" s="3">
        <v>0</v>
      </c>
      <c r="O346" s="3">
        <v>0</v>
      </c>
      <c r="P346" s="3" t="s">
        <v>3</v>
      </c>
    </row>
    <row r="347" spans="1:28" x14ac:dyDescent="0.2">
      <c r="A347" s="3">
        <v>70</v>
      </c>
      <c r="B347" s="3">
        <v>1</v>
      </c>
      <c r="D347" s="3">
        <v>2</v>
      </c>
      <c r="E347" s="3" t="s">
        <v>262</v>
      </c>
      <c r="F347" s="3" t="s">
        <v>263</v>
      </c>
      <c r="G347" s="3">
        <v>1</v>
      </c>
      <c r="H347" s="3">
        <v>0</v>
      </c>
      <c r="I347" s="3" t="s">
        <v>3</v>
      </c>
      <c r="J347" s="3">
        <v>1</v>
      </c>
      <c r="K347" s="3">
        <v>0</v>
      </c>
      <c r="L347" s="3" t="s">
        <v>3</v>
      </c>
      <c r="M347" s="3" t="s">
        <v>3</v>
      </c>
      <c r="N347" s="3">
        <v>0</v>
      </c>
      <c r="O347" s="3">
        <v>1</v>
      </c>
      <c r="P347" s="3" t="s">
        <v>3</v>
      </c>
    </row>
    <row r="348" spans="1:28" x14ac:dyDescent="0.2">
      <c r="A348" s="3">
        <v>70</v>
      </c>
      <c r="B348" s="3">
        <v>1</v>
      </c>
      <c r="D348" s="3">
        <v>3</v>
      </c>
      <c r="E348" s="3" t="s">
        <v>264</v>
      </c>
      <c r="F348" s="3" t="s">
        <v>265</v>
      </c>
      <c r="G348" s="3">
        <v>1</v>
      </c>
      <c r="H348" s="3">
        <v>0</v>
      </c>
      <c r="I348" s="3" t="s">
        <v>3</v>
      </c>
      <c r="J348" s="3">
        <v>0</v>
      </c>
      <c r="K348" s="3">
        <v>0</v>
      </c>
      <c r="L348" s="3" t="s">
        <v>3</v>
      </c>
      <c r="M348" s="3" t="s">
        <v>3</v>
      </c>
      <c r="N348" s="3">
        <v>0</v>
      </c>
      <c r="O348" s="3">
        <v>1</v>
      </c>
      <c r="P348" s="3" t="s">
        <v>3</v>
      </c>
    </row>
    <row r="349" spans="1:28" x14ac:dyDescent="0.2">
      <c r="A349" s="3">
        <v>70</v>
      </c>
      <c r="B349" s="3">
        <v>1</v>
      </c>
      <c r="D349" s="3">
        <v>4</v>
      </c>
      <c r="E349" s="3" t="s">
        <v>266</v>
      </c>
      <c r="F349" s="3" t="s">
        <v>267</v>
      </c>
      <c r="G349" s="3">
        <v>1</v>
      </c>
      <c r="H349" s="3">
        <v>0</v>
      </c>
      <c r="I349" s="3" t="s">
        <v>3</v>
      </c>
      <c r="J349" s="3">
        <v>0</v>
      </c>
      <c r="K349" s="3">
        <v>0</v>
      </c>
      <c r="L349" s="3" t="s">
        <v>3</v>
      </c>
      <c r="M349" s="3" t="s">
        <v>3</v>
      </c>
      <c r="N349" s="3">
        <v>0</v>
      </c>
      <c r="O349" s="3">
        <v>1</v>
      </c>
      <c r="P349" s="3" t="s">
        <v>3</v>
      </c>
    </row>
    <row r="350" spans="1:28" x14ac:dyDescent="0.2">
      <c r="A350" s="3">
        <v>70</v>
      </c>
      <c r="B350" s="3">
        <v>1</v>
      </c>
      <c r="D350" s="3">
        <v>5</v>
      </c>
      <c r="E350" s="3" t="s">
        <v>268</v>
      </c>
      <c r="F350" s="3" t="s">
        <v>269</v>
      </c>
      <c r="G350" s="3">
        <v>0</v>
      </c>
      <c r="H350" s="3">
        <v>0</v>
      </c>
      <c r="I350" s="3" t="s">
        <v>3</v>
      </c>
      <c r="J350" s="3">
        <v>0</v>
      </c>
      <c r="K350" s="3">
        <v>0</v>
      </c>
      <c r="L350" s="3" t="s">
        <v>3</v>
      </c>
      <c r="M350" s="3" t="s">
        <v>3</v>
      </c>
      <c r="N350" s="3">
        <v>0</v>
      </c>
      <c r="O350" s="3">
        <v>0</v>
      </c>
      <c r="P350" s="3" t="s">
        <v>3</v>
      </c>
    </row>
    <row r="352" spans="1:28" x14ac:dyDescent="0.2">
      <c r="A352" s="3">
        <v>-1</v>
      </c>
    </row>
    <row r="354" spans="1:50" x14ac:dyDescent="0.2">
      <c r="A354" s="12">
        <v>75</v>
      </c>
      <c r="B354" s="12" t="s">
        <v>270</v>
      </c>
      <c r="C354" s="12">
        <v>2000</v>
      </c>
      <c r="D354" s="12">
        <v>0</v>
      </c>
      <c r="E354" s="12">
        <v>1</v>
      </c>
      <c r="F354" s="12">
        <v>0</v>
      </c>
      <c r="G354" s="12">
        <v>0</v>
      </c>
      <c r="H354" s="12">
        <v>1</v>
      </c>
      <c r="I354" s="12">
        <v>1</v>
      </c>
      <c r="J354" s="12">
        <v>3</v>
      </c>
      <c r="K354" s="12">
        <v>0</v>
      </c>
      <c r="L354" s="12">
        <v>0</v>
      </c>
      <c r="M354" s="12">
        <v>0</v>
      </c>
      <c r="N354" s="12">
        <v>55919547</v>
      </c>
      <c r="O354" s="12">
        <v>1</v>
      </c>
    </row>
    <row r="355" spans="1:50" x14ac:dyDescent="0.2">
      <c r="A355" s="14">
        <v>1</v>
      </c>
      <c r="B355" s="14" t="s">
        <v>271</v>
      </c>
      <c r="C355" s="14" t="s">
        <v>272</v>
      </c>
      <c r="D355" s="14">
        <v>2000</v>
      </c>
      <c r="E355" s="14">
        <v>1</v>
      </c>
      <c r="F355" s="14">
        <v>1</v>
      </c>
      <c r="G355" s="14">
        <v>1</v>
      </c>
      <c r="H355" s="14">
        <v>0</v>
      </c>
      <c r="I355" s="14">
        <v>2</v>
      </c>
      <c r="J355" s="14">
        <v>1</v>
      </c>
      <c r="K355" s="14">
        <v>1</v>
      </c>
      <c r="L355" s="14">
        <v>1</v>
      </c>
      <c r="M355" s="14">
        <v>1</v>
      </c>
      <c r="N355" s="14">
        <v>1</v>
      </c>
      <c r="O355" s="14">
        <v>1</v>
      </c>
      <c r="P355" s="14">
        <v>1</v>
      </c>
      <c r="Q355" s="14">
        <v>1</v>
      </c>
      <c r="R355" s="14" t="s">
        <v>3</v>
      </c>
      <c r="S355" s="14" t="s">
        <v>3</v>
      </c>
      <c r="T355" s="14" t="s">
        <v>3</v>
      </c>
      <c r="U355" s="14" t="s">
        <v>3</v>
      </c>
      <c r="V355" s="14" t="s">
        <v>3</v>
      </c>
      <c r="W355" s="14" t="s">
        <v>3</v>
      </c>
      <c r="X355" s="14" t="s">
        <v>3</v>
      </c>
      <c r="Y355" s="14" t="s">
        <v>3</v>
      </c>
      <c r="Z355" s="14" t="s">
        <v>3</v>
      </c>
      <c r="AA355" s="14" t="s">
        <v>210</v>
      </c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>
        <v>55919548</v>
      </c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</row>
    <row r="356" spans="1:50" x14ac:dyDescent="0.2">
      <c r="A356" s="12">
        <v>75</v>
      </c>
      <c r="B356" s="12" t="s">
        <v>273</v>
      </c>
      <c r="C356" s="12">
        <v>2026</v>
      </c>
      <c r="D356" s="12">
        <v>1</v>
      </c>
      <c r="E356" s="12">
        <v>0</v>
      </c>
      <c r="F356" s="12"/>
      <c r="G356" s="12">
        <v>0</v>
      </c>
      <c r="H356" s="12">
        <v>1</v>
      </c>
      <c r="I356" s="12">
        <v>1</v>
      </c>
      <c r="J356" s="12">
        <v>1</v>
      </c>
      <c r="K356" s="12">
        <v>0</v>
      </c>
      <c r="L356" s="12">
        <v>0</v>
      </c>
      <c r="M356" s="12">
        <v>1</v>
      </c>
      <c r="N356" s="12">
        <v>55919549</v>
      </c>
      <c r="O356" s="12">
        <v>2</v>
      </c>
    </row>
    <row r="357" spans="1:50" x14ac:dyDescent="0.2">
      <c r="A357" s="14">
        <v>1</v>
      </c>
      <c r="B357" s="14" t="s">
        <v>271</v>
      </c>
      <c r="C357" s="14" t="s">
        <v>272</v>
      </c>
      <c r="D357" s="14">
        <v>2026</v>
      </c>
      <c r="E357" s="14">
        <v>1</v>
      </c>
      <c r="F357" s="14">
        <v>1</v>
      </c>
      <c r="G357" s="14">
        <v>1</v>
      </c>
      <c r="H357" s="14">
        <v>0</v>
      </c>
      <c r="I357" s="14">
        <v>2</v>
      </c>
      <c r="J357" s="14">
        <v>1</v>
      </c>
      <c r="K357" s="14">
        <v>7.57</v>
      </c>
      <c r="L357" s="14">
        <v>9.84</v>
      </c>
      <c r="M357" s="14">
        <v>1</v>
      </c>
      <c r="N357" s="14">
        <v>1</v>
      </c>
      <c r="O357" s="14">
        <v>7.57</v>
      </c>
      <c r="P357" s="14">
        <v>9.84</v>
      </c>
      <c r="Q357" s="14">
        <v>1</v>
      </c>
      <c r="R357" s="14" t="s">
        <v>3</v>
      </c>
      <c r="S357" s="14" t="s">
        <v>3</v>
      </c>
      <c r="T357" s="14" t="s">
        <v>3</v>
      </c>
      <c r="U357" s="14" t="s">
        <v>3</v>
      </c>
      <c r="V357" s="14" t="s">
        <v>3</v>
      </c>
      <c r="W357" s="14" t="s">
        <v>3</v>
      </c>
      <c r="X357" s="14" t="s">
        <v>3</v>
      </c>
      <c r="Y357" s="14" t="s">
        <v>3</v>
      </c>
      <c r="Z357" s="14" t="s">
        <v>3</v>
      </c>
      <c r="AA357" s="14" t="s">
        <v>274</v>
      </c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>
        <v>55919550</v>
      </c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</row>
    <row r="358" spans="1:50" x14ac:dyDescent="0.2">
      <c r="A358" s="14">
        <v>1</v>
      </c>
      <c r="B358" s="14" t="s">
        <v>271</v>
      </c>
      <c r="C358" s="14" t="s">
        <v>275</v>
      </c>
      <c r="D358" s="14">
        <v>2026</v>
      </c>
      <c r="E358" s="14">
        <v>1</v>
      </c>
      <c r="F358" s="14">
        <v>1</v>
      </c>
      <c r="G358" s="14">
        <v>1</v>
      </c>
      <c r="H358" s="14">
        <v>0</v>
      </c>
      <c r="I358" s="14">
        <v>2</v>
      </c>
      <c r="J358" s="14">
        <v>1</v>
      </c>
      <c r="K358" s="14">
        <v>7.57</v>
      </c>
      <c r="L358" s="14">
        <v>9.84</v>
      </c>
      <c r="M358" s="14">
        <v>1</v>
      </c>
      <c r="N358" s="14">
        <v>1</v>
      </c>
      <c r="O358" s="14">
        <v>7.57</v>
      </c>
      <c r="P358" s="14">
        <v>9.84</v>
      </c>
      <c r="Q358" s="14">
        <v>1</v>
      </c>
      <c r="R358" s="14" t="s">
        <v>3</v>
      </c>
      <c r="S358" s="14" t="s">
        <v>3</v>
      </c>
      <c r="T358" s="14" t="s">
        <v>3</v>
      </c>
      <c r="U358" s="14" t="s">
        <v>3</v>
      </c>
      <c r="V358" s="14" t="s">
        <v>3</v>
      </c>
      <c r="W358" s="14" t="s">
        <v>3</v>
      </c>
      <c r="X358" s="14" t="s">
        <v>3</v>
      </c>
      <c r="Y358" s="14" t="s">
        <v>3</v>
      </c>
      <c r="Z358" s="14" t="s">
        <v>3</v>
      </c>
      <c r="AA358" s="14" t="s">
        <v>276</v>
      </c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>
        <v>55919551</v>
      </c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</row>
    <row r="362" spans="1:50" x14ac:dyDescent="0.2">
      <c r="A362" s="3">
        <v>65</v>
      </c>
      <c r="C362" s="3">
        <v>1</v>
      </c>
      <c r="D362" s="3">
        <v>0</v>
      </c>
      <c r="E362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277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1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x14ac:dyDescent="0.2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10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55919547</v>
      </c>
      <c r="E14" s="1">
        <v>55919549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5</v>
      </c>
      <c r="D16" s="7" t="s">
        <v>16</v>
      </c>
      <c r="E16" s="8">
        <f>ROUND((Source!F302)/1000,2)</f>
        <v>3.09</v>
      </c>
      <c r="F16" s="8">
        <f>ROUND((Source!F303)/1000,2)</f>
        <v>87.48</v>
      </c>
      <c r="G16" s="8">
        <f>ROUND((Source!F294)/1000,2)</f>
        <v>8.48</v>
      </c>
      <c r="H16" s="8">
        <f>ROUND((Source!F304)/1000+(Source!F305)/1000,2)</f>
        <v>0</v>
      </c>
      <c r="I16" s="8">
        <f>E16+F16+G16+H16</f>
        <v>99.050000000000011</v>
      </c>
      <c r="J16" s="8">
        <f>ROUND((Source!F300+Source!F299)/1000,2)</f>
        <v>4.38</v>
      </c>
      <c r="K16" s="8">
        <v>180.05</v>
      </c>
      <c r="L16" s="8">
        <v>0</v>
      </c>
      <c r="M16" s="8">
        <v>0</v>
      </c>
      <c r="N16" s="8">
        <f>I16+L16+M16</f>
        <v>99.050000000000011</v>
      </c>
      <c r="T16" s="9">
        <f>ROUND((Source!P302)/1000,2)</f>
        <v>173.99</v>
      </c>
      <c r="U16" s="9">
        <f>ROUND((Source!P303)/1000,2)</f>
        <v>670.79</v>
      </c>
      <c r="V16" s="9">
        <f>ROUND((Source!P294)/1000,2)</f>
        <v>83.46</v>
      </c>
      <c r="W16" s="9">
        <f>ROUND((Source!P304)/1000+(Source!P305)/1000,2)</f>
        <v>0</v>
      </c>
      <c r="X16" s="9">
        <f>T16+U16+V16+W16</f>
        <v>928.24</v>
      </c>
      <c r="Y16" s="9">
        <f>ROUND((Source!P300+Source!P299)/1000,2)</f>
        <v>246.82</v>
      </c>
      <c r="Z16" s="9">
        <v>880.91</v>
      </c>
      <c r="AA16" s="9">
        <v>0</v>
      </c>
      <c r="AB16" s="9">
        <v>0</v>
      </c>
      <c r="AC16" s="9">
        <f>X16+AA16+AB16</f>
        <v>928.24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92685.73</v>
      </c>
      <c r="AU16" s="8">
        <v>87368.36</v>
      </c>
      <c r="AV16" s="8">
        <v>0</v>
      </c>
      <c r="AW16" s="8">
        <v>8481.81</v>
      </c>
      <c r="AX16" s="8">
        <v>0</v>
      </c>
      <c r="AY16" s="8">
        <v>1518.75</v>
      </c>
      <c r="AZ16" s="8">
        <v>581.53</v>
      </c>
      <c r="BA16" s="8">
        <v>3798.62</v>
      </c>
      <c r="BB16" s="8">
        <v>3087.67</v>
      </c>
      <c r="BC16" s="8">
        <v>87482.58</v>
      </c>
      <c r="BD16" s="8">
        <v>0</v>
      </c>
      <c r="BE16" s="8">
        <v>0</v>
      </c>
      <c r="BF16" s="8">
        <v>323.30434152000004</v>
      </c>
      <c r="BG16" s="8">
        <v>0</v>
      </c>
      <c r="BH16" s="8">
        <v>0</v>
      </c>
      <c r="BI16" s="8">
        <v>4161.38</v>
      </c>
      <c r="BJ16" s="8">
        <v>2204.9499999999998</v>
      </c>
      <c r="BK16" s="8">
        <v>99052.06</v>
      </c>
      <c r="BR16" s="9">
        <v>569499.51</v>
      </c>
      <c r="BS16" s="9">
        <v>311411.52</v>
      </c>
      <c r="BT16" s="9">
        <v>0</v>
      </c>
      <c r="BU16" s="9">
        <v>83461.009999999995</v>
      </c>
      <c r="BV16" s="9">
        <v>0</v>
      </c>
      <c r="BW16" s="9">
        <v>44035.75</v>
      </c>
      <c r="BX16" s="9">
        <v>32769.22</v>
      </c>
      <c r="BY16" s="9">
        <v>214052.24</v>
      </c>
      <c r="BZ16" s="9">
        <v>173989.92</v>
      </c>
      <c r="CA16" s="9">
        <v>670792.41</v>
      </c>
      <c r="CB16" s="9">
        <v>0</v>
      </c>
      <c r="CC16" s="9">
        <v>0</v>
      </c>
      <c r="CD16" s="9">
        <v>323.30434152000004</v>
      </c>
      <c r="CE16" s="9">
        <v>0</v>
      </c>
      <c r="CF16" s="9">
        <v>0</v>
      </c>
      <c r="CG16" s="9">
        <v>234494.24</v>
      </c>
      <c r="CH16" s="9">
        <v>124249.59</v>
      </c>
      <c r="CI16" s="9">
        <v>928243.34</v>
      </c>
    </row>
    <row r="18" spans="1:29" x14ac:dyDescent="0.2">
      <c r="A18">
        <v>51</v>
      </c>
      <c r="E18">
        <v>3.09</v>
      </c>
      <c r="F18">
        <v>87.48</v>
      </c>
      <c r="G18">
        <v>8.48</v>
      </c>
      <c r="H18">
        <v>0</v>
      </c>
      <c r="I18">
        <v>99.05</v>
      </c>
      <c r="J18">
        <v>4.38</v>
      </c>
      <c r="K18">
        <v>180.05</v>
      </c>
      <c r="L18">
        <v>0</v>
      </c>
      <c r="M18">
        <v>0</v>
      </c>
      <c r="N18">
        <v>99.05</v>
      </c>
      <c r="T18">
        <v>173.99</v>
      </c>
      <c r="U18">
        <v>670.79</v>
      </c>
      <c r="V18">
        <v>83.46</v>
      </c>
      <c r="W18">
        <v>0</v>
      </c>
      <c r="X18">
        <v>928.24</v>
      </c>
      <c r="Y18">
        <v>246.82</v>
      </c>
      <c r="Z18">
        <v>880.91</v>
      </c>
      <c r="AA18">
        <v>0</v>
      </c>
      <c r="AB18">
        <v>0</v>
      </c>
      <c r="AC18">
        <v>928.24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92685.73</v>
      </c>
      <c r="G20" s="5" t="s">
        <v>75</v>
      </c>
      <c r="H20" s="5" t="s">
        <v>76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569499.51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87368.36</v>
      </c>
      <c r="G21" s="5" t="s">
        <v>77</v>
      </c>
      <c r="H21" s="5" t="s">
        <v>78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311411.52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79</v>
      </c>
      <c r="H22" s="5" t="s">
        <v>80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87368.36</v>
      </c>
      <c r="G23" s="5" t="s">
        <v>81</v>
      </c>
      <c r="H23" s="5" t="s">
        <v>82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311411.52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78886.55</v>
      </c>
      <c r="G24" s="5" t="s">
        <v>83</v>
      </c>
      <c r="H24" s="5" t="s">
        <v>84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227950.51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85</v>
      </c>
      <c r="H25" s="5" t="s">
        <v>86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78886.55</v>
      </c>
      <c r="G26" s="5" t="s">
        <v>87</v>
      </c>
      <c r="H26" s="5" t="s">
        <v>88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227950.51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8481.81</v>
      </c>
      <c r="G27" s="5" t="s">
        <v>89</v>
      </c>
      <c r="H27" s="5" t="s">
        <v>90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83461.009999999995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91</v>
      </c>
      <c r="H28" s="5" t="s">
        <v>92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8481.81</v>
      </c>
      <c r="G29" s="5" t="s">
        <v>93</v>
      </c>
      <c r="H29" s="5" t="s">
        <v>94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83461.009999999995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1518.75</v>
      </c>
      <c r="G30" s="5" t="s">
        <v>95</v>
      </c>
      <c r="H30" s="5" t="s">
        <v>96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44035.75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97</v>
      </c>
      <c r="H31" s="5" t="s">
        <v>98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581.53</v>
      </c>
      <c r="G32" s="5" t="s">
        <v>99</v>
      </c>
      <c r="H32" s="5" t="s">
        <v>100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32769.22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3798.62</v>
      </c>
      <c r="G33" s="5" t="s">
        <v>101</v>
      </c>
      <c r="H33" s="5" t="s">
        <v>102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214052.24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103</v>
      </c>
      <c r="H34" s="5" t="s">
        <v>104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3087.67</v>
      </c>
      <c r="G35" s="5" t="s">
        <v>105</v>
      </c>
      <c r="H35" s="5" t="s">
        <v>106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173989.92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87482.58</v>
      </c>
      <c r="G36" s="5" t="s">
        <v>107</v>
      </c>
      <c r="H36" s="5" t="s">
        <v>108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670792.41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109</v>
      </c>
      <c r="H37" s="5" t="s">
        <v>110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111</v>
      </c>
      <c r="H38" s="5" t="s">
        <v>112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113</v>
      </c>
      <c r="H39" s="5" t="s">
        <v>114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323.30434152000004</v>
      </c>
      <c r="G40" s="5" t="s">
        <v>115</v>
      </c>
      <c r="H40" s="5" t="s">
        <v>116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323.30434152000004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117</v>
      </c>
      <c r="H41" s="5" t="s">
        <v>118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119</v>
      </c>
      <c r="H42" s="5" t="s">
        <v>120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121</v>
      </c>
      <c r="H43" s="5" t="s">
        <v>122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4161.38</v>
      </c>
      <c r="G44" s="5" t="s">
        <v>123</v>
      </c>
      <c r="H44" s="5" t="s">
        <v>124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234494.24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2204.9499999999998</v>
      </c>
      <c r="G45" s="5" t="s">
        <v>125</v>
      </c>
      <c r="H45" s="5" t="s">
        <v>126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124249.59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99052.06</v>
      </c>
      <c r="G46" s="5" t="s">
        <v>127</v>
      </c>
      <c r="H46" s="5" t="s">
        <v>128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928243.34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270</v>
      </c>
      <c r="C51" s="4">
        <v>2000</v>
      </c>
      <c r="D51" s="4">
        <v>0</v>
      </c>
      <c r="E51" s="4">
        <v>1</v>
      </c>
      <c r="F51" s="4">
        <v>0</v>
      </c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0</v>
      </c>
      <c r="N51" s="4">
        <v>55919547</v>
      </c>
      <c r="O51" s="4">
        <v>1</v>
      </c>
    </row>
    <row r="52" spans="1:50" x14ac:dyDescent="0.2">
      <c r="A52" s="6">
        <v>1</v>
      </c>
      <c r="B52" s="6" t="s">
        <v>271</v>
      </c>
      <c r="C52" s="6" t="s">
        <v>272</v>
      </c>
      <c r="D52" s="6">
        <v>2000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210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55919548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4">
        <v>75</v>
      </c>
      <c r="B53" s="4" t="s">
        <v>273</v>
      </c>
      <c r="C53" s="4">
        <v>2026</v>
      </c>
      <c r="D53" s="4">
        <v>1</v>
      </c>
      <c r="E53" s="4">
        <v>0</v>
      </c>
      <c r="F53" s="4"/>
      <c r="G53" s="4">
        <v>0</v>
      </c>
      <c r="H53" s="4">
        <v>1</v>
      </c>
      <c r="I53" s="4">
        <v>1</v>
      </c>
      <c r="J53" s="4">
        <v>1</v>
      </c>
      <c r="K53" s="4">
        <v>0</v>
      </c>
      <c r="L53" s="4">
        <v>0</v>
      </c>
      <c r="M53" s="4">
        <v>1</v>
      </c>
      <c r="N53" s="4">
        <v>55919549</v>
      </c>
      <c r="O53" s="4">
        <v>2</v>
      </c>
    </row>
    <row r="54" spans="1:50" x14ac:dyDescent="0.2">
      <c r="A54" s="6">
        <v>1</v>
      </c>
      <c r="B54" s="6" t="s">
        <v>271</v>
      </c>
      <c r="C54" s="6" t="s">
        <v>272</v>
      </c>
      <c r="D54" s="6">
        <v>2026</v>
      </c>
      <c r="E54" s="6">
        <v>1</v>
      </c>
      <c r="F54" s="6">
        <v>1</v>
      </c>
      <c r="G54" s="6">
        <v>1</v>
      </c>
      <c r="H54" s="6">
        <v>0</v>
      </c>
      <c r="I54" s="6">
        <v>2</v>
      </c>
      <c r="J54" s="6">
        <v>1</v>
      </c>
      <c r="K54" s="6">
        <v>7.57</v>
      </c>
      <c r="L54" s="6">
        <v>9.84</v>
      </c>
      <c r="M54" s="6">
        <v>1</v>
      </c>
      <c r="N54" s="6">
        <v>1</v>
      </c>
      <c r="O54" s="6">
        <v>7.57</v>
      </c>
      <c r="P54" s="6">
        <v>9.84</v>
      </c>
      <c r="Q54" s="6">
        <v>1</v>
      </c>
      <c r="R54" s="6" t="s">
        <v>3</v>
      </c>
      <c r="S54" s="6" t="s">
        <v>3</v>
      </c>
      <c r="T54" s="6" t="s">
        <v>3</v>
      </c>
      <c r="U54" s="6" t="s">
        <v>3</v>
      </c>
      <c r="V54" s="6" t="s">
        <v>3</v>
      </c>
      <c r="W54" s="6" t="s">
        <v>3</v>
      </c>
      <c r="X54" s="6" t="s">
        <v>3</v>
      </c>
      <c r="Y54" s="6" t="s">
        <v>3</v>
      </c>
      <c r="Z54" s="6" t="s">
        <v>3</v>
      </c>
      <c r="AA54" s="6" t="s">
        <v>274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>
        <v>55919550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x14ac:dyDescent="0.2">
      <c r="A55" s="6">
        <v>1</v>
      </c>
      <c r="B55" s="6" t="s">
        <v>271</v>
      </c>
      <c r="C55" s="6" t="s">
        <v>275</v>
      </c>
      <c r="D55" s="6">
        <v>2026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7.57</v>
      </c>
      <c r="L55" s="6">
        <v>9.84</v>
      </c>
      <c r="M55" s="6">
        <v>1</v>
      </c>
      <c r="N55" s="6">
        <v>1</v>
      </c>
      <c r="O55" s="6">
        <v>7.57</v>
      </c>
      <c r="P55" s="6">
        <v>9.84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276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55919551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20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55919547</v>
      </c>
      <c r="C1">
        <v>55983531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278</v>
      </c>
      <c r="J1" t="s">
        <v>3</v>
      </c>
      <c r="K1" t="s">
        <v>279</v>
      </c>
      <c r="L1">
        <v>1191</v>
      </c>
      <c r="N1">
        <v>1013</v>
      </c>
      <c r="O1" t="s">
        <v>280</v>
      </c>
      <c r="P1" t="s">
        <v>280</v>
      </c>
      <c r="Q1">
        <v>1</v>
      </c>
      <c r="W1">
        <v>0</v>
      </c>
      <c r="X1">
        <v>476480486</v>
      </c>
      <c r="Y1">
        <f>((AT1*1.2)*0.3)</f>
        <v>1.9331999999999998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5.37</v>
      </c>
      <c r="AU1" t="s">
        <v>25</v>
      </c>
      <c r="AV1">
        <v>1</v>
      </c>
      <c r="AW1">
        <v>2</v>
      </c>
      <c r="AX1">
        <v>55983534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1.9332</v>
      </c>
      <c r="CW1">
        <v>0</v>
      </c>
      <c r="CX1">
        <f>ROUND(Y1*Source!I28,9)</f>
        <v>1.9332</v>
      </c>
      <c r="CY1">
        <f>AD1</f>
        <v>0</v>
      </c>
      <c r="CZ1">
        <f>AH1</f>
        <v>0</v>
      </c>
      <c r="DA1">
        <f>AL1</f>
        <v>1</v>
      </c>
      <c r="DB1">
        <f>ROUND(((ROUND(AT1*CZ1,2)*1.2)*0.3),6)</f>
        <v>0</v>
      </c>
      <c r="DC1">
        <f>ROUND(((ROUND(AT1*AG1,2)*1.2)*0.3),6)</f>
        <v>0</v>
      </c>
      <c r="DD1" t="s">
        <v>3</v>
      </c>
      <c r="DE1" t="s">
        <v>3</v>
      </c>
      <c r="DF1">
        <f>ROUND(ROUND(AE1,2)*CX1,2)</f>
        <v>0</v>
      </c>
      <c r="DG1">
        <f t="shared" ref="DG1:DG16" si="0">ROUND(ROUND(AF1,2)*CX1,2)</f>
        <v>0</v>
      </c>
      <c r="DH1">
        <f t="shared" ref="DH1:DH16" si="1">ROUND(ROUND(AG1,2)*CX1,2)</f>
        <v>0</v>
      </c>
      <c r="DI1">
        <f t="shared" ref="DI1:DI64" si="2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55919547</v>
      </c>
      <c r="C2">
        <v>55983531</v>
      </c>
      <c r="D2">
        <v>55459873</v>
      </c>
      <c r="E2">
        <v>1</v>
      </c>
      <c r="F2">
        <v>1</v>
      </c>
      <c r="G2">
        <v>1081</v>
      </c>
      <c r="H2">
        <v>3</v>
      </c>
      <c r="I2" t="s">
        <v>281</v>
      </c>
      <c r="J2" t="s">
        <v>282</v>
      </c>
      <c r="K2" t="s">
        <v>283</v>
      </c>
      <c r="L2">
        <v>1348</v>
      </c>
      <c r="N2">
        <v>1009</v>
      </c>
      <c r="O2" t="s">
        <v>284</v>
      </c>
      <c r="P2" t="s">
        <v>284</v>
      </c>
      <c r="Q2">
        <v>1000</v>
      </c>
      <c r="W2">
        <v>0</v>
      </c>
      <c r="X2">
        <v>-1448251497</v>
      </c>
      <c r="Y2">
        <f>((AT2*1)*0)</f>
        <v>0</v>
      </c>
      <c r="AA2">
        <v>18495.41</v>
      </c>
      <c r="AB2">
        <v>0</v>
      </c>
      <c r="AC2">
        <v>0</v>
      </c>
      <c r="AD2">
        <v>0</v>
      </c>
      <c r="AE2">
        <v>18495.41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2.0000000000000002E-5</v>
      </c>
      <c r="AU2" t="s">
        <v>24</v>
      </c>
      <c r="AV2">
        <v>0</v>
      </c>
      <c r="AW2">
        <v>2</v>
      </c>
      <c r="AX2">
        <v>55983535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v>0</v>
      </c>
      <c r="CX2">
        <f>ROUND(Y2*Source!I28,9)</f>
        <v>0</v>
      </c>
      <c r="CY2">
        <f>AA2</f>
        <v>18495.41</v>
      </c>
      <c r="CZ2">
        <f>AE2</f>
        <v>18495.41</v>
      </c>
      <c r="DA2">
        <f>AI2</f>
        <v>1</v>
      </c>
      <c r="DB2">
        <f>ROUND(((ROUND(AT2*CZ2,2)*1)*0),6)</f>
        <v>0</v>
      </c>
      <c r="DC2">
        <f>ROUND(((ROUND(AT2*AG2,2)*1)*0),6)</f>
        <v>0</v>
      </c>
      <c r="DD2" t="s">
        <v>3</v>
      </c>
      <c r="DE2" t="s">
        <v>3</v>
      </c>
      <c r="DF2">
        <f>ROUND(ROUND(AE2,2)*CX2,2)</f>
        <v>0</v>
      </c>
      <c r="DG2">
        <f t="shared" si="0"/>
        <v>0</v>
      </c>
      <c r="DH2">
        <f t="shared" si="1"/>
        <v>0</v>
      </c>
      <c r="DI2">
        <f t="shared" si="2"/>
        <v>0</v>
      </c>
      <c r="DJ2">
        <f>DF2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ROW(Source!A29)</f>
        <v>29</v>
      </c>
      <c r="B3">
        <v>55919549</v>
      </c>
      <c r="C3">
        <v>55983531</v>
      </c>
      <c r="D3">
        <v>55424304</v>
      </c>
      <c r="E3">
        <v>1081</v>
      </c>
      <c r="F3">
        <v>1</v>
      </c>
      <c r="G3">
        <v>1081</v>
      </c>
      <c r="H3">
        <v>1</v>
      </c>
      <c r="I3" t="s">
        <v>278</v>
      </c>
      <c r="J3" t="s">
        <v>3</v>
      </c>
      <c r="K3" t="s">
        <v>279</v>
      </c>
      <c r="L3">
        <v>1191</v>
      </c>
      <c r="N3">
        <v>1013</v>
      </c>
      <c r="O3" t="s">
        <v>280</v>
      </c>
      <c r="P3" t="s">
        <v>280</v>
      </c>
      <c r="Q3">
        <v>1</v>
      </c>
      <c r="W3">
        <v>0</v>
      </c>
      <c r="X3">
        <v>476480486</v>
      </c>
      <c r="Y3">
        <f>((AT3*1.2)*0.3)</f>
        <v>1.9331999999999998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5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5.37</v>
      </c>
      <c r="AU3" t="s">
        <v>25</v>
      </c>
      <c r="AV3">
        <v>1</v>
      </c>
      <c r="AW3">
        <v>2</v>
      </c>
      <c r="AX3">
        <v>55983534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ROUND(AT3*Source!I29*AH3*AL3,2)</f>
        <v>0</v>
      </c>
      <c r="CV3">
        <f>ROUND(Y3*Source!I29,9)</f>
        <v>1.9332</v>
      </c>
      <c r="CW3">
        <v>0</v>
      </c>
      <c r="CX3">
        <f>ROUND(Y3*Source!I29,9)</f>
        <v>1.9332</v>
      </c>
      <c r="CY3">
        <f>AD3</f>
        <v>0</v>
      </c>
      <c r="CZ3">
        <f>AH3</f>
        <v>0</v>
      </c>
      <c r="DA3">
        <f>AL3</f>
        <v>1</v>
      </c>
      <c r="DB3">
        <f>ROUND(((ROUND(AT3*CZ3,2)*1.2)*0.3),6)</f>
        <v>0</v>
      </c>
      <c r="DC3">
        <f>ROUND(((ROUND(AT3*AG3,2)*1.2)*0.3),6)</f>
        <v>0</v>
      </c>
      <c r="DD3" t="s">
        <v>3</v>
      </c>
      <c r="DE3" t="s">
        <v>3</v>
      </c>
      <c r="DF3">
        <f>ROUND(ROUND(AE3,2)*CX3,2)</f>
        <v>0</v>
      </c>
      <c r="DG3">
        <f t="shared" si="0"/>
        <v>0</v>
      </c>
      <c r="DH3">
        <f t="shared" si="1"/>
        <v>0</v>
      </c>
      <c r="DI3">
        <f t="shared" si="2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ROW(Source!A29)</f>
        <v>29</v>
      </c>
      <c r="B4">
        <v>55919549</v>
      </c>
      <c r="C4">
        <v>55983531</v>
      </c>
      <c r="D4">
        <v>55459873</v>
      </c>
      <c r="E4">
        <v>1</v>
      </c>
      <c r="F4">
        <v>1</v>
      </c>
      <c r="G4">
        <v>1081</v>
      </c>
      <c r="H4">
        <v>3</v>
      </c>
      <c r="I4" t="s">
        <v>281</v>
      </c>
      <c r="J4" t="s">
        <v>282</v>
      </c>
      <c r="K4" t="s">
        <v>283</v>
      </c>
      <c r="L4">
        <v>1348</v>
      </c>
      <c r="N4">
        <v>1009</v>
      </c>
      <c r="O4" t="s">
        <v>284</v>
      </c>
      <c r="P4" t="s">
        <v>284</v>
      </c>
      <c r="Q4">
        <v>1000</v>
      </c>
      <c r="W4">
        <v>0</v>
      </c>
      <c r="X4">
        <v>-1448251497</v>
      </c>
      <c r="Y4">
        <f>((AT4*1)*0)</f>
        <v>0</v>
      </c>
      <c r="AA4">
        <v>101169.89</v>
      </c>
      <c r="AB4">
        <v>0</v>
      </c>
      <c r="AC4">
        <v>0</v>
      </c>
      <c r="AD4">
        <v>0</v>
      </c>
      <c r="AE4">
        <v>18495.41</v>
      </c>
      <c r="AF4">
        <v>0</v>
      </c>
      <c r="AG4">
        <v>0</v>
      </c>
      <c r="AH4">
        <v>0</v>
      </c>
      <c r="AI4">
        <v>5.47</v>
      </c>
      <c r="AJ4">
        <v>1</v>
      </c>
      <c r="AK4">
        <v>1</v>
      </c>
      <c r="AL4">
        <v>1</v>
      </c>
      <c r="AM4">
        <v>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2.0000000000000002E-5</v>
      </c>
      <c r="AU4" t="s">
        <v>24</v>
      </c>
      <c r="AV4">
        <v>0</v>
      </c>
      <c r="AW4">
        <v>2</v>
      </c>
      <c r="AX4">
        <v>55983535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ROUND(Y4*Source!I29,9)</f>
        <v>0</v>
      </c>
      <c r="CY4">
        <f>AA4</f>
        <v>101169.89</v>
      </c>
      <c r="CZ4">
        <f>AE4</f>
        <v>18495.41</v>
      </c>
      <c r="DA4">
        <f>AI4</f>
        <v>5.47</v>
      </c>
      <c r="DB4">
        <f>ROUND(((ROUND(AT4*CZ4,2)*1)*0),6)</f>
        <v>0</v>
      </c>
      <c r="DC4">
        <f>ROUND(((ROUND(AT4*AG4,2)*1)*0),6)</f>
        <v>0</v>
      </c>
      <c r="DD4" t="s">
        <v>3</v>
      </c>
      <c r="DE4" t="s">
        <v>3</v>
      </c>
      <c r="DF4">
        <f>ROUND(ROUND(AE4*AI4,2)*CX4,2)</f>
        <v>0</v>
      </c>
      <c r="DG4">
        <f t="shared" si="0"/>
        <v>0</v>
      </c>
      <c r="DH4">
        <f t="shared" si="1"/>
        <v>0</v>
      </c>
      <c r="DI4">
        <f t="shared" si="2"/>
        <v>0</v>
      </c>
      <c r="DJ4">
        <f>DF4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ROW(Source!A30)</f>
        <v>30</v>
      </c>
      <c r="B5">
        <v>55919547</v>
      </c>
      <c r="C5">
        <v>55983536</v>
      </c>
      <c r="D5">
        <v>55424304</v>
      </c>
      <c r="E5">
        <v>1081</v>
      </c>
      <c r="F5">
        <v>1</v>
      </c>
      <c r="G5">
        <v>1081</v>
      </c>
      <c r="H5">
        <v>1</v>
      </c>
      <c r="I5" t="s">
        <v>278</v>
      </c>
      <c r="J5" t="s">
        <v>3</v>
      </c>
      <c r="K5" t="s">
        <v>279</v>
      </c>
      <c r="L5">
        <v>1191</v>
      </c>
      <c r="N5">
        <v>1013</v>
      </c>
      <c r="O5" t="s">
        <v>280</v>
      </c>
      <c r="P5" t="s">
        <v>280</v>
      </c>
      <c r="Q5">
        <v>1</v>
      </c>
      <c r="W5">
        <v>0</v>
      </c>
      <c r="X5">
        <v>476480486</v>
      </c>
      <c r="Y5">
        <f>((AT5*1.2)*0.3)</f>
        <v>0.28799999999999998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0.8</v>
      </c>
      <c r="AU5" t="s">
        <v>25</v>
      </c>
      <c r="AV5">
        <v>1</v>
      </c>
      <c r="AW5">
        <v>2</v>
      </c>
      <c r="AX5">
        <v>55983539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ROUND(AT5*Source!I30*AH5*AL5,2)</f>
        <v>0</v>
      </c>
      <c r="CV5">
        <f>ROUND(Y5*Source!I30,9)</f>
        <v>0.28799999999999998</v>
      </c>
      <c r="CW5">
        <v>0</v>
      </c>
      <c r="CX5">
        <f>ROUND(Y5*Source!I30,9)</f>
        <v>0.28799999999999998</v>
      </c>
      <c r="CY5">
        <f>AD5</f>
        <v>0</v>
      </c>
      <c r="CZ5">
        <f>AH5</f>
        <v>0</v>
      </c>
      <c r="DA5">
        <f>AL5</f>
        <v>1</v>
      </c>
      <c r="DB5">
        <f>ROUND(((ROUND(AT5*CZ5,2)*1.2)*0.3),6)</f>
        <v>0</v>
      </c>
      <c r="DC5">
        <f>ROUND(((ROUND(AT5*AG5,2)*1.2)*0.3),6)</f>
        <v>0</v>
      </c>
      <c r="DD5" t="s">
        <v>3</v>
      </c>
      <c r="DE5" t="s">
        <v>3</v>
      </c>
      <c r="DF5">
        <f>ROUND(ROUND(AE5,2)*CX5,2)</f>
        <v>0</v>
      </c>
      <c r="DG5">
        <f t="shared" si="0"/>
        <v>0</v>
      </c>
      <c r="DH5">
        <f t="shared" si="1"/>
        <v>0</v>
      </c>
      <c r="DI5">
        <f t="shared" si="2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ROW(Source!A30)</f>
        <v>30</v>
      </c>
      <c r="B6">
        <v>55919547</v>
      </c>
      <c r="C6">
        <v>55983536</v>
      </c>
      <c r="D6">
        <v>55460239</v>
      </c>
      <c r="E6">
        <v>1</v>
      </c>
      <c r="F6">
        <v>1</v>
      </c>
      <c r="G6">
        <v>1081</v>
      </c>
      <c r="H6">
        <v>3</v>
      </c>
      <c r="I6" t="s">
        <v>285</v>
      </c>
      <c r="J6" t="s">
        <v>286</v>
      </c>
      <c r="K6" t="s">
        <v>287</v>
      </c>
      <c r="L6">
        <v>1348</v>
      </c>
      <c r="N6">
        <v>1009</v>
      </c>
      <c r="O6" t="s">
        <v>284</v>
      </c>
      <c r="P6" t="s">
        <v>284</v>
      </c>
      <c r="Q6">
        <v>1000</v>
      </c>
      <c r="W6">
        <v>0</v>
      </c>
      <c r="X6">
        <v>-1843244094</v>
      </c>
      <c r="Y6">
        <f>((AT6*1)*0)</f>
        <v>0</v>
      </c>
      <c r="AA6">
        <v>12416.13</v>
      </c>
      <c r="AB6">
        <v>0</v>
      </c>
      <c r="AC6">
        <v>0</v>
      </c>
      <c r="AD6">
        <v>0</v>
      </c>
      <c r="AE6">
        <v>12416.13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2.4000000000000001E-5</v>
      </c>
      <c r="AU6" t="s">
        <v>24</v>
      </c>
      <c r="AV6">
        <v>0</v>
      </c>
      <c r="AW6">
        <v>2</v>
      </c>
      <c r="AX6">
        <v>55983540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ROUND(Y6*Source!I30,9)</f>
        <v>0</v>
      </c>
      <c r="CY6">
        <f>AA6</f>
        <v>12416.13</v>
      </c>
      <c r="CZ6">
        <f>AE6</f>
        <v>12416.13</v>
      </c>
      <c r="DA6">
        <f>AI6</f>
        <v>1</v>
      </c>
      <c r="DB6">
        <f>ROUND(((ROUND(AT6*CZ6,2)*1)*0),6)</f>
        <v>0</v>
      </c>
      <c r="DC6">
        <f>ROUND(((ROUND(AT6*AG6,2)*1)*0),6)</f>
        <v>0</v>
      </c>
      <c r="DD6" t="s">
        <v>3</v>
      </c>
      <c r="DE6" t="s">
        <v>3</v>
      </c>
      <c r="DF6">
        <f>ROUND(ROUND(AE6,2)*CX6,2)</f>
        <v>0</v>
      </c>
      <c r="DG6">
        <f t="shared" si="0"/>
        <v>0</v>
      </c>
      <c r="DH6">
        <f t="shared" si="1"/>
        <v>0</v>
      </c>
      <c r="DI6">
        <f t="shared" si="2"/>
        <v>0</v>
      </c>
      <c r="DJ6">
        <f>DF6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ROW(Source!A31)</f>
        <v>31</v>
      </c>
      <c r="B7">
        <v>55919549</v>
      </c>
      <c r="C7">
        <v>55983536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278</v>
      </c>
      <c r="J7" t="s">
        <v>3</v>
      </c>
      <c r="K7" t="s">
        <v>279</v>
      </c>
      <c r="L7">
        <v>1191</v>
      </c>
      <c r="N7">
        <v>1013</v>
      </c>
      <c r="O7" t="s">
        <v>280</v>
      </c>
      <c r="P7" t="s">
        <v>280</v>
      </c>
      <c r="Q7">
        <v>1</v>
      </c>
      <c r="W7">
        <v>0</v>
      </c>
      <c r="X7">
        <v>476480486</v>
      </c>
      <c r="Y7">
        <f>((AT7*1.2)*0.3)</f>
        <v>0.28799999999999998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5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0.8</v>
      </c>
      <c r="AU7" t="s">
        <v>25</v>
      </c>
      <c r="AV7">
        <v>1</v>
      </c>
      <c r="AW7">
        <v>2</v>
      </c>
      <c r="AX7">
        <v>55983539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ROUND(AT7*Source!I31*AH7*AL7,2)</f>
        <v>0</v>
      </c>
      <c r="CV7">
        <f>ROUND(Y7*Source!I31,9)</f>
        <v>0.28799999999999998</v>
      </c>
      <c r="CW7">
        <v>0</v>
      </c>
      <c r="CX7">
        <f>ROUND(Y7*Source!I31,9)</f>
        <v>0.28799999999999998</v>
      </c>
      <c r="CY7">
        <f>AD7</f>
        <v>0</v>
      </c>
      <c r="CZ7">
        <f>AH7</f>
        <v>0</v>
      </c>
      <c r="DA7">
        <f>AL7</f>
        <v>1</v>
      </c>
      <c r="DB7">
        <f>ROUND(((ROUND(AT7*CZ7,2)*1.2)*0.3),6)</f>
        <v>0</v>
      </c>
      <c r="DC7">
        <f>ROUND(((ROUND(AT7*AG7,2)*1.2)*0.3),6)</f>
        <v>0</v>
      </c>
      <c r="DD7" t="s">
        <v>3</v>
      </c>
      <c r="DE7" t="s">
        <v>3</v>
      </c>
      <c r="DF7">
        <f>ROUND(ROUND(AE7,2)*CX7,2)</f>
        <v>0</v>
      </c>
      <c r="DG7">
        <f t="shared" si="0"/>
        <v>0</v>
      </c>
      <c r="DH7">
        <f t="shared" si="1"/>
        <v>0</v>
      </c>
      <c r="DI7">
        <f t="shared" si="2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ROW(Source!A31)</f>
        <v>31</v>
      </c>
      <c r="B8">
        <v>55919549</v>
      </c>
      <c r="C8">
        <v>55983536</v>
      </c>
      <c r="D8">
        <v>55460239</v>
      </c>
      <c r="E8">
        <v>1</v>
      </c>
      <c r="F8">
        <v>1</v>
      </c>
      <c r="G8">
        <v>1081</v>
      </c>
      <c r="H8">
        <v>3</v>
      </c>
      <c r="I8" t="s">
        <v>285</v>
      </c>
      <c r="J8" t="s">
        <v>286</v>
      </c>
      <c r="K8" t="s">
        <v>287</v>
      </c>
      <c r="L8">
        <v>1348</v>
      </c>
      <c r="N8">
        <v>1009</v>
      </c>
      <c r="O8" t="s">
        <v>284</v>
      </c>
      <c r="P8" t="s">
        <v>284</v>
      </c>
      <c r="Q8">
        <v>1000</v>
      </c>
      <c r="W8">
        <v>0</v>
      </c>
      <c r="X8">
        <v>-1843244094</v>
      </c>
      <c r="Y8">
        <f>((AT8*1)*0)</f>
        <v>0</v>
      </c>
      <c r="AA8">
        <v>91879.360000000001</v>
      </c>
      <c r="AB8">
        <v>0</v>
      </c>
      <c r="AC8">
        <v>0</v>
      </c>
      <c r="AD8">
        <v>0</v>
      </c>
      <c r="AE8">
        <v>12416.13</v>
      </c>
      <c r="AF8">
        <v>0</v>
      </c>
      <c r="AG8">
        <v>0</v>
      </c>
      <c r="AH8">
        <v>0</v>
      </c>
      <c r="AI8">
        <v>7.4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2.4000000000000001E-5</v>
      </c>
      <c r="AU8" t="s">
        <v>24</v>
      </c>
      <c r="AV8">
        <v>0</v>
      </c>
      <c r="AW8">
        <v>2</v>
      </c>
      <c r="AX8">
        <v>55983540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ROUND(Y8*Source!I31,9)</f>
        <v>0</v>
      </c>
      <c r="CY8">
        <f>AA8</f>
        <v>91879.360000000001</v>
      </c>
      <c r="CZ8">
        <f>AE8</f>
        <v>12416.13</v>
      </c>
      <c r="DA8">
        <f>AI8</f>
        <v>7.4</v>
      </c>
      <c r="DB8">
        <f>ROUND(((ROUND(AT8*CZ8,2)*1)*0),6)</f>
        <v>0</v>
      </c>
      <c r="DC8">
        <f>ROUND(((ROUND(AT8*AG8,2)*1)*0),6)</f>
        <v>0</v>
      </c>
      <c r="DD8" t="s">
        <v>3</v>
      </c>
      <c r="DE8" t="s">
        <v>3</v>
      </c>
      <c r="DF8">
        <f>ROUND(ROUND(AE8*AI8,2)*CX8,2)</f>
        <v>0</v>
      </c>
      <c r="DG8">
        <f t="shared" si="0"/>
        <v>0</v>
      </c>
      <c r="DH8">
        <f t="shared" si="1"/>
        <v>0</v>
      </c>
      <c r="DI8">
        <f t="shared" si="2"/>
        <v>0</v>
      </c>
      <c r="DJ8">
        <f>DF8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ROW(Source!A32)</f>
        <v>32</v>
      </c>
      <c r="B9">
        <v>55919547</v>
      </c>
      <c r="C9">
        <v>55983541</v>
      </c>
      <c r="D9">
        <v>55424304</v>
      </c>
      <c r="E9">
        <v>1081</v>
      </c>
      <c r="F9">
        <v>1</v>
      </c>
      <c r="G9">
        <v>1081</v>
      </c>
      <c r="H9">
        <v>1</v>
      </c>
      <c r="I9" t="s">
        <v>278</v>
      </c>
      <c r="J9" t="s">
        <v>3</v>
      </c>
      <c r="K9" t="s">
        <v>279</v>
      </c>
      <c r="L9">
        <v>1191</v>
      </c>
      <c r="N9">
        <v>1013</v>
      </c>
      <c r="O9" t="s">
        <v>280</v>
      </c>
      <c r="P9" t="s">
        <v>280</v>
      </c>
      <c r="Q9">
        <v>1</v>
      </c>
      <c r="W9">
        <v>0</v>
      </c>
      <c r="X9">
        <v>476480486</v>
      </c>
      <c r="Y9">
        <f>((AT9*1.2)*0.3)</f>
        <v>0.74159999999999993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2.06</v>
      </c>
      <c r="AU9" t="s">
        <v>25</v>
      </c>
      <c r="AV9">
        <v>1</v>
      </c>
      <c r="AW9">
        <v>2</v>
      </c>
      <c r="AX9">
        <v>55983549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U9">
        <f>ROUND(AT9*Source!I32*AH9*AL9,2)</f>
        <v>0</v>
      </c>
      <c r="CV9">
        <f>ROUND(Y9*Source!I32,9)</f>
        <v>0.74160000000000004</v>
      </c>
      <c r="CW9">
        <v>0</v>
      </c>
      <c r="CX9">
        <f>ROUND(Y9*Source!I32,9)</f>
        <v>0.74160000000000004</v>
      </c>
      <c r="CY9">
        <f>AD9</f>
        <v>0</v>
      </c>
      <c r="CZ9">
        <f>AH9</f>
        <v>0</v>
      </c>
      <c r="DA9">
        <f>AL9</f>
        <v>1</v>
      </c>
      <c r="DB9">
        <f>ROUND(((ROUND(AT9*CZ9,2)*1.2)*0.3),6)</f>
        <v>0</v>
      </c>
      <c r="DC9">
        <f>ROUND(((ROUND(AT9*AG9,2)*1.2)*0.3),6)</f>
        <v>0</v>
      </c>
      <c r="DD9" t="s">
        <v>3</v>
      </c>
      <c r="DE9" t="s">
        <v>3</v>
      </c>
      <c r="DF9">
        <f t="shared" ref="DF9:DF20" si="3">ROUND(ROUND(AE9,2)*CX9,2)</f>
        <v>0</v>
      </c>
      <c r="DG9">
        <f t="shared" si="0"/>
        <v>0</v>
      </c>
      <c r="DH9">
        <f t="shared" si="1"/>
        <v>0</v>
      </c>
      <c r="DI9">
        <f t="shared" si="2"/>
        <v>0</v>
      </c>
      <c r="DJ9">
        <f>DI9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ROW(Source!A32)</f>
        <v>32</v>
      </c>
      <c r="B10">
        <v>55919547</v>
      </c>
      <c r="C10">
        <v>55983541</v>
      </c>
      <c r="D10">
        <v>55489803</v>
      </c>
      <c r="E10">
        <v>1</v>
      </c>
      <c r="F10">
        <v>1</v>
      </c>
      <c r="G10">
        <v>1081</v>
      </c>
      <c r="H10">
        <v>2</v>
      </c>
      <c r="I10" t="s">
        <v>288</v>
      </c>
      <c r="J10" t="s">
        <v>289</v>
      </c>
      <c r="K10" t="s">
        <v>290</v>
      </c>
      <c r="L10">
        <v>1368</v>
      </c>
      <c r="N10">
        <v>1011</v>
      </c>
      <c r="O10" t="s">
        <v>291</v>
      </c>
      <c r="P10" t="s">
        <v>291</v>
      </c>
      <c r="Q10">
        <v>1</v>
      </c>
      <c r="W10">
        <v>0</v>
      </c>
      <c r="X10">
        <v>1752775000</v>
      </c>
      <c r="Y10">
        <f>((AT10*1.2)*0.3)</f>
        <v>6.8399999999999989E-2</v>
      </c>
      <c r="AA10">
        <v>0</v>
      </c>
      <c r="AB10">
        <v>43.4</v>
      </c>
      <c r="AC10">
        <v>13.21</v>
      </c>
      <c r="AD10">
        <v>0</v>
      </c>
      <c r="AE10">
        <v>0</v>
      </c>
      <c r="AF10">
        <v>41.45</v>
      </c>
      <c r="AG10">
        <v>12.62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0.19</v>
      </c>
      <c r="AU10" t="s">
        <v>25</v>
      </c>
      <c r="AV10">
        <v>0</v>
      </c>
      <c r="AW10">
        <v>2</v>
      </c>
      <c r="AX10">
        <v>55983550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f>ROUND(Y10*Source!I32*DO10,9)</f>
        <v>0.86320799999999998</v>
      </c>
      <c r="CX10">
        <f>ROUND(Y10*Source!I32,9)</f>
        <v>6.8400000000000002E-2</v>
      </c>
      <c r="CY10">
        <f>AB10</f>
        <v>43.4</v>
      </c>
      <c r="CZ10">
        <f>AF10</f>
        <v>41.45</v>
      </c>
      <c r="DA10">
        <f>AJ10</f>
        <v>1</v>
      </c>
      <c r="DB10">
        <f>ROUND(((ROUND(AT10*CZ10,2)*1.2)*0.3),6)</f>
        <v>2.8368000000000002</v>
      </c>
      <c r="DC10">
        <f>ROUND(((ROUND(AT10*AG10,2)*1.2)*0.3),6)</f>
        <v>0.86399999999999999</v>
      </c>
      <c r="DD10" t="s">
        <v>3</v>
      </c>
      <c r="DE10" t="s">
        <v>3</v>
      </c>
      <c r="DF10">
        <f t="shared" si="3"/>
        <v>0</v>
      </c>
      <c r="DG10">
        <f t="shared" si="0"/>
        <v>2.84</v>
      </c>
      <c r="DH10">
        <f t="shared" si="1"/>
        <v>0.86</v>
      </c>
      <c r="DI10">
        <f t="shared" si="2"/>
        <v>0</v>
      </c>
      <c r="DJ10">
        <f>DG10</f>
        <v>2.84</v>
      </c>
      <c r="DK10">
        <v>0</v>
      </c>
      <c r="DL10" t="s">
        <v>292</v>
      </c>
      <c r="DM10">
        <v>0</v>
      </c>
      <c r="DN10" t="s">
        <v>280</v>
      </c>
      <c r="DO10">
        <v>12.62</v>
      </c>
    </row>
    <row r="11" spans="1:119" x14ac:dyDescent="0.2">
      <c r="A11">
        <f>ROW(Source!A32)</f>
        <v>32</v>
      </c>
      <c r="B11">
        <v>55919547</v>
      </c>
      <c r="C11">
        <v>55983541</v>
      </c>
      <c r="D11">
        <v>55489910</v>
      </c>
      <c r="E11">
        <v>1</v>
      </c>
      <c r="F11">
        <v>1</v>
      </c>
      <c r="G11">
        <v>1081</v>
      </c>
      <c r="H11">
        <v>2</v>
      </c>
      <c r="I11" t="s">
        <v>293</v>
      </c>
      <c r="J11" t="s">
        <v>294</v>
      </c>
      <c r="K11" t="s">
        <v>295</v>
      </c>
      <c r="L11">
        <v>1368</v>
      </c>
      <c r="N11">
        <v>1011</v>
      </c>
      <c r="O11" t="s">
        <v>291</v>
      </c>
      <c r="P11" t="s">
        <v>291</v>
      </c>
      <c r="Q11">
        <v>1</v>
      </c>
      <c r="W11">
        <v>0</v>
      </c>
      <c r="X11">
        <v>1498588441</v>
      </c>
      <c r="Y11">
        <f>((AT11*1.2)*0.3)</f>
        <v>0.21959999999999999</v>
      </c>
      <c r="AA11">
        <v>0</v>
      </c>
      <c r="AB11">
        <v>7.44</v>
      </c>
      <c r="AC11">
        <v>0</v>
      </c>
      <c r="AD11">
        <v>0</v>
      </c>
      <c r="AE11">
        <v>0</v>
      </c>
      <c r="AF11">
        <v>7.11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0.61</v>
      </c>
      <c r="AU11" t="s">
        <v>25</v>
      </c>
      <c r="AV11">
        <v>0</v>
      </c>
      <c r="AW11">
        <v>2</v>
      </c>
      <c r="AX11">
        <v>55983551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f>ROUND(Y11*Source!I32*DO11,9)</f>
        <v>0</v>
      </c>
      <c r="CX11">
        <f>ROUND(Y11*Source!I32,9)</f>
        <v>0.21959999999999999</v>
      </c>
      <c r="CY11">
        <f>AB11</f>
        <v>7.44</v>
      </c>
      <c r="CZ11">
        <f>AF11</f>
        <v>7.11</v>
      </c>
      <c r="DA11">
        <f>AJ11</f>
        <v>1</v>
      </c>
      <c r="DB11">
        <f>ROUND(((ROUND(AT11*CZ11,2)*1.2)*0.3),6)</f>
        <v>1.5624</v>
      </c>
      <c r="DC11">
        <f>ROUND(((ROUND(AT11*AG11,2)*1.2)*0.3),6)</f>
        <v>0</v>
      </c>
      <c r="DD11" t="s">
        <v>3</v>
      </c>
      <c r="DE11" t="s">
        <v>3</v>
      </c>
      <c r="DF11">
        <f t="shared" si="3"/>
        <v>0</v>
      </c>
      <c r="DG11">
        <f t="shared" si="0"/>
        <v>1.56</v>
      </c>
      <c r="DH11">
        <f t="shared" si="1"/>
        <v>0</v>
      </c>
      <c r="DI11">
        <f t="shared" si="2"/>
        <v>0</v>
      </c>
      <c r="DJ11">
        <f>DG11</f>
        <v>1.56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ROW(Source!A32)</f>
        <v>32</v>
      </c>
      <c r="B12">
        <v>55919547</v>
      </c>
      <c r="C12">
        <v>55983541</v>
      </c>
      <c r="D12">
        <v>55490209</v>
      </c>
      <c r="E12">
        <v>1</v>
      </c>
      <c r="F12">
        <v>1</v>
      </c>
      <c r="G12">
        <v>1081</v>
      </c>
      <c r="H12">
        <v>2</v>
      </c>
      <c r="I12" t="s">
        <v>296</v>
      </c>
      <c r="J12" t="s">
        <v>297</v>
      </c>
      <c r="K12" t="s">
        <v>298</v>
      </c>
      <c r="L12">
        <v>1368</v>
      </c>
      <c r="N12">
        <v>1011</v>
      </c>
      <c r="O12" t="s">
        <v>291</v>
      </c>
      <c r="P12" t="s">
        <v>291</v>
      </c>
      <c r="Q12">
        <v>1</v>
      </c>
      <c r="W12">
        <v>0</v>
      </c>
      <c r="X12">
        <v>874612079</v>
      </c>
      <c r="Y12">
        <f>((AT12*1.2)*0.3)</f>
        <v>2.1599999999999998E-2</v>
      </c>
      <c r="AA12">
        <v>0</v>
      </c>
      <c r="AB12">
        <v>87.01</v>
      </c>
      <c r="AC12">
        <v>13.21</v>
      </c>
      <c r="AD12">
        <v>0</v>
      </c>
      <c r="AE12">
        <v>0</v>
      </c>
      <c r="AF12">
        <v>83.1</v>
      </c>
      <c r="AG12">
        <v>12.62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0.06</v>
      </c>
      <c r="AU12" t="s">
        <v>25</v>
      </c>
      <c r="AV12">
        <v>0</v>
      </c>
      <c r="AW12">
        <v>2</v>
      </c>
      <c r="AX12">
        <v>55983552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ROUND(Y12*Source!I32*DO12,9)</f>
        <v>0.272592</v>
      </c>
      <c r="CX12">
        <f>ROUND(Y12*Source!I32,9)</f>
        <v>2.1600000000000001E-2</v>
      </c>
      <c r="CY12">
        <f>AB12</f>
        <v>87.01</v>
      </c>
      <c r="CZ12">
        <f>AF12</f>
        <v>83.1</v>
      </c>
      <c r="DA12">
        <f>AJ12</f>
        <v>1</v>
      </c>
      <c r="DB12">
        <f>ROUND(((ROUND(AT12*CZ12,2)*1.2)*0.3),6)</f>
        <v>1.7964</v>
      </c>
      <c r="DC12">
        <f>ROUND(((ROUND(AT12*AG12,2)*1.2)*0.3),6)</f>
        <v>0.27360000000000001</v>
      </c>
      <c r="DD12" t="s">
        <v>3</v>
      </c>
      <c r="DE12" t="s">
        <v>3</v>
      </c>
      <c r="DF12">
        <f t="shared" si="3"/>
        <v>0</v>
      </c>
      <c r="DG12">
        <f t="shared" si="0"/>
        <v>1.79</v>
      </c>
      <c r="DH12">
        <f t="shared" si="1"/>
        <v>0.27</v>
      </c>
      <c r="DI12">
        <f t="shared" si="2"/>
        <v>0</v>
      </c>
      <c r="DJ12">
        <f>DG12</f>
        <v>1.79</v>
      </c>
      <c r="DK12">
        <v>0</v>
      </c>
      <c r="DL12" t="s">
        <v>292</v>
      </c>
      <c r="DM12">
        <v>0</v>
      </c>
      <c r="DN12" t="s">
        <v>280</v>
      </c>
      <c r="DO12">
        <v>12.62</v>
      </c>
    </row>
    <row r="13" spans="1:119" x14ac:dyDescent="0.2">
      <c r="A13">
        <f>ROW(Source!A32)</f>
        <v>32</v>
      </c>
      <c r="B13">
        <v>55919547</v>
      </c>
      <c r="C13">
        <v>55983541</v>
      </c>
      <c r="D13">
        <v>55490260</v>
      </c>
      <c r="E13">
        <v>1</v>
      </c>
      <c r="F13">
        <v>1</v>
      </c>
      <c r="G13">
        <v>1081</v>
      </c>
      <c r="H13">
        <v>2</v>
      </c>
      <c r="I13" t="s">
        <v>299</v>
      </c>
      <c r="J13" t="s">
        <v>300</v>
      </c>
      <c r="K13" t="s">
        <v>301</v>
      </c>
      <c r="L13">
        <v>1368</v>
      </c>
      <c r="N13">
        <v>1011</v>
      </c>
      <c r="O13" t="s">
        <v>291</v>
      </c>
      <c r="P13" t="s">
        <v>291</v>
      </c>
      <c r="Q13">
        <v>1</v>
      </c>
      <c r="W13">
        <v>0</v>
      </c>
      <c r="X13">
        <v>803042515</v>
      </c>
      <c r="Y13">
        <f>((AT13*1.2)*0.3)</f>
        <v>6.8399999999999989E-2</v>
      </c>
      <c r="AA13">
        <v>0</v>
      </c>
      <c r="AB13">
        <v>1.2</v>
      </c>
      <c r="AC13">
        <v>0</v>
      </c>
      <c r="AD13">
        <v>0</v>
      </c>
      <c r="AE13">
        <v>0</v>
      </c>
      <c r="AF13">
        <v>1.1499999999999999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0.19</v>
      </c>
      <c r="AU13" t="s">
        <v>25</v>
      </c>
      <c r="AV13">
        <v>0</v>
      </c>
      <c r="AW13">
        <v>2</v>
      </c>
      <c r="AX13">
        <v>55983553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f>ROUND(Y13*Source!I32*DO13,9)</f>
        <v>0</v>
      </c>
      <c r="CX13">
        <f>ROUND(Y13*Source!I32,9)</f>
        <v>6.8400000000000002E-2</v>
      </c>
      <c r="CY13">
        <f>AB13</f>
        <v>1.2</v>
      </c>
      <c r="CZ13">
        <f>AF13</f>
        <v>1.1499999999999999</v>
      </c>
      <c r="DA13">
        <f>AJ13</f>
        <v>1</v>
      </c>
      <c r="DB13">
        <f>ROUND(((ROUND(AT13*CZ13,2)*1.2)*0.3),6)</f>
        <v>7.9200000000000007E-2</v>
      </c>
      <c r="DC13">
        <f>ROUND(((ROUND(AT13*AG13,2)*1.2)*0.3),6)</f>
        <v>0</v>
      </c>
      <c r="DD13" t="s">
        <v>3</v>
      </c>
      <c r="DE13" t="s">
        <v>3</v>
      </c>
      <c r="DF13">
        <f t="shared" si="3"/>
        <v>0</v>
      </c>
      <c r="DG13">
        <f t="shared" si="0"/>
        <v>0.08</v>
      </c>
      <c r="DH13">
        <f t="shared" si="1"/>
        <v>0</v>
      </c>
      <c r="DI13">
        <f t="shared" si="2"/>
        <v>0</v>
      </c>
      <c r="DJ13">
        <f>DG13</f>
        <v>0.08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ROW(Source!A32)</f>
        <v>32</v>
      </c>
      <c r="B14">
        <v>55919547</v>
      </c>
      <c r="C14">
        <v>55983541</v>
      </c>
      <c r="D14">
        <v>55460310</v>
      </c>
      <c r="E14">
        <v>1</v>
      </c>
      <c r="F14">
        <v>1</v>
      </c>
      <c r="G14">
        <v>1081</v>
      </c>
      <c r="H14">
        <v>3</v>
      </c>
      <c r="I14" t="s">
        <v>302</v>
      </c>
      <c r="J14" t="s">
        <v>303</v>
      </c>
      <c r="K14" t="s">
        <v>304</v>
      </c>
      <c r="L14">
        <v>1346</v>
      </c>
      <c r="N14">
        <v>1009</v>
      </c>
      <c r="O14" t="s">
        <v>151</v>
      </c>
      <c r="P14" t="s">
        <v>151</v>
      </c>
      <c r="Q14">
        <v>1</v>
      </c>
      <c r="W14">
        <v>0</v>
      </c>
      <c r="X14">
        <v>-1097873860</v>
      </c>
      <c r="Y14">
        <f>((AT14*1)*0)</f>
        <v>0</v>
      </c>
      <c r="AA14">
        <v>29.89</v>
      </c>
      <c r="AB14">
        <v>0</v>
      </c>
      <c r="AC14">
        <v>0</v>
      </c>
      <c r="AD14">
        <v>0</v>
      </c>
      <c r="AE14">
        <v>29.89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0.02</v>
      </c>
      <c r="AU14" t="s">
        <v>24</v>
      </c>
      <c r="AV14">
        <v>0</v>
      </c>
      <c r="AW14">
        <v>2</v>
      </c>
      <c r="AX14">
        <v>55983554</v>
      </c>
      <c r="AY14">
        <v>1</v>
      </c>
      <c r="AZ14">
        <v>0</v>
      </c>
      <c r="BA14">
        <v>14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ROUND(Y14*Source!I32,9)</f>
        <v>0</v>
      </c>
      <c r="CY14">
        <f>AA14</f>
        <v>29.89</v>
      </c>
      <c r="CZ14">
        <f>AE14</f>
        <v>29.89</v>
      </c>
      <c r="DA14">
        <f>AI14</f>
        <v>1</v>
      </c>
      <c r="DB14">
        <f>ROUND(((ROUND(AT14*CZ14,2)*1)*0),6)</f>
        <v>0</v>
      </c>
      <c r="DC14">
        <f>ROUND(((ROUND(AT14*AG14,2)*1)*0),6)</f>
        <v>0</v>
      </c>
      <c r="DD14" t="s">
        <v>3</v>
      </c>
      <c r="DE14" t="s">
        <v>3</v>
      </c>
      <c r="DF14">
        <f t="shared" si="3"/>
        <v>0</v>
      </c>
      <c r="DG14">
        <f t="shared" si="0"/>
        <v>0</v>
      </c>
      <c r="DH14">
        <f t="shared" si="1"/>
        <v>0</v>
      </c>
      <c r="DI14">
        <f t="shared" si="2"/>
        <v>0</v>
      </c>
      <c r="DJ14">
        <f>DF14</f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ROW(Source!A32)</f>
        <v>32</v>
      </c>
      <c r="B15">
        <v>55919547</v>
      </c>
      <c r="C15">
        <v>55983541</v>
      </c>
      <c r="D15">
        <v>55460380</v>
      </c>
      <c r="E15">
        <v>1</v>
      </c>
      <c r="F15">
        <v>1</v>
      </c>
      <c r="G15">
        <v>1081</v>
      </c>
      <c r="H15">
        <v>3</v>
      </c>
      <c r="I15" t="s">
        <v>305</v>
      </c>
      <c r="J15" t="s">
        <v>306</v>
      </c>
      <c r="K15" t="s">
        <v>307</v>
      </c>
      <c r="L15">
        <v>1348</v>
      </c>
      <c r="N15">
        <v>1009</v>
      </c>
      <c r="O15" t="s">
        <v>284</v>
      </c>
      <c r="P15" t="s">
        <v>284</v>
      </c>
      <c r="Q15">
        <v>1000</v>
      </c>
      <c r="W15">
        <v>0</v>
      </c>
      <c r="X15">
        <v>277309194</v>
      </c>
      <c r="Y15">
        <f>((AT15*1)*0)</f>
        <v>0</v>
      </c>
      <c r="AA15">
        <v>8590.86</v>
      </c>
      <c r="AB15">
        <v>0</v>
      </c>
      <c r="AC15">
        <v>0</v>
      </c>
      <c r="AD15">
        <v>0</v>
      </c>
      <c r="AE15">
        <v>8590.86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1E-4</v>
      </c>
      <c r="AU15" t="s">
        <v>24</v>
      </c>
      <c r="AV15">
        <v>0</v>
      </c>
      <c r="AW15">
        <v>2</v>
      </c>
      <c r="AX15">
        <v>55983555</v>
      </c>
      <c r="AY15">
        <v>1</v>
      </c>
      <c r="AZ15">
        <v>0</v>
      </c>
      <c r="BA15">
        <v>15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ROUND(Y15*Source!I32,9)</f>
        <v>0</v>
      </c>
      <c r="CY15">
        <f>AA15</f>
        <v>8590.86</v>
      </c>
      <c r="CZ15">
        <f>AE15</f>
        <v>8590.86</v>
      </c>
      <c r="DA15">
        <f>AI15</f>
        <v>1</v>
      </c>
      <c r="DB15">
        <f>ROUND(((ROUND(AT15*CZ15,2)*1)*0),6)</f>
        <v>0</v>
      </c>
      <c r="DC15">
        <f>ROUND(((ROUND(AT15*AG15,2)*1)*0),6)</f>
        <v>0</v>
      </c>
      <c r="DD15" t="s">
        <v>3</v>
      </c>
      <c r="DE15" t="s">
        <v>3</v>
      </c>
      <c r="DF15">
        <f t="shared" si="3"/>
        <v>0</v>
      </c>
      <c r="DG15">
        <f t="shared" si="0"/>
        <v>0</v>
      </c>
      <c r="DH15">
        <f t="shared" si="1"/>
        <v>0</v>
      </c>
      <c r="DI15">
        <f t="shared" si="2"/>
        <v>0</v>
      </c>
      <c r="DJ15">
        <f>DF15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ROW(Source!A33)</f>
        <v>33</v>
      </c>
      <c r="B16">
        <v>55919549</v>
      </c>
      <c r="C16">
        <v>55983541</v>
      </c>
      <c r="D16">
        <v>55424304</v>
      </c>
      <c r="E16">
        <v>1081</v>
      </c>
      <c r="F16">
        <v>1</v>
      </c>
      <c r="G16">
        <v>1081</v>
      </c>
      <c r="H16">
        <v>1</v>
      </c>
      <c r="I16" t="s">
        <v>278</v>
      </c>
      <c r="J16" t="s">
        <v>3</v>
      </c>
      <c r="K16" t="s">
        <v>279</v>
      </c>
      <c r="L16">
        <v>1191</v>
      </c>
      <c r="N16">
        <v>1013</v>
      </c>
      <c r="O16" t="s">
        <v>280</v>
      </c>
      <c r="P16" t="s">
        <v>280</v>
      </c>
      <c r="Q16">
        <v>1</v>
      </c>
      <c r="W16">
        <v>0</v>
      </c>
      <c r="X16">
        <v>476480486</v>
      </c>
      <c r="Y16">
        <f>((AT16*1.2)*0.3)</f>
        <v>0.74159999999999993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5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2.06</v>
      </c>
      <c r="AU16" t="s">
        <v>25</v>
      </c>
      <c r="AV16">
        <v>1</v>
      </c>
      <c r="AW16">
        <v>2</v>
      </c>
      <c r="AX16">
        <v>55983549</v>
      </c>
      <c r="AY16">
        <v>1</v>
      </c>
      <c r="AZ16">
        <v>0</v>
      </c>
      <c r="BA16">
        <v>18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ROUND(AT16*Source!I33*AH16*AL16,2)</f>
        <v>0</v>
      </c>
      <c r="CV16">
        <f>ROUND(Y16*Source!I33,9)</f>
        <v>0.74160000000000004</v>
      </c>
      <c r="CW16">
        <v>0</v>
      </c>
      <c r="CX16">
        <f>ROUND(Y16*Source!I33,9)</f>
        <v>0.74160000000000004</v>
      </c>
      <c r="CY16">
        <f>AD16</f>
        <v>0</v>
      </c>
      <c r="CZ16">
        <f>AH16</f>
        <v>0</v>
      </c>
      <c r="DA16">
        <f>AL16</f>
        <v>1</v>
      </c>
      <c r="DB16">
        <f>ROUND(((ROUND(AT16*CZ16,2)*1.2)*0.3),6)</f>
        <v>0</v>
      </c>
      <c r="DC16">
        <f>ROUND(((ROUND(AT16*AG16,2)*1.2)*0.3),6)</f>
        <v>0</v>
      </c>
      <c r="DD16" t="s">
        <v>3</v>
      </c>
      <c r="DE16" t="s">
        <v>3</v>
      </c>
      <c r="DF16">
        <f t="shared" si="3"/>
        <v>0</v>
      </c>
      <c r="DG16">
        <f t="shared" si="0"/>
        <v>0</v>
      </c>
      <c r="DH16">
        <f t="shared" si="1"/>
        <v>0</v>
      </c>
      <c r="DI16">
        <f t="shared" si="2"/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ROW(Source!A33)</f>
        <v>33</v>
      </c>
      <c r="B17">
        <v>55919549</v>
      </c>
      <c r="C17">
        <v>55983541</v>
      </c>
      <c r="D17">
        <v>55489803</v>
      </c>
      <c r="E17">
        <v>1</v>
      </c>
      <c r="F17">
        <v>1</v>
      </c>
      <c r="G17">
        <v>1081</v>
      </c>
      <c r="H17">
        <v>2</v>
      </c>
      <c r="I17" t="s">
        <v>288</v>
      </c>
      <c r="J17" t="s">
        <v>289</v>
      </c>
      <c r="K17" t="s">
        <v>290</v>
      </c>
      <c r="L17">
        <v>1368</v>
      </c>
      <c r="N17">
        <v>1011</v>
      </c>
      <c r="O17" t="s">
        <v>291</v>
      </c>
      <c r="P17" t="s">
        <v>291</v>
      </c>
      <c r="Q17">
        <v>1</v>
      </c>
      <c r="W17">
        <v>0</v>
      </c>
      <c r="X17">
        <v>1752775000</v>
      </c>
      <c r="Y17">
        <f>((AT17*1.2)*0.3)</f>
        <v>6.8399999999999989E-2</v>
      </c>
      <c r="AA17">
        <v>0</v>
      </c>
      <c r="AB17">
        <v>1107.0899999999999</v>
      </c>
      <c r="AC17">
        <v>744.56</v>
      </c>
      <c r="AD17">
        <v>0</v>
      </c>
      <c r="AE17">
        <v>0</v>
      </c>
      <c r="AF17">
        <v>41.45</v>
      </c>
      <c r="AG17">
        <v>12.62</v>
      </c>
      <c r="AH17">
        <v>0</v>
      </c>
      <c r="AI17">
        <v>1</v>
      </c>
      <c r="AJ17">
        <v>25.51</v>
      </c>
      <c r="AK17">
        <v>56.35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0.19</v>
      </c>
      <c r="AU17" t="s">
        <v>25</v>
      </c>
      <c r="AV17">
        <v>0</v>
      </c>
      <c r="AW17">
        <v>2</v>
      </c>
      <c r="AX17">
        <v>55983550</v>
      </c>
      <c r="AY17">
        <v>1</v>
      </c>
      <c r="AZ17">
        <v>0</v>
      </c>
      <c r="BA17">
        <v>19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ROUND(Y17*Source!I33*DO17,9)</f>
        <v>0.86320799999999998</v>
      </c>
      <c r="CX17">
        <f>ROUND(Y17*Source!I33,9)</f>
        <v>6.8400000000000002E-2</v>
      </c>
      <c r="CY17">
        <f>AB17</f>
        <v>1107.0899999999999</v>
      </c>
      <c r="CZ17">
        <f>AF17</f>
        <v>41.45</v>
      </c>
      <c r="DA17">
        <f>AJ17</f>
        <v>25.51</v>
      </c>
      <c r="DB17">
        <f>ROUND(((ROUND(AT17*CZ17,2)*1.2)*0.3),6)</f>
        <v>2.8368000000000002</v>
      </c>
      <c r="DC17">
        <f>ROUND(((ROUND(AT17*AG17,2)*1.2)*0.3),6)</f>
        <v>0.86399999999999999</v>
      </c>
      <c r="DD17" t="s">
        <v>3</v>
      </c>
      <c r="DE17" t="s">
        <v>3</v>
      </c>
      <c r="DF17">
        <f t="shared" si="3"/>
        <v>0</v>
      </c>
      <c r="DG17">
        <f>ROUND(ROUND(AF17*AJ17,2)*CX17,2)</f>
        <v>72.33</v>
      </c>
      <c r="DH17">
        <f>ROUND(ROUND(AG17*AK17,2)*CX17,2)</f>
        <v>48.64</v>
      </c>
      <c r="DI17">
        <f t="shared" si="2"/>
        <v>0</v>
      </c>
      <c r="DJ17">
        <f>DG17</f>
        <v>72.33</v>
      </c>
      <c r="DK17">
        <v>0</v>
      </c>
      <c r="DL17" t="s">
        <v>292</v>
      </c>
      <c r="DM17">
        <v>0</v>
      </c>
      <c r="DN17" t="s">
        <v>280</v>
      </c>
      <c r="DO17">
        <v>12.62</v>
      </c>
    </row>
    <row r="18" spans="1:119" x14ac:dyDescent="0.2">
      <c r="A18">
        <f>ROW(Source!A33)</f>
        <v>33</v>
      </c>
      <c r="B18">
        <v>55919549</v>
      </c>
      <c r="C18">
        <v>55983541</v>
      </c>
      <c r="D18">
        <v>55489910</v>
      </c>
      <c r="E18">
        <v>1</v>
      </c>
      <c r="F18">
        <v>1</v>
      </c>
      <c r="G18">
        <v>1081</v>
      </c>
      <c r="H18">
        <v>2</v>
      </c>
      <c r="I18" t="s">
        <v>293</v>
      </c>
      <c r="J18" t="s">
        <v>294</v>
      </c>
      <c r="K18" t="s">
        <v>295</v>
      </c>
      <c r="L18">
        <v>1368</v>
      </c>
      <c r="N18">
        <v>1011</v>
      </c>
      <c r="O18" t="s">
        <v>291</v>
      </c>
      <c r="P18" t="s">
        <v>291</v>
      </c>
      <c r="Q18">
        <v>1</v>
      </c>
      <c r="W18">
        <v>0</v>
      </c>
      <c r="X18">
        <v>1498588441</v>
      </c>
      <c r="Y18">
        <f>((AT18*1.2)*0.3)</f>
        <v>0.21959999999999999</v>
      </c>
      <c r="AA18">
        <v>0</v>
      </c>
      <c r="AB18">
        <v>100.2</v>
      </c>
      <c r="AC18">
        <v>0</v>
      </c>
      <c r="AD18">
        <v>0</v>
      </c>
      <c r="AE18">
        <v>0</v>
      </c>
      <c r="AF18">
        <v>7.11</v>
      </c>
      <c r="AG18">
        <v>0</v>
      </c>
      <c r="AH18">
        <v>0</v>
      </c>
      <c r="AI18">
        <v>1</v>
      </c>
      <c r="AJ18">
        <v>13.46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0.61</v>
      </c>
      <c r="AU18" t="s">
        <v>25</v>
      </c>
      <c r="AV18">
        <v>0</v>
      </c>
      <c r="AW18">
        <v>2</v>
      </c>
      <c r="AX18">
        <v>55983551</v>
      </c>
      <c r="AY18">
        <v>1</v>
      </c>
      <c r="AZ18">
        <v>0</v>
      </c>
      <c r="BA18">
        <v>20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f>ROUND(Y18*Source!I33*DO18,9)</f>
        <v>0</v>
      </c>
      <c r="CX18">
        <f>ROUND(Y18*Source!I33,9)</f>
        <v>0.21959999999999999</v>
      </c>
      <c r="CY18">
        <f>AB18</f>
        <v>100.2</v>
      </c>
      <c r="CZ18">
        <f>AF18</f>
        <v>7.11</v>
      </c>
      <c r="DA18">
        <f>AJ18</f>
        <v>13.46</v>
      </c>
      <c r="DB18">
        <f>ROUND(((ROUND(AT18*CZ18,2)*1.2)*0.3),6)</f>
        <v>1.5624</v>
      </c>
      <c r="DC18">
        <f>ROUND(((ROUND(AT18*AG18,2)*1.2)*0.3),6)</f>
        <v>0</v>
      </c>
      <c r="DD18" t="s">
        <v>3</v>
      </c>
      <c r="DE18" t="s">
        <v>3</v>
      </c>
      <c r="DF18">
        <f t="shared" si="3"/>
        <v>0</v>
      </c>
      <c r="DG18">
        <f>ROUND(ROUND(AF18*AJ18,2)*CX18,2)</f>
        <v>21.02</v>
      </c>
      <c r="DH18">
        <f>ROUND(ROUND(AG18,2)*CX18,2)</f>
        <v>0</v>
      </c>
      <c r="DI18">
        <f t="shared" si="2"/>
        <v>0</v>
      </c>
      <c r="DJ18">
        <f>DG18</f>
        <v>21.02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ROW(Source!A33)</f>
        <v>33</v>
      </c>
      <c r="B19">
        <v>55919549</v>
      </c>
      <c r="C19">
        <v>55983541</v>
      </c>
      <c r="D19">
        <v>55490209</v>
      </c>
      <c r="E19">
        <v>1</v>
      </c>
      <c r="F19">
        <v>1</v>
      </c>
      <c r="G19">
        <v>1081</v>
      </c>
      <c r="H19">
        <v>2</v>
      </c>
      <c r="I19" t="s">
        <v>296</v>
      </c>
      <c r="J19" t="s">
        <v>297</v>
      </c>
      <c r="K19" t="s">
        <v>298</v>
      </c>
      <c r="L19">
        <v>1368</v>
      </c>
      <c r="N19">
        <v>1011</v>
      </c>
      <c r="O19" t="s">
        <v>291</v>
      </c>
      <c r="P19" t="s">
        <v>291</v>
      </c>
      <c r="Q19">
        <v>1</v>
      </c>
      <c r="W19">
        <v>0</v>
      </c>
      <c r="X19">
        <v>874612079</v>
      </c>
      <c r="Y19">
        <f>((AT19*1.2)*0.3)</f>
        <v>2.1599999999999998E-2</v>
      </c>
      <c r="AA19">
        <v>0</v>
      </c>
      <c r="AB19">
        <v>1485.19</v>
      </c>
      <c r="AC19">
        <v>744.56</v>
      </c>
      <c r="AD19">
        <v>0</v>
      </c>
      <c r="AE19">
        <v>0</v>
      </c>
      <c r="AF19">
        <v>83.1</v>
      </c>
      <c r="AG19">
        <v>12.62</v>
      </c>
      <c r="AH19">
        <v>0</v>
      </c>
      <c r="AI19">
        <v>1</v>
      </c>
      <c r="AJ19">
        <v>17.07</v>
      </c>
      <c r="AK19">
        <v>56.35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0.06</v>
      </c>
      <c r="AU19" t="s">
        <v>25</v>
      </c>
      <c r="AV19">
        <v>0</v>
      </c>
      <c r="AW19">
        <v>2</v>
      </c>
      <c r="AX19">
        <v>55983552</v>
      </c>
      <c r="AY19">
        <v>1</v>
      </c>
      <c r="AZ19">
        <v>0</v>
      </c>
      <c r="BA19">
        <v>21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f>ROUND(Y19*Source!I33*DO19,9)</f>
        <v>0.272592</v>
      </c>
      <c r="CX19">
        <f>ROUND(Y19*Source!I33,9)</f>
        <v>2.1600000000000001E-2</v>
      </c>
      <c r="CY19">
        <f>AB19</f>
        <v>1485.19</v>
      </c>
      <c r="CZ19">
        <f>AF19</f>
        <v>83.1</v>
      </c>
      <c r="DA19">
        <f>AJ19</f>
        <v>17.07</v>
      </c>
      <c r="DB19">
        <f>ROUND(((ROUND(AT19*CZ19,2)*1.2)*0.3),6)</f>
        <v>1.7964</v>
      </c>
      <c r="DC19">
        <f>ROUND(((ROUND(AT19*AG19,2)*1.2)*0.3),6)</f>
        <v>0.27360000000000001</v>
      </c>
      <c r="DD19" t="s">
        <v>3</v>
      </c>
      <c r="DE19" t="s">
        <v>3</v>
      </c>
      <c r="DF19">
        <f t="shared" si="3"/>
        <v>0</v>
      </c>
      <c r="DG19">
        <f>ROUND(ROUND(AF19*AJ19,2)*CX19,2)</f>
        <v>30.64</v>
      </c>
      <c r="DH19">
        <f>ROUND(ROUND(AG19*AK19,2)*CX19,2)</f>
        <v>15.36</v>
      </c>
      <c r="DI19">
        <f t="shared" si="2"/>
        <v>0</v>
      </c>
      <c r="DJ19">
        <f>DG19</f>
        <v>30.64</v>
      </c>
      <c r="DK19">
        <v>0</v>
      </c>
      <c r="DL19" t="s">
        <v>292</v>
      </c>
      <c r="DM19">
        <v>0</v>
      </c>
      <c r="DN19" t="s">
        <v>280</v>
      </c>
      <c r="DO19">
        <v>12.62</v>
      </c>
    </row>
    <row r="20" spans="1:119" x14ac:dyDescent="0.2">
      <c r="A20">
        <f>ROW(Source!A33)</f>
        <v>33</v>
      </c>
      <c r="B20">
        <v>55919549</v>
      </c>
      <c r="C20">
        <v>55983541</v>
      </c>
      <c r="D20">
        <v>55490260</v>
      </c>
      <c r="E20">
        <v>1</v>
      </c>
      <c r="F20">
        <v>1</v>
      </c>
      <c r="G20">
        <v>1081</v>
      </c>
      <c r="H20">
        <v>2</v>
      </c>
      <c r="I20" t="s">
        <v>299</v>
      </c>
      <c r="J20" t="s">
        <v>300</v>
      </c>
      <c r="K20" t="s">
        <v>301</v>
      </c>
      <c r="L20">
        <v>1368</v>
      </c>
      <c r="N20">
        <v>1011</v>
      </c>
      <c r="O20" t="s">
        <v>291</v>
      </c>
      <c r="P20" t="s">
        <v>291</v>
      </c>
      <c r="Q20">
        <v>1</v>
      </c>
      <c r="W20">
        <v>0</v>
      </c>
      <c r="X20">
        <v>803042515</v>
      </c>
      <c r="Y20">
        <f>((AT20*1.2)*0.3)</f>
        <v>6.8399999999999989E-2</v>
      </c>
      <c r="AA20">
        <v>0</v>
      </c>
      <c r="AB20">
        <v>11.26</v>
      </c>
      <c r="AC20">
        <v>0</v>
      </c>
      <c r="AD20">
        <v>0</v>
      </c>
      <c r="AE20">
        <v>0</v>
      </c>
      <c r="AF20">
        <v>1.1499999999999999</v>
      </c>
      <c r="AG20">
        <v>0</v>
      </c>
      <c r="AH20">
        <v>0</v>
      </c>
      <c r="AI20">
        <v>1</v>
      </c>
      <c r="AJ20">
        <v>9.35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0.19</v>
      </c>
      <c r="AU20" t="s">
        <v>25</v>
      </c>
      <c r="AV20">
        <v>0</v>
      </c>
      <c r="AW20">
        <v>2</v>
      </c>
      <c r="AX20">
        <v>55983553</v>
      </c>
      <c r="AY20">
        <v>1</v>
      </c>
      <c r="AZ20">
        <v>0</v>
      </c>
      <c r="BA20">
        <v>22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f>ROUND(Y20*Source!I33*DO20,9)</f>
        <v>0</v>
      </c>
      <c r="CX20">
        <f>ROUND(Y20*Source!I33,9)</f>
        <v>6.8400000000000002E-2</v>
      </c>
      <c r="CY20">
        <f>AB20</f>
        <v>11.26</v>
      </c>
      <c r="CZ20">
        <f>AF20</f>
        <v>1.1499999999999999</v>
      </c>
      <c r="DA20">
        <f>AJ20</f>
        <v>9.35</v>
      </c>
      <c r="DB20">
        <f>ROUND(((ROUND(AT20*CZ20,2)*1.2)*0.3),6)</f>
        <v>7.9200000000000007E-2</v>
      </c>
      <c r="DC20">
        <f>ROUND(((ROUND(AT20*AG20,2)*1.2)*0.3),6)</f>
        <v>0</v>
      </c>
      <c r="DD20" t="s">
        <v>3</v>
      </c>
      <c r="DE20" t="s">
        <v>3</v>
      </c>
      <c r="DF20">
        <f t="shared" si="3"/>
        <v>0</v>
      </c>
      <c r="DG20">
        <f>ROUND(ROUND(AF20*AJ20,2)*CX20,2)</f>
        <v>0.74</v>
      </c>
      <c r="DH20">
        <f t="shared" ref="DH20:DH55" si="4">ROUND(ROUND(AG20,2)*CX20,2)</f>
        <v>0</v>
      </c>
      <c r="DI20">
        <f t="shared" si="2"/>
        <v>0</v>
      </c>
      <c r="DJ20">
        <f>DG20</f>
        <v>0.74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ROW(Source!A33)</f>
        <v>33</v>
      </c>
      <c r="B21">
        <v>55919549</v>
      </c>
      <c r="C21">
        <v>55983541</v>
      </c>
      <c r="D21">
        <v>55460310</v>
      </c>
      <c r="E21">
        <v>1</v>
      </c>
      <c r="F21">
        <v>1</v>
      </c>
      <c r="G21">
        <v>1081</v>
      </c>
      <c r="H21">
        <v>3</v>
      </c>
      <c r="I21" t="s">
        <v>302</v>
      </c>
      <c r="J21" t="s">
        <v>303</v>
      </c>
      <c r="K21" t="s">
        <v>304</v>
      </c>
      <c r="L21">
        <v>1346</v>
      </c>
      <c r="N21">
        <v>1009</v>
      </c>
      <c r="O21" t="s">
        <v>151</v>
      </c>
      <c r="P21" t="s">
        <v>151</v>
      </c>
      <c r="Q21">
        <v>1</v>
      </c>
      <c r="W21">
        <v>0</v>
      </c>
      <c r="X21">
        <v>-1097873860</v>
      </c>
      <c r="Y21">
        <f>((AT21*1)*0)</f>
        <v>0</v>
      </c>
      <c r="AA21">
        <v>101.03</v>
      </c>
      <c r="AB21">
        <v>0</v>
      </c>
      <c r="AC21">
        <v>0</v>
      </c>
      <c r="AD21">
        <v>0</v>
      </c>
      <c r="AE21">
        <v>29.89</v>
      </c>
      <c r="AF21">
        <v>0</v>
      </c>
      <c r="AG21">
        <v>0</v>
      </c>
      <c r="AH21">
        <v>0</v>
      </c>
      <c r="AI21">
        <v>3.38</v>
      </c>
      <c r="AJ21">
        <v>1</v>
      </c>
      <c r="AK21">
        <v>1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0.02</v>
      </c>
      <c r="AU21" t="s">
        <v>24</v>
      </c>
      <c r="AV21">
        <v>0</v>
      </c>
      <c r="AW21">
        <v>2</v>
      </c>
      <c r="AX21">
        <v>55983554</v>
      </c>
      <c r="AY21">
        <v>1</v>
      </c>
      <c r="AZ21">
        <v>0</v>
      </c>
      <c r="BA21">
        <v>23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ROUND(Y21*Source!I33,9)</f>
        <v>0</v>
      </c>
      <c r="CY21">
        <f>AA21</f>
        <v>101.03</v>
      </c>
      <c r="CZ21">
        <f>AE21</f>
        <v>29.89</v>
      </c>
      <c r="DA21">
        <f>AI21</f>
        <v>3.38</v>
      </c>
      <c r="DB21">
        <f>ROUND(((ROUND(AT21*CZ21,2)*1)*0),6)</f>
        <v>0</v>
      </c>
      <c r="DC21">
        <f>ROUND(((ROUND(AT21*AG21,2)*1)*0),6)</f>
        <v>0</v>
      </c>
      <c r="DD21" t="s">
        <v>3</v>
      </c>
      <c r="DE21" t="s">
        <v>3</v>
      </c>
      <c r="DF21">
        <f>ROUND(ROUND(AE21*AI21,2)*CX21,2)</f>
        <v>0</v>
      </c>
      <c r="DG21">
        <f t="shared" ref="DG21:DG54" si="5">ROUND(ROUND(AF21,2)*CX21,2)</f>
        <v>0</v>
      </c>
      <c r="DH21">
        <f t="shared" si="4"/>
        <v>0</v>
      </c>
      <c r="DI21">
        <f t="shared" si="2"/>
        <v>0</v>
      </c>
      <c r="DJ21">
        <f>DF21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ROW(Source!A33)</f>
        <v>33</v>
      </c>
      <c r="B22">
        <v>55919549</v>
      </c>
      <c r="C22">
        <v>55983541</v>
      </c>
      <c r="D22">
        <v>55460380</v>
      </c>
      <c r="E22">
        <v>1</v>
      </c>
      <c r="F22">
        <v>1</v>
      </c>
      <c r="G22">
        <v>1081</v>
      </c>
      <c r="H22">
        <v>3</v>
      </c>
      <c r="I22" t="s">
        <v>305</v>
      </c>
      <c r="J22" t="s">
        <v>306</v>
      </c>
      <c r="K22" t="s">
        <v>307</v>
      </c>
      <c r="L22">
        <v>1348</v>
      </c>
      <c r="N22">
        <v>1009</v>
      </c>
      <c r="O22" t="s">
        <v>284</v>
      </c>
      <c r="P22" t="s">
        <v>284</v>
      </c>
      <c r="Q22">
        <v>1000</v>
      </c>
      <c r="W22">
        <v>0</v>
      </c>
      <c r="X22">
        <v>277309194</v>
      </c>
      <c r="Y22">
        <f>((AT22*1)*0)</f>
        <v>0</v>
      </c>
      <c r="AA22">
        <v>141233.74</v>
      </c>
      <c r="AB22">
        <v>0</v>
      </c>
      <c r="AC22">
        <v>0</v>
      </c>
      <c r="AD22">
        <v>0</v>
      </c>
      <c r="AE22">
        <v>8590.86</v>
      </c>
      <c r="AF22">
        <v>0</v>
      </c>
      <c r="AG22">
        <v>0</v>
      </c>
      <c r="AH22">
        <v>0</v>
      </c>
      <c r="AI22">
        <v>16.440000000000001</v>
      </c>
      <c r="AJ22">
        <v>1</v>
      </c>
      <c r="AK22">
        <v>1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1E-4</v>
      </c>
      <c r="AU22" t="s">
        <v>24</v>
      </c>
      <c r="AV22">
        <v>0</v>
      </c>
      <c r="AW22">
        <v>2</v>
      </c>
      <c r="AX22">
        <v>55983555</v>
      </c>
      <c r="AY22">
        <v>1</v>
      </c>
      <c r="AZ22">
        <v>0</v>
      </c>
      <c r="BA22">
        <v>24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ROUND(Y22*Source!I33,9)</f>
        <v>0</v>
      </c>
      <c r="CY22">
        <f>AA22</f>
        <v>141233.74</v>
      </c>
      <c r="CZ22">
        <f>AE22</f>
        <v>8590.86</v>
      </c>
      <c r="DA22">
        <f>AI22</f>
        <v>16.440000000000001</v>
      </c>
      <c r="DB22">
        <f>ROUND(((ROUND(AT22*CZ22,2)*1)*0),6)</f>
        <v>0</v>
      </c>
      <c r="DC22">
        <f>ROUND(((ROUND(AT22*AG22,2)*1)*0),6)</f>
        <v>0</v>
      </c>
      <c r="DD22" t="s">
        <v>3</v>
      </c>
      <c r="DE22" t="s">
        <v>3</v>
      </c>
      <c r="DF22">
        <f>ROUND(ROUND(AE22*AI22,2)*CX22,2)</f>
        <v>0</v>
      </c>
      <c r="DG22">
        <f t="shared" si="5"/>
        <v>0</v>
      </c>
      <c r="DH22">
        <f t="shared" si="4"/>
        <v>0</v>
      </c>
      <c r="DI22">
        <f t="shared" si="2"/>
        <v>0</v>
      </c>
      <c r="DJ22">
        <f>DF22</f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ROW(Source!A34)</f>
        <v>34</v>
      </c>
      <c r="B23">
        <v>55919547</v>
      </c>
      <c r="C23">
        <v>55983558</v>
      </c>
      <c r="D23">
        <v>55424304</v>
      </c>
      <c r="E23">
        <v>1081</v>
      </c>
      <c r="F23">
        <v>1</v>
      </c>
      <c r="G23">
        <v>1081</v>
      </c>
      <c r="H23">
        <v>1</v>
      </c>
      <c r="I23" t="s">
        <v>278</v>
      </c>
      <c r="J23" t="s">
        <v>3</v>
      </c>
      <c r="K23" t="s">
        <v>279</v>
      </c>
      <c r="L23">
        <v>1191</v>
      </c>
      <c r="N23">
        <v>1013</v>
      </c>
      <c r="O23" t="s">
        <v>280</v>
      </c>
      <c r="P23" t="s">
        <v>280</v>
      </c>
      <c r="Q23">
        <v>1</v>
      </c>
      <c r="W23">
        <v>0</v>
      </c>
      <c r="X23">
        <v>476480486</v>
      </c>
      <c r="Y23">
        <f>((AT23*1.2)*0.3)</f>
        <v>0.68399999999999994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1.9</v>
      </c>
      <c r="AU23" t="s">
        <v>25</v>
      </c>
      <c r="AV23">
        <v>1</v>
      </c>
      <c r="AW23">
        <v>2</v>
      </c>
      <c r="AX23">
        <v>55983561</v>
      </c>
      <c r="AY23">
        <v>1</v>
      </c>
      <c r="AZ23">
        <v>0</v>
      </c>
      <c r="BA23">
        <v>27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ROUND(AT23*Source!I34*AH23*AL23,2)</f>
        <v>0</v>
      </c>
      <c r="CV23">
        <f>ROUND(Y23*Source!I34,9)</f>
        <v>0.68400000000000005</v>
      </c>
      <c r="CW23">
        <v>0</v>
      </c>
      <c r="CX23">
        <f>ROUND(Y23*Source!I34,9)</f>
        <v>0.68400000000000005</v>
      </c>
      <c r="CY23">
        <f>AD23</f>
        <v>0</v>
      </c>
      <c r="CZ23">
        <f>AH23</f>
        <v>0</v>
      </c>
      <c r="DA23">
        <f>AL23</f>
        <v>1</v>
      </c>
      <c r="DB23">
        <f>ROUND(((ROUND(AT23*CZ23,2)*1.2)*0.3),6)</f>
        <v>0</v>
      </c>
      <c r="DC23">
        <f>ROUND(((ROUND(AT23*AG23,2)*1.2)*0.3),6)</f>
        <v>0</v>
      </c>
      <c r="DD23" t="s">
        <v>3</v>
      </c>
      <c r="DE23" t="s">
        <v>3</v>
      </c>
      <c r="DF23">
        <f>ROUND(ROUND(AE23,2)*CX23,2)</f>
        <v>0</v>
      </c>
      <c r="DG23">
        <f t="shared" si="5"/>
        <v>0</v>
      </c>
      <c r="DH23">
        <f t="shared" si="4"/>
        <v>0</v>
      </c>
      <c r="DI23">
        <f t="shared" si="2"/>
        <v>0</v>
      </c>
      <c r="DJ23">
        <f>DI23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ROW(Source!A34)</f>
        <v>34</v>
      </c>
      <c r="B24">
        <v>55919547</v>
      </c>
      <c r="C24">
        <v>55983558</v>
      </c>
      <c r="D24">
        <v>55459873</v>
      </c>
      <c r="E24">
        <v>1</v>
      </c>
      <c r="F24">
        <v>1</v>
      </c>
      <c r="G24">
        <v>1081</v>
      </c>
      <c r="H24">
        <v>3</v>
      </c>
      <c r="I24" t="s">
        <v>281</v>
      </c>
      <c r="J24" t="s">
        <v>282</v>
      </c>
      <c r="K24" t="s">
        <v>283</v>
      </c>
      <c r="L24">
        <v>1348</v>
      </c>
      <c r="N24">
        <v>1009</v>
      </c>
      <c r="O24" t="s">
        <v>284</v>
      </c>
      <c r="P24" t="s">
        <v>284</v>
      </c>
      <c r="Q24">
        <v>1000</v>
      </c>
      <c r="W24">
        <v>0</v>
      </c>
      <c r="X24">
        <v>-1448251497</v>
      </c>
      <c r="Y24">
        <f>((AT24*1)*0)</f>
        <v>0</v>
      </c>
      <c r="AA24">
        <v>18495.41</v>
      </c>
      <c r="AB24">
        <v>0</v>
      </c>
      <c r="AC24">
        <v>0</v>
      </c>
      <c r="AD24">
        <v>0</v>
      </c>
      <c r="AE24">
        <v>18495.41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1.0000000000000001E-5</v>
      </c>
      <c r="AU24" t="s">
        <v>24</v>
      </c>
      <c r="AV24">
        <v>0</v>
      </c>
      <c r="AW24">
        <v>2</v>
      </c>
      <c r="AX24">
        <v>55983562</v>
      </c>
      <c r="AY24">
        <v>1</v>
      </c>
      <c r="AZ24">
        <v>0</v>
      </c>
      <c r="BA24">
        <v>28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ROUND(Y24*Source!I34,9)</f>
        <v>0</v>
      </c>
      <c r="CY24">
        <f>AA24</f>
        <v>18495.41</v>
      </c>
      <c r="CZ24">
        <f>AE24</f>
        <v>18495.41</v>
      </c>
      <c r="DA24">
        <f>AI24</f>
        <v>1</v>
      </c>
      <c r="DB24">
        <f>ROUND(((ROUND(AT24*CZ24,2)*1)*0),6)</f>
        <v>0</v>
      </c>
      <c r="DC24">
        <f>ROUND(((ROUND(AT24*AG24,2)*1)*0),6)</f>
        <v>0</v>
      </c>
      <c r="DD24" t="s">
        <v>3</v>
      </c>
      <c r="DE24" t="s">
        <v>3</v>
      </c>
      <c r="DF24">
        <f>ROUND(ROUND(AE24,2)*CX24,2)</f>
        <v>0</v>
      </c>
      <c r="DG24">
        <f t="shared" si="5"/>
        <v>0</v>
      </c>
      <c r="DH24">
        <f t="shared" si="4"/>
        <v>0</v>
      </c>
      <c r="DI24">
        <f t="shared" si="2"/>
        <v>0</v>
      </c>
      <c r="DJ24">
        <f>DF24</f>
        <v>0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ROW(Source!A35)</f>
        <v>35</v>
      </c>
      <c r="B25">
        <v>55919549</v>
      </c>
      <c r="C25">
        <v>55983558</v>
      </c>
      <c r="D25">
        <v>55424304</v>
      </c>
      <c r="E25">
        <v>1081</v>
      </c>
      <c r="F25">
        <v>1</v>
      </c>
      <c r="G25">
        <v>1081</v>
      </c>
      <c r="H25">
        <v>1</v>
      </c>
      <c r="I25" t="s">
        <v>278</v>
      </c>
      <c r="J25" t="s">
        <v>3</v>
      </c>
      <c r="K25" t="s">
        <v>279</v>
      </c>
      <c r="L25">
        <v>1191</v>
      </c>
      <c r="N25">
        <v>1013</v>
      </c>
      <c r="O25" t="s">
        <v>280</v>
      </c>
      <c r="P25" t="s">
        <v>280</v>
      </c>
      <c r="Q25">
        <v>1</v>
      </c>
      <c r="W25">
        <v>0</v>
      </c>
      <c r="X25">
        <v>476480486</v>
      </c>
      <c r="Y25">
        <f>((AT25*1.2)*0.3)</f>
        <v>0.68399999999999994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5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1.9</v>
      </c>
      <c r="AU25" t="s">
        <v>25</v>
      </c>
      <c r="AV25">
        <v>1</v>
      </c>
      <c r="AW25">
        <v>2</v>
      </c>
      <c r="AX25">
        <v>55983561</v>
      </c>
      <c r="AY25">
        <v>1</v>
      </c>
      <c r="AZ25">
        <v>0</v>
      </c>
      <c r="BA25">
        <v>29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ROUND(AT25*Source!I35*AH25*AL25,2)</f>
        <v>0</v>
      </c>
      <c r="CV25">
        <f>ROUND(Y25*Source!I35,9)</f>
        <v>0.68400000000000005</v>
      </c>
      <c r="CW25">
        <v>0</v>
      </c>
      <c r="CX25">
        <f>ROUND(Y25*Source!I35,9)</f>
        <v>0.68400000000000005</v>
      </c>
      <c r="CY25">
        <f>AD25</f>
        <v>0</v>
      </c>
      <c r="CZ25">
        <f>AH25</f>
        <v>0</v>
      </c>
      <c r="DA25">
        <f>AL25</f>
        <v>1</v>
      </c>
      <c r="DB25">
        <f>ROUND(((ROUND(AT25*CZ25,2)*1.2)*0.3),6)</f>
        <v>0</v>
      </c>
      <c r="DC25">
        <f>ROUND(((ROUND(AT25*AG25,2)*1.2)*0.3),6)</f>
        <v>0</v>
      </c>
      <c r="DD25" t="s">
        <v>3</v>
      </c>
      <c r="DE25" t="s">
        <v>3</v>
      </c>
      <c r="DF25">
        <f>ROUND(ROUND(AE25,2)*CX25,2)</f>
        <v>0</v>
      </c>
      <c r="DG25">
        <f t="shared" si="5"/>
        <v>0</v>
      </c>
      <c r="DH25">
        <f t="shared" si="4"/>
        <v>0</v>
      </c>
      <c r="DI25">
        <f t="shared" si="2"/>
        <v>0</v>
      </c>
      <c r="DJ25">
        <f>DI25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ROW(Source!A35)</f>
        <v>35</v>
      </c>
      <c r="B26">
        <v>55919549</v>
      </c>
      <c r="C26">
        <v>55983558</v>
      </c>
      <c r="D26">
        <v>55459873</v>
      </c>
      <c r="E26">
        <v>1</v>
      </c>
      <c r="F26">
        <v>1</v>
      </c>
      <c r="G26">
        <v>1081</v>
      </c>
      <c r="H26">
        <v>3</v>
      </c>
      <c r="I26" t="s">
        <v>281</v>
      </c>
      <c r="J26" t="s">
        <v>282</v>
      </c>
      <c r="K26" t="s">
        <v>283</v>
      </c>
      <c r="L26">
        <v>1348</v>
      </c>
      <c r="N26">
        <v>1009</v>
      </c>
      <c r="O26" t="s">
        <v>284</v>
      </c>
      <c r="P26" t="s">
        <v>284</v>
      </c>
      <c r="Q26">
        <v>1000</v>
      </c>
      <c r="W26">
        <v>0</v>
      </c>
      <c r="X26">
        <v>-1448251497</v>
      </c>
      <c r="Y26">
        <f>((AT26*1)*0)</f>
        <v>0</v>
      </c>
      <c r="AA26">
        <v>101169.89</v>
      </c>
      <c r="AB26">
        <v>0</v>
      </c>
      <c r="AC26">
        <v>0</v>
      </c>
      <c r="AD26">
        <v>0</v>
      </c>
      <c r="AE26">
        <v>18495.41</v>
      </c>
      <c r="AF26">
        <v>0</v>
      </c>
      <c r="AG26">
        <v>0</v>
      </c>
      <c r="AH26">
        <v>0</v>
      </c>
      <c r="AI26">
        <v>5.47</v>
      </c>
      <c r="AJ26">
        <v>1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1.0000000000000001E-5</v>
      </c>
      <c r="AU26" t="s">
        <v>24</v>
      </c>
      <c r="AV26">
        <v>0</v>
      </c>
      <c r="AW26">
        <v>2</v>
      </c>
      <c r="AX26">
        <v>55983562</v>
      </c>
      <c r="AY26">
        <v>1</v>
      </c>
      <c r="AZ26">
        <v>0</v>
      </c>
      <c r="BA26">
        <v>30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ROUND(Y26*Source!I35,9)</f>
        <v>0</v>
      </c>
      <c r="CY26">
        <f>AA26</f>
        <v>101169.89</v>
      </c>
      <c r="CZ26">
        <f>AE26</f>
        <v>18495.41</v>
      </c>
      <c r="DA26">
        <f>AI26</f>
        <v>5.47</v>
      </c>
      <c r="DB26">
        <f>ROUND(((ROUND(AT26*CZ26,2)*1)*0),6)</f>
        <v>0</v>
      </c>
      <c r="DC26">
        <f>ROUND(((ROUND(AT26*AG26,2)*1)*0),6)</f>
        <v>0</v>
      </c>
      <c r="DD26" t="s">
        <v>3</v>
      </c>
      <c r="DE26" t="s">
        <v>3</v>
      </c>
      <c r="DF26">
        <f>ROUND(ROUND(AE26*AI26,2)*CX26,2)</f>
        <v>0</v>
      </c>
      <c r="DG26">
        <f t="shared" si="5"/>
        <v>0</v>
      </c>
      <c r="DH26">
        <f t="shared" si="4"/>
        <v>0</v>
      </c>
      <c r="DI26">
        <f t="shared" si="2"/>
        <v>0</v>
      </c>
      <c r="DJ26">
        <f>DF26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ROW(Source!A36)</f>
        <v>36</v>
      </c>
      <c r="B27">
        <v>55919547</v>
      </c>
      <c r="C27">
        <v>55983563</v>
      </c>
      <c r="D27">
        <v>55424304</v>
      </c>
      <c r="E27">
        <v>1081</v>
      </c>
      <c r="F27">
        <v>1</v>
      </c>
      <c r="G27">
        <v>1081</v>
      </c>
      <c r="H27">
        <v>1</v>
      </c>
      <c r="I27" t="s">
        <v>278</v>
      </c>
      <c r="J27" t="s">
        <v>3</v>
      </c>
      <c r="K27" t="s">
        <v>279</v>
      </c>
      <c r="L27">
        <v>1191</v>
      </c>
      <c r="N27">
        <v>1013</v>
      </c>
      <c r="O27" t="s">
        <v>280</v>
      </c>
      <c r="P27" t="s">
        <v>280</v>
      </c>
      <c r="Q27">
        <v>1</v>
      </c>
      <c r="W27">
        <v>0</v>
      </c>
      <c r="X27">
        <v>476480486</v>
      </c>
      <c r="Y27">
        <f>((AT27*1.2)*0.3)</f>
        <v>0.72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2</v>
      </c>
      <c r="AU27" t="s">
        <v>25</v>
      </c>
      <c r="AV27">
        <v>1</v>
      </c>
      <c r="AW27">
        <v>2</v>
      </c>
      <c r="AX27">
        <v>55983566</v>
      </c>
      <c r="AY27">
        <v>1</v>
      </c>
      <c r="AZ27">
        <v>0</v>
      </c>
      <c r="BA27">
        <v>31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U27">
        <f>ROUND(AT27*Source!I36*AH27*AL27,2)</f>
        <v>0</v>
      </c>
      <c r="CV27">
        <f>ROUND(Y27*Source!I36,9)</f>
        <v>0.72</v>
      </c>
      <c r="CW27">
        <v>0</v>
      </c>
      <c r="CX27">
        <f>ROUND(Y27*Source!I36,9)</f>
        <v>0.72</v>
      </c>
      <c r="CY27">
        <f>AD27</f>
        <v>0</v>
      </c>
      <c r="CZ27">
        <f>AH27</f>
        <v>0</v>
      </c>
      <c r="DA27">
        <f>AL27</f>
        <v>1</v>
      </c>
      <c r="DB27">
        <f>ROUND(((ROUND(AT27*CZ27,2)*1.2)*0.3),6)</f>
        <v>0</v>
      </c>
      <c r="DC27">
        <f>ROUND(((ROUND(AT27*AG27,2)*1.2)*0.3),6)</f>
        <v>0</v>
      </c>
      <c r="DD27" t="s">
        <v>3</v>
      </c>
      <c r="DE27" t="s">
        <v>3</v>
      </c>
      <c r="DF27">
        <f>ROUND(ROUND(AE27,2)*CX27,2)</f>
        <v>0</v>
      </c>
      <c r="DG27">
        <f t="shared" si="5"/>
        <v>0</v>
      </c>
      <c r="DH27">
        <f t="shared" si="4"/>
        <v>0</v>
      </c>
      <c r="DI27">
        <f t="shared" si="2"/>
        <v>0</v>
      </c>
      <c r="DJ27">
        <f>DI27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ROW(Source!A36)</f>
        <v>36</v>
      </c>
      <c r="B28">
        <v>55919547</v>
      </c>
      <c r="C28">
        <v>55983563</v>
      </c>
      <c r="D28">
        <v>55460239</v>
      </c>
      <c r="E28">
        <v>1</v>
      </c>
      <c r="F28">
        <v>1</v>
      </c>
      <c r="G28">
        <v>1081</v>
      </c>
      <c r="H28">
        <v>3</v>
      </c>
      <c r="I28" t="s">
        <v>285</v>
      </c>
      <c r="J28" t="s">
        <v>286</v>
      </c>
      <c r="K28" t="s">
        <v>287</v>
      </c>
      <c r="L28">
        <v>1348</v>
      </c>
      <c r="N28">
        <v>1009</v>
      </c>
      <c r="O28" t="s">
        <v>284</v>
      </c>
      <c r="P28" t="s">
        <v>284</v>
      </c>
      <c r="Q28">
        <v>1000</v>
      </c>
      <c r="W28">
        <v>0</v>
      </c>
      <c r="X28">
        <v>-1843244094</v>
      </c>
      <c r="Y28">
        <f>((AT28*1)*0)</f>
        <v>0</v>
      </c>
      <c r="AA28">
        <v>12416.13</v>
      </c>
      <c r="AB28">
        <v>0</v>
      </c>
      <c r="AC28">
        <v>0</v>
      </c>
      <c r="AD28">
        <v>0</v>
      </c>
      <c r="AE28">
        <v>12416.13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2.4000000000000001E-5</v>
      </c>
      <c r="AU28" t="s">
        <v>24</v>
      </c>
      <c r="AV28">
        <v>0</v>
      </c>
      <c r="AW28">
        <v>2</v>
      </c>
      <c r="AX28">
        <v>55983567</v>
      </c>
      <c r="AY28">
        <v>1</v>
      </c>
      <c r="AZ28">
        <v>0</v>
      </c>
      <c r="BA28">
        <v>32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ROUND(Y28*Source!I36,9)</f>
        <v>0</v>
      </c>
      <c r="CY28">
        <f>AA28</f>
        <v>12416.13</v>
      </c>
      <c r="CZ28">
        <f>AE28</f>
        <v>12416.13</v>
      </c>
      <c r="DA28">
        <f>AI28</f>
        <v>1</v>
      </c>
      <c r="DB28">
        <f>ROUND(((ROUND(AT28*CZ28,2)*1)*0),6)</f>
        <v>0</v>
      </c>
      <c r="DC28">
        <f>ROUND(((ROUND(AT28*AG28,2)*1)*0),6)</f>
        <v>0</v>
      </c>
      <c r="DD28" t="s">
        <v>3</v>
      </c>
      <c r="DE28" t="s">
        <v>3</v>
      </c>
      <c r="DF28">
        <f>ROUND(ROUND(AE28,2)*CX28,2)</f>
        <v>0</v>
      </c>
      <c r="DG28">
        <f t="shared" si="5"/>
        <v>0</v>
      </c>
      <c r="DH28">
        <f t="shared" si="4"/>
        <v>0</v>
      </c>
      <c r="DI28">
        <f t="shared" si="2"/>
        <v>0</v>
      </c>
      <c r="DJ28">
        <f>DF28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ROW(Source!A37)</f>
        <v>37</v>
      </c>
      <c r="B29">
        <v>55919549</v>
      </c>
      <c r="C29">
        <v>55983563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278</v>
      </c>
      <c r="J29" t="s">
        <v>3</v>
      </c>
      <c r="K29" t="s">
        <v>279</v>
      </c>
      <c r="L29">
        <v>1191</v>
      </c>
      <c r="N29">
        <v>1013</v>
      </c>
      <c r="O29" t="s">
        <v>280</v>
      </c>
      <c r="P29" t="s">
        <v>280</v>
      </c>
      <c r="Q29">
        <v>1</v>
      </c>
      <c r="W29">
        <v>0</v>
      </c>
      <c r="X29">
        <v>476480486</v>
      </c>
      <c r="Y29">
        <f>((AT29*1.2)*0.3)</f>
        <v>0.72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5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2</v>
      </c>
      <c r="AU29" t="s">
        <v>25</v>
      </c>
      <c r="AV29">
        <v>1</v>
      </c>
      <c r="AW29">
        <v>2</v>
      </c>
      <c r="AX29">
        <v>55983566</v>
      </c>
      <c r="AY29">
        <v>1</v>
      </c>
      <c r="AZ29">
        <v>0</v>
      </c>
      <c r="BA29">
        <v>33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ROUND(AT29*Source!I37*AH29*AL29,2)</f>
        <v>0</v>
      </c>
      <c r="CV29">
        <f>ROUND(Y29*Source!I37,9)</f>
        <v>0.72</v>
      </c>
      <c r="CW29">
        <v>0</v>
      </c>
      <c r="CX29">
        <f>ROUND(Y29*Source!I37,9)</f>
        <v>0.72</v>
      </c>
      <c r="CY29">
        <f>AD29</f>
        <v>0</v>
      </c>
      <c r="CZ29">
        <f>AH29</f>
        <v>0</v>
      </c>
      <c r="DA29">
        <f>AL29</f>
        <v>1</v>
      </c>
      <c r="DB29">
        <f>ROUND(((ROUND(AT29*CZ29,2)*1.2)*0.3),6)</f>
        <v>0</v>
      </c>
      <c r="DC29">
        <f>ROUND(((ROUND(AT29*AG29,2)*1.2)*0.3),6)</f>
        <v>0</v>
      </c>
      <c r="DD29" t="s">
        <v>3</v>
      </c>
      <c r="DE29" t="s">
        <v>3</v>
      </c>
      <c r="DF29">
        <f>ROUND(ROUND(AE29,2)*CX29,2)</f>
        <v>0</v>
      </c>
      <c r="DG29">
        <f t="shared" si="5"/>
        <v>0</v>
      </c>
      <c r="DH29">
        <f t="shared" si="4"/>
        <v>0</v>
      </c>
      <c r="DI29">
        <f t="shared" si="2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ROW(Source!A37)</f>
        <v>37</v>
      </c>
      <c r="B30">
        <v>55919549</v>
      </c>
      <c r="C30">
        <v>55983563</v>
      </c>
      <c r="D30">
        <v>55460239</v>
      </c>
      <c r="E30">
        <v>1</v>
      </c>
      <c r="F30">
        <v>1</v>
      </c>
      <c r="G30">
        <v>1081</v>
      </c>
      <c r="H30">
        <v>3</v>
      </c>
      <c r="I30" t="s">
        <v>285</v>
      </c>
      <c r="J30" t="s">
        <v>286</v>
      </c>
      <c r="K30" t="s">
        <v>287</v>
      </c>
      <c r="L30">
        <v>1348</v>
      </c>
      <c r="N30">
        <v>1009</v>
      </c>
      <c r="O30" t="s">
        <v>284</v>
      </c>
      <c r="P30" t="s">
        <v>284</v>
      </c>
      <c r="Q30">
        <v>1000</v>
      </c>
      <c r="W30">
        <v>0</v>
      </c>
      <c r="X30">
        <v>-1843244094</v>
      </c>
      <c r="Y30">
        <f>((AT30*1)*0)</f>
        <v>0</v>
      </c>
      <c r="AA30">
        <v>91879.360000000001</v>
      </c>
      <c r="AB30">
        <v>0</v>
      </c>
      <c r="AC30">
        <v>0</v>
      </c>
      <c r="AD30">
        <v>0</v>
      </c>
      <c r="AE30">
        <v>12416.13</v>
      </c>
      <c r="AF30">
        <v>0</v>
      </c>
      <c r="AG30">
        <v>0</v>
      </c>
      <c r="AH30">
        <v>0</v>
      </c>
      <c r="AI30">
        <v>7.4</v>
      </c>
      <c r="AJ30">
        <v>1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2.4000000000000001E-5</v>
      </c>
      <c r="AU30" t="s">
        <v>24</v>
      </c>
      <c r="AV30">
        <v>0</v>
      </c>
      <c r="AW30">
        <v>2</v>
      </c>
      <c r="AX30">
        <v>55983567</v>
      </c>
      <c r="AY30">
        <v>1</v>
      </c>
      <c r="AZ30">
        <v>0</v>
      </c>
      <c r="BA30">
        <v>34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ROUND(Y30*Source!I37,9)</f>
        <v>0</v>
      </c>
      <c r="CY30">
        <f>AA30</f>
        <v>91879.360000000001</v>
      </c>
      <c r="CZ30">
        <f>AE30</f>
        <v>12416.13</v>
      </c>
      <c r="DA30">
        <f>AI30</f>
        <v>7.4</v>
      </c>
      <c r="DB30">
        <f>ROUND(((ROUND(AT30*CZ30,2)*1)*0),6)</f>
        <v>0</v>
      </c>
      <c r="DC30">
        <f>ROUND(((ROUND(AT30*AG30,2)*1)*0),6)</f>
        <v>0</v>
      </c>
      <c r="DD30" t="s">
        <v>3</v>
      </c>
      <c r="DE30" t="s">
        <v>3</v>
      </c>
      <c r="DF30">
        <f>ROUND(ROUND(AE30*AI30,2)*CX30,2)</f>
        <v>0</v>
      </c>
      <c r="DG30">
        <f t="shared" si="5"/>
        <v>0</v>
      </c>
      <c r="DH30">
        <f t="shared" si="4"/>
        <v>0</v>
      </c>
      <c r="DI30">
        <f t="shared" si="2"/>
        <v>0</v>
      </c>
      <c r="DJ30">
        <f>DF30</f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ROW(Source!A38)</f>
        <v>38</v>
      </c>
      <c r="B31">
        <v>55919547</v>
      </c>
      <c r="C31">
        <v>55983568</v>
      </c>
      <c r="D31">
        <v>55424304</v>
      </c>
      <c r="E31">
        <v>1081</v>
      </c>
      <c r="F31">
        <v>1</v>
      </c>
      <c r="G31">
        <v>1081</v>
      </c>
      <c r="H31">
        <v>1</v>
      </c>
      <c r="I31" t="s">
        <v>278</v>
      </c>
      <c r="J31" t="s">
        <v>3</v>
      </c>
      <c r="K31" t="s">
        <v>279</v>
      </c>
      <c r="L31">
        <v>1191</v>
      </c>
      <c r="N31">
        <v>1013</v>
      </c>
      <c r="O31" t="s">
        <v>280</v>
      </c>
      <c r="P31" t="s">
        <v>280</v>
      </c>
      <c r="Q31">
        <v>1</v>
      </c>
      <c r="W31">
        <v>0</v>
      </c>
      <c r="X31">
        <v>476480486</v>
      </c>
      <c r="Y31">
        <f>((AT31*1.2)*0.3)</f>
        <v>0.28799999999999998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0.8</v>
      </c>
      <c r="AU31" t="s">
        <v>25</v>
      </c>
      <c r="AV31">
        <v>1</v>
      </c>
      <c r="AW31">
        <v>2</v>
      </c>
      <c r="AX31">
        <v>55983571</v>
      </c>
      <c r="AY31">
        <v>1</v>
      </c>
      <c r="AZ31">
        <v>0</v>
      </c>
      <c r="BA31">
        <v>35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ROUND(AT31*Source!I38*AH31*AL31,2)</f>
        <v>0</v>
      </c>
      <c r="CV31">
        <f>ROUND(Y31*Source!I38,9)</f>
        <v>1.728</v>
      </c>
      <c r="CW31">
        <v>0</v>
      </c>
      <c r="CX31">
        <f>ROUND(Y31*Source!I38,9)</f>
        <v>1.728</v>
      </c>
      <c r="CY31">
        <f>AD31</f>
        <v>0</v>
      </c>
      <c r="CZ31">
        <f>AH31</f>
        <v>0</v>
      </c>
      <c r="DA31">
        <f>AL31</f>
        <v>1</v>
      </c>
      <c r="DB31">
        <f>ROUND(((ROUND(AT31*CZ31,2)*1.2)*0.3),6)</f>
        <v>0</v>
      </c>
      <c r="DC31">
        <f>ROUND(((ROUND(AT31*AG31,2)*1.2)*0.3),6)</f>
        <v>0</v>
      </c>
      <c r="DD31" t="s">
        <v>3</v>
      </c>
      <c r="DE31" t="s">
        <v>3</v>
      </c>
      <c r="DF31">
        <f>ROUND(ROUND(AE31,2)*CX31,2)</f>
        <v>0</v>
      </c>
      <c r="DG31">
        <f t="shared" si="5"/>
        <v>0</v>
      </c>
      <c r="DH31">
        <f t="shared" si="4"/>
        <v>0</v>
      </c>
      <c r="DI31">
        <f t="shared" si="2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ROW(Source!A38)</f>
        <v>38</v>
      </c>
      <c r="B32">
        <v>55919547</v>
      </c>
      <c r="C32">
        <v>55983568</v>
      </c>
      <c r="D32">
        <v>55460239</v>
      </c>
      <c r="E32">
        <v>1</v>
      </c>
      <c r="F32">
        <v>1</v>
      </c>
      <c r="G32">
        <v>1081</v>
      </c>
      <c r="H32">
        <v>3</v>
      </c>
      <c r="I32" t="s">
        <v>285</v>
      </c>
      <c r="J32" t="s">
        <v>286</v>
      </c>
      <c r="K32" t="s">
        <v>287</v>
      </c>
      <c r="L32">
        <v>1348</v>
      </c>
      <c r="N32">
        <v>1009</v>
      </c>
      <c r="O32" t="s">
        <v>284</v>
      </c>
      <c r="P32" t="s">
        <v>284</v>
      </c>
      <c r="Q32">
        <v>1000</v>
      </c>
      <c r="W32">
        <v>0</v>
      </c>
      <c r="X32">
        <v>-1843244094</v>
      </c>
      <c r="Y32">
        <f>((AT32*1)*0)</f>
        <v>0</v>
      </c>
      <c r="AA32">
        <v>12416.13</v>
      </c>
      <c r="AB32">
        <v>0</v>
      </c>
      <c r="AC32">
        <v>0</v>
      </c>
      <c r="AD32">
        <v>0</v>
      </c>
      <c r="AE32">
        <v>12416.13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2.4000000000000001E-5</v>
      </c>
      <c r="AU32" t="s">
        <v>24</v>
      </c>
      <c r="AV32">
        <v>0</v>
      </c>
      <c r="AW32">
        <v>2</v>
      </c>
      <c r="AX32">
        <v>55983572</v>
      </c>
      <c r="AY32">
        <v>1</v>
      </c>
      <c r="AZ32">
        <v>0</v>
      </c>
      <c r="BA32">
        <v>36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ROUND(Y32*Source!I38,9)</f>
        <v>0</v>
      </c>
      <c r="CY32">
        <f>AA32</f>
        <v>12416.13</v>
      </c>
      <c r="CZ32">
        <f>AE32</f>
        <v>12416.13</v>
      </c>
      <c r="DA32">
        <f>AI32</f>
        <v>1</v>
      </c>
      <c r="DB32">
        <f>ROUND(((ROUND(AT32*CZ32,2)*1)*0),6)</f>
        <v>0</v>
      </c>
      <c r="DC32">
        <f>ROUND(((ROUND(AT32*AG32,2)*1)*0),6)</f>
        <v>0</v>
      </c>
      <c r="DD32" t="s">
        <v>3</v>
      </c>
      <c r="DE32" t="s">
        <v>3</v>
      </c>
      <c r="DF32">
        <f>ROUND(ROUND(AE32,2)*CX32,2)</f>
        <v>0</v>
      </c>
      <c r="DG32">
        <f t="shared" si="5"/>
        <v>0</v>
      </c>
      <c r="DH32">
        <f t="shared" si="4"/>
        <v>0</v>
      </c>
      <c r="DI32">
        <f t="shared" si="2"/>
        <v>0</v>
      </c>
      <c r="DJ32">
        <f>DF32</f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ROW(Source!A39)</f>
        <v>39</v>
      </c>
      <c r="B33">
        <v>55919549</v>
      </c>
      <c r="C33">
        <v>55983568</v>
      </c>
      <c r="D33">
        <v>55424304</v>
      </c>
      <c r="E33">
        <v>1081</v>
      </c>
      <c r="F33">
        <v>1</v>
      </c>
      <c r="G33">
        <v>1081</v>
      </c>
      <c r="H33">
        <v>1</v>
      </c>
      <c r="I33" t="s">
        <v>278</v>
      </c>
      <c r="J33" t="s">
        <v>3</v>
      </c>
      <c r="K33" t="s">
        <v>279</v>
      </c>
      <c r="L33">
        <v>1191</v>
      </c>
      <c r="N33">
        <v>1013</v>
      </c>
      <c r="O33" t="s">
        <v>280</v>
      </c>
      <c r="P33" t="s">
        <v>280</v>
      </c>
      <c r="Q33">
        <v>1</v>
      </c>
      <c r="W33">
        <v>0</v>
      </c>
      <c r="X33">
        <v>476480486</v>
      </c>
      <c r="Y33">
        <f>((AT33*1.2)*0.3)</f>
        <v>0.28799999999999998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5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0.8</v>
      </c>
      <c r="AU33" t="s">
        <v>25</v>
      </c>
      <c r="AV33">
        <v>1</v>
      </c>
      <c r="AW33">
        <v>2</v>
      </c>
      <c r="AX33">
        <v>55983571</v>
      </c>
      <c r="AY33">
        <v>1</v>
      </c>
      <c r="AZ33">
        <v>0</v>
      </c>
      <c r="BA33">
        <v>37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U33">
        <f>ROUND(AT33*Source!I39*AH33*AL33,2)</f>
        <v>0</v>
      </c>
      <c r="CV33">
        <f>ROUND(Y33*Source!I39,9)</f>
        <v>1.728</v>
      </c>
      <c r="CW33">
        <v>0</v>
      </c>
      <c r="CX33">
        <f>ROUND(Y33*Source!I39,9)</f>
        <v>1.728</v>
      </c>
      <c r="CY33">
        <f>AD33</f>
        <v>0</v>
      </c>
      <c r="CZ33">
        <f>AH33</f>
        <v>0</v>
      </c>
      <c r="DA33">
        <f>AL33</f>
        <v>1</v>
      </c>
      <c r="DB33">
        <f>ROUND(((ROUND(AT33*CZ33,2)*1.2)*0.3),6)</f>
        <v>0</v>
      </c>
      <c r="DC33">
        <f>ROUND(((ROUND(AT33*AG33,2)*1.2)*0.3),6)</f>
        <v>0</v>
      </c>
      <c r="DD33" t="s">
        <v>3</v>
      </c>
      <c r="DE33" t="s">
        <v>3</v>
      </c>
      <c r="DF33">
        <f>ROUND(ROUND(AE33,2)*CX33,2)</f>
        <v>0</v>
      </c>
      <c r="DG33">
        <f t="shared" si="5"/>
        <v>0</v>
      </c>
      <c r="DH33">
        <f t="shared" si="4"/>
        <v>0</v>
      </c>
      <c r="DI33">
        <f t="shared" si="2"/>
        <v>0</v>
      </c>
      <c r="DJ33">
        <f>DI33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ROW(Source!A39)</f>
        <v>39</v>
      </c>
      <c r="B34">
        <v>55919549</v>
      </c>
      <c r="C34">
        <v>55983568</v>
      </c>
      <c r="D34">
        <v>55460239</v>
      </c>
      <c r="E34">
        <v>1</v>
      </c>
      <c r="F34">
        <v>1</v>
      </c>
      <c r="G34">
        <v>1081</v>
      </c>
      <c r="H34">
        <v>3</v>
      </c>
      <c r="I34" t="s">
        <v>285</v>
      </c>
      <c r="J34" t="s">
        <v>286</v>
      </c>
      <c r="K34" t="s">
        <v>287</v>
      </c>
      <c r="L34">
        <v>1348</v>
      </c>
      <c r="N34">
        <v>1009</v>
      </c>
      <c r="O34" t="s">
        <v>284</v>
      </c>
      <c r="P34" t="s">
        <v>284</v>
      </c>
      <c r="Q34">
        <v>1000</v>
      </c>
      <c r="W34">
        <v>0</v>
      </c>
      <c r="X34">
        <v>-1843244094</v>
      </c>
      <c r="Y34">
        <f>((AT34*1)*0)</f>
        <v>0</v>
      </c>
      <c r="AA34">
        <v>91879.360000000001</v>
      </c>
      <c r="AB34">
        <v>0</v>
      </c>
      <c r="AC34">
        <v>0</v>
      </c>
      <c r="AD34">
        <v>0</v>
      </c>
      <c r="AE34">
        <v>12416.13</v>
      </c>
      <c r="AF34">
        <v>0</v>
      </c>
      <c r="AG34">
        <v>0</v>
      </c>
      <c r="AH34">
        <v>0</v>
      </c>
      <c r="AI34">
        <v>7.4</v>
      </c>
      <c r="AJ34">
        <v>1</v>
      </c>
      <c r="AK34">
        <v>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2.4000000000000001E-5</v>
      </c>
      <c r="AU34" t="s">
        <v>24</v>
      </c>
      <c r="AV34">
        <v>0</v>
      </c>
      <c r="AW34">
        <v>2</v>
      </c>
      <c r="AX34">
        <v>55983572</v>
      </c>
      <c r="AY34">
        <v>1</v>
      </c>
      <c r="AZ34">
        <v>0</v>
      </c>
      <c r="BA34">
        <v>38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ROUND(Y34*Source!I39,9)</f>
        <v>0</v>
      </c>
      <c r="CY34">
        <f>AA34</f>
        <v>91879.360000000001</v>
      </c>
      <c r="CZ34">
        <f>AE34</f>
        <v>12416.13</v>
      </c>
      <c r="DA34">
        <f>AI34</f>
        <v>7.4</v>
      </c>
      <c r="DB34">
        <f>ROUND(((ROUND(AT34*CZ34,2)*1)*0),6)</f>
        <v>0</v>
      </c>
      <c r="DC34">
        <f>ROUND(((ROUND(AT34*AG34,2)*1)*0),6)</f>
        <v>0</v>
      </c>
      <c r="DD34" t="s">
        <v>3</v>
      </c>
      <c r="DE34" t="s">
        <v>3</v>
      </c>
      <c r="DF34">
        <f>ROUND(ROUND(AE34*AI34,2)*CX34,2)</f>
        <v>0</v>
      </c>
      <c r="DG34">
        <f t="shared" si="5"/>
        <v>0</v>
      </c>
      <c r="DH34">
        <f t="shared" si="4"/>
        <v>0</v>
      </c>
      <c r="DI34">
        <f t="shared" si="2"/>
        <v>0</v>
      </c>
      <c r="DJ34">
        <f>DF34</f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ROW(Source!A40)</f>
        <v>40</v>
      </c>
      <c r="B35">
        <v>55919547</v>
      </c>
      <c r="C35">
        <v>55983573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278</v>
      </c>
      <c r="J35" t="s">
        <v>3</v>
      </c>
      <c r="K35" t="s">
        <v>279</v>
      </c>
      <c r="L35">
        <v>1191</v>
      </c>
      <c r="N35">
        <v>1013</v>
      </c>
      <c r="O35" t="s">
        <v>280</v>
      </c>
      <c r="P35" t="s">
        <v>280</v>
      </c>
      <c r="Q35">
        <v>1</v>
      </c>
      <c r="W35">
        <v>0</v>
      </c>
      <c r="X35">
        <v>476480486</v>
      </c>
      <c r="Y35">
        <f>(AT35*1.2)</f>
        <v>7.008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5.84</v>
      </c>
      <c r="AU35" t="s">
        <v>57</v>
      </c>
      <c r="AV35">
        <v>1</v>
      </c>
      <c r="AW35">
        <v>2</v>
      </c>
      <c r="AX35">
        <v>55983575</v>
      </c>
      <c r="AY35">
        <v>1</v>
      </c>
      <c r="AZ35">
        <v>0</v>
      </c>
      <c r="BA35">
        <v>39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U35">
        <f>ROUND(AT35*Source!I40*AH35*AL35,2)</f>
        <v>0</v>
      </c>
      <c r="CV35">
        <f>ROUND(Y35*Source!I40,9)</f>
        <v>0.42048000000000002</v>
      </c>
      <c r="CW35">
        <v>0</v>
      </c>
      <c r="CX35">
        <f>ROUND(Y35*Source!I40,9)</f>
        <v>0.42048000000000002</v>
      </c>
      <c r="CY35">
        <f>AD35</f>
        <v>0</v>
      </c>
      <c r="CZ35">
        <f>AH35</f>
        <v>0</v>
      </c>
      <c r="DA35">
        <f>AL35</f>
        <v>1</v>
      </c>
      <c r="DB35">
        <f>ROUND((ROUND(AT35*CZ35,2)*1.2),6)</f>
        <v>0</v>
      </c>
      <c r="DC35">
        <f>ROUND((ROUND(AT35*AG35,2)*1.2),6)</f>
        <v>0</v>
      </c>
      <c r="DD35" t="s">
        <v>3</v>
      </c>
      <c r="DE35" t="s">
        <v>3</v>
      </c>
      <c r="DF35">
        <f t="shared" ref="DF35:DF41" si="6">ROUND(ROUND(AE35,2)*CX35,2)</f>
        <v>0</v>
      </c>
      <c r="DG35">
        <f t="shared" si="5"/>
        <v>0</v>
      </c>
      <c r="DH35">
        <f t="shared" si="4"/>
        <v>0</v>
      </c>
      <c r="DI35">
        <f t="shared" si="2"/>
        <v>0</v>
      </c>
      <c r="DJ35">
        <f>DI35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ROW(Source!A41)</f>
        <v>41</v>
      </c>
      <c r="B36">
        <v>55919549</v>
      </c>
      <c r="C36">
        <v>55983573</v>
      </c>
      <c r="D36">
        <v>55424304</v>
      </c>
      <c r="E36">
        <v>1081</v>
      </c>
      <c r="F36">
        <v>1</v>
      </c>
      <c r="G36">
        <v>1081</v>
      </c>
      <c r="H36">
        <v>1</v>
      </c>
      <c r="I36" t="s">
        <v>278</v>
      </c>
      <c r="J36" t="s">
        <v>3</v>
      </c>
      <c r="K36" t="s">
        <v>279</v>
      </c>
      <c r="L36">
        <v>1191</v>
      </c>
      <c r="N36">
        <v>1013</v>
      </c>
      <c r="O36" t="s">
        <v>280</v>
      </c>
      <c r="P36" t="s">
        <v>280</v>
      </c>
      <c r="Q36">
        <v>1</v>
      </c>
      <c r="W36">
        <v>0</v>
      </c>
      <c r="X36">
        <v>476480486</v>
      </c>
      <c r="Y36">
        <f>(AT36*1.2)</f>
        <v>7.008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5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5.84</v>
      </c>
      <c r="AU36" t="s">
        <v>57</v>
      </c>
      <c r="AV36">
        <v>1</v>
      </c>
      <c r="AW36">
        <v>2</v>
      </c>
      <c r="AX36">
        <v>55983575</v>
      </c>
      <c r="AY36">
        <v>1</v>
      </c>
      <c r="AZ36">
        <v>0</v>
      </c>
      <c r="BA36">
        <v>40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U36">
        <f>ROUND(AT36*Source!I41*AH36*AL36,2)</f>
        <v>0</v>
      </c>
      <c r="CV36">
        <f>ROUND(Y36*Source!I41,9)</f>
        <v>0.42048000000000002</v>
      </c>
      <c r="CW36">
        <v>0</v>
      </c>
      <c r="CX36">
        <f>ROUND(Y36*Source!I41,9)</f>
        <v>0.42048000000000002</v>
      </c>
      <c r="CY36">
        <f>AD36</f>
        <v>0</v>
      </c>
      <c r="CZ36">
        <f>AH36</f>
        <v>0</v>
      </c>
      <c r="DA36">
        <f>AL36</f>
        <v>1</v>
      </c>
      <c r="DB36">
        <f>ROUND((ROUND(AT36*CZ36,2)*1.2),6)</f>
        <v>0</v>
      </c>
      <c r="DC36">
        <f>ROUND((ROUND(AT36*AG36,2)*1.2),6)</f>
        <v>0</v>
      </c>
      <c r="DD36" t="s">
        <v>3</v>
      </c>
      <c r="DE36" t="s">
        <v>3</v>
      </c>
      <c r="DF36">
        <f t="shared" si="6"/>
        <v>0</v>
      </c>
      <c r="DG36">
        <f t="shared" si="5"/>
        <v>0</v>
      </c>
      <c r="DH36">
        <f t="shared" si="4"/>
        <v>0</v>
      </c>
      <c r="DI36">
        <f t="shared" si="2"/>
        <v>0</v>
      </c>
      <c r="DJ36">
        <f>DI36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ROW(Source!A42)</f>
        <v>42</v>
      </c>
      <c r="B37">
        <v>55919547</v>
      </c>
      <c r="C37">
        <v>55983576</v>
      </c>
      <c r="D37">
        <v>55424304</v>
      </c>
      <c r="E37">
        <v>1081</v>
      </c>
      <c r="F37">
        <v>1</v>
      </c>
      <c r="G37">
        <v>1081</v>
      </c>
      <c r="H37">
        <v>1</v>
      </c>
      <c r="I37" t="s">
        <v>278</v>
      </c>
      <c r="J37" t="s">
        <v>3</v>
      </c>
      <c r="K37" t="s">
        <v>279</v>
      </c>
      <c r="L37">
        <v>1191</v>
      </c>
      <c r="N37">
        <v>1013</v>
      </c>
      <c r="O37" t="s">
        <v>280</v>
      </c>
      <c r="P37" t="s">
        <v>280</v>
      </c>
      <c r="Q37">
        <v>1</v>
      </c>
      <c r="W37">
        <v>0</v>
      </c>
      <c r="X37">
        <v>476480486</v>
      </c>
      <c r="Y37">
        <f>(AT37*1.2)</f>
        <v>11.568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9.64</v>
      </c>
      <c r="AU37" t="s">
        <v>57</v>
      </c>
      <c r="AV37">
        <v>1</v>
      </c>
      <c r="AW37">
        <v>2</v>
      </c>
      <c r="AX37">
        <v>55983578</v>
      </c>
      <c r="AY37">
        <v>1</v>
      </c>
      <c r="AZ37">
        <v>0</v>
      </c>
      <c r="BA37">
        <v>41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ROUND(AT37*Source!I42*AH37*AL37,2)</f>
        <v>0</v>
      </c>
      <c r="CV37">
        <f>ROUND(Y37*Source!I42,9)</f>
        <v>45.115200000000002</v>
      </c>
      <c r="CW37">
        <v>0</v>
      </c>
      <c r="CX37">
        <f>ROUND(Y37*Source!I42,9)</f>
        <v>45.115200000000002</v>
      </c>
      <c r="CY37">
        <f>AD37</f>
        <v>0</v>
      </c>
      <c r="CZ37">
        <f>AH37</f>
        <v>0</v>
      </c>
      <c r="DA37">
        <f>AL37</f>
        <v>1</v>
      </c>
      <c r="DB37">
        <f>ROUND((ROUND(AT37*CZ37,2)*1.2),6)</f>
        <v>0</v>
      </c>
      <c r="DC37">
        <f>ROUND((ROUND(AT37*AG37,2)*1.2),6)</f>
        <v>0</v>
      </c>
      <c r="DD37" t="s">
        <v>3</v>
      </c>
      <c r="DE37" t="s">
        <v>3</v>
      </c>
      <c r="DF37">
        <f t="shared" si="6"/>
        <v>0</v>
      </c>
      <c r="DG37">
        <f t="shared" si="5"/>
        <v>0</v>
      </c>
      <c r="DH37">
        <f t="shared" si="4"/>
        <v>0</v>
      </c>
      <c r="DI37">
        <f t="shared" si="2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ROW(Source!A43)</f>
        <v>43</v>
      </c>
      <c r="B38">
        <v>55919549</v>
      </c>
      <c r="C38">
        <v>55983576</v>
      </c>
      <c r="D38">
        <v>55424304</v>
      </c>
      <c r="E38">
        <v>1081</v>
      </c>
      <c r="F38">
        <v>1</v>
      </c>
      <c r="G38">
        <v>1081</v>
      </c>
      <c r="H38">
        <v>1</v>
      </c>
      <c r="I38" t="s">
        <v>278</v>
      </c>
      <c r="J38" t="s">
        <v>3</v>
      </c>
      <c r="K38" t="s">
        <v>279</v>
      </c>
      <c r="L38">
        <v>1191</v>
      </c>
      <c r="N38">
        <v>1013</v>
      </c>
      <c r="O38" t="s">
        <v>280</v>
      </c>
      <c r="P38" t="s">
        <v>280</v>
      </c>
      <c r="Q38">
        <v>1</v>
      </c>
      <c r="W38">
        <v>0</v>
      </c>
      <c r="X38">
        <v>476480486</v>
      </c>
      <c r="Y38">
        <f>(AT38*1.2)</f>
        <v>11.568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5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9.64</v>
      </c>
      <c r="AU38" t="s">
        <v>57</v>
      </c>
      <c r="AV38">
        <v>1</v>
      </c>
      <c r="AW38">
        <v>2</v>
      </c>
      <c r="AX38">
        <v>55983578</v>
      </c>
      <c r="AY38">
        <v>1</v>
      </c>
      <c r="AZ38">
        <v>0</v>
      </c>
      <c r="BA38">
        <v>42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U38">
        <f>ROUND(AT38*Source!I43*AH38*AL38,2)</f>
        <v>0</v>
      </c>
      <c r="CV38">
        <f>ROUND(Y38*Source!I43,9)</f>
        <v>45.115200000000002</v>
      </c>
      <c r="CW38">
        <v>0</v>
      </c>
      <c r="CX38">
        <f>ROUND(Y38*Source!I43,9)</f>
        <v>45.115200000000002</v>
      </c>
      <c r="CY38">
        <f>AD38</f>
        <v>0</v>
      </c>
      <c r="CZ38">
        <f>AH38</f>
        <v>0</v>
      </c>
      <c r="DA38">
        <f>AL38</f>
        <v>1</v>
      </c>
      <c r="DB38">
        <f>ROUND((ROUND(AT38*CZ38,2)*1.2),6)</f>
        <v>0</v>
      </c>
      <c r="DC38">
        <f>ROUND((ROUND(AT38*AG38,2)*1.2),6)</f>
        <v>0</v>
      </c>
      <c r="DD38" t="s">
        <v>3</v>
      </c>
      <c r="DE38" t="s">
        <v>3</v>
      </c>
      <c r="DF38">
        <f t="shared" si="6"/>
        <v>0</v>
      </c>
      <c r="DG38">
        <f t="shared" si="5"/>
        <v>0</v>
      </c>
      <c r="DH38">
        <f t="shared" si="4"/>
        <v>0</v>
      </c>
      <c r="DI38">
        <f t="shared" si="2"/>
        <v>0</v>
      </c>
      <c r="DJ38">
        <f>DI38</f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ROW(Source!A44)</f>
        <v>44</v>
      </c>
      <c r="B39">
        <v>55919547</v>
      </c>
      <c r="C39">
        <v>55983579</v>
      </c>
      <c r="D39">
        <v>55424304</v>
      </c>
      <c r="E39">
        <v>1081</v>
      </c>
      <c r="F39">
        <v>1</v>
      </c>
      <c r="G39">
        <v>1081</v>
      </c>
      <c r="H39">
        <v>1</v>
      </c>
      <c r="I39" t="s">
        <v>278</v>
      </c>
      <c r="J39" t="s">
        <v>3</v>
      </c>
      <c r="K39" t="s">
        <v>279</v>
      </c>
      <c r="L39">
        <v>1191</v>
      </c>
      <c r="N39">
        <v>1013</v>
      </c>
      <c r="O39" t="s">
        <v>280</v>
      </c>
      <c r="P39" t="s">
        <v>280</v>
      </c>
      <c r="Q39">
        <v>1</v>
      </c>
      <c r="W39">
        <v>0</v>
      </c>
      <c r="X39">
        <v>476480486</v>
      </c>
      <c r="Y39">
        <f>(AT39*1.2)</f>
        <v>36.527999999999999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30.44</v>
      </c>
      <c r="AU39" t="s">
        <v>57</v>
      </c>
      <c r="AV39">
        <v>1</v>
      </c>
      <c r="AW39">
        <v>2</v>
      </c>
      <c r="AX39">
        <v>55983582</v>
      </c>
      <c r="AY39">
        <v>1</v>
      </c>
      <c r="AZ39">
        <v>0</v>
      </c>
      <c r="BA39">
        <v>43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U39">
        <f>ROUND(AT39*Source!I44*AH39*AL39,2)</f>
        <v>0</v>
      </c>
      <c r="CV39">
        <f>ROUND(Y39*Source!I44,9)</f>
        <v>73.055999999999997</v>
      </c>
      <c r="CW39">
        <v>0</v>
      </c>
      <c r="CX39">
        <f>ROUND(Y39*Source!I44,9)</f>
        <v>73.055999999999997</v>
      </c>
      <c r="CY39">
        <f>AD39</f>
        <v>0</v>
      </c>
      <c r="CZ39">
        <f>AH39</f>
        <v>0</v>
      </c>
      <c r="DA39">
        <f>AL39</f>
        <v>1</v>
      </c>
      <c r="DB39">
        <f>ROUND((ROUND(AT39*CZ39,2)*1.2),6)</f>
        <v>0</v>
      </c>
      <c r="DC39">
        <f>ROUND((ROUND(AT39*AG39,2)*1.2),6)</f>
        <v>0</v>
      </c>
      <c r="DD39" t="s">
        <v>3</v>
      </c>
      <c r="DE39" t="s">
        <v>3</v>
      </c>
      <c r="DF39">
        <f t="shared" si="6"/>
        <v>0</v>
      </c>
      <c r="DG39">
        <f t="shared" si="5"/>
        <v>0</v>
      </c>
      <c r="DH39">
        <f t="shared" si="4"/>
        <v>0</v>
      </c>
      <c r="DI39">
        <f t="shared" si="2"/>
        <v>0</v>
      </c>
      <c r="DJ39">
        <f>DI39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ROW(Source!A44)</f>
        <v>44</v>
      </c>
      <c r="B40">
        <v>55919547</v>
      </c>
      <c r="C40">
        <v>55983579</v>
      </c>
      <c r="D40">
        <v>55424288</v>
      </c>
      <c r="E40">
        <v>1081</v>
      </c>
      <c r="F40">
        <v>1</v>
      </c>
      <c r="G40">
        <v>1081</v>
      </c>
      <c r="H40">
        <v>3</v>
      </c>
      <c r="I40" t="s">
        <v>308</v>
      </c>
      <c r="J40" t="s">
        <v>3</v>
      </c>
      <c r="K40" t="s">
        <v>309</v>
      </c>
      <c r="L40">
        <v>1348</v>
      </c>
      <c r="N40">
        <v>1009</v>
      </c>
      <c r="O40" t="s">
        <v>284</v>
      </c>
      <c r="P40" t="s">
        <v>284</v>
      </c>
      <c r="Q40">
        <v>1000</v>
      </c>
      <c r="W40">
        <v>0</v>
      </c>
      <c r="X40">
        <v>1489638031</v>
      </c>
      <c r="Y40">
        <f>(AT40*1)</f>
        <v>0.247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0.247</v>
      </c>
      <c r="AU40" t="s">
        <v>56</v>
      </c>
      <c r="AV40">
        <v>0</v>
      </c>
      <c r="AW40">
        <v>2</v>
      </c>
      <c r="AX40">
        <v>55983583</v>
      </c>
      <c r="AY40">
        <v>1</v>
      </c>
      <c r="AZ40">
        <v>0</v>
      </c>
      <c r="BA40">
        <v>44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ROUND(Y40*Source!I44,9)</f>
        <v>0.49399999999999999</v>
      </c>
      <c r="CY40">
        <f>AA40</f>
        <v>0</v>
      </c>
      <c r="CZ40">
        <f>AE40</f>
        <v>0</v>
      </c>
      <c r="DA40">
        <f>AI40</f>
        <v>1</v>
      </c>
      <c r="DB40">
        <f>ROUND((ROUND(AT40*CZ40,2)*1),6)</f>
        <v>0</v>
      </c>
      <c r="DC40">
        <f>ROUND((ROUND(AT40*AG40,2)*1),6)</f>
        <v>0</v>
      </c>
      <c r="DD40" t="s">
        <v>3</v>
      </c>
      <c r="DE40" t="s">
        <v>3</v>
      </c>
      <c r="DF40">
        <f t="shared" si="6"/>
        <v>0</v>
      </c>
      <c r="DG40">
        <f t="shared" si="5"/>
        <v>0</v>
      </c>
      <c r="DH40">
        <f t="shared" si="4"/>
        <v>0</v>
      </c>
      <c r="DI40">
        <f t="shared" si="2"/>
        <v>0</v>
      </c>
      <c r="DJ40">
        <f>DF40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ROW(Source!A45)</f>
        <v>45</v>
      </c>
      <c r="B41">
        <v>55919549</v>
      </c>
      <c r="C41">
        <v>55983579</v>
      </c>
      <c r="D41">
        <v>55424304</v>
      </c>
      <c r="E41">
        <v>1081</v>
      </c>
      <c r="F41">
        <v>1</v>
      </c>
      <c r="G41">
        <v>1081</v>
      </c>
      <c r="H41">
        <v>1</v>
      </c>
      <c r="I41" t="s">
        <v>278</v>
      </c>
      <c r="J41" t="s">
        <v>3</v>
      </c>
      <c r="K41" t="s">
        <v>279</v>
      </c>
      <c r="L41">
        <v>1191</v>
      </c>
      <c r="N41">
        <v>1013</v>
      </c>
      <c r="O41" t="s">
        <v>280</v>
      </c>
      <c r="P41" t="s">
        <v>280</v>
      </c>
      <c r="Q41">
        <v>1</v>
      </c>
      <c r="W41">
        <v>0</v>
      </c>
      <c r="X41">
        <v>476480486</v>
      </c>
      <c r="Y41">
        <f>(AT41*1.2)</f>
        <v>36.527999999999999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5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30.44</v>
      </c>
      <c r="AU41" t="s">
        <v>57</v>
      </c>
      <c r="AV41">
        <v>1</v>
      </c>
      <c r="AW41">
        <v>2</v>
      </c>
      <c r="AX41">
        <v>55983582</v>
      </c>
      <c r="AY41">
        <v>1</v>
      </c>
      <c r="AZ41">
        <v>0</v>
      </c>
      <c r="BA41">
        <v>45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ROUND(AT41*Source!I45*AH41*AL41,2)</f>
        <v>0</v>
      </c>
      <c r="CV41">
        <f>ROUND(Y41*Source!I45,9)</f>
        <v>73.055999999999997</v>
      </c>
      <c r="CW41">
        <v>0</v>
      </c>
      <c r="CX41">
        <f>ROUND(Y41*Source!I45,9)</f>
        <v>73.055999999999997</v>
      </c>
      <c r="CY41">
        <f>AD41</f>
        <v>0</v>
      </c>
      <c r="CZ41">
        <f>AH41</f>
        <v>0</v>
      </c>
      <c r="DA41">
        <f>AL41</f>
        <v>1</v>
      </c>
      <c r="DB41">
        <f>ROUND((ROUND(AT41*CZ41,2)*1.2),6)</f>
        <v>0</v>
      </c>
      <c r="DC41">
        <f>ROUND((ROUND(AT41*AG41,2)*1.2),6)</f>
        <v>0</v>
      </c>
      <c r="DD41" t="s">
        <v>3</v>
      </c>
      <c r="DE41" t="s">
        <v>3</v>
      </c>
      <c r="DF41">
        <f t="shared" si="6"/>
        <v>0</v>
      </c>
      <c r="DG41">
        <f t="shared" si="5"/>
        <v>0</v>
      </c>
      <c r="DH41">
        <f t="shared" si="4"/>
        <v>0</v>
      </c>
      <c r="DI41">
        <f t="shared" si="2"/>
        <v>0</v>
      </c>
      <c r="DJ41">
        <f>DI41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ROW(Source!A45)</f>
        <v>45</v>
      </c>
      <c r="B42">
        <v>55919549</v>
      </c>
      <c r="C42">
        <v>55983579</v>
      </c>
      <c r="D42">
        <v>55424288</v>
      </c>
      <c r="E42">
        <v>1081</v>
      </c>
      <c r="F42">
        <v>1</v>
      </c>
      <c r="G42">
        <v>1081</v>
      </c>
      <c r="H42">
        <v>3</v>
      </c>
      <c r="I42" t="s">
        <v>308</v>
      </c>
      <c r="J42" t="s">
        <v>3</v>
      </c>
      <c r="K42" t="s">
        <v>309</v>
      </c>
      <c r="L42">
        <v>1348</v>
      </c>
      <c r="N42">
        <v>1009</v>
      </c>
      <c r="O42" t="s">
        <v>284</v>
      </c>
      <c r="P42" t="s">
        <v>284</v>
      </c>
      <c r="Q42">
        <v>1000</v>
      </c>
      <c r="W42">
        <v>0</v>
      </c>
      <c r="X42">
        <v>1489638031</v>
      </c>
      <c r="Y42">
        <f>(AT42*1)</f>
        <v>0.247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7.57</v>
      </c>
      <c r="AJ42">
        <v>1</v>
      </c>
      <c r="AK42">
        <v>1</v>
      </c>
      <c r="AL42">
        <v>1</v>
      </c>
      <c r="AM42">
        <v>5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0.247</v>
      </c>
      <c r="AU42" t="s">
        <v>56</v>
      </c>
      <c r="AV42">
        <v>0</v>
      </c>
      <c r="AW42">
        <v>2</v>
      </c>
      <c r="AX42">
        <v>55983583</v>
      </c>
      <c r="AY42">
        <v>1</v>
      </c>
      <c r="AZ42">
        <v>0</v>
      </c>
      <c r="BA42">
        <v>46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ROUND(Y42*Source!I45,9)</f>
        <v>0.49399999999999999</v>
      </c>
      <c r="CY42">
        <f>AA42</f>
        <v>0</v>
      </c>
      <c r="CZ42">
        <f>AE42</f>
        <v>0</v>
      </c>
      <c r="DA42">
        <f>AI42</f>
        <v>7.57</v>
      </c>
      <c r="DB42">
        <f>ROUND((ROUND(AT42*CZ42,2)*1),6)</f>
        <v>0</v>
      </c>
      <c r="DC42">
        <f>ROUND((ROUND(AT42*AG42,2)*1),6)</f>
        <v>0</v>
      </c>
      <c r="DD42" t="s">
        <v>3</v>
      </c>
      <c r="DE42" t="s">
        <v>3</v>
      </c>
      <c r="DF42">
        <f>ROUND(ROUND(AE42*AI42,2)*CX42,2)</f>
        <v>0</v>
      </c>
      <c r="DG42">
        <f t="shared" si="5"/>
        <v>0</v>
      </c>
      <c r="DH42">
        <f t="shared" si="4"/>
        <v>0</v>
      </c>
      <c r="DI42">
        <f t="shared" si="2"/>
        <v>0</v>
      </c>
      <c r="DJ42">
        <f>DF42</f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ROW(Source!A46)</f>
        <v>46</v>
      </c>
      <c r="B43">
        <v>55919547</v>
      </c>
      <c r="C43">
        <v>55983584</v>
      </c>
      <c r="D43">
        <v>55424304</v>
      </c>
      <c r="E43">
        <v>1081</v>
      </c>
      <c r="F43">
        <v>1</v>
      </c>
      <c r="G43">
        <v>1081</v>
      </c>
      <c r="H43">
        <v>1</v>
      </c>
      <c r="I43" t="s">
        <v>278</v>
      </c>
      <c r="J43" t="s">
        <v>3</v>
      </c>
      <c r="K43" t="s">
        <v>279</v>
      </c>
      <c r="L43">
        <v>1191</v>
      </c>
      <c r="N43">
        <v>1013</v>
      </c>
      <c r="O43" t="s">
        <v>280</v>
      </c>
      <c r="P43" t="s">
        <v>280</v>
      </c>
      <c r="Q43">
        <v>1</v>
      </c>
      <c r="W43">
        <v>0</v>
      </c>
      <c r="X43">
        <v>476480486</v>
      </c>
      <c r="Y43">
        <f>((AT43*1.2)*0.3)</f>
        <v>10.763999999999998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29.9</v>
      </c>
      <c r="AU43" t="s">
        <v>25</v>
      </c>
      <c r="AV43">
        <v>1</v>
      </c>
      <c r="AW43">
        <v>2</v>
      </c>
      <c r="AX43">
        <v>55983596</v>
      </c>
      <c r="AY43">
        <v>1</v>
      </c>
      <c r="AZ43">
        <v>0</v>
      </c>
      <c r="BA43">
        <v>47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U43">
        <f>ROUND(AT43*Source!I46*AH43*AL43,2)</f>
        <v>0</v>
      </c>
      <c r="CV43">
        <f>ROUND(Y43*Source!I46,9)</f>
        <v>1.0764</v>
      </c>
      <c r="CW43">
        <v>0</v>
      </c>
      <c r="CX43">
        <f>ROUND(Y43*Source!I46,9)</f>
        <v>1.0764</v>
      </c>
      <c r="CY43">
        <f>AD43</f>
        <v>0</v>
      </c>
      <c r="CZ43">
        <f>AH43</f>
        <v>0</v>
      </c>
      <c r="DA43">
        <f>AL43</f>
        <v>1</v>
      </c>
      <c r="DB43">
        <f>ROUND(((ROUND(AT43*CZ43,2)*1.2)*0.3),6)</f>
        <v>0</v>
      </c>
      <c r="DC43">
        <f>ROUND(((ROUND(AT43*AG43,2)*1.2)*0.3),6)</f>
        <v>0</v>
      </c>
      <c r="DD43" t="s">
        <v>3</v>
      </c>
      <c r="DE43" t="s">
        <v>3</v>
      </c>
      <c r="DF43">
        <f t="shared" ref="DF43:DF57" si="7">ROUND(ROUND(AE43,2)*CX43,2)</f>
        <v>0</v>
      </c>
      <c r="DG43">
        <f t="shared" si="5"/>
        <v>0</v>
      </c>
      <c r="DH43">
        <f t="shared" si="4"/>
        <v>0</v>
      </c>
      <c r="DI43">
        <f t="shared" si="2"/>
        <v>0</v>
      </c>
      <c r="DJ43">
        <f>DI43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ROW(Source!A46)</f>
        <v>46</v>
      </c>
      <c r="B44">
        <v>55919547</v>
      </c>
      <c r="C44">
        <v>55983584</v>
      </c>
      <c r="D44">
        <v>55489910</v>
      </c>
      <c r="E44">
        <v>1</v>
      </c>
      <c r="F44">
        <v>1</v>
      </c>
      <c r="G44">
        <v>1081</v>
      </c>
      <c r="H44">
        <v>2</v>
      </c>
      <c r="I44" t="s">
        <v>293</v>
      </c>
      <c r="J44" t="s">
        <v>294</v>
      </c>
      <c r="K44" t="s">
        <v>295</v>
      </c>
      <c r="L44">
        <v>1368</v>
      </c>
      <c r="N44">
        <v>1011</v>
      </c>
      <c r="O44" t="s">
        <v>291</v>
      </c>
      <c r="P44" t="s">
        <v>291</v>
      </c>
      <c r="Q44">
        <v>1</v>
      </c>
      <c r="W44">
        <v>0</v>
      </c>
      <c r="X44">
        <v>1498588441</v>
      </c>
      <c r="Y44">
        <f>((AT44*1.2)*0.3)</f>
        <v>5.5439999999999996</v>
      </c>
      <c r="AA44">
        <v>0</v>
      </c>
      <c r="AB44">
        <v>7.44</v>
      </c>
      <c r="AC44">
        <v>0</v>
      </c>
      <c r="AD44">
        <v>0</v>
      </c>
      <c r="AE44">
        <v>0</v>
      </c>
      <c r="AF44">
        <v>7.11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-2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15.4</v>
      </c>
      <c r="AU44" t="s">
        <v>25</v>
      </c>
      <c r="AV44">
        <v>0</v>
      </c>
      <c r="AW44">
        <v>2</v>
      </c>
      <c r="AX44">
        <v>55983597</v>
      </c>
      <c r="AY44">
        <v>1</v>
      </c>
      <c r="AZ44">
        <v>0</v>
      </c>
      <c r="BA44">
        <v>48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f>ROUND(Y44*Source!I46*DO44,9)</f>
        <v>0</v>
      </c>
      <c r="CX44">
        <f>ROUND(Y44*Source!I46,9)</f>
        <v>0.5544</v>
      </c>
      <c r="CY44">
        <f>AB44</f>
        <v>7.44</v>
      </c>
      <c r="CZ44">
        <f>AF44</f>
        <v>7.11</v>
      </c>
      <c r="DA44">
        <f>AJ44</f>
        <v>1</v>
      </c>
      <c r="DB44">
        <f>ROUND(((ROUND(AT44*CZ44,2)*1.2)*0.3),6)</f>
        <v>39.416400000000003</v>
      </c>
      <c r="DC44">
        <f>ROUND(((ROUND(AT44*AG44,2)*1.2)*0.3),6)</f>
        <v>0</v>
      </c>
      <c r="DD44" t="s">
        <v>3</v>
      </c>
      <c r="DE44" t="s">
        <v>3</v>
      </c>
      <c r="DF44">
        <f t="shared" si="7"/>
        <v>0</v>
      </c>
      <c r="DG44">
        <f t="shared" si="5"/>
        <v>3.94</v>
      </c>
      <c r="DH44">
        <f t="shared" si="4"/>
        <v>0</v>
      </c>
      <c r="DI44">
        <f t="shared" si="2"/>
        <v>0</v>
      </c>
      <c r="DJ44">
        <f>DG44</f>
        <v>3.94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ROW(Source!A46)</f>
        <v>46</v>
      </c>
      <c r="B45">
        <v>55919547</v>
      </c>
      <c r="C45">
        <v>55983584</v>
      </c>
      <c r="D45">
        <v>55490209</v>
      </c>
      <c r="E45">
        <v>1</v>
      </c>
      <c r="F45">
        <v>1</v>
      </c>
      <c r="G45">
        <v>1081</v>
      </c>
      <c r="H45">
        <v>2</v>
      </c>
      <c r="I45" t="s">
        <v>296</v>
      </c>
      <c r="J45" t="s">
        <v>297</v>
      </c>
      <c r="K45" t="s">
        <v>298</v>
      </c>
      <c r="L45">
        <v>1368</v>
      </c>
      <c r="N45">
        <v>1011</v>
      </c>
      <c r="O45" t="s">
        <v>291</v>
      </c>
      <c r="P45" t="s">
        <v>291</v>
      </c>
      <c r="Q45">
        <v>1</v>
      </c>
      <c r="W45">
        <v>0</v>
      </c>
      <c r="X45">
        <v>874612079</v>
      </c>
      <c r="Y45">
        <f>((AT45*1.2)*0.3)</f>
        <v>7.1999999999999995E-2</v>
      </c>
      <c r="AA45">
        <v>0</v>
      </c>
      <c r="AB45">
        <v>87.01</v>
      </c>
      <c r="AC45">
        <v>13.21</v>
      </c>
      <c r="AD45">
        <v>0</v>
      </c>
      <c r="AE45">
        <v>0</v>
      </c>
      <c r="AF45">
        <v>83.1</v>
      </c>
      <c r="AG45">
        <v>12.62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0.2</v>
      </c>
      <c r="AU45" t="s">
        <v>25</v>
      </c>
      <c r="AV45">
        <v>0</v>
      </c>
      <c r="AW45">
        <v>2</v>
      </c>
      <c r="AX45">
        <v>55983598</v>
      </c>
      <c r="AY45">
        <v>1</v>
      </c>
      <c r="AZ45">
        <v>0</v>
      </c>
      <c r="BA45">
        <v>49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f>ROUND(Y45*Source!I46*DO45,9)</f>
        <v>9.0864E-2</v>
      </c>
      <c r="CX45">
        <f>ROUND(Y45*Source!I46,9)</f>
        <v>7.1999999999999998E-3</v>
      </c>
      <c r="CY45">
        <f>AB45</f>
        <v>87.01</v>
      </c>
      <c r="CZ45">
        <f>AF45</f>
        <v>83.1</v>
      </c>
      <c r="DA45">
        <f>AJ45</f>
        <v>1</v>
      </c>
      <c r="DB45">
        <f>ROUND(((ROUND(AT45*CZ45,2)*1.2)*0.3),6)</f>
        <v>5.9832000000000001</v>
      </c>
      <c r="DC45">
        <f>ROUND(((ROUND(AT45*AG45,2)*1.2)*0.3),6)</f>
        <v>0.90720000000000001</v>
      </c>
      <c r="DD45" t="s">
        <v>3</v>
      </c>
      <c r="DE45" t="s">
        <v>3</v>
      </c>
      <c r="DF45">
        <f t="shared" si="7"/>
        <v>0</v>
      </c>
      <c r="DG45">
        <f t="shared" si="5"/>
        <v>0.6</v>
      </c>
      <c r="DH45">
        <f t="shared" si="4"/>
        <v>0.09</v>
      </c>
      <c r="DI45">
        <f t="shared" si="2"/>
        <v>0</v>
      </c>
      <c r="DJ45">
        <f>DG45</f>
        <v>0.6</v>
      </c>
      <c r="DK45">
        <v>0</v>
      </c>
      <c r="DL45" t="s">
        <v>292</v>
      </c>
      <c r="DM45">
        <v>0</v>
      </c>
      <c r="DN45" t="s">
        <v>280</v>
      </c>
      <c r="DO45">
        <v>12.62</v>
      </c>
    </row>
    <row r="46" spans="1:119" x14ac:dyDescent="0.2">
      <c r="A46">
        <f>ROW(Source!A46)</f>
        <v>46</v>
      </c>
      <c r="B46">
        <v>55919547</v>
      </c>
      <c r="C46">
        <v>55983584</v>
      </c>
      <c r="D46">
        <v>55490263</v>
      </c>
      <c r="E46">
        <v>1</v>
      </c>
      <c r="F46">
        <v>1</v>
      </c>
      <c r="G46">
        <v>1081</v>
      </c>
      <c r="H46">
        <v>2</v>
      </c>
      <c r="I46" t="s">
        <v>310</v>
      </c>
      <c r="J46" t="s">
        <v>311</v>
      </c>
      <c r="K46" t="s">
        <v>312</v>
      </c>
      <c r="L46">
        <v>1368</v>
      </c>
      <c r="N46">
        <v>1011</v>
      </c>
      <c r="O46" t="s">
        <v>291</v>
      </c>
      <c r="P46" t="s">
        <v>291</v>
      </c>
      <c r="Q46">
        <v>1</v>
      </c>
      <c r="W46">
        <v>0</v>
      </c>
      <c r="X46">
        <v>-1895752648</v>
      </c>
      <c r="Y46">
        <f>((AT46*1.2)*0.3)</f>
        <v>1.3788</v>
      </c>
      <c r="AA46">
        <v>0</v>
      </c>
      <c r="AB46">
        <v>0.81</v>
      </c>
      <c r="AC46">
        <v>0</v>
      </c>
      <c r="AD46">
        <v>0</v>
      </c>
      <c r="AE46">
        <v>0</v>
      </c>
      <c r="AF46">
        <v>0.77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3.83</v>
      </c>
      <c r="AU46" t="s">
        <v>25</v>
      </c>
      <c r="AV46">
        <v>0</v>
      </c>
      <c r="AW46">
        <v>2</v>
      </c>
      <c r="AX46">
        <v>55983599</v>
      </c>
      <c r="AY46">
        <v>1</v>
      </c>
      <c r="AZ46">
        <v>0</v>
      </c>
      <c r="BA46">
        <v>50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ROUND(Y46*Source!I46*DO46,9)</f>
        <v>0</v>
      </c>
      <c r="CX46">
        <f>ROUND(Y46*Source!I46,9)</f>
        <v>0.13788</v>
      </c>
      <c r="CY46">
        <f>AB46</f>
        <v>0.81</v>
      </c>
      <c r="CZ46">
        <f>AF46</f>
        <v>0.77</v>
      </c>
      <c r="DA46">
        <f>AJ46</f>
        <v>1</v>
      </c>
      <c r="DB46">
        <f>ROUND(((ROUND(AT46*CZ46,2)*1.2)*0.3),6)</f>
        <v>1.0620000000000001</v>
      </c>
      <c r="DC46">
        <f>ROUND(((ROUND(AT46*AG46,2)*1.2)*0.3),6)</f>
        <v>0</v>
      </c>
      <c r="DD46" t="s">
        <v>3</v>
      </c>
      <c r="DE46" t="s">
        <v>3</v>
      </c>
      <c r="DF46">
        <f t="shared" si="7"/>
        <v>0</v>
      </c>
      <c r="DG46">
        <f t="shared" si="5"/>
        <v>0.11</v>
      </c>
      <c r="DH46">
        <f t="shared" si="4"/>
        <v>0</v>
      </c>
      <c r="DI46">
        <f t="shared" si="2"/>
        <v>0</v>
      </c>
      <c r="DJ46">
        <f>DG46</f>
        <v>0.11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ROW(Source!A46)</f>
        <v>46</v>
      </c>
      <c r="B47">
        <v>55919547</v>
      </c>
      <c r="C47">
        <v>55983584</v>
      </c>
      <c r="D47">
        <v>55459907</v>
      </c>
      <c r="E47">
        <v>1</v>
      </c>
      <c r="F47">
        <v>1</v>
      </c>
      <c r="G47">
        <v>1081</v>
      </c>
      <c r="H47">
        <v>3</v>
      </c>
      <c r="I47" t="s">
        <v>313</v>
      </c>
      <c r="J47" t="s">
        <v>314</v>
      </c>
      <c r="K47" t="s">
        <v>315</v>
      </c>
      <c r="L47">
        <v>1348</v>
      </c>
      <c r="N47">
        <v>1009</v>
      </c>
      <c r="O47" t="s">
        <v>284</v>
      </c>
      <c r="P47" t="s">
        <v>284</v>
      </c>
      <c r="Q47">
        <v>1000</v>
      </c>
      <c r="W47">
        <v>0</v>
      </c>
      <c r="X47">
        <v>-921548447</v>
      </c>
      <c r="Y47">
        <f t="shared" ref="Y47:Y53" si="8">((AT47*1)*0)</f>
        <v>0</v>
      </c>
      <c r="AA47">
        <v>7246.05</v>
      </c>
      <c r="AB47">
        <v>0</v>
      </c>
      <c r="AC47">
        <v>0</v>
      </c>
      <c r="AD47">
        <v>0</v>
      </c>
      <c r="AE47">
        <v>7246.05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5.1499999999999997E-2</v>
      </c>
      <c r="AU47" t="s">
        <v>24</v>
      </c>
      <c r="AV47">
        <v>0</v>
      </c>
      <c r="AW47">
        <v>2</v>
      </c>
      <c r="AX47">
        <v>55983600</v>
      </c>
      <c r="AY47">
        <v>1</v>
      </c>
      <c r="AZ47">
        <v>0</v>
      </c>
      <c r="BA47">
        <v>51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ROUND(Y47*Source!I46,9)</f>
        <v>0</v>
      </c>
      <c r="CY47">
        <f t="shared" ref="CY47:CY53" si="9">AA47</f>
        <v>7246.05</v>
      </c>
      <c r="CZ47">
        <f t="shared" ref="CZ47:CZ53" si="10">AE47</f>
        <v>7246.05</v>
      </c>
      <c r="DA47">
        <f t="shared" ref="DA47:DA53" si="11">AI47</f>
        <v>1</v>
      </c>
      <c r="DB47">
        <f t="shared" ref="DB47:DB53" si="12">ROUND(((ROUND(AT47*CZ47,2)*1)*0),6)</f>
        <v>0</v>
      </c>
      <c r="DC47">
        <f t="shared" ref="DC47:DC53" si="13">ROUND(((ROUND(AT47*AG47,2)*1)*0),6)</f>
        <v>0</v>
      </c>
      <c r="DD47" t="s">
        <v>3</v>
      </c>
      <c r="DE47" t="s">
        <v>3</v>
      </c>
      <c r="DF47">
        <f t="shared" si="7"/>
        <v>0</v>
      </c>
      <c r="DG47">
        <f t="shared" si="5"/>
        <v>0</v>
      </c>
      <c r="DH47">
        <f t="shared" si="4"/>
        <v>0</v>
      </c>
      <c r="DI47">
        <f t="shared" si="2"/>
        <v>0</v>
      </c>
      <c r="DJ47">
        <f t="shared" ref="DJ47:DJ53" si="14">DF47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ROW(Source!A46)</f>
        <v>46</v>
      </c>
      <c r="B48">
        <v>55919547</v>
      </c>
      <c r="C48">
        <v>55983584</v>
      </c>
      <c r="D48">
        <v>55460380</v>
      </c>
      <c r="E48">
        <v>1</v>
      </c>
      <c r="F48">
        <v>1</v>
      </c>
      <c r="G48">
        <v>1081</v>
      </c>
      <c r="H48">
        <v>3</v>
      </c>
      <c r="I48" t="s">
        <v>305</v>
      </c>
      <c r="J48" t="s">
        <v>306</v>
      </c>
      <c r="K48" t="s">
        <v>307</v>
      </c>
      <c r="L48">
        <v>1348</v>
      </c>
      <c r="N48">
        <v>1009</v>
      </c>
      <c r="O48" t="s">
        <v>284</v>
      </c>
      <c r="P48" t="s">
        <v>284</v>
      </c>
      <c r="Q48">
        <v>1000</v>
      </c>
      <c r="W48">
        <v>0</v>
      </c>
      <c r="X48">
        <v>277309194</v>
      </c>
      <c r="Y48">
        <f t="shared" si="8"/>
        <v>0</v>
      </c>
      <c r="AA48">
        <v>8590.86</v>
      </c>
      <c r="AB48">
        <v>0</v>
      </c>
      <c r="AC48">
        <v>0</v>
      </c>
      <c r="AD48">
        <v>0</v>
      </c>
      <c r="AE48">
        <v>8590.86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1.0499999999999999E-3</v>
      </c>
      <c r="AU48" t="s">
        <v>24</v>
      </c>
      <c r="AV48">
        <v>0</v>
      </c>
      <c r="AW48">
        <v>2</v>
      </c>
      <c r="AX48">
        <v>55983601</v>
      </c>
      <c r="AY48">
        <v>1</v>
      </c>
      <c r="AZ48">
        <v>0</v>
      </c>
      <c r="BA48">
        <v>52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ROUND(Y48*Source!I46,9)</f>
        <v>0</v>
      </c>
      <c r="CY48">
        <f t="shared" si="9"/>
        <v>8590.86</v>
      </c>
      <c r="CZ48">
        <f t="shared" si="10"/>
        <v>8590.86</v>
      </c>
      <c r="DA48">
        <f t="shared" si="11"/>
        <v>1</v>
      </c>
      <c r="DB48">
        <f t="shared" si="12"/>
        <v>0</v>
      </c>
      <c r="DC48">
        <f t="shared" si="13"/>
        <v>0</v>
      </c>
      <c r="DD48" t="s">
        <v>3</v>
      </c>
      <c r="DE48" t="s">
        <v>3</v>
      </c>
      <c r="DF48">
        <f t="shared" si="7"/>
        <v>0</v>
      </c>
      <c r="DG48">
        <f t="shared" si="5"/>
        <v>0</v>
      </c>
      <c r="DH48">
        <f t="shared" si="4"/>
        <v>0</v>
      </c>
      <c r="DI48">
        <f t="shared" si="2"/>
        <v>0</v>
      </c>
      <c r="DJ48">
        <f t="shared" si="14"/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ROW(Source!A46)</f>
        <v>46</v>
      </c>
      <c r="B49">
        <v>55919547</v>
      </c>
      <c r="C49">
        <v>55983584</v>
      </c>
      <c r="D49">
        <v>55459339</v>
      </c>
      <c r="E49">
        <v>1</v>
      </c>
      <c r="F49">
        <v>1</v>
      </c>
      <c r="G49">
        <v>1081</v>
      </c>
      <c r="H49">
        <v>3</v>
      </c>
      <c r="I49" t="s">
        <v>316</v>
      </c>
      <c r="J49" t="s">
        <v>317</v>
      </c>
      <c r="K49" t="s">
        <v>318</v>
      </c>
      <c r="L49">
        <v>1354</v>
      </c>
      <c r="N49">
        <v>1010</v>
      </c>
      <c r="O49" t="s">
        <v>156</v>
      </c>
      <c r="P49" t="s">
        <v>156</v>
      </c>
      <c r="Q49">
        <v>1</v>
      </c>
      <c r="W49">
        <v>0</v>
      </c>
      <c r="X49">
        <v>1424298623</v>
      </c>
      <c r="Y49">
        <f t="shared" si="8"/>
        <v>0</v>
      </c>
      <c r="AA49">
        <v>3.86</v>
      </c>
      <c r="AB49">
        <v>0</v>
      </c>
      <c r="AC49">
        <v>0</v>
      </c>
      <c r="AD49">
        <v>0</v>
      </c>
      <c r="AE49">
        <v>3.86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218</v>
      </c>
      <c r="AU49" t="s">
        <v>24</v>
      </c>
      <c r="AV49">
        <v>0</v>
      </c>
      <c r="AW49">
        <v>2</v>
      </c>
      <c r="AX49">
        <v>55983602</v>
      </c>
      <c r="AY49">
        <v>1</v>
      </c>
      <c r="AZ49">
        <v>0</v>
      </c>
      <c r="BA49">
        <v>53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ROUND(Y49*Source!I46,9)</f>
        <v>0</v>
      </c>
      <c r="CY49">
        <f t="shared" si="9"/>
        <v>3.86</v>
      </c>
      <c r="CZ49">
        <f t="shared" si="10"/>
        <v>3.86</v>
      </c>
      <c r="DA49">
        <f t="shared" si="11"/>
        <v>1</v>
      </c>
      <c r="DB49">
        <f t="shared" si="12"/>
        <v>0</v>
      </c>
      <c r="DC49">
        <f t="shared" si="13"/>
        <v>0</v>
      </c>
      <c r="DD49" t="s">
        <v>3</v>
      </c>
      <c r="DE49" t="s">
        <v>3</v>
      </c>
      <c r="DF49">
        <f t="shared" si="7"/>
        <v>0</v>
      </c>
      <c r="DG49">
        <f t="shared" si="5"/>
        <v>0</v>
      </c>
      <c r="DH49">
        <f t="shared" si="4"/>
        <v>0</v>
      </c>
      <c r="DI49">
        <f t="shared" si="2"/>
        <v>0</v>
      </c>
      <c r="DJ49">
        <f t="shared" si="14"/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ROW(Source!A46)</f>
        <v>46</v>
      </c>
      <c r="B50">
        <v>55919547</v>
      </c>
      <c r="C50">
        <v>55983584</v>
      </c>
      <c r="D50">
        <v>55460882</v>
      </c>
      <c r="E50">
        <v>1</v>
      </c>
      <c r="F50">
        <v>1</v>
      </c>
      <c r="G50">
        <v>1081</v>
      </c>
      <c r="H50">
        <v>3</v>
      </c>
      <c r="I50" t="s">
        <v>319</v>
      </c>
      <c r="J50" t="s">
        <v>320</v>
      </c>
      <c r="K50" t="s">
        <v>321</v>
      </c>
      <c r="L50">
        <v>1348</v>
      </c>
      <c r="N50">
        <v>1009</v>
      </c>
      <c r="O50" t="s">
        <v>284</v>
      </c>
      <c r="P50" t="s">
        <v>284</v>
      </c>
      <c r="Q50">
        <v>1000</v>
      </c>
      <c r="W50">
        <v>0</v>
      </c>
      <c r="X50">
        <v>-1448166212</v>
      </c>
      <c r="Y50">
        <f t="shared" si="8"/>
        <v>0</v>
      </c>
      <c r="AA50">
        <v>14327.51</v>
      </c>
      <c r="AB50">
        <v>0</v>
      </c>
      <c r="AC50">
        <v>0</v>
      </c>
      <c r="AD50">
        <v>0</v>
      </c>
      <c r="AE50">
        <v>14327.51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2.1800000000000001E-3</v>
      </c>
      <c r="AU50" t="s">
        <v>24</v>
      </c>
      <c r="AV50">
        <v>0</v>
      </c>
      <c r="AW50">
        <v>2</v>
      </c>
      <c r="AX50">
        <v>55983603</v>
      </c>
      <c r="AY50">
        <v>1</v>
      </c>
      <c r="AZ50">
        <v>0</v>
      </c>
      <c r="BA50">
        <v>54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ROUND(Y50*Source!I46,9)</f>
        <v>0</v>
      </c>
      <c r="CY50">
        <f t="shared" si="9"/>
        <v>14327.51</v>
      </c>
      <c r="CZ50">
        <f t="shared" si="10"/>
        <v>14327.51</v>
      </c>
      <c r="DA50">
        <f t="shared" si="11"/>
        <v>1</v>
      </c>
      <c r="DB50">
        <f t="shared" si="12"/>
        <v>0</v>
      </c>
      <c r="DC50">
        <f t="shared" si="13"/>
        <v>0</v>
      </c>
      <c r="DD50" t="s">
        <v>3</v>
      </c>
      <c r="DE50" t="s">
        <v>3</v>
      </c>
      <c r="DF50">
        <f t="shared" si="7"/>
        <v>0</v>
      </c>
      <c r="DG50">
        <f t="shared" si="5"/>
        <v>0</v>
      </c>
      <c r="DH50">
        <f t="shared" si="4"/>
        <v>0</v>
      </c>
      <c r="DI50">
        <f t="shared" si="2"/>
        <v>0</v>
      </c>
      <c r="DJ50">
        <f t="shared" si="14"/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ROW(Source!A46)</f>
        <v>46</v>
      </c>
      <c r="B51">
        <v>55919547</v>
      </c>
      <c r="C51">
        <v>55983584</v>
      </c>
      <c r="D51">
        <v>55459815</v>
      </c>
      <c r="E51">
        <v>1</v>
      </c>
      <c r="F51">
        <v>1</v>
      </c>
      <c r="G51">
        <v>1081</v>
      </c>
      <c r="H51">
        <v>3</v>
      </c>
      <c r="I51" t="s">
        <v>322</v>
      </c>
      <c r="J51" t="s">
        <v>323</v>
      </c>
      <c r="K51" t="s">
        <v>324</v>
      </c>
      <c r="L51">
        <v>1348</v>
      </c>
      <c r="N51">
        <v>1009</v>
      </c>
      <c r="O51" t="s">
        <v>284</v>
      </c>
      <c r="P51" t="s">
        <v>284</v>
      </c>
      <c r="Q51">
        <v>1000</v>
      </c>
      <c r="W51">
        <v>0</v>
      </c>
      <c r="X51">
        <v>-557692701</v>
      </c>
      <c r="Y51">
        <f t="shared" si="8"/>
        <v>0</v>
      </c>
      <c r="AA51">
        <v>7973.67</v>
      </c>
      <c r="AB51">
        <v>0</v>
      </c>
      <c r="AC51">
        <v>0</v>
      </c>
      <c r="AD51">
        <v>0</v>
      </c>
      <c r="AE51">
        <v>7973.67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3.0000000000000001E-3</v>
      </c>
      <c r="AU51" t="s">
        <v>24</v>
      </c>
      <c r="AV51">
        <v>0</v>
      </c>
      <c r="AW51">
        <v>2</v>
      </c>
      <c r="AX51">
        <v>55983604</v>
      </c>
      <c r="AY51">
        <v>1</v>
      </c>
      <c r="AZ51">
        <v>0</v>
      </c>
      <c r="BA51">
        <v>55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ROUND(Y51*Source!I46,9)</f>
        <v>0</v>
      </c>
      <c r="CY51">
        <f t="shared" si="9"/>
        <v>7973.67</v>
      </c>
      <c r="CZ51">
        <f t="shared" si="10"/>
        <v>7973.67</v>
      </c>
      <c r="DA51">
        <f t="shared" si="11"/>
        <v>1</v>
      </c>
      <c r="DB51">
        <f t="shared" si="12"/>
        <v>0</v>
      </c>
      <c r="DC51">
        <f t="shared" si="13"/>
        <v>0</v>
      </c>
      <c r="DD51" t="s">
        <v>3</v>
      </c>
      <c r="DE51" t="s">
        <v>3</v>
      </c>
      <c r="DF51">
        <f t="shared" si="7"/>
        <v>0</v>
      </c>
      <c r="DG51">
        <f t="shared" si="5"/>
        <v>0</v>
      </c>
      <c r="DH51">
        <f t="shared" si="4"/>
        <v>0</v>
      </c>
      <c r="DI51">
        <f t="shared" si="2"/>
        <v>0</v>
      </c>
      <c r="DJ51">
        <f t="shared" si="14"/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ROW(Source!A46)</f>
        <v>46</v>
      </c>
      <c r="B52">
        <v>55919547</v>
      </c>
      <c r="C52">
        <v>55983584</v>
      </c>
      <c r="D52">
        <v>55482617</v>
      </c>
      <c r="E52">
        <v>1</v>
      </c>
      <c r="F52">
        <v>1</v>
      </c>
      <c r="G52">
        <v>1081</v>
      </c>
      <c r="H52">
        <v>3</v>
      </c>
      <c r="I52" t="s">
        <v>325</v>
      </c>
      <c r="J52" t="s">
        <v>326</v>
      </c>
      <c r="K52" t="s">
        <v>327</v>
      </c>
      <c r="L52">
        <v>1354</v>
      </c>
      <c r="N52">
        <v>1010</v>
      </c>
      <c r="O52" t="s">
        <v>156</v>
      </c>
      <c r="P52" t="s">
        <v>156</v>
      </c>
      <c r="Q52">
        <v>1</v>
      </c>
      <c r="W52">
        <v>0</v>
      </c>
      <c r="X52">
        <v>-1189947653</v>
      </c>
      <c r="Y52">
        <f t="shared" si="8"/>
        <v>0</v>
      </c>
      <c r="AA52">
        <v>14.99</v>
      </c>
      <c r="AB52">
        <v>0</v>
      </c>
      <c r="AC52">
        <v>0</v>
      </c>
      <c r="AD52">
        <v>0</v>
      </c>
      <c r="AE52">
        <v>14.99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5</v>
      </c>
      <c r="AU52" t="s">
        <v>24</v>
      </c>
      <c r="AV52">
        <v>0</v>
      </c>
      <c r="AW52">
        <v>2</v>
      </c>
      <c r="AX52">
        <v>55983605</v>
      </c>
      <c r="AY52">
        <v>1</v>
      </c>
      <c r="AZ52">
        <v>0</v>
      </c>
      <c r="BA52">
        <v>56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ROUND(Y52*Source!I46,9)</f>
        <v>0</v>
      </c>
      <c r="CY52">
        <f t="shared" si="9"/>
        <v>14.99</v>
      </c>
      <c r="CZ52">
        <f t="shared" si="10"/>
        <v>14.99</v>
      </c>
      <c r="DA52">
        <f t="shared" si="11"/>
        <v>1</v>
      </c>
      <c r="DB52">
        <f t="shared" si="12"/>
        <v>0</v>
      </c>
      <c r="DC52">
        <f t="shared" si="13"/>
        <v>0</v>
      </c>
      <c r="DD52" t="s">
        <v>3</v>
      </c>
      <c r="DE52" t="s">
        <v>3</v>
      </c>
      <c r="DF52">
        <f t="shared" si="7"/>
        <v>0</v>
      </c>
      <c r="DG52">
        <f t="shared" si="5"/>
        <v>0</v>
      </c>
      <c r="DH52">
        <f t="shared" si="4"/>
        <v>0</v>
      </c>
      <c r="DI52">
        <f t="shared" si="2"/>
        <v>0</v>
      </c>
      <c r="DJ52">
        <f t="shared" si="14"/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ROW(Source!A46)</f>
        <v>46</v>
      </c>
      <c r="B53">
        <v>55919547</v>
      </c>
      <c r="C53">
        <v>55983584</v>
      </c>
      <c r="D53">
        <v>55481933</v>
      </c>
      <c r="E53">
        <v>1</v>
      </c>
      <c r="F53">
        <v>1</v>
      </c>
      <c r="G53">
        <v>1081</v>
      </c>
      <c r="H53">
        <v>3</v>
      </c>
      <c r="I53" t="s">
        <v>328</v>
      </c>
      <c r="J53" t="s">
        <v>329</v>
      </c>
      <c r="K53" t="s">
        <v>330</v>
      </c>
      <c r="L53">
        <v>1356</v>
      </c>
      <c r="N53">
        <v>1010</v>
      </c>
      <c r="O53" t="s">
        <v>331</v>
      </c>
      <c r="P53" t="s">
        <v>331</v>
      </c>
      <c r="Q53">
        <v>1000</v>
      </c>
      <c r="W53">
        <v>0</v>
      </c>
      <c r="X53">
        <v>-2144806629</v>
      </c>
      <c r="Y53">
        <f t="shared" si="8"/>
        <v>0</v>
      </c>
      <c r="AA53">
        <v>1639.86</v>
      </c>
      <c r="AB53">
        <v>0</v>
      </c>
      <c r="AC53">
        <v>0</v>
      </c>
      <c r="AD53">
        <v>0</v>
      </c>
      <c r="AE53">
        <v>1639.86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0.25</v>
      </c>
      <c r="AU53" t="s">
        <v>24</v>
      </c>
      <c r="AV53">
        <v>0</v>
      </c>
      <c r="AW53">
        <v>2</v>
      </c>
      <c r="AX53">
        <v>55983606</v>
      </c>
      <c r="AY53">
        <v>1</v>
      </c>
      <c r="AZ53">
        <v>0</v>
      </c>
      <c r="BA53">
        <v>57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ROUND(Y53*Source!I46,9)</f>
        <v>0</v>
      </c>
      <c r="CY53">
        <f t="shared" si="9"/>
        <v>1639.86</v>
      </c>
      <c r="CZ53">
        <f t="shared" si="10"/>
        <v>1639.86</v>
      </c>
      <c r="DA53">
        <f t="shared" si="11"/>
        <v>1</v>
      </c>
      <c r="DB53">
        <f t="shared" si="12"/>
        <v>0</v>
      </c>
      <c r="DC53">
        <f t="shared" si="13"/>
        <v>0</v>
      </c>
      <c r="DD53" t="s">
        <v>3</v>
      </c>
      <c r="DE53" t="s">
        <v>3</v>
      </c>
      <c r="DF53">
        <f t="shared" si="7"/>
        <v>0</v>
      </c>
      <c r="DG53">
        <f t="shared" si="5"/>
        <v>0</v>
      </c>
      <c r="DH53">
        <f t="shared" si="4"/>
        <v>0</v>
      </c>
      <c r="DI53">
        <f t="shared" si="2"/>
        <v>0</v>
      </c>
      <c r="DJ53">
        <f t="shared" si="14"/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ROW(Source!A47)</f>
        <v>47</v>
      </c>
      <c r="B54">
        <v>55919549</v>
      </c>
      <c r="C54">
        <v>55983584</v>
      </c>
      <c r="D54">
        <v>55424304</v>
      </c>
      <c r="E54">
        <v>1081</v>
      </c>
      <c r="F54">
        <v>1</v>
      </c>
      <c r="G54">
        <v>1081</v>
      </c>
      <c r="H54">
        <v>1</v>
      </c>
      <c r="I54" t="s">
        <v>278</v>
      </c>
      <c r="J54" t="s">
        <v>3</v>
      </c>
      <c r="K54" t="s">
        <v>279</v>
      </c>
      <c r="L54">
        <v>1191</v>
      </c>
      <c r="N54">
        <v>1013</v>
      </c>
      <c r="O54" t="s">
        <v>280</v>
      </c>
      <c r="P54" t="s">
        <v>280</v>
      </c>
      <c r="Q54">
        <v>1</v>
      </c>
      <c r="W54">
        <v>0</v>
      </c>
      <c r="X54">
        <v>476480486</v>
      </c>
      <c r="Y54">
        <f>((AT54*1.2)*0.3)</f>
        <v>10.763999999999998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5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29.9</v>
      </c>
      <c r="AU54" t="s">
        <v>25</v>
      </c>
      <c r="AV54">
        <v>1</v>
      </c>
      <c r="AW54">
        <v>2</v>
      </c>
      <c r="AX54">
        <v>55983596</v>
      </c>
      <c r="AY54">
        <v>1</v>
      </c>
      <c r="AZ54">
        <v>0</v>
      </c>
      <c r="BA54">
        <v>63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U54">
        <f>ROUND(AT54*Source!I47*AH54*AL54,2)</f>
        <v>0</v>
      </c>
      <c r="CV54">
        <f>ROUND(Y54*Source!I47,9)</f>
        <v>1.0764</v>
      </c>
      <c r="CW54">
        <v>0</v>
      </c>
      <c r="CX54">
        <f>ROUND(Y54*Source!I47,9)</f>
        <v>1.0764</v>
      </c>
      <c r="CY54">
        <f>AD54</f>
        <v>0</v>
      </c>
      <c r="CZ54">
        <f>AH54</f>
        <v>0</v>
      </c>
      <c r="DA54">
        <f>AL54</f>
        <v>1</v>
      </c>
      <c r="DB54">
        <f>ROUND(((ROUND(AT54*CZ54,2)*1.2)*0.3),6)</f>
        <v>0</v>
      </c>
      <c r="DC54">
        <f>ROUND(((ROUND(AT54*AG54,2)*1.2)*0.3),6)</f>
        <v>0</v>
      </c>
      <c r="DD54" t="s">
        <v>3</v>
      </c>
      <c r="DE54" t="s">
        <v>3</v>
      </c>
      <c r="DF54">
        <f t="shared" si="7"/>
        <v>0</v>
      </c>
      <c r="DG54">
        <f t="shared" si="5"/>
        <v>0</v>
      </c>
      <c r="DH54">
        <f t="shared" si="4"/>
        <v>0</v>
      </c>
      <c r="DI54">
        <f t="shared" si="2"/>
        <v>0</v>
      </c>
      <c r="DJ54">
        <f>DI54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ROW(Source!A47)</f>
        <v>47</v>
      </c>
      <c r="B55">
        <v>55919549</v>
      </c>
      <c r="C55">
        <v>55983584</v>
      </c>
      <c r="D55">
        <v>55489910</v>
      </c>
      <c r="E55">
        <v>1</v>
      </c>
      <c r="F55">
        <v>1</v>
      </c>
      <c r="G55">
        <v>1081</v>
      </c>
      <c r="H55">
        <v>2</v>
      </c>
      <c r="I55" t="s">
        <v>293</v>
      </c>
      <c r="J55" t="s">
        <v>294</v>
      </c>
      <c r="K55" t="s">
        <v>295</v>
      </c>
      <c r="L55">
        <v>1368</v>
      </c>
      <c r="N55">
        <v>1011</v>
      </c>
      <c r="O55" t="s">
        <v>291</v>
      </c>
      <c r="P55" t="s">
        <v>291</v>
      </c>
      <c r="Q55">
        <v>1</v>
      </c>
      <c r="W55">
        <v>0</v>
      </c>
      <c r="X55">
        <v>1498588441</v>
      </c>
      <c r="Y55">
        <f>((AT55*1.2)*0.3)</f>
        <v>5.5439999999999996</v>
      </c>
      <c r="AA55">
        <v>0</v>
      </c>
      <c r="AB55">
        <v>100.2</v>
      </c>
      <c r="AC55">
        <v>0</v>
      </c>
      <c r="AD55">
        <v>0</v>
      </c>
      <c r="AE55">
        <v>0</v>
      </c>
      <c r="AF55">
        <v>7.11</v>
      </c>
      <c r="AG55">
        <v>0</v>
      </c>
      <c r="AH55">
        <v>0</v>
      </c>
      <c r="AI55">
        <v>1</v>
      </c>
      <c r="AJ55">
        <v>13.46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15.4</v>
      </c>
      <c r="AU55" t="s">
        <v>25</v>
      </c>
      <c r="AV55">
        <v>0</v>
      </c>
      <c r="AW55">
        <v>2</v>
      </c>
      <c r="AX55">
        <v>55983597</v>
      </c>
      <c r="AY55">
        <v>1</v>
      </c>
      <c r="AZ55">
        <v>0</v>
      </c>
      <c r="BA55">
        <v>64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f>ROUND(Y55*Source!I47*DO55,9)</f>
        <v>0</v>
      </c>
      <c r="CX55">
        <f>ROUND(Y55*Source!I47,9)</f>
        <v>0.5544</v>
      </c>
      <c r="CY55">
        <f>AB55</f>
        <v>100.2</v>
      </c>
      <c r="CZ55">
        <f>AF55</f>
        <v>7.11</v>
      </c>
      <c r="DA55">
        <f>AJ55</f>
        <v>13.46</v>
      </c>
      <c r="DB55">
        <f>ROUND(((ROUND(AT55*CZ55,2)*1.2)*0.3),6)</f>
        <v>39.416400000000003</v>
      </c>
      <c r="DC55">
        <f>ROUND(((ROUND(AT55*AG55,2)*1.2)*0.3),6)</f>
        <v>0</v>
      </c>
      <c r="DD55" t="s">
        <v>3</v>
      </c>
      <c r="DE55" t="s">
        <v>3</v>
      </c>
      <c r="DF55">
        <f t="shared" si="7"/>
        <v>0</v>
      </c>
      <c r="DG55">
        <f>ROUND(ROUND(AF55*AJ55,2)*CX55,2)</f>
        <v>53.06</v>
      </c>
      <c r="DH55">
        <f t="shared" si="4"/>
        <v>0</v>
      </c>
      <c r="DI55">
        <f t="shared" si="2"/>
        <v>0</v>
      </c>
      <c r="DJ55">
        <f>DG55</f>
        <v>53.06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ROW(Source!A47)</f>
        <v>47</v>
      </c>
      <c r="B56">
        <v>55919549</v>
      </c>
      <c r="C56">
        <v>55983584</v>
      </c>
      <c r="D56">
        <v>55490209</v>
      </c>
      <c r="E56">
        <v>1</v>
      </c>
      <c r="F56">
        <v>1</v>
      </c>
      <c r="G56">
        <v>1081</v>
      </c>
      <c r="H56">
        <v>2</v>
      </c>
      <c r="I56" t="s">
        <v>296</v>
      </c>
      <c r="J56" t="s">
        <v>297</v>
      </c>
      <c r="K56" t="s">
        <v>298</v>
      </c>
      <c r="L56">
        <v>1368</v>
      </c>
      <c r="N56">
        <v>1011</v>
      </c>
      <c r="O56" t="s">
        <v>291</v>
      </c>
      <c r="P56" t="s">
        <v>291</v>
      </c>
      <c r="Q56">
        <v>1</v>
      </c>
      <c r="W56">
        <v>0</v>
      </c>
      <c r="X56">
        <v>874612079</v>
      </c>
      <c r="Y56">
        <f>((AT56*1.2)*0.3)</f>
        <v>7.1999999999999995E-2</v>
      </c>
      <c r="AA56">
        <v>0</v>
      </c>
      <c r="AB56">
        <v>1485.19</v>
      </c>
      <c r="AC56">
        <v>744.56</v>
      </c>
      <c r="AD56">
        <v>0</v>
      </c>
      <c r="AE56">
        <v>0</v>
      </c>
      <c r="AF56">
        <v>83.1</v>
      </c>
      <c r="AG56">
        <v>12.62</v>
      </c>
      <c r="AH56">
        <v>0</v>
      </c>
      <c r="AI56">
        <v>1</v>
      </c>
      <c r="AJ56">
        <v>17.07</v>
      </c>
      <c r="AK56">
        <v>56.35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0.2</v>
      </c>
      <c r="AU56" t="s">
        <v>25</v>
      </c>
      <c r="AV56">
        <v>0</v>
      </c>
      <c r="AW56">
        <v>2</v>
      </c>
      <c r="AX56">
        <v>55983598</v>
      </c>
      <c r="AY56">
        <v>1</v>
      </c>
      <c r="AZ56">
        <v>0</v>
      </c>
      <c r="BA56">
        <v>65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f>ROUND(Y56*Source!I47*DO56,9)</f>
        <v>9.0864E-2</v>
      </c>
      <c r="CX56">
        <f>ROUND(Y56*Source!I47,9)</f>
        <v>7.1999999999999998E-3</v>
      </c>
      <c r="CY56">
        <f>AB56</f>
        <v>1485.19</v>
      </c>
      <c r="CZ56">
        <f>AF56</f>
        <v>83.1</v>
      </c>
      <c r="DA56">
        <f>AJ56</f>
        <v>17.07</v>
      </c>
      <c r="DB56">
        <f>ROUND(((ROUND(AT56*CZ56,2)*1.2)*0.3),6)</f>
        <v>5.9832000000000001</v>
      </c>
      <c r="DC56">
        <f>ROUND(((ROUND(AT56*AG56,2)*1.2)*0.3),6)</f>
        <v>0.90720000000000001</v>
      </c>
      <c r="DD56" t="s">
        <v>3</v>
      </c>
      <c r="DE56" t="s">
        <v>3</v>
      </c>
      <c r="DF56">
        <f t="shared" si="7"/>
        <v>0</v>
      </c>
      <c r="DG56">
        <f>ROUND(ROUND(AF56*AJ56,2)*CX56,2)</f>
        <v>10.210000000000001</v>
      </c>
      <c r="DH56">
        <f>ROUND(ROUND(AG56*AK56,2)*CX56,2)</f>
        <v>5.12</v>
      </c>
      <c r="DI56">
        <f t="shared" si="2"/>
        <v>0</v>
      </c>
      <c r="DJ56">
        <f>DG56</f>
        <v>10.210000000000001</v>
      </c>
      <c r="DK56">
        <v>0</v>
      </c>
      <c r="DL56" t="s">
        <v>292</v>
      </c>
      <c r="DM56">
        <v>0</v>
      </c>
      <c r="DN56" t="s">
        <v>280</v>
      </c>
      <c r="DO56">
        <v>12.62</v>
      </c>
    </row>
    <row r="57" spans="1:119" x14ac:dyDescent="0.2">
      <c r="A57">
        <f>ROW(Source!A47)</f>
        <v>47</v>
      </c>
      <c r="B57">
        <v>55919549</v>
      </c>
      <c r="C57">
        <v>55983584</v>
      </c>
      <c r="D57">
        <v>55490263</v>
      </c>
      <c r="E57">
        <v>1</v>
      </c>
      <c r="F57">
        <v>1</v>
      </c>
      <c r="G57">
        <v>1081</v>
      </c>
      <c r="H57">
        <v>2</v>
      </c>
      <c r="I57" t="s">
        <v>310</v>
      </c>
      <c r="J57" t="s">
        <v>311</v>
      </c>
      <c r="K57" t="s">
        <v>312</v>
      </c>
      <c r="L57">
        <v>1368</v>
      </c>
      <c r="N57">
        <v>1011</v>
      </c>
      <c r="O57" t="s">
        <v>291</v>
      </c>
      <c r="P57" t="s">
        <v>291</v>
      </c>
      <c r="Q57">
        <v>1</v>
      </c>
      <c r="W57">
        <v>0</v>
      </c>
      <c r="X57">
        <v>-1895752648</v>
      </c>
      <c r="Y57">
        <f>((AT57*1.2)*0.3)</f>
        <v>1.3788</v>
      </c>
      <c r="AA57">
        <v>0</v>
      </c>
      <c r="AB57">
        <v>7.71</v>
      </c>
      <c r="AC57">
        <v>0</v>
      </c>
      <c r="AD57">
        <v>0</v>
      </c>
      <c r="AE57">
        <v>0</v>
      </c>
      <c r="AF57">
        <v>0.77</v>
      </c>
      <c r="AG57">
        <v>0</v>
      </c>
      <c r="AH57">
        <v>0</v>
      </c>
      <c r="AI57">
        <v>1</v>
      </c>
      <c r="AJ57">
        <v>9.56</v>
      </c>
      <c r="AK57">
        <v>1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3.83</v>
      </c>
      <c r="AU57" t="s">
        <v>25</v>
      </c>
      <c r="AV57">
        <v>0</v>
      </c>
      <c r="AW57">
        <v>2</v>
      </c>
      <c r="AX57">
        <v>55983599</v>
      </c>
      <c r="AY57">
        <v>1</v>
      </c>
      <c r="AZ57">
        <v>0</v>
      </c>
      <c r="BA57">
        <v>66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f>ROUND(Y57*Source!I47*DO57,9)</f>
        <v>0</v>
      </c>
      <c r="CX57">
        <f>ROUND(Y57*Source!I47,9)</f>
        <v>0.13788</v>
      </c>
      <c r="CY57">
        <f>AB57</f>
        <v>7.71</v>
      </c>
      <c r="CZ57">
        <f>AF57</f>
        <v>0.77</v>
      </c>
      <c r="DA57">
        <f>AJ57</f>
        <v>9.56</v>
      </c>
      <c r="DB57">
        <f>ROUND(((ROUND(AT57*CZ57,2)*1.2)*0.3),6)</f>
        <v>1.0620000000000001</v>
      </c>
      <c r="DC57">
        <f>ROUND(((ROUND(AT57*AG57,2)*1.2)*0.3),6)</f>
        <v>0</v>
      </c>
      <c r="DD57" t="s">
        <v>3</v>
      </c>
      <c r="DE57" t="s">
        <v>3</v>
      </c>
      <c r="DF57">
        <f t="shared" si="7"/>
        <v>0</v>
      </c>
      <c r="DG57">
        <f>ROUND(ROUND(AF57*AJ57,2)*CX57,2)</f>
        <v>1.01</v>
      </c>
      <c r="DH57">
        <f t="shared" ref="DH57:DH82" si="15">ROUND(ROUND(AG57,2)*CX57,2)</f>
        <v>0</v>
      </c>
      <c r="DI57">
        <f t="shared" si="2"/>
        <v>0</v>
      </c>
      <c r="DJ57">
        <f>DG57</f>
        <v>1.01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ROW(Source!A47)</f>
        <v>47</v>
      </c>
      <c r="B58">
        <v>55919549</v>
      </c>
      <c r="C58">
        <v>55983584</v>
      </c>
      <c r="D58">
        <v>55459907</v>
      </c>
      <c r="E58">
        <v>1</v>
      </c>
      <c r="F58">
        <v>1</v>
      </c>
      <c r="G58">
        <v>1081</v>
      </c>
      <c r="H58">
        <v>3</v>
      </c>
      <c r="I58" t="s">
        <v>313</v>
      </c>
      <c r="J58" t="s">
        <v>314</v>
      </c>
      <c r="K58" t="s">
        <v>315</v>
      </c>
      <c r="L58">
        <v>1348</v>
      </c>
      <c r="N58">
        <v>1009</v>
      </c>
      <c r="O58" t="s">
        <v>284</v>
      </c>
      <c r="P58" t="s">
        <v>284</v>
      </c>
      <c r="Q58">
        <v>1000</v>
      </c>
      <c r="W58">
        <v>0</v>
      </c>
      <c r="X58">
        <v>-921548447</v>
      </c>
      <c r="Y58">
        <f t="shared" ref="Y58:Y64" si="16">((AT58*1)*0)</f>
        <v>0</v>
      </c>
      <c r="AA58">
        <v>60649.440000000002</v>
      </c>
      <c r="AB58">
        <v>0</v>
      </c>
      <c r="AC58">
        <v>0</v>
      </c>
      <c r="AD58">
        <v>0</v>
      </c>
      <c r="AE58">
        <v>7246.05</v>
      </c>
      <c r="AF58">
        <v>0</v>
      </c>
      <c r="AG58">
        <v>0</v>
      </c>
      <c r="AH58">
        <v>0</v>
      </c>
      <c r="AI58">
        <v>8.3699999999999992</v>
      </c>
      <c r="AJ58">
        <v>1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5.1499999999999997E-2</v>
      </c>
      <c r="AU58" t="s">
        <v>24</v>
      </c>
      <c r="AV58">
        <v>0</v>
      </c>
      <c r="AW58">
        <v>2</v>
      </c>
      <c r="AX58">
        <v>55983600</v>
      </c>
      <c r="AY58">
        <v>1</v>
      </c>
      <c r="AZ58">
        <v>0</v>
      </c>
      <c r="BA58">
        <v>67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ROUND(Y58*Source!I47,9)</f>
        <v>0</v>
      </c>
      <c r="CY58">
        <f t="shared" ref="CY58:CY64" si="17">AA58</f>
        <v>60649.440000000002</v>
      </c>
      <c r="CZ58">
        <f t="shared" ref="CZ58:CZ64" si="18">AE58</f>
        <v>7246.05</v>
      </c>
      <c r="DA58">
        <f t="shared" ref="DA58:DA64" si="19">AI58</f>
        <v>8.3699999999999992</v>
      </c>
      <c r="DB58">
        <f t="shared" ref="DB58:DB64" si="20">ROUND(((ROUND(AT58*CZ58,2)*1)*0),6)</f>
        <v>0</v>
      </c>
      <c r="DC58">
        <f t="shared" ref="DC58:DC64" si="21">ROUND(((ROUND(AT58*AG58,2)*1)*0),6)</f>
        <v>0</v>
      </c>
      <c r="DD58" t="s">
        <v>3</v>
      </c>
      <c r="DE58" t="s">
        <v>3</v>
      </c>
      <c r="DF58">
        <f t="shared" ref="DF58:DF64" si="22">ROUND(ROUND(AE58*AI58,2)*CX58,2)</f>
        <v>0</v>
      </c>
      <c r="DG58">
        <f t="shared" ref="DG58:DG82" si="23">ROUND(ROUND(AF58,2)*CX58,2)</f>
        <v>0</v>
      </c>
      <c r="DH58">
        <f t="shared" si="15"/>
        <v>0</v>
      </c>
      <c r="DI58">
        <f t="shared" si="2"/>
        <v>0</v>
      </c>
      <c r="DJ58">
        <f t="shared" ref="DJ58:DJ64" si="24">DF58</f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ROW(Source!A47)</f>
        <v>47</v>
      </c>
      <c r="B59">
        <v>55919549</v>
      </c>
      <c r="C59">
        <v>55983584</v>
      </c>
      <c r="D59">
        <v>55460380</v>
      </c>
      <c r="E59">
        <v>1</v>
      </c>
      <c r="F59">
        <v>1</v>
      </c>
      <c r="G59">
        <v>1081</v>
      </c>
      <c r="H59">
        <v>3</v>
      </c>
      <c r="I59" t="s">
        <v>305</v>
      </c>
      <c r="J59" t="s">
        <v>306</v>
      </c>
      <c r="K59" t="s">
        <v>307</v>
      </c>
      <c r="L59">
        <v>1348</v>
      </c>
      <c r="N59">
        <v>1009</v>
      </c>
      <c r="O59" t="s">
        <v>284</v>
      </c>
      <c r="P59" t="s">
        <v>284</v>
      </c>
      <c r="Q59">
        <v>1000</v>
      </c>
      <c r="W59">
        <v>0</v>
      </c>
      <c r="X59">
        <v>277309194</v>
      </c>
      <c r="Y59">
        <f t="shared" si="16"/>
        <v>0</v>
      </c>
      <c r="AA59">
        <v>141233.74</v>
      </c>
      <c r="AB59">
        <v>0</v>
      </c>
      <c r="AC59">
        <v>0</v>
      </c>
      <c r="AD59">
        <v>0</v>
      </c>
      <c r="AE59">
        <v>8590.86</v>
      </c>
      <c r="AF59">
        <v>0</v>
      </c>
      <c r="AG59">
        <v>0</v>
      </c>
      <c r="AH59">
        <v>0</v>
      </c>
      <c r="AI59">
        <v>16.440000000000001</v>
      </c>
      <c r="AJ59">
        <v>1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1.0499999999999999E-3</v>
      </c>
      <c r="AU59" t="s">
        <v>24</v>
      </c>
      <c r="AV59">
        <v>0</v>
      </c>
      <c r="AW59">
        <v>2</v>
      </c>
      <c r="AX59">
        <v>55983601</v>
      </c>
      <c r="AY59">
        <v>1</v>
      </c>
      <c r="AZ59">
        <v>0</v>
      </c>
      <c r="BA59">
        <v>68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ROUND(Y59*Source!I47,9)</f>
        <v>0</v>
      </c>
      <c r="CY59">
        <f t="shared" si="17"/>
        <v>141233.74</v>
      </c>
      <c r="CZ59">
        <f t="shared" si="18"/>
        <v>8590.86</v>
      </c>
      <c r="DA59">
        <f t="shared" si="19"/>
        <v>16.440000000000001</v>
      </c>
      <c r="DB59">
        <f t="shared" si="20"/>
        <v>0</v>
      </c>
      <c r="DC59">
        <f t="shared" si="21"/>
        <v>0</v>
      </c>
      <c r="DD59" t="s">
        <v>3</v>
      </c>
      <c r="DE59" t="s">
        <v>3</v>
      </c>
      <c r="DF59">
        <f t="shared" si="22"/>
        <v>0</v>
      </c>
      <c r="DG59">
        <f t="shared" si="23"/>
        <v>0</v>
      </c>
      <c r="DH59">
        <f t="shared" si="15"/>
        <v>0</v>
      </c>
      <c r="DI59">
        <f t="shared" si="2"/>
        <v>0</v>
      </c>
      <c r="DJ59">
        <f t="shared" si="24"/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ROW(Source!A47)</f>
        <v>47</v>
      </c>
      <c r="B60">
        <v>55919549</v>
      </c>
      <c r="C60">
        <v>55983584</v>
      </c>
      <c r="D60">
        <v>55459339</v>
      </c>
      <c r="E60">
        <v>1</v>
      </c>
      <c r="F60">
        <v>1</v>
      </c>
      <c r="G60">
        <v>1081</v>
      </c>
      <c r="H60">
        <v>3</v>
      </c>
      <c r="I60" t="s">
        <v>316</v>
      </c>
      <c r="J60" t="s">
        <v>317</v>
      </c>
      <c r="K60" t="s">
        <v>318</v>
      </c>
      <c r="L60">
        <v>1354</v>
      </c>
      <c r="N60">
        <v>1010</v>
      </c>
      <c r="O60" t="s">
        <v>156</v>
      </c>
      <c r="P60" t="s">
        <v>156</v>
      </c>
      <c r="Q60">
        <v>1</v>
      </c>
      <c r="W60">
        <v>0</v>
      </c>
      <c r="X60">
        <v>1424298623</v>
      </c>
      <c r="Y60">
        <f t="shared" si="16"/>
        <v>0</v>
      </c>
      <c r="AA60">
        <v>7.57</v>
      </c>
      <c r="AB60">
        <v>0</v>
      </c>
      <c r="AC60">
        <v>0</v>
      </c>
      <c r="AD60">
        <v>0</v>
      </c>
      <c r="AE60">
        <v>3.86</v>
      </c>
      <c r="AF60">
        <v>0</v>
      </c>
      <c r="AG60">
        <v>0</v>
      </c>
      <c r="AH60">
        <v>0</v>
      </c>
      <c r="AI60">
        <v>1.96</v>
      </c>
      <c r="AJ60">
        <v>1</v>
      </c>
      <c r="AK60">
        <v>1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218</v>
      </c>
      <c r="AU60" t="s">
        <v>24</v>
      </c>
      <c r="AV60">
        <v>0</v>
      </c>
      <c r="AW60">
        <v>2</v>
      </c>
      <c r="AX60">
        <v>55983602</v>
      </c>
      <c r="AY60">
        <v>1</v>
      </c>
      <c r="AZ60">
        <v>0</v>
      </c>
      <c r="BA60">
        <v>69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ROUND(Y60*Source!I47,9)</f>
        <v>0</v>
      </c>
      <c r="CY60">
        <f t="shared" si="17"/>
        <v>7.57</v>
      </c>
      <c r="CZ60">
        <f t="shared" si="18"/>
        <v>3.86</v>
      </c>
      <c r="DA60">
        <f t="shared" si="19"/>
        <v>1.96</v>
      </c>
      <c r="DB60">
        <f t="shared" si="20"/>
        <v>0</v>
      </c>
      <c r="DC60">
        <f t="shared" si="21"/>
        <v>0</v>
      </c>
      <c r="DD60" t="s">
        <v>3</v>
      </c>
      <c r="DE60" t="s">
        <v>3</v>
      </c>
      <c r="DF60">
        <f t="shared" si="22"/>
        <v>0</v>
      </c>
      <c r="DG60">
        <f t="shared" si="23"/>
        <v>0</v>
      </c>
      <c r="DH60">
        <f t="shared" si="15"/>
        <v>0</v>
      </c>
      <c r="DI60">
        <f t="shared" si="2"/>
        <v>0</v>
      </c>
      <c r="DJ60">
        <f t="shared" si="24"/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ROW(Source!A47)</f>
        <v>47</v>
      </c>
      <c r="B61">
        <v>55919549</v>
      </c>
      <c r="C61">
        <v>55983584</v>
      </c>
      <c r="D61">
        <v>55460882</v>
      </c>
      <c r="E61">
        <v>1</v>
      </c>
      <c r="F61">
        <v>1</v>
      </c>
      <c r="G61">
        <v>1081</v>
      </c>
      <c r="H61">
        <v>3</v>
      </c>
      <c r="I61" t="s">
        <v>319</v>
      </c>
      <c r="J61" t="s">
        <v>320</v>
      </c>
      <c r="K61" t="s">
        <v>321</v>
      </c>
      <c r="L61">
        <v>1348</v>
      </c>
      <c r="N61">
        <v>1009</v>
      </c>
      <c r="O61" t="s">
        <v>284</v>
      </c>
      <c r="P61" t="s">
        <v>284</v>
      </c>
      <c r="Q61">
        <v>1000</v>
      </c>
      <c r="W61">
        <v>0</v>
      </c>
      <c r="X61">
        <v>-1448166212</v>
      </c>
      <c r="Y61">
        <f t="shared" si="16"/>
        <v>0</v>
      </c>
      <c r="AA61">
        <v>109175.63</v>
      </c>
      <c r="AB61">
        <v>0</v>
      </c>
      <c r="AC61">
        <v>0</v>
      </c>
      <c r="AD61">
        <v>0</v>
      </c>
      <c r="AE61">
        <v>14327.51</v>
      </c>
      <c r="AF61">
        <v>0</v>
      </c>
      <c r="AG61">
        <v>0</v>
      </c>
      <c r="AH61">
        <v>0</v>
      </c>
      <c r="AI61">
        <v>7.62</v>
      </c>
      <c r="AJ61">
        <v>1</v>
      </c>
      <c r="AK61">
        <v>1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2.1800000000000001E-3</v>
      </c>
      <c r="AU61" t="s">
        <v>24</v>
      </c>
      <c r="AV61">
        <v>0</v>
      </c>
      <c r="AW61">
        <v>2</v>
      </c>
      <c r="AX61">
        <v>55983603</v>
      </c>
      <c r="AY61">
        <v>1</v>
      </c>
      <c r="AZ61">
        <v>0</v>
      </c>
      <c r="BA61">
        <v>70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ROUND(Y61*Source!I47,9)</f>
        <v>0</v>
      </c>
      <c r="CY61">
        <f t="shared" si="17"/>
        <v>109175.63</v>
      </c>
      <c r="CZ61">
        <f t="shared" si="18"/>
        <v>14327.51</v>
      </c>
      <c r="DA61">
        <f t="shared" si="19"/>
        <v>7.62</v>
      </c>
      <c r="DB61">
        <f t="shared" si="20"/>
        <v>0</v>
      </c>
      <c r="DC61">
        <f t="shared" si="21"/>
        <v>0</v>
      </c>
      <c r="DD61" t="s">
        <v>3</v>
      </c>
      <c r="DE61" t="s">
        <v>3</v>
      </c>
      <c r="DF61">
        <f t="shared" si="22"/>
        <v>0</v>
      </c>
      <c r="DG61">
        <f t="shared" si="23"/>
        <v>0</v>
      </c>
      <c r="DH61">
        <f t="shared" si="15"/>
        <v>0</v>
      </c>
      <c r="DI61">
        <f t="shared" si="2"/>
        <v>0</v>
      </c>
      <c r="DJ61">
        <f t="shared" si="24"/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ROW(Source!A47)</f>
        <v>47</v>
      </c>
      <c r="B62">
        <v>55919549</v>
      </c>
      <c r="C62">
        <v>55983584</v>
      </c>
      <c r="D62">
        <v>55459815</v>
      </c>
      <c r="E62">
        <v>1</v>
      </c>
      <c r="F62">
        <v>1</v>
      </c>
      <c r="G62">
        <v>1081</v>
      </c>
      <c r="H62">
        <v>3</v>
      </c>
      <c r="I62" t="s">
        <v>322</v>
      </c>
      <c r="J62" t="s">
        <v>323</v>
      </c>
      <c r="K62" t="s">
        <v>324</v>
      </c>
      <c r="L62">
        <v>1348</v>
      </c>
      <c r="N62">
        <v>1009</v>
      </c>
      <c r="O62" t="s">
        <v>284</v>
      </c>
      <c r="P62" t="s">
        <v>284</v>
      </c>
      <c r="Q62">
        <v>1000</v>
      </c>
      <c r="W62">
        <v>0</v>
      </c>
      <c r="X62">
        <v>-557692701</v>
      </c>
      <c r="Y62">
        <f t="shared" si="16"/>
        <v>0</v>
      </c>
      <c r="AA62">
        <v>72799.61</v>
      </c>
      <c r="AB62">
        <v>0</v>
      </c>
      <c r="AC62">
        <v>0</v>
      </c>
      <c r="AD62">
        <v>0</v>
      </c>
      <c r="AE62">
        <v>7973.67</v>
      </c>
      <c r="AF62">
        <v>0</v>
      </c>
      <c r="AG62">
        <v>0</v>
      </c>
      <c r="AH62">
        <v>0</v>
      </c>
      <c r="AI62">
        <v>9.1300000000000008</v>
      </c>
      <c r="AJ62">
        <v>1</v>
      </c>
      <c r="AK62">
        <v>1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3.0000000000000001E-3</v>
      </c>
      <c r="AU62" t="s">
        <v>24</v>
      </c>
      <c r="AV62">
        <v>0</v>
      </c>
      <c r="AW62">
        <v>2</v>
      </c>
      <c r="AX62">
        <v>55983604</v>
      </c>
      <c r="AY62">
        <v>1</v>
      </c>
      <c r="AZ62">
        <v>0</v>
      </c>
      <c r="BA62">
        <v>71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ROUND(Y62*Source!I47,9)</f>
        <v>0</v>
      </c>
      <c r="CY62">
        <f t="shared" si="17"/>
        <v>72799.61</v>
      </c>
      <c r="CZ62">
        <f t="shared" si="18"/>
        <v>7973.67</v>
      </c>
      <c r="DA62">
        <f t="shared" si="19"/>
        <v>9.1300000000000008</v>
      </c>
      <c r="DB62">
        <f t="shared" si="20"/>
        <v>0</v>
      </c>
      <c r="DC62">
        <f t="shared" si="21"/>
        <v>0</v>
      </c>
      <c r="DD62" t="s">
        <v>3</v>
      </c>
      <c r="DE62" t="s">
        <v>3</v>
      </c>
      <c r="DF62">
        <f t="shared" si="22"/>
        <v>0</v>
      </c>
      <c r="DG62">
        <f t="shared" si="23"/>
        <v>0</v>
      </c>
      <c r="DH62">
        <f t="shared" si="15"/>
        <v>0</v>
      </c>
      <c r="DI62">
        <f t="shared" si="2"/>
        <v>0</v>
      </c>
      <c r="DJ62">
        <f t="shared" si="24"/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ROW(Source!A47)</f>
        <v>47</v>
      </c>
      <c r="B63">
        <v>55919549</v>
      </c>
      <c r="C63">
        <v>55983584</v>
      </c>
      <c r="D63">
        <v>55482617</v>
      </c>
      <c r="E63">
        <v>1</v>
      </c>
      <c r="F63">
        <v>1</v>
      </c>
      <c r="G63">
        <v>1081</v>
      </c>
      <c r="H63">
        <v>3</v>
      </c>
      <c r="I63" t="s">
        <v>325</v>
      </c>
      <c r="J63" t="s">
        <v>326</v>
      </c>
      <c r="K63" t="s">
        <v>327</v>
      </c>
      <c r="L63">
        <v>1354</v>
      </c>
      <c r="N63">
        <v>1010</v>
      </c>
      <c r="O63" t="s">
        <v>156</v>
      </c>
      <c r="P63" t="s">
        <v>156</v>
      </c>
      <c r="Q63">
        <v>1</v>
      </c>
      <c r="W63">
        <v>0</v>
      </c>
      <c r="X63">
        <v>-1189947653</v>
      </c>
      <c r="Y63">
        <f t="shared" si="16"/>
        <v>0</v>
      </c>
      <c r="AA63">
        <v>123.97</v>
      </c>
      <c r="AB63">
        <v>0</v>
      </c>
      <c r="AC63">
        <v>0</v>
      </c>
      <c r="AD63">
        <v>0</v>
      </c>
      <c r="AE63">
        <v>14.99</v>
      </c>
      <c r="AF63">
        <v>0</v>
      </c>
      <c r="AG63">
        <v>0</v>
      </c>
      <c r="AH63">
        <v>0</v>
      </c>
      <c r="AI63">
        <v>8.27</v>
      </c>
      <c r="AJ63">
        <v>1</v>
      </c>
      <c r="AK63">
        <v>1</v>
      </c>
      <c r="AL63">
        <v>1</v>
      </c>
      <c r="AM63">
        <v>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5</v>
      </c>
      <c r="AU63" t="s">
        <v>24</v>
      </c>
      <c r="AV63">
        <v>0</v>
      </c>
      <c r="AW63">
        <v>2</v>
      </c>
      <c r="AX63">
        <v>55983605</v>
      </c>
      <c r="AY63">
        <v>1</v>
      </c>
      <c r="AZ63">
        <v>0</v>
      </c>
      <c r="BA63">
        <v>72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ROUND(Y63*Source!I47,9)</f>
        <v>0</v>
      </c>
      <c r="CY63">
        <f t="shared" si="17"/>
        <v>123.97</v>
      </c>
      <c r="CZ63">
        <f t="shared" si="18"/>
        <v>14.99</v>
      </c>
      <c r="DA63">
        <f t="shared" si="19"/>
        <v>8.27</v>
      </c>
      <c r="DB63">
        <f t="shared" si="20"/>
        <v>0</v>
      </c>
      <c r="DC63">
        <f t="shared" si="21"/>
        <v>0</v>
      </c>
      <c r="DD63" t="s">
        <v>3</v>
      </c>
      <c r="DE63" t="s">
        <v>3</v>
      </c>
      <c r="DF63">
        <f t="shared" si="22"/>
        <v>0</v>
      </c>
      <c r="DG63">
        <f t="shared" si="23"/>
        <v>0</v>
      </c>
      <c r="DH63">
        <f t="shared" si="15"/>
        <v>0</v>
      </c>
      <c r="DI63">
        <f t="shared" si="2"/>
        <v>0</v>
      </c>
      <c r="DJ63">
        <f t="shared" si="24"/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ROW(Source!A47)</f>
        <v>47</v>
      </c>
      <c r="B64">
        <v>55919549</v>
      </c>
      <c r="C64">
        <v>55983584</v>
      </c>
      <c r="D64">
        <v>55481933</v>
      </c>
      <c r="E64">
        <v>1</v>
      </c>
      <c r="F64">
        <v>1</v>
      </c>
      <c r="G64">
        <v>1081</v>
      </c>
      <c r="H64">
        <v>3</v>
      </c>
      <c r="I64" t="s">
        <v>328</v>
      </c>
      <c r="J64" t="s">
        <v>329</v>
      </c>
      <c r="K64" t="s">
        <v>330</v>
      </c>
      <c r="L64">
        <v>1356</v>
      </c>
      <c r="N64">
        <v>1010</v>
      </c>
      <c r="O64" t="s">
        <v>331</v>
      </c>
      <c r="P64" t="s">
        <v>331</v>
      </c>
      <c r="Q64">
        <v>1000</v>
      </c>
      <c r="W64">
        <v>0</v>
      </c>
      <c r="X64">
        <v>-2144806629</v>
      </c>
      <c r="Y64">
        <f t="shared" si="16"/>
        <v>0</v>
      </c>
      <c r="AA64">
        <v>4526.01</v>
      </c>
      <c r="AB64">
        <v>0</v>
      </c>
      <c r="AC64">
        <v>0</v>
      </c>
      <c r="AD64">
        <v>0</v>
      </c>
      <c r="AE64">
        <v>1639.86</v>
      </c>
      <c r="AF64">
        <v>0</v>
      </c>
      <c r="AG64">
        <v>0</v>
      </c>
      <c r="AH64">
        <v>0</v>
      </c>
      <c r="AI64">
        <v>2.76</v>
      </c>
      <c r="AJ64">
        <v>1</v>
      </c>
      <c r="AK64">
        <v>1</v>
      </c>
      <c r="AL64">
        <v>1</v>
      </c>
      <c r="AM64">
        <v>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0.25</v>
      </c>
      <c r="AU64" t="s">
        <v>24</v>
      </c>
      <c r="AV64">
        <v>0</v>
      </c>
      <c r="AW64">
        <v>2</v>
      </c>
      <c r="AX64">
        <v>55983606</v>
      </c>
      <c r="AY64">
        <v>1</v>
      </c>
      <c r="AZ64">
        <v>0</v>
      </c>
      <c r="BA64">
        <v>73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ROUND(Y64*Source!I47,9)</f>
        <v>0</v>
      </c>
      <c r="CY64">
        <f t="shared" si="17"/>
        <v>4526.01</v>
      </c>
      <c r="CZ64">
        <f t="shared" si="18"/>
        <v>1639.86</v>
      </c>
      <c r="DA64">
        <f t="shared" si="19"/>
        <v>2.76</v>
      </c>
      <c r="DB64">
        <f t="shared" si="20"/>
        <v>0</v>
      </c>
      <c r="DC64">
        <f t="shared" si="21"/>
        <v>0</v>
      </c>
      <c r="DD64" t="s">
        <v>3</v>
      </c>
      <c r="DE64" t="s">
        <v>3</v>
      </c>
      <c r="DF64">
        <f t="shared" si="22"/>
        <v>0</v>
      </c>
      <c r="DG64">
        <f t="shared" si="23"/>
        <v>0</v>
      </c>
      <c r="DH64">
        <f t="shared" si="15"/>
        <v>0</v>
      </c>
      <c r="DI64">
        <f t="shared" si="2"/>
        <v>0</v>
      </c>
      <c r="DJ64">
        <f t="shared" si="24"/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ROW(Source!A83)</f>
        <v>83</v>
      </c>
      <c r="B65">
        <v>55919547</v>
      </c>
      <c r="C65">
        <v>55919671</v>
      </c>
      <c r="D65">
        <v>55424304</v>
      </c>
      <c r="E65">
        <v>1081</v>
      </c>
      <c r="F65">
        <v>1</v>
      </c>
      <c r="G65">
        <v>1081</v>
      </c>
      <c r="H65">
        <v>1</v>
      </c>
      <c r="I65" t="s">
        <v>278</v>
      </c>
      <c r="J65" t="s">
        <v>3</v>
      </c>
      <c r="K65" t="s">
        <v>279</v>
      </c>
      <c r="L65">
        <v>1191</v>
      </c>
      <c r="N65">
        <v>1013</v>
      </c>
      <c r="O65" t="s">
        <v>280</v>
      </c>
      <c r="P65" t="s">
        <v>280</v>
      </c>
      <c r="Q65">
        <v>1</v>
      </c>
      <c r="W65">
        <v>0</v>
      </c>
      <c r="X65">
        <v>476480486</v>
      </c>
      <c r="Y65">
        <f>(AT65*1.2)</f>
        <v>6.444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5.37</v>
      </c>
      <c r="AU65" t="s">
        <v>57</v>
      </c>
      <c r="AV65">
        <v>1</v>
      </c>
      <c r="AW65">
        <v>2</v>
      </c>
      <c r="AX65">
        <v>55919672</v>
      </c>
      <c r="AY65">
        <v>1</v>
      </c>
      <c r="AZ65">
        <v>0</v>
      </c>
      <c r="BA65">
        <v>79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ROUND(AT65*Source!I83*AH65*AL65,2)</f>
        <v>0</v>
      </c>
      <c r="CV65">
        <f>ROUND(Y65*Source!I83,9)</f>
        <v>6.444</v>
      </c>
      <c r="CW65">
        <v>0</v>
      </c>
      <c r="CX65">
        <f>ROUND(Y65*Source!I83,9)</f>
        <v>6.444</v>
      </c>
      <c r="CY65">
        <f>AD65</f>
        <v>0</v>
      </c>
      <c r="CZ65">
        <f>AH65</f>
        <v>0</v>
      </c>
      <c r="DA65">
        <f>AL65</f>
        <v>1</v>
      </c>
      <c r="DB65">
        <f>ROUND((ROUND(AT65*CZ65,2)*1.2),6)</f>
        <v>0</v>
      </c>
      <c r="DC65">
        <f>ROUND((ROUND(AT65*AG65,2)*1.2),6)</f>
        <v>0</v>
      </c>
      <c r="DD65" t="s">
        <v>3</v>
      </c>
      <c r="DE65" t="s">
        <v>3</v>
      </c>
      <c r="DF65">
        <f>ROUND(ROUND(AE65,2)*CX65,2)</f>
        <v>0</v>
      </c>
      <c r="DG65">
        <f t="shared" si="23"/>
        <v>0</v>
      </c>
      <c r="DH65">
        <f t="shared" si="15"/>
        <v>0</v>
      </c>
      <c r="DI65">
        <f t="shared" ref="DI65:DI128" si="25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ROW(Source!A83)</f>
        <v>83</v>
      </c>
      <c r="B66">
        <v>55919547</v>
      </c>
      <c r="C66">
        <v>55919671</v>
      </c>
      <c r="D66">
        <v>55459873</v>
      </c>
      <c r="E66">
        <v>1</v>
      </c>
      <c r="F66">
        <v>1</v>
      </c>
      <c r="G66">
        <v>1081</v>
      </c>
      <c r="H66">
        <v>3</v>
      </c>
      <c r="I66" t="s">
        <v>281</v>
      </c>
      <c r="J66" t="s">
        <v>282</v>
      </c>
      <c r="K66" t="s">
        <v>283</v>
      </c>
      <c r="L66">
        <v>1348</v>
      </c>
      <c r="N66">
        <v>1009</v>
      </c>
      <c r="O66" t="s">
        <v>284</v>
      </c>
      <c r="P66" t="s">
        <v>284</v>
      </c>
      <c r="Q66">
        <v>1000</v>
      </c>
      <c r="W66">
        <v>0</v>
      </c>
      <c r="X66">
        <v>-1448251497</v>
      </c>
      <c r="Y66">
        <f>(AT66*1)</f>
        <v>2.0000000000000002E-5</v>
      </c>
      <c r="AA66">
        <v>18495.41</v>
      </c>
      <c r="AB66">
        <v>0</v>
      </c>
      <c r="AC66">
        <v>0</v>
      </c>
      <c r="AD66">
        <v>0</v>
      </c>
      <c r="AE66">
        <v>18495.41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-2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2.0000000000000002E-5</v>
      </c>
      <c r="AU66" t="s">
        <v>56</v>
      </c>
      <c r="AV66">
        <v>0</v>
      </c>
      <c r="AW66">
        <v>2</v>
      </c>
      <c r="AX66">
        <v>55919673</v>
      </c>
      <c r="AY66">
        <v>1</v>
      </c>
      <c r="AZ66">
        <v>0</v>
      </c>
      <c r="BA66">
        <v>80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ROUND(Y66*Source!I83,9)</f>
        <v>2.0000000000000002E-5</v>
      </c>
      <c r="CY66">
        <f>AA66</f>
        <v>18495.41</v>
      </c>
      <c r="CZ66">
        <f>AE66</f>
        <v>18495.41</v>
      </c>
      <c r="DA66">
        <f>AI66</f>
        <v>1</v>
      </c>
      <c r="DB66">
        <f>ROUND((ROUND(AT66*CZ66,2)*1),6)</f>
        <v>0.37</v>
      </c>
      <c r="DC66">
        <f>ROUND((ROUND(AT66*AG66,2)*1),6)</f>
        <v>0</v>
      </c>
      <c r="DD66" t="s">
        <v>3</v>
      </c>
      <c r="DE66" t="s">
        <v>3</v>
      </c>
      <c r="DF66">
        <f>ROUND(ROUND(AE66,2)*CX66,2)</f>
        <v>0.37</v>
      </c>
      <c r="DG66">
        <f t="shared" si="23"/>
        <v>0</v>
      </c>
      <c r="DH66">
        <f t="shared" si="15"/>
        <v>0</v>
      </c>
      <c r="DI66">
        <f t="shared" si="25"/>
        <v>0</v>
      </c>
      <c r="DJ66">
        <f>DF66</f>
        <v>0.37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ROW(Source!A84)</f>
        <v>84</v>
      </c>
      <c r="B67">
        <v>55919549</v>
      </c>
      <c r="C67">
        <v>55919671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278</v>
      </c>
      <c r="J67" t="s">
        <v>3</v>
      </c>
      <c r="K67" t="s">
        <v>279</v>
      </c>
      <c r="L67">
        <v>1191</v>
      </c>
      <c r="N67">
        <v>1013</v>
      </c>
      <c r="O67" t="s">
        <v>280</v>
      </c>
      <c r="P67" t="s">
        <v>280</v>
      </c>
      <c r="Q67">
        <v>1</v>
      </c>
      <c r="W67">
        <v>0</v>
      </c>
      <c r="X67">
        <v>476480486</v>
      </c>
      <c r="Y67">
        <f>(AT67*1.2)</f>
        <v>6.444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5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5.37</v>
      </c>
      <c r="AU67" t="s">
        <v>57</v>
      </c>
      <c r="AV67">
        <v>1</v>
      </c>
      <c r="AW67">
        <v>2</v>
      </c>
      <c r="AX67">
        <v>55919672</v>
      </c>
      <c r="AY67">
        <v>1</v>
      </c>
      <c r="AZ67">
        <v>0</v>
      </c>
      <c r="BA67">
        <v>81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ROUND(AT67*Source!I84*AH67*AL67,2)</f>
        <v>0</v>
      </c>
      <c r="CV67">
        <f>ROUND(Y67*Source!I84,9)</f>
        <v>6.444</v>
      </c>
      <c r="CW67">
        <v>0</v>
      </c>
      <c r="CX67">
        <f>ROUND(Y67*Source!I84,9)</f>
        <v>6.444</v>
      </c>
      <c r="CY67">
        <f>AD67</f>
        <v>0</v>
      </c>
      <c r="CZ67">
        <f>AH67</f>
        <v>0</v>
      </c>
      <c r="DA67">
        <f>AL67</f>
        <v>1</v>
      </c>
      <c r="DB67">
        <f>ROUND((ROUND(AT67*CZ67,2)*1.2),6)</f>
        <v>0</v>
      </c>
      <c r="DC67">
        <f>ROUND((ROUND(AT67*AG67,2)*1.2),6)</f>
        <v>0</v>
      </c>
      <c r="DD67" t="s">
        <v>3</v>
      </c>
      <c r="DE67" t="s">
        <v>3</v>
      </c>
      <c r="DF67">
        <f>ROUND(ROUND(AE67,2)*CX67,2)</f>
        <v>0</v>
      </c>
      <c r="DG67">
        <f t="shared" si="23"/>
        <v>0</v>
      </c>
      <c r="DH67">
        <f t="shared" si="15"/>
        <v>0</v>
      </c>
      <c r="DI67">
        <f t="shared" si="25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ROW(Source!A84)</f>
        <v>84</v>
      </c>
      <c r="B68">
        <v>55919549</v>
      </c>
      <c r="C68">
        <v>55919671</v>
      </c>
      <c r="D68">
        <v>55459873</v>
      </c>
      <c r="E68">
        <v>1</v>
      </c>
      <c r="F68">
        <v>1</v>
      </c>
      <c r="G68">
        <v>1081</v>
      </c>
      <c r="H68">
        <v>3</v>
      </c>
      <c r="I68" t="s">
        <v>281</v>
      </c>
      <c r="J68" t="s">
        <v>282</v>
      </c>
      <c r="K68" t="s">
        <v>283</v>
      </c>
      <c r="L68">
        <v>1348</v>
      </c>
      <c r="N68">
        <v>1009</v>
      </c>
      <c r="O68" t="s">
        <v>284</v>
      </c>
      <c r="P68" t="s">
        <v>284</v>
      </c>
      <c r="Q68">
        <v>1000</v>
      </c>
      <c r="W68">
        <v>0</v>
      </c>
      <c r="X68">
        <v>-1448251497</v>
      </c>
      <c r="Y68">
        <f>(AT68*1)</f>
        <v>2.0000000000000002E-5</v>
      </c>
      <c r="AA68">
        <v>101169.89</v>
      </c>
      <c r="AB68">
        <v>0</v>
      </c>
      <c r="AC68">
        <v>0</v>
      </c>
      <c r="AD68">
        <v>0</v>
      </c>
      <c r="AE68">
        <v>18495.41</v>
      </c>
      <c r="AF68">
        <v>0</v>
      </c>
      <c r="AG68">
        <v>0</v>
      </c>
      <c r="AH68">
        <v>0</v>
      </c>
      <c r="AI68">
        <v>5.47</v>
      </c>
      <c r="AJ68">
        <v>1</v>
      </c>
      <c r="AK68">
        <v>1</v>
      </c>
      <c r="AL68">
        <v>1</v>
      </c>
      <c r="AM68">
        <v>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2.0000000000000002E-5</v>
      </c>
      <c r="AU68" t="s">
        <v>56</v>
      </c>
      <c r="AV68">
        <v>0</v>
      </c>
      <c r="AW68">
        <v>2</v>
      </c>
      <c r="AX68">
        <v>55919673</v>
      </c>
      <c r="AY68">
        <v>1</v>
      </c>
      <c r="AZ68">
        <v>0</v>
      </c>
      <c r="BA68">
        <v>82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ROUND(Y68*Source!I84,9)</f>
        <v>2.0000000000000002E-5</v>
      </c>
      <c r="CY68">
        <f>AA68</f>
        <v>101169.89</v>
      </c>
      <c r="CZ68">
        <f>AE68</f>
        <v>18495.41</v>
      </c>
      <c r="DA68">
        <f>AI68</f>
        <v>5.47</v>
      </c>
      <c r="DB68">
        <f>ROUND((ROUND(AT68*CZ68,2)*1),6)</f>
        <v>0.37</v>
      </c>
      <c r="DC68">
        <f>ROUND((ROUND(AT68*AG68,2)*1),6)</f>
        <v>0</v>
      </c>
      <c r="DD68" t="s">
        <v>3</v>
      </c>
      <c r="DE68" t="s">
        <v>3</v>
      </c>
      <c r="DF68">
        <f>ROUND(ROUND(AE68*AI68,2)*CX68,2)</f>
        <v>2.02</v>
      </c>
      <c r="DG68">
        <f t="shared" si="23"/>
        <v>0</v>
      </c>
      <c r="DH68">
        <f t="shared" si="15"/>
        <v>0</v>
      </c>
      <c r="DI68">
        <f t="shared" si="25"/>
        <v>0</v>
      </c>
      <c r="DJ68">
        <f>DF68</f>
        <v>2.02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ROW(Source!A87)</f>
        <v>87</v>
      </c>
      <c r="B69">
        <v>55919547</v>
      </c>
      <c r="C69">
        <v>55919681</v>
      </c>
      <c r="D69">
        <v>55424304</v>
      </c>
      <c r="E69">
        <v>1081</v>
      </c>
      <c r="F69">
        <v>1</v>
      </c>
      <c r="G69">
        <v>1081</v>
      </c>
      <c r="H69">
        <v>1</v>
      </c>
      <c r="I69" t="s">
        <v>278</v>
      </c>
      <c r="J69" t="s">
        <v>3</v>
      </c>
      <c r="K69" t="s">
        <v>279</v>
      </c>
      <c r="L69">
        <v>1191</v>
      </c>
      <c r="N69">
        <v>1013</v>
      </c>
      <c r="O69" t="s">
        <v>280</v>
      </c>
      <c r="P69" t="s">
        <v>280</v>
      </c>
      <c r="Q69">
        <v>1</v>
      </c>
      <c r="W69">
        <v>0</v>
      </c>
      <c r="X69">
        <v>476480486</v>
      </c>
      <c r="Y69">
        <f>(AT69*1.2)</f>
        <v>0.96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0.8</v>
      </c>
      <c r="AU69" t="s">
        <v>57</v>
      </c>
      <c r="AV69">
        <v>1</v>
      </c>
      <c r="AW69">
        <v>2</v>
      </c>
      <c r="AX69">
        <v>55919682</v>
      </c>
      <c r="AY69">
        <v>1</v>
      </c>
      <c r="AZ69">
        <v>0</v>
      </c>
      <c r="BA69">
        <v>83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ROUND(AT69*Source!I87*AH69*AL69,2)</f>
        <v>0</v>
      </c>
      <c r="CV69">
        <f>ROUND(Y69*Source!I87,9)</f>
        <v>0.96</v>
      </c>
      <c r="CW69">
        <v>0</v>
      </c>
      <c r="CX69">
        <f>ROUND(Y69*Source!I87,9)</f>
        <v>0.96</v>
      </c>
      <c r="CY69">
        <f>AD69</f>
        <v>0</v>
      </c>
      <c r="CZ69">
        <f>AH69</f>
        <v>0</v>
      </c>
      <c r="DA69">
        <f>AL69</f>
        <v>1</v>
      </c>
      <c r="DB69">
        <f>ROUND((ROUND(AT69*CZ69,2)*1.2),6)</f>
        <v>0</v>
      </c>
      <c r="DC69">
        <f>ROUND((ROUND(AT69*AG69,2)*1.2),6)</f>
        <v>0</v>
      </c>
      <c r="DD69" t="s">
        <v>3</v>
      </c>
      <c r="DE69" t="s">
        <v>3</v>
      </c>
      <c r="DF69">
        <f>ROUND(ROUND(AE69,2)*CX69,2)</f>
        <v>0</v>
      </c>
      <c r="DG69">
        <f t="shared" si="23"/>
        <v>0</v>
      </c>
      <c r="DH69">
        <f t="shared" si="15"/>
        <v>0</v>
      </c>
      <c r="DI69">
        <f t="shared" si="25"/>
        <v>0</v>
      </c>
      <c r="DJ69">
        <f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ROW(Source!A87)</f>
        <v>87</v>
      </c>
      <c r="B70">
        <v>55919547</v>
      </c>
      <c r="C70">
        <v>55919681</v>
      </c>
      <c r="D70">
        <v>55460239</v>
      </c>
      <c r="E70">
        <v>1</v>
      </c>
      <c r="F70">
        <v>1</v>
      </c>
      <c r="G70">
        <v>1081</v>
      </c>
      <c r="H70">
        <v>3</v>
      </c>
      <c r="I70" t="s">
        <v>285</v>
      </c>
      <c r="J70" t="s">
        <v>286</v>
      </c>
      <c r="K70" t="s">
        <v>287</v>
      </c>
      <c r="L70">
        <v>1348</v>
      </c>
      <c r="N70">
        <v>1009</v>
      </c>
      <c r="O70" t="s">
        <v>284</v>
      </c>
      <c r="P70" t="s">
        <v>284</v>
      </c>
      <c r="Q70">
        <v>1000</v>
      </c>
      <c r="W70">
        <v>0</v>
      </c>
      <c r="X70">
        <v>-1843244094</v>
      </c>
      <c r="Y70">
        <f>(AT70*1)</f>
        <v>2.4000000000000001E-5</v>
      </c>
      <c r="AA70">
        <v>12416.13</v>
      </c>
      <c r="AB70">
        <v>0</v>
      </c>
      <c r="AC70">
        <v>0</v>
      </c>
      <c r="AD70">
        <v>0</v>
      </c>
      <c r="AE70">
        <v>12416.13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2.4000000000000001E-5</v>
      </c>
      <c r="AU70" t="s">
        <v>56</v>
      </c>
      <c r="AV70">
        <v>0</v>
      </c>
      <c r="AW70">
        <v>2</v>
      </c>
      <c r="AX70">
        <v>55919683</v>
      </c>
      <c r="AY70">
        <v>1</v>
      </c>
      <c r="AZ70">
        <v>0</v>
      </c>
      <c r="BA70">
        <v>84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ROUND(Y70*Source!I87,9)</f>
        <v>2.4000000000000001E-5</v>
      </c>
      <c r="CY70">
        <f>AA70</f>
        <v>12416.13</v>
      </c>
      <c r="CZ70">
        <f>AE70</f>
        <v>12416.13</v>
      </c>
      <c r="DA70">
        <f>AI70</f>
        <v>1</v>
      </c>
      <c r="DB70">
        <f>ROUND((ROUND(AT70*CZ70,2)*1),6)</f>
        <v>0.3</v>
      </c>
      <c r="DC70">
        <f>ROUND((ROUND(AT70*AG70,2)*1),6)</f>
        <v>0</v>
      </c>
      <c r="DD70" t="s">
        <v>3</v>
      </c>
      <c r="DE70" t="s">
        <v>3</v>
      </c>
      <c r="DF70">
        <f>ROUND(ROUND(AE70,2)*CX70,2)</f>
        <v>0.3</v>
      </c>
      <c r="DG70">
        <f t="shared" si="23"/>
        <v>0</v>
      </c>
      <c r="DH70">
        <f t="shared" si="15"/>
        <v>0</v>
      </c>
      <c r="DI70">
        <f t="shared" si="25"/>
        <v>0</v>
      </c>
      <c r="DJ70">
        <f>DF70</f>
        <v>0.3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ROW(Source!A88)</f>
        <v>88</v>
      </c>
      <c r="B71">
        <v>55919549</v>
      </c>
      <c r="C71">
        <v>55919681</v>
      </c>
      <c r="D71">
        <v>55424304</v>
      </c>
      <c r="E71">
        <v>1081</v>
      </c>
      <c r="F71">
        <v>1</v>
      </c>
      <c r="G71">
        <v>1081</v>
      </c>
      <c r="H71">
        <v>1</v>
      </c>
      <c r="I71" t="s">
        <v>278</v>
      </c>
      <c r="J71" t="s">
        <v>3</v>
      </c>
      <c r="K71" t="s">
        <v>279</v>
      </c>
      <c r="L71">
        <v>1191</v>
      </c>
      <c r="N71">
        <v>1013</v>
      </c>
      <c r="O71" t="s">
        <v>280</v>
      </c>
      <c r="P71" t="s">
        <v>280</v>
      </c>
      <c r="Q71">
        <v>1</v>
      </c>
      <c r="W71">
        <v>0</v>
      </c>
      <c r="X71">
        <v>476480486</v>
      </c>
      <c r="Y71">
        <f>(AT71*1.2)</f>
        <v>0.96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5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0.8</v>
      </c>
      <c r="AU71" t="s">
        <v>57</v>
      </c>
      <c r="AV71">
        <v>1</v>
      </c>
      <c r="AW71">
        <v>2</v>
      </c>
      <c r="AX71">
        <v>55919682</v>
      </c>
      <c r="AY71">
        <v>1</v>
      </c>
      <c r="AZ71">
        <v>0</v>
      </c>
      <c r="BA71">
        <v>85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U71">
        <f>ROUND(AT71*Source!I88*AH71*AL71,2)</f>
        <v>0</v>
      </c>
      <c r="CV71">
        <f>ROUND(Y71*Source!I88,9)</f>
        <v>0.96</v>
      </c>
      <c r="CW71">
        <v>0</v>
      </c>
      <c r="CX71">
        <f>ROUND(Y71*Source!I88,9)</f>
        <v>0.96</v>
      </c>
      <c r="CY71">
        <f>AD71</f>
        <v>0</v>
      </c>
      <c r="CZ71">
        <f>AH71</f>
        <v>0</v>
      </c>
      <c r="DA71">
        <f>AL71</f>
        <v>1</v>
      </c>
      <c r="DB71">
        <f>ROUND((ROUND(AT71*CZ71,2)*1.2),6)</f>
        <v>0</v>
      </c>
      <c r="DC71">
        <f>ROUND((ROUND(AT71*AG71,2)*1.2),6)</f>
        <v>0</v>
      </c>
      <c r="DD71" t="s">
        <v>3</v>
      </c>
      <c r="DE71" t="s">
        <v>3</v>
      </c>
      <c r="DF71">
        <f>ROUND(ROUND(AE71,2)*CX71,2)</f>
        <v>0</v>
      </c>
      <c r="DG71">
        <f t="shared" si="23"/>
        <v>0</v>
      </c>
      <c r="DH71">
        <f t="shared" si="15"/>
        <v>0</v>
      </c>
      <c r="DI71">
        <f t="shared" si="25"/>
        <v>0</v>
      </c>
      <c r="DJ71">
        <f>DI71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ROW(Source!A88)</f>
        <v>88</v>
      </c>
      <c r="B72">
        <v>55919549</v>
      </c>
      <c r="C72">
        <v>55919681</v>
      </c>
      <c r="D72">
        <v>55460239</v>
      </c>
      <c r="E72">
        <v>1</v>
      </c>
      <c r="F72">
        <v>1</v>
      </c>
      <c r="G72">
        <v>1081</v>
      </c>
      <c r="H72">
        <v>3</v>
      </c>
      <c r="I72" t="s">
        <v>285</v>
      </c>
      <c r="J72" t="s">
        <v>286</v>
      </c>
      <c r="K72" t="s">
        <v>287</v>
      </c>
      <c r="L72">
        <v>1348</v>
      </c>
      <c r="N72">
        <v>1009</v>
      </c>
      <c r="O72" t="s">
        <v>284</v>
      </c>
      <c r="P72" t="s">
        <v>284</v>
      </c>
      <c r="Q72">
        <v>1000</v>
      </c>
      <c r="W72">
        <v>0</v>
      </c>
      <c r="X72">
        <v>-1843244094</v>
      </c>
      <c r="Y72">
        <f>(AT72*1)</f>
        <v>2.4000000000000001E-5</v>
      </c>
      <c r="AA72">
        <v>91879.360000000001</v>
      </c>
      <c r="AB72">
        <v>0</v>
      </c>
      <c r="AC72">
        <v>0</v>
      </c>
      <c r="AD72">
        <v>0</v>
      </c>
      <c r="AE72">
        <v>12416.13</v>
      </c>
      <c r="AF72">
        <v>0</v>
      </c>
      <c r="AG72">
        <v>0</v>
      </c>
      <c r="AH72">
        <v>0</v>
      </c>
      <c r="AI72">
        <v>7.4</v>
      </c>
      <c r="AJ72">
        <v>1</v>
      </c>
      <c r="AK72">
        <v>1</v>
      </c>
      <c r="AL72">
        <v>1</v>
      </c>
      <c r="AM72">
        <v>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2.4000000000000001E-5</v>
      </c>
      <c r="AU72" t="s">
        <v>56</v>
      </c>
      <c r="AV72">
        <v>0</v>
      </c>
      <c r="AW72">
        <v>2</v>
      </c>
      <c r="AX72">
        <v>55919683</v>
      </c>
      <c r="AY72">
        <v>1</v>
      </c>
      <c r="AZ72">
        <v>0</v>
      </c>
      <c r="BA72">
        <v>86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ROUND(Y72*Source!I88,9)</f>
        <v>2.4000000000000001E-5</v>
      </c>
      <c r="CY72">
        <f>AA72</f>
        <v>91879.360000000001</v>
      </c>
      <c r="CZ72">
        <f>AE72</f>
        <v>12416.13</v>
      </c>
      <c r="DA72">
        <f>AI72</f>
        <v>7.4</v>
      </c>
      <c r="DB72">
        <f>ROUND((ROUND(AT72*CZ72,2)*1),6)</f>
        <v>0.3</v>
      </c>
      <c r="DC72">
        <f>ROUND((ROUND(AT72*AG72,2)*1),6)</f>
        <v>0</v>
      </c>
      <c r="DD72" t="s">
        <v>3</v>
      </c>
      <c r="DE72" t="s">
        <v>3</v>
      </c>
      <c r="DF72">
        <f>ROUND(ROUND(AE72*AI72,2)*CX72,2)</f>
        <v>2.21</v>
      </c>
      <c r="DG72">
        <f t="shared" si="23"/>
        <v>0</v>
      </c>
      <c r="DH72">
        <f t="shared" si="15"/>
        <v>0</v>
      </c>
      <c r="DI72">
        <f t="shared" si="25"/>
        <v>0</v>
      </c>
      <c r="DJ72">
        <f>DF72</f>
        <v>2.21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ROW(Source!A91)</f>
        <v>91</v>
      </c>
      <c r="B73">
        <v>55919547</v>
      </c>
      <c r="C73">
        <v>55919910</v>
      </c>
      <c r="D73">
        <v>55424304</v>
      </c>
      <c r="E73">
        <v>1081</v>
      </c>
      <c r="F73">
        <v>1</v>
      </c>
      <c r="G73">
        <v>1081</v>
      </c>
      <c r="H73">
        <v>1</v>
      </c>
      <c r="I73" t="s">
        <v>278</v>
      </c>
      <c r="J73" t="s">
        <v>3</v>
      </c>
      <c r="K73" t="s">
        <v>279</v>
      </c>
      <c r="L73">
        <v>1191</v>
      </c>
      <c r="N73">
        <v>1013</v>
      </c>
      <c r="O73" t="s">
        <v>280</v>
      </c>
      <c r="P73" t="s">
        <v>280</v>
      </c>
      <c r="Q73">
        <v>1</v>
      </c>
      <c r="W73">
        <v>0</v>
      </c>
      <c r="X73">
        <v>476480486</v>
      </c>
      <c r="Y73">
        <f>(AT73*1.2)</f>
        <v>2.472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2.06</v>
      </c>
      <c r="AU73" t="s">
        <v>57</v>
      </c>
      <c r="AV73">
        <v>1</v>
      </c>
      <c r="AW73">
        <v>2</v>
      </c>
      <c r="AX73">
        <v>55919931</v>
      </c>
      <c r="AY73">
        <v>1</v>
      </c>
      <c r="AZ73">
        <v>0</v>
      </c>
      <c r="BA73">
        <v>87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ROUND(AT73*Source!I91*AH73*AL73,2)</f>
        <v>0</v>
      </c>
      <c r="CV73">
        <f>ROUND(Y73*Source!I91,9)</f>
        <v>2.472</v>
      </c>
      <c r="CW73">
        <v>0</v>
      </c>
      <c r="CX73">
        <f>ROUND(Y73*Source!I91,9)</f>
        <v>2.472</v>
      </c>
      <c r="CY73">
        <f>AD73</f>
        <v>0</v>
      </c>
      <c r="CZ73">
        <f>AH73</f>
        <v>0</v>
      </c>
      <c r="DA73">
        <f>AL73</f>
        <v>1</v>
      </c>
      <c r="DB73">
        <f>ROUND((ROUND(AT73*CZ73,2)*1.2),6)</f>
        <v>0</v>
      </c>
      <c r="DC73">
        <f>ROUND((ROUND(AT73*AG73,2)*1.2),6)</f>
        <v>0</v>
      </c>
      <c r="DD73" t="s">
        <v>3</v>
      </c>
      <c r="DE73" t="s">
        <v>3</v>
      </c>
      <c r="DF73">
        <f t="shared" ref="DF73:DF86" si="26">ROUND(ROUND(AE73,2)*CX73,2)</f>
        <v>0</v>
      </c>
      <c r="DG73">
        <f t="shared" si="23"/>
        <v>0</v>
      </c>
      <c r="DH73">
        <f t="shared" si="15"/>
        <v>0</v>
      </c>
      <c r="DI73">
        <f t="shared" si="25"/>
        <v>0</v>
      </c>
      <c r="DJ73">
        <f>DI73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ROW(Source!A91)</f>
        <v>91</v>
      </c>
      <c r="B74">
        <v>55919547</v>
      </c>
      <c r="C74">
        <v>55919910</v>
      </c>
      <c r="D74">
        <v>55489803</v>
      </c>
      <c r="E74">
        <v>1</v>
      </c>
      <c r="F74">
        <v>1</v>
      </c>
      <c r="G74">
        <v>1081</v>
      </c>
      <c r="H74">
        <v>2</v>
      </c>
      <c r="I74" t="s">
        <v>288</v>
      </c>
      <c r="J74" t="s">
        <v>289</v>
      </c>
      <c r="K74" t="s">
        <v>290</v>
      </c>
      <c r="L74">
        <v>1368</v>
      </c>
      <c r="N74">
        <v>1011</v>
      </c>
      <c r="O74" t="s">
        <v>291</v>
      </c>
      <c r="P74" t="s">
        <v>291</v>
      </c>
      <c r="Q74">
        <v>1</v>
      </c>
      <c r="W74">
        <v>0</v>
      </c>
      <c r="X74">
        <v>1752775000</v>
      </c>
      <c r="Y74">
        <f>(AT74*1.2)</f>
        <v>0.22799999999999998</v>
      </c>
      <c r="AA74">
        <v>0</v>
      </c>
      <c r="AB74">
        <v>43.4</v>
      </c>
      <c r="AC74">
        <v>13.21</v>
      </c>
      <c r="AD74">
        <v>0</v>
      </c>
      <c r="AE74">
        <v>0</v>
      </c>
      <c r="AF74">
        <v>41.45</v>
      </c>
      <c r="AG74">
        <v>12.62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0.19</v>
      </c>
      <c r="AU74" t="s">
        <v>57</v>
      </c>
      <c r="AV74">
        <v>0</v>
      </c>
      <c r="AW74">
        <v>2</v>
      </c>
      <c r="AX74">
        <v>55919932</v>
      </c>
      <c r="AY74">
        <v>1</v>
      </c>
      <c r="AZ74">
        <v>0</v>
      </c>
      <c r="BA74">
        <v>88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f>ROUND(Y74*Source!I91*DO74,9)</f>
        <v>2.8773599999999999</v>
      </c>
      <c r="CX74">
        <f>ROUND(Y74*Source!I91,9)</f>
        <v>0.22800000000000001</v>
      </c>
      <c r="CY74">
        <f>AB74</f>
        <v>43.4</v>
      </c>
      <c r="CZ74">
        <f>AF74</f>
        <v>41.45</v>
      </c>
      <c r="DA74">
        <f>AJ74</f>
        <v>1</v>
      </c>
      <c r="DB74">
        <f>ROUND((ROUND(AT74*CZ74,2)*1.2),6)</f>
        <v>9.4559999999999995</v>
      </c>
      <c r="DC74">
        <f>ROUND((ROUND(AT74*AG74,2)*1.2),6)</f>
        <v>2.88</v>
      </c>
      <c r="DD74" t="s">
        <v>3</v>
      </c>
      <c r="DE74" t="s">
        <v>3</v>
      </c>
      <c r="DF74">
        <f t="shared" si="26"/>
        <v>0</v>
      </c>
      <c r="DG74">
        <f t="shared" si="23"/>
        <v>9.4499999999999993</v>
      </c>
      <c r="DH74">
        <f t="shared" si="15"/>
        <v>2.88</v>
      </c>
      <c r="DI74">
        <f t="shared" si="25"/>
        <v>0</v>
      </c>
      <c r="DJ74">
        <f>DG74</f>
        <v>9.4499999999999993</v>
      </c>
      <c r="DK74">
        <v>0</v>
      </c>
      <c r="DL74" t="s">
        <v>292</v>
      </c>
      <c r="DM74">
        <v>0</v>
      </c>
      <c r="DN74" t="s">
        <v>280</v>
      </c>
      <c r="DO74">
        <v>12.62</v>
      </c>
    </row>
    <row r="75" spans="1:119" x14ac:dyDescent="0.2">
      <c r="A75">
        <f>ROW(Source!A91)</f>
        <v>91</v>
      </c>
      <c r="B75">
        <v>55919547</v>
      </c>
      <c r="C75">
        <v>55919910</v>
      </c>
      <c r="D75">
        <v>55489910</v>
      </c>
      <c r="E75">
        <v>1</v>
      </c>
      <c r="F75">
        <v>1</v>
      </c>
      <c r="G75">
        <v>1081</v>
      </c>
      <c r="H75">
        <v>2</v>
      </c>
      <c r="I75" t="s">
        <v>293</v>
      </c>
      <c r="J75" t="s">
        <v>294</v>
      </c>
      <c r="K75" t="s">
        <v>295</v>
      </c>
      <c r="L75">
        <v>1368</v>
      </c>
      <c r="N75">
        <v>1011</v>
      </c>
      <c r="O75" t="s">
        <v>291</v>
      </c>
      <c r="P75" t="s">
        <v>291</v>
      </c>
      <c r="Q75">
        <v>1</v>
      </c>
      <c r="W75">
        <v>0</v>
      </c>
      <c r="X75">
        <v>1498588441</v>
      </c>
      <c r="Y75">
        <f>(AT75*1.2)</f>
        <v>0.73199999999999998</v>
      </c>
      <c r="AA75">
        <v>0</v>
      </c>
      <c r="AB75">
        <v>7.44</v>
      </c>
      <c r="AC75">
        <v>0</v>
      </c>
      <c r="AD75">
        <v>0</v>
      </c>
      <c r="AE75">
        <v>0</v>
      </c>
      <c r="AF75">
        <v>7.11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0.61</v>
      </c>
      <c r="AU75" t="s">
        <v>57</v>
      </c>
      <c r="AV75">
        <v>0</v>
      </c>
      <c r="AW75">
        <v>2</v>
      </c>
      <c r="AX75">
        <v>55919933</v>
      </c>
      <c r="AY75">
        <v>1</v>
      </c>
      <c r="AZ75">
        <v>0</v>
      </c>
      <c r="BA75">
        <v>89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f>ROUND(Y75*Source!I91*DO75,9)</f>
        <v>0</v>
      </c>
      <c r="CX75">
        <f>ROUND(Y75*Source!I91,9)</f>
        <v>0.73199999999999998</v>
      </c>
      <c r="CY75">
        <f>AB75</f>
        <v>7.44</v>
      </c>
      <c r="CZ75">
        <f>AF75</f>
        <v>7.11</v>
      </c>
      <c r="DA75">
        <f>AJ75</f>
        <v>1</v>
      </c>
      <c r="DB75">
        <f>ROUND((ROUND(AT75*CZ75,2)*1.2),6)</f>
        <v>5.2080000000000002</v>
      </c>
      <c r="DC75">
        <f>ROUND((ROUND(AT75*AG75,2)*1.2),6)</f>
        <v>0</v>
      </c>
      <c r="DD75" t="s">
        <v>3</v>
      </c>
      <c r="DE75" t="s">
        <v>3</v>
      </c>
      <c r="DF75">
        <f t="shared" si="26"/>
        <v>0</v>
      </c>
      <c r="DG75">
        <f t="shared" si="23"/>
        <v>5.2</v>
      </c>
      <c r="DH75">
        <f t="shared" si="15"/>
        <v>0</v>
      </c>
      <c r="DI75">
        <f t="shared" si="25"/>
        <v>0</v>
      </c>
      <c r="DJ75">
        <f>DG75</f>
        <v>5.2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ROW(Source!A91)</f>
        <v>91</v>
      </c>
      <c r="B76">
        <v>55919547</v>
      </c>
      <c r="C76">
        <v>55919910</v>
      </c>
      <c r="D76">
        <v>55490209</v>
      </c>
      <c r="E76">
        <v>1</v>
      </c>
      <c r="F76">
        <v>1</v>
      </c>
      <c r="G76">
        <v>1081</v>
      </c>
      <c r="H76">
        <v>2</v>
      </c>
      <c r="I76" t="s">
        <v>296</v>
      </c>
      <c r="J76" t="s">
        <v>297</v>
      </c>
      <c r="K76" t="s">
        <v>298</v>
      </c>
      <c r="L76">
        <v>1368</v>
      </c>
      <c r="N76">
        <v>1011</v>
      </c>
      <c r="O76" t="s">
        <v>291</v>
      </c>
      <c r="P76" t="s">
        <v>291</v>
      </c>
      <c r="Q76">
        <v>1</v>
      </c>
      <c r="W76">
        <v>0</v>
      </c>
      <c r="X76">
        <v>874612079</v>
      </c>
      <c r="Y76">
        <f>(AT76*1.2)</f>
        <v>7.1999999999999995E-2</v>
      </c>
      <c r="AA76">
        <v>0</v>
      </c>
      <c r="AB76">
        <v>87.01</v>
      </c>
      <c r="AC76">
        <v>13.21</v>
      </c>
      <c r="AD76">
        <v>0</v>
      </c>
      <c r="AE76">
        <v>0</v>
      </c>
      <c r="AF76">
        <v>83.1</v>
      </c>
      <c r="AG76">
        <v>12.62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-2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0.06</v>
      </c>
      <c r="AU76" t="s">
        <v>57</v>
      </c>
      <c r="AV76">
        <v>0</v>
      </c>
      <c r="AW76">
        <v>2</v>
      </c>
      <c r="AX76">
        <v>55919934</v>
      </c>
      <c r="AY76">
        <v>1</v>
      </c>
      <c r="AZ76">
        <v>0</v>
      </c>
      <c r="BA76">
        <v>90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f>ROUND(Y76*Source!I91*DO76,9)</f>
        <v>0.90864</v>
      </c>
      <c r="CX76">
        <f>ROUND(Y76*Source!I91,9)</f>
        <v>7.1999999999999995E-2</v>
      </c>
      <c r="CY76">
        <f>AB76</f>
        <v>87.01</v>
      </c>
      <c r="CZ76">
        <f>AF76</f>
        <v>83.1</v>
      </c>
      <c r="DA76">
        <f>AJ76</f>
        <v>1</v>
      </c>
      <c r="DB76">
        <f>ROUND((ROUND(AT76*CZ76,2)*1.2),6)</f>
        <v>5.9880000000000004</v>
      </c>
      <c r="DC76">
        <f>ROUND((ROUND(AT76*AG76,2)*1.2),6)</f>
        <v>0.91200000000000003</v>
      </c>
      <c r="DD76" t="s">
        <v>3</v>
      </c>
      <c r="DE76" t="s">
        <v>3</v>
      </c>
      <c r="DF76">
        <f t="shared" si="26"/>
        <v>0</v>
      </c>
      <c r="DG76">
        <f t="shared" si="23"/>
        <v>5.98</v>
      </c>
      <c r="DH76">
        <f t="shared" si="15"/>
        <v>0.91</v>
      </c>
      <c r="DI76">
        <f t="shared" si="25"/>
        <v>0</v>
      </c>
      <c r="DJ76">
        <f>DG76</f>
        <v>5.98</v>
      </c>
      <c r="DK76">
        <v>0</v>
      </c>
      <c r="DL76" t="s">
        <v>292</v>
      </c>
      <c r="DM76">
        <v>0</v>
      </c>
      <c r="DN76" t="s">
        <v>280</v>
      </c>
      <c r="DO76">
        <v>12.62</v>
      </c>
    </row>
    <row r="77" spans="1:119" x14ac:dyDescent="0.2">
      <c r="A77">
        <f>ROW(Source!A91)</f>
        <v>91</v>
      </c>
      <c r="B77">
        <v>55919547</v>
      </c>
      <c r="C77">
        <v>55919910</v>
      </c>
      <c r="D77">
        <v>55490260</v>
      </c>
      <c r="E77">
        <v>1</v>
      </c>
      <c r="F77">
        <v>1</v>
      </c>
      <c r="G77">
        <v>1081</v>
      </c>
      <c r="H77">
        <v>2</v>
      </c>
      <c r="I77" t="s">
        <v>299</v>
      </c>
      <c r="J77" t="s">
        <v>300</v>
      </c>
      <c r="K77" t="s">
        <v>301</v>
      </c>
      <c r="L77">
        <v>1368</v>
      </c>
      <c r="N77">
        <v>1011</v>
      </c>
      <c r="O77" t="s">
        <v>291</v>
      </c>
      <c r="P77" t="s">
        <v>291</v>
      </c>
      <c r="Q77">
        <v>1</v>
      </c>
      <c r="W77">
        <v>0</v>
      </c>
      <c r="X77">
        <v>803042515</v>
      </c>
      <c r="Y77">
        <f>(AT77*1.2)</f>
        <v>0.22799999999999998</v>
      </c>
      <c r="AA77">
        <v>0</v>
      </c>
      <c r="AB77">
        <v>1.2</v>
      </c>
      <c r="AC77">
        <v>0</v>
      </c>
      <c r="AD77">
        <v>0</v>
      </c>
      <c r="AE77">
        <v>0</v>
      </c>
      <c r="AF77">
        <v>1.1499999999999999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0.19</v>
      </c>
      <c r="AU77" t="s">
        <v>57</v>
      </c>
      <c r="AV77">
        <v>0</v>
      </c>
      <c r="AW77">
        <v>2</v>
      </c>
      <c r="AX77">
        <v>55919935</v>
      </c>
      <c r="AY77">
        <v>1</v>
      </c>
      <c r="AZ77">
        <v>0</v>
      </c>
      <c r="BA77">
        <v>91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f>ROUND(Y77*Source!I91*DO77,9)</f>
        <v>0</v>
      </c>
      <c r="CX77">
        <f>ROUND(Y77*Source!I91,9)</f>
        <v>0.22800000000000001</v>
      </c>
      <c r="CY77">
        <f>AB77</f>
        <v>1.2</v>
      </c>
      <c r="CZ77">
        <f>AF77</f>
        <v>1.1499999999999999</v>
      </c>
      <c r="DA77">
        <f>AJ77</f>
        <v>1</v>
      </c>
      <c r="DB77">
        <f>ROUND((ROUND(AT77*CZ77,2)*1.2),6)</f>
        <v>0.26400000000000001</v>
      </c>
      <c r="DC77">
        <f>ROUND((ROUND(AT77*AG77,2)*1.2),6)</f>
        <v>0</v>
      </c>
      <c r="DD77" t="s">
        <v>3</v>
      </c>
      <c r="DE77" t="s">
        <v>3</v>
      </c>
      <c r="DF77">
        <f t="shared" si="26"/>
        <v>0</v>
      </c>
      <c r="DG77">
        <f t="shared" si="23"/>
        <v>0.26</v>
      </c>
      <c r="DH77">
        <f t="shared" si="15"/>
        <v>0</v>
      </c>
      <c r="DI77">
        <f t="shared" si="25"/>
        <v>0</v>
      </c>
      <c r="DJ77">
        <f>DG77</f>
        <v>0.26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ROW(Source!A91)</f>
        <v>91</v>
      </c>
      <c r="B78">
        <v>55919547</v>
      </c>
      <c r="C78">
        <v>55919910</v>
      </c>
      <c r="D78">
        <v>55460310</v>
      </c>
      <c r="E78">
        <v>1</v>
      </c>
      <c r="F78">
        <v>1</v>
      </c>
      <c r="G78">
        <v>1081</v>
      </c>
      <c r="H78">
        <v>3</v>
      </c>
      <c r="I78" t="s">
        <v>302</v>
      </c>
      <c r="J78" t="s">
        <v>303</v>
      </c>
      <c r="K78" t="s">
        <v>304</v>
      </c>
      <c r="L78">
        <v>1346</v>
      </c>
      <c r="N78">
        <v>1009</v>
      </c>
      <c r="O78" t="s">
        <v>151</v>
      </c>
      <c r="P78" t="s">
        <v>151</v>
      </c>
      <c r="Q78">
        <v>1</v>
      </c>
      <c r="W78">
        <v>0</v>
      </c>
      <c r="X78">
        <v>-1097873860</v>
      </c>
      <c r="Y78">
        <f>(AT78*1)</f>
        <v>0.02</v>
      </c>
      <c r="AA78">
        <v>29.89</v>
      </c>
      <c r="AB78">
        <v>0</v>
      </c>
      <c r="AC78">
        <v>0</v>
      </c>
      <c r="AD78">
        <v>0</v>
      </c>
      <c r="AE78">
        <v>29.89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0.02</v>
      </c>
      <c r="AU78" t="s">
        <v>56</v>
      </c>
      <c r="AV78">
        <v>0</v>
      </c>
      <c r="AW78">
        <v>2</v>
      </c>
      <c r="AX78">
        <v>55919936</v>
      </c>
      <c r="AY78">
        <v>1</v>
      </c>
      <c r="AZ78">
        <v>0</v>
      </c>
      <c r="BA78">
        <v>92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ROUND(Y78*Source!I91,9)</f>
        <v>0.02</v>
      </c>
      <c r="CY78">
        <f>AA78</f>
        <v>29.89</v>
      </c>
      <c r="CZ78">
        <f>AE78</f>
        <v>29.89</v>
      </c>
      <c r="DA78">
        <f>AI78</f>
        <v>1</v>
      </c>
      <c r="DB78">
        <f>ROUND((ROUND(AT78*CZ78,2)*1),6)</f>
        <v>0.6</v>
      </c>
      <c r="DC78">
        <f>ROUND((ROUND(AT78*AG78,2)*1),6)</f>
        <v>0</v>
      </c>
      <c r="DD78" t="s">
        <v>3</v>
      </c>
      <c r="DE78" t="s">
        <v>3</v>
      </c>
      <c r="DF78">
        <f t="shared" si="26"/>
        <v>0.6</v>
      </c>
      <c r="DG78">
        <f t="shared" si="23"/>
        <v>0</v>
      </c>
      <c r="DH78">
        <f t="shared" si="15"/>
        <v>0</v>
      </c>
      <c r="DI78">
        <f t="shared" si="25"/>
        <v>0</v>
      </c>
      <c r="DJ78">
        <f>DF78</f>
        <v>0.6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ROW(Source!A91)</f>
        <v>91</v>
      </c>
      <c r="B79">
        <v>55919547</v>
      </c>
      <c r="C79">
        <v>55919910</v>
      </c>
      <c r="D79">
        <v>55460380</v>
      </c>
      <c r="E79">
        <v>1</v>
      </c>
      <c r="F79">
        <v>1</v>
      </c>
      <c r="G79">
        <v>1081</v>
      </c>
      <c r="H79">
        <v>3</v>
      </c>
      <c r="I79" t="s">
        <v>305</v>
      </c>
      <c r="J79" t="s">
        <v>306</v>
      </c>
      <c r="K79" t="s">
        <v>307</v>
      </c>
      <c r="L79">
        <v>1348</v>
      </c>
      <c r="N79">
        <v>1009</v>
      </c>
      <c r="O79" t="s">
        <v>284</v>
      </c>
      <c r="P79" t="s">
        <v>284</v>
      </c>
      <c r="Q79">
        <v>1000</v>
      </c>
      <c r="W79">
        <v>0</v>
      </c>
      <c r="X79">
        <v>277309194</v>
      </c>
      <c r="Y79">
        <f>(AT79*1)</f>
        <v>1E-4</v>
      </c>
      <c r="AA79">
        <v>8590.86</v>
      </c>
      <c r="AB79">
        <v>0</v>
      </c>
      <c r="AC79">
        <v>0</v>
      </c>
      <c r="AD79">
        <v>0</v>
      </c>
      <c r="AE79">
        <v>8590.86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1E-4</v>
      </c>
      <c r="AU79" t="s">
        <v>56</v>
      </c>
      <c r="AV79">
        <v>0</v>
      </c>
      <c r="AW79">
        <v>2</v>
      </c>
      <c r="AX79">
        <v>55919937</v>
      </c>
      <c r="AY79">
        <v>1</v>
      </c>
      <c r="AZ79">
        <v>0</v>
      </c>
      <c r="BA79">
        <v>93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ROUND(Y79*Source!I91,9)</f>
        <v>1E-4</v>
      </c>
      <c r="CY79">
        <f>AA79</f>
        <v>8590.86</v>
      </c>
      <c r="CZ79">
        <f>AE79</f>
        <v>8590.86</v>
      </c>
      <c r="DA79">
        <f>AI79</f>
        <v>1</v>
      </c>
      <c r="DB79">
        <f>ROUND((ROUND(AT79*CZ79,2)*1),6)</f>
        <v>0.86</v>
      </c>
      <c r="DC79">
        <f>ROUND((ROUND(AT79*AG79,2)*1),6)</f>
        <v>0</v>
      </c>
      <c r="DD79" t="s">
        <v>3</v>
      </c>
      <c r="DE79" t="s">
        <v>3</v>
      </c>
      <c r="DF79">
        <f t="shared" si="26"/>
        <v>0.86</v>
      </c>
      <c r="DG79">
        <f t="shared" si="23"/>
        <v>0</v>
      </c>
      <c r="DH79">
        <f t="shared" si="15"/>
        <v>0</v>
      </c>
      <c r="DI79">
        <f t="shared" si="25"/>
        <v>0</v>
      </c>
      <c r="DJ79">
        <f>DF79</f>
        <v>0.86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ROW(Source!A91)</f>
        <v>91</v>
      </c>
      <c r="B80">
        <v>55919547</v>
      </c>
      <c r="C80">
        <v>55919910</v>
      </c>
      <c r="D80">
        <v>55466111</v>
      </c>
      <c r="E80">
        <v>1</v>
      </c>
      <c r="F80">
        <v>1</v>
      </c>
      <c r="G80">
        <v>1081</v>
      </c>
      <c r="H80">
        <v>3</v>
      </c>
      <c r="I80" t="s">
        <v>149</v>
      </c>
      <c r="J80" t="s">
        <v>152</v>
      </c>
      <c r="K80" t="s">
        <v>150</v>
      </c>
      <c r="L80">
        <v>1346</v>
      </c>
      <c r="N80">
        <v>1009</v>
      </c>
      <c r="O80" t="s">
        <v>151</v>
      </c>
      <c r="P80" t="s">
        <v>151</v>
      </c>
      <c r="Q80">
        <v>1</v>
      </c>
      <c r="W80">
        <v>0</v>
      </c>
      <c r="X80">
        <v>-2097101800</v>
      </c>
      <c r="Y80">
        <f>(AT80*1)</f>
        <v>0.1</v>
      </c>
      <c r="AA80">
        <v>31.08</v>
      </c>
      <c r="AB80">
        <v>0</v>
      </c>
      <c r="AC80">
        <v>0</v>
      </c>
      <c r="AD80">
        <v>0</v>
      </c>
      <c r="AE80">
        <v>31.08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 t="s">
        <v>3</v>
      </c>
      <c r="AT80">
        <v>0.1</v>
      </c>
      <c r="AU80" t="s">
        <v>56</v>
      </c>
      <c r="AV80">
        <v>0</v>
      </c>
      <c r="AW80">
        <v>1</v>
      </c>
      <c r="AX80">
        <v>-1</v>
      </c>
      <c r="AY80">
        <v>0</v>
      </c>
      <c r="AZ80">
        <v>0</v>
      </c>
      <c r="BA80" t="s">
        <v>3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ROUND(Y80*Source!I91,9)</f>
        <v>0.1</v>
      </c>
      <c r="CY80">
        <f>AA80</f>
        <v>31.08</v>
      </c>
      <c r="CZ80">
        <f>AE80</f>
        <v>31.08</v>
      </c>
      <c r="DA80">
        <f>AI80</f>
        <v>1</v>
      </c>
      <c r="DB80">
        <f>ROUND((ROUND(AT80*CZ80,2)*1),6)</f>
        <v>3.11</v>
      </c>
      <c r="DC80">
        <f>ROUND((ROUND(AT80*AG80,2)*1),6)</f>
        <v>0</v>
      </c>
      <c r="DD80" t="s">
        <v>3</v>
      </c>
      <c r="DE80" t="s">
        <v>3</v>
      </c>
      <c r="DF80">
        <f t="shared" si="26"/>
        <v>3.11</v>
      </c>
      <c r="DG80">
        <f t="shared" si="23"/>
        <v>0</v>
      </c>
      <c r="DH80">
        <f t="shared" si="15"/>
        <v>0</v>
      </c>
      <c r="DI80">
        <f t="shared" si="25"/>
        <v>0</v>
      </c>
      <c r="DJ80">
        <f>DF80</f>
        <v>3.11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ROW(Source!A91)</f>
        <v>91</v>
      </c>
      <c r="B81">
        <v>55919547</v>
      </c>
      <c r="C81">
        <v>55919910</v>
      </c>
      <c r="D81">
        <v>55481320</v>
      </c>
      <c r="E81">
        <v>1</v>
      </c>
      <c r="F81">
        <v>1</v>
      </c>
      <c r="G81">
        <v>1081</v>
      </c>
      <c r="H81">
        <v>3</v>
      </c>
      <c r="I81" t="s">
        <v>154</v>
      </c>
      <c r="J81" t="s">
        <v>157</v>
      </c>
      <c r="K81" t="s">
        <v>155</v>
      </c>
      <c r="L81">
        <v>1354</v>
      </c>
      <c r="N81">
        <v>1010</v>
      </c>
      <c r="O81" t="s">
        <v>156</v>
      </c>
      <c r="P81" t="s">
        <v>156</v>
      </c>
      <c r="Q81">
        <v>1</v>
      </c>
      <c r="W81">
        <v>0</v>
      </c>
      <c r="X81">
        <v>-573150796</v>
      </c>
      <c r="Y81">
        <f>(AT81*1)</f>
        <v>1</v>
      </c>
      <c r="AA81">
        <v>2017.95</v>
      </c>
      <c r="AB81">
        <v>0</v>
      </c>
      <c r="AC81">
        <v>0</v>
      </c>
      <c r="AD81">
        <v>0</v>
      </c>
      <c r="AE81">
        <v>2017.95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 t="s">
        <v>3</v>
      </c>
      <c r="AT81">
        <v>1</v>
      </c>
      <c r="AU81" t="s">
        <v>56</v>
      </c>
      <c r="AV81">
        <v>0</v>
      </c>
      <c r="AW81">
        <v>1</v>
      </c>
      <c r="AX81">
        <v>-1</v>
      </c>
      <c r="AY81">
        <v>0</v>
      </c>
      <c r="AZ81">
        <v>0</v>
      </c>
      <c r="BA81" t="s">
        <v>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ROUND(Y81*Source!I91,9)</f>
        <v>1</v>
      </c>
      <c r="CY81">
        <f>AA81</f>
        <v>2017.95</v>
      </c>
      <c r="CZ81">
        <f>AE81</f>
        <v>2017.95</v>
      </c>
      <c r="DA81">
        <f>AI81</f>
        <v>1</v>
      </c>
      <c r="DB81">
        <f>ROUND((ROUND(AT81*CZ81,2)*1),6)</f>
        <v>2017.95</v>
      </c>
      <c r="DC81">
        <f>ROUND((ROUND(AT81*AG81,2)*1),6)</f>
        <v>0</v>
      </c>
      <c r="DD81" t="s">
        <v>3</v>
      </c>
      <c r="DE81" t="s">
        <v>3</v>
      </c>
      <c r="DF81">
        <f t="shared" si="26"/>
        <v>2017.95</v>
      </c>
      <c r="DG81">
        <f t="shared" si="23"/>
        <v>0</v>
      </c>
      <c r="DH81">
        <f t="shared" si="15"/>
        <v>0</v>
      </c>
      <c r="DI81">
        <f t="shared" si="25"/>
        <v>0</v>
      </c>
      <c r="DJ81">
        <f>DF81</f>
        <v>2017.95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ROW(Source!A92)</f>
        <v>92</v>
      </c>
      <c r="B82">
        <v>55919549</v>
      </c>
      <c r="C82">
        <v>55919910</v>
      </c>
      <c r="D82">
        <v>55424304</v>
      </c>
      <c r="E82">
        <v>1081</v>
      </c>
      <c r="F82">
        <v>1</v>
      </c>
      <c r="G82">
        <v>1081</v>
      </c>
      <c r="H82">
        <v>1</v>
      </c>
      <c r="I82" t="s">
        <v>278</v>
      </c>
      <c r="J82" t="s">
        <v>3</v>
      </c>
      <c r="K82" t="s">
        <v>279</v>
      </c>
      <c r="L82">
        <v>1191</v>
      </c>
      <c r="N82">
        <v>1013</v>
      </c>
      <c r="O82" t="s">
        <v>280</v>
      </c>
      <c r="P82" t="s">
        <v>280</v>
      </c>
      <c r="Q82">
        <v>1</v>
      </c>
      <c r="W82">
        <v>0</v>
      </c>
      <c r="X82">
        <v>476480486</v>
      </c>
      <c r="Y82">
        <f>(AT82*1.2)</f>
        <v>2.472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5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2.06</v>
      </c>
      <c r="AU82" t="s">
        <v>57</v>
      </c>
      <c r="AV82">
        <v>1</v>
      </c>
      <c r="AW82">
        <v>2</v>
      </c>
      <c r="AX82">
        <v>55919931</v>
      </c>
      <c r="AY82">
        <v>1</v>
      </c>
      <c r="AZ82">
        <v>0</v>
      </c>
      <c r="BA82">
        <v>96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U82">
        <f>ROUND(AT82*Source!I92*AH82*AL82,2)</f>
        <v>0</v>
      </c>
      <c r="CV82">
        <f>ROUND(Y82*Source!I92,9)</f>
        <v>2.472</v>
      </c>
      <c r="CW82">
        <v>0</v>
      </c>
      <c r="CX82">
        <f>ROUND(Y82*Source!I92,9)</f>
        <v>2.472</v>
      </c>
      <c r="CY82">
        <f>AD82</f>
        <v>0</v>
      </c>
      <c r="CZ82">
        <f>AH82</f>
        <v>0</v>
      </c>
      <c r="DA82">
        <f>AL82</f>
        <v>1</v>
      </c>
      <c r="DB82">
        <f>ROUND((ROUND(AT82*CZ82,2)*1.2),6)</f>
        <v>0</v>
      </c>
      <c r="DC82">
        <f>ROUND((ROUND(AT82*AG82,2)*1.2),6)</f>
        <v>0</v>
      </c>
      <c r="DD82" t="s">
        <v>3</v>
      </c>
      <c r="DE82" t="s">
        <v>3</v>
      </c>
      <c r="DF82">
        <f t="shared" si="26"/>
        <v>0</v>
      </c>
      <c r="DG82">
        <f t="shared" si="23"/>
        <v>0</v>
      </c>
      <c r="DH82">
        <f t="shared" si="15"/>
        <v>0</v>
      </c>
      <c r="DI82">
        <f t="shared" si="25"/>
        <v>0</v>
      </c>
      <c r="DJ82">
        <f>DI82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ROW(Source!A92)</f>
        <v>92</v>
      </c>
      <c r="B83">
        <v>55919549</v>
      </c>
      <c r="C83">
        <v>55919910</v>
      </c>
      <c r="D83">
        <v>55489803</v>
      </c>
      <c r="E83">
        <v>1</v>
      </c>
      <c r="F83">
        <v>1</v>
      </c>
      <c r="G83">
        <v>1081</v>
      </c>
      <c r="H83">
        <v>2</v>
      </c>
      <c r="I83" t="s">
        <v>288</v>
      </c>
      <c r="J83" t="s">
        <v>289</v>
      </c>
      <c r="K83" t="s">
        <v>290</v>
      </c>
      <c r="L83">
        <v>1368</v>
      </c>
      <c r="N83">
        <v>1011</v>
      </c>
      <c r="O83" t="s">
        <v>291</v>
      </c>
      <c r="P83" t="s">
        <v>291</v>
      </c>
      <c r="Q83">
        <v>1</v>
      </c>
      <c r="W83">
        <v>0</v>
      </c>
      <c r="X83">
        <v>1752775000</v>
      </c>
      <c r="Y83">
        <f>(AT83*1.2)</f>
        <v>0.22799999999999998</v>
      </c>
      <c r="AA83">
        <v>0</v>
      </c>
      <c r="AB83">
        <v>1107.0899999999999</v>
      </c>
      <c r="AC83">
        <v>744.56</v>
      </c>
      <c r="AD83">
        <v>0</v>
      </c>
      <c r="AE83">
        <v>0</v>
      </c>
      <c r="AF83">
        <v>41.45</v>
      </c>
      <c r="AG83">
        <v>12.62</v>
      </c>
      <c r="AH83">
        <v>0</v>
      </c>
      <c r="AI83">
        <v>1</v>
      </c>
      <c r="AJ83">
        <v>25.51</v>
      </c>
      <c r="AK83">
        <v>56.35</v>
      </c>
      <c r="AL83">
        <v>1</v>
      </c>
      <c r="AM83">
        <v>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0.19</v>
      </c>
      <c r="AU83" t="s">
        <v>57</v>
      </c>
      <c r="AV83">
        <v>0</v>
      </c>
      <c r="AW83">
        <v>2</v>
      </c>
      <c r="AX83">
        <v>55919932</v>
      </c>
      <c r="AY83">
        <v>1</v>
      </c>
      <c r="AZ83">
        <v>0</v>
      </c>
      <c r="BA83">
        <v>97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f>ROUND(Y83*Source!I92*DO83,9)</f>
        <v>2.8773599999999999</v>
      </c>
      <c r="CX83">
        <f>ROUND(Y83*Source!I92,9)</f>
        <v>0.22800000000000001</v>
      </c>
      <c r="CY83">
        <f>AB83</f>
        <v>1107.0899999999999</v>
      </c>
      <c r="CZ83">
        <f>AF83</f>
        <v>41.45</v>
      </c>
      <c r="DA83">
        <f>AJ83</f>
        <v>25.51</v>
      </c>
      <c r="DB83">
        <f>ROUND((ROUND(AT83*CZ83,2)*1.2),6)</f>
        <v>9.4559999999999995</v>
      </c>
      <c r="DC83">
        <f>ROUND((ROUND(AT83*AG83,2)*1.2),6)</f>
        <v>2.88</v>
      </c>
      <c r="DD83" t="s">
        <v>3</v>
      </c>
      <c r="DE83" t="s">
        <v>3</v>
      </c>
      <c r="DF83">
        <f t="shared" si="26"/>
        <v>0</v>
      </c>
      <c r="DG83">
        <f>ROUND(ROUND(AF83*AJ83,2)*CX83,2)</f>
        <v>241.08</v>
      </c>
      <c r="DH83">
        <f>ROUND(ROUND(AG83*AK83,2)*CX83,2)</f>
        <v>162.13999999999999</v>
      </c>
      <c r="DI83">
        <f t="shared" si="25"/>
        <v>0</v>
      </c>
      <c r="DJ83">
        <f>DG83</f>
        <v>241.08</v>
      </c>
      <c r="DK83">
        <v>0</v>
      </c>
      <c r="DL83" t="s">
        <v>292</v>
      </c>
      <c r="DM83">
        <v>0</v>
      </c>
      <c r="DN83" t="s">
        <v>280</v>
      </c>
      <c r="DO83">
        <v>12.62</v>
      </c>
    </row>
    <row r="84" spans="1:119" x14ac:dyDescent="0.2">
      <c r="A84">
        <f>ROW(Source!A92)</f>
        <v>92</v>
      </c>
      <c r="B84">
        <v>55919549</v>
      </c>
      <c r="C84">
        <v>55919910</v>
      </c>
      <c r="D84">
        <v>55489910</v>
      </c>
      <c r="E84">
        <v>1</v>
      </c>
      <c r="F84">
        <v>1</v>
      </c>
      <c r="G84">
        <v>1081</v>
      </c>
      <c r="H84">
        <v>2</v>
      </c>
      <c r="I84" t="s">
        <v>293</v>
      </c>
      <c r="J84" t="s">
        <v>294</v>
      </c>
      <c r="K84" t="s">
        <v>295</v>
      </c>
      <c r="L84">
        <v>1368</v>
      </c>
      <c r="N84">
        <v>1011</v>
      </c>
      <c r="O84" t="s">
        <v>291</v>
      </c>
      <c r="P84" t="s">
        <v>291</v>
      </c>
      <c r="Q84">
        <v>1</v>
      </c>
      <c r="W84">
        <v>0</v>
      </c>
      <c r="X84">
        <v>1498588441</v>
      </c>
      <c r="Y84">
        <f>(AT84*1.2)</f>
        <v>0.73199999999999998</v>
      </c>
      <c r="AA84">
        <v>0</v>
      </c>
      <c r="AB84">
        <v>100.2</v>
      </c>
      <c r="AC84">
        <v>0</v>
      </c>
      <c r="AD84">
        <v>0</v>
      </c>
      <c r="AE84">
        <v>0</v>
      </c>
      <c r="AF84">
        <v>7.11</v>
      </c>
      <c r="AG84">
        <v>0</v>
      </c>
      <c r="AH84">
        <v>0</v>
      </c>
      <c r="AI84">
        <v>1</v>
      </c>
      <c r="AJ84">
        <v>13.46</v>
      </c>
      <c r="AK84">
        <v>1</v>
      </c>
      <c r="AL84">
        <v>1</v>
      </c>
      <c r="AM84">
        <v>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0.61</v>
      </c>
      <c r="AU84" t="s">
        <v>57</v>
      </c>
      <c r="AV84">
        <v>0</v>
      </c>
      <c r="AW84">
        <v>2</v>
      </c>
      <c r="AX84">
        <v>55919933</v>
      </c>
      <c r="AY84">
        <v>1</v>
      </c>
      <c r="AZ84">
        <v>0</v>
      </c>
      <c r="BA84">
        <v>98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f>ROUND(Y84*Source!I92*DO84,9)</f>
        <v>0</v>
      </c>
      <c r="CX84">
        <f>ROUND(Y84*Source!I92,9)</f>
        <v>0.73199999999999998</v>
      </c>
      <c r="CY84">
        <f>AB84</f>
        <v>100.2</v>
      </c>
      <c r="CZ84">
        <f>AF84</f>
        <v>7.11</v>
      </c>
      <c r="DA84">
        <f>AJ84</f>
        <v>13.46</v>
      </c>
      <c r="DB84">
        <f>ROUND((ROUND(AT84*CZ84,2)*1.2),6)</f>
        <v>5.2080000000000002</v>
      </c>
      <c r="DC84">
        <f>ROUND((ROUND(AT84*AG84,2)*1.2),6)</f>
        <v>0</v>
      </c>
      <c r="DD84" t="s">
        <v>3</v>
      </c>
      <c r="DE84" t="s">
        <v>3</v>
      </c>
      <c r="DF84">
        <f t="shared" si="26"/>
        <v>0</v>
      </c>
      <c r="DG84">
        <f>ROUND(ROUND(AF84*AJ84,2)*CX84,2)</f>
        <v>70.05</v>
      </c>
      <c r="DH84">
        <f>ROUND(ROUND(AG84,2)*CX84,2)</f>
        <v>0</v>
      </c>
      <c r="DI84">
        <f t="shared" si="25"/>
        <v>0</v>
      </c>
      <c r="DJ84">
        <f>DG84</f>
        <v>70.05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ROW(Source!A92)</f>
        <v>92</v>
      </c>
      <c r="B85">
        <v>55919549</v>
      </c>
      <c r="C85">
        <v>55919910</v>
      </c>
      <c r="D85">
        <v>55490209</v>
      </c>
      <c r="E85">
        <v>1</v>
      </c>
      <c r="F85">
        <v>1</v>
      </c>
      <c r="G85">
        <v>1081</v>
      </c>
      <c r="H85">
        <v>2</v>
      </c>
      <c r="I85" t="s">
        <v>296</v>
      </c>
      <c r="J85" t="s">
        <v>297</v>
      </c>
      <c r="K85" t="s">
        <v>298</v>
      </c>
      <c r="L85">
        <v>1368</v>
      </c>
      <c r="N85">
        <v>1011</v>
      </c>
      <c r="O85" t="s">
        <v>291</v>
      </c>
      <c r="P85" t="s">
        <v>291</v>
      </c>
      <c r="Q85">
        <v>1</v>
      </c>
      <c r="W85">
        <v>0</v>
      </c>
      <c r="X85">
        <v>874612079</v>
      </c>
      <c r="Y85">
        <f>(AT85*1.2)</f>
        <v>7.1999999999999995E-2</v>
      </c>
      <c r="AA85">
        <v>0</v>
      </c>
      <c r="AB85">
        <v>1485.19</v>
      </c>
      <c r="AC85">
        <v>744.56</v>
      </c>
      <c r="AD85">
        <v>0</v>
      </c>
      <c r="AE85">
        <v>0</v>
      </c>
      <c r="AF85">
        <v>83.1</v>
      </c>
      <c r="AG85">
        <v>12.62</v>
      </c>
      <c r="AH85">
        <v>0</v>
      </c>
      <c r="AI85">
        <v>1</v>
      </c>
      <c r="AJ85">
        <v>17.07</v>
      </c>
      <c r="AK85">
        <v>56.35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0.06</v>
      </c>
      <c r="AU85" t="s">
        <v>57</v>
      </c>
      <c r="AV85">
        <v>0</v>
      </c>
      <c r="AW85">
        <v>2</v>
      </c>
      <c r="AX85">
        <v>55919934</v>
      </c>
      <c r="AY85">
        <v>1</v>
      </c>
      <c r="AZ85">
        <v>0</v>
      </c>
      <c r="BA85">
        <v>99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f>ROUND(Y85*Source!I92*DO85,9)</f>
        <v>0.90864</v>
      </c>
      <c r="CX85">
        <f>ROUND(Y85*Source!I92,9)</f>
        <v>7.1999999999999995E-2</v>
      </c>
      <c r="CY85">
        <f>AB85</f>
        <v>1485.19</v>
      </c>
      <c r="CZ85">
        <f>AF85</f>
        <v>83.1</v>
      </c>
      <c r="DA85">
        <f>AJ85</f>
        <v>17.07</v>
      </c>
      <c r="DB85">
        <f>ROUND((ROUND(AT85*CZ85,2)*1.2),6)</f>
        <v>5.9880000000000004</v>
      </c>
      <c r="DC85">
        <f>ROUND((ROUND(AT85*AG85,2)*1.2),6)</f>
        <v>0.91200000000000003</v>
      </c>
      <c r="DD85" t="s">
        <v>3</v>
      </c>
      <c r="DE85" t="s">
        <v>3</v>
      </c>
      <c r="DF85">
        <f t="shared" si="26"/>
        <v>0</v>
      </c>
      <c r="DG85">
        <f>ROUND(ROUND(AF85*AJ85,2)*CX85,2)</f>
        <v>102.13</v>
      </c>
      <c r="DH85">
        <f>ROUND(ROUND(AG85*AK85,2)*CX85,2)</f>
        <v>51.2</v>
      </c>
      <c r="DI85">
        <f t="shared" si="25"/>
        <v>0</v>
      </c>
      <c r="DJ85">
        <f>DG85</f>
        <v>102.13</v>
      </c>
      <c r="DK85">
        <v>0</v>
      </c>
      <c r="DL85" t="s">
        <v>292</v>
      </c>
      <c r="DM85">
        <v>0</v>
      </c>
      <c r="DN85" t="s">
        <v>280</v>
      </c>
      <c r="DO85">
        <v>12.62</v>
      </c>
    </row>
    <row r="86" spans="1:119" x14ac:dyDescent="0.2">
      <c r="A86">
        <f>ROW(Source!A92)</f>
        <v>92</v>
      </c>
      <c r="B86">
        <v>55919549</v>
      </c>
      <c r="C86">
        <v>55919910</v>
      </c>
      <c r="D86">
        <v>55490260</v>
      </c>
      <c r="E86">
        <v>1</v>
      </c>
      <c r="F86">
        <v>1</v>
      </c>
      <c r="G86">
        <v>1081</v>
      </c>
      <c r="H86">
        <v>2</v>
      </c>
      <c r="I86" t="s">
        <v>299</v>
      </c>
      <c r="J86" t="s">
        <v>300</v>
      </c>
      <c r="K86" t="s">
        <v>301</v>
      </c>
      <c r="L86">
        <v>1368</v>
      </c>
      <c r="N86">
        <v>1011</v>
      </c>
      <c r="O86" t="s">
        <v>291</v>
      </c>
      <c r="P86" t="s">
        <v>291</v>
      </c>
      <c r="Q86">
        <v>1</v>
      </c>
      <c r="W86">
        <v>0</v>
      </c>
      <c r="X86">
        <v>803042515</v>
      </c>
      <c r="Y86">
        <f>(AT86*1.2)</f>
        <v>0.22799999999999998</v>
      </c>
      <c r="AA86">
        <v>0</v>
      </c>
      <c r="AB86">
        <v>11.26</v>
      </c>
      <c r="AC86">
        <v>0</v>
      </c>
      <c r="AD86">
        <v>0</v>
      </c>
      <c r="AE86">
        <v>0</v>
      </c>
      <c r="AF86">
        <v>1.1499999999999999</v>
      </c>
      <c r="AG86">
        <v>0</v>
      </c>
      <c r="AH86">
        <v>0</v>
      </c>
      <c r="AI86">
        <v>1</v>
      </c>
      <c r="AJ86">
        <v>9.35</v>
      </c>
      <c r="AK86">
        <v>1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0.19</v>
      </c>
      <c r="AU86" t="s">
        <v>57</v>
      </c>
      <c r="AV86">
        <v>0</v>
      </c>
      <c r="AW86">
        <v>2</v>
      </c>
      <c r="AX86">
        <v>55919935</v>
      </c>
      <c r="AY86">
        <v>1</v>
      </c>
      <c r="AZ86">
        <v>0</v>
      </c>
      <c r="BA86">
        <v>100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f>ROUND(Y86*Source!I92*DO86,9)</f>
        <v>0</v>
      </c>
      <c r="CX86">
        <f>ROUND(Y86*Source!I92,9)</f>
        <v>0.22800000000000001</v>
      </c>
      <c r="CY86">
        <f>AB86</f>
        <v>11.26</v>
      </c>
      <c r="CZ86">
        <f>AF86</f>
        <v>1.1499999999999999</v>
      </c>
      <c r="DA86">
        <f>AJ86</f>
        <v>9.35</v>
      </c>
      <c r="DB86">
        <f>ROUND((ROUND(AT86*CZ86,2)*1.2),6)</f>
        <v>0.26400000000000001</v>
      </c>
      <c r="DC86">
        <f>ROUND((ROUND(AT86*AG86,2)*1.2),6)</f>
        <v>0</v>
      </c>
      <c r="DD86" t="s">
        <v>3</v>
      </c>
      <c r="DE86" t="s">
        <v>3</v>
      </c>
      <c r="DF86">
        <f t="shared" si="26"/>
        <v>0</v>
      </c>
      <c r="DG86">
        <f>ROUND(ROUND(AF86*AJ86,2)*CX86,2)</f>
        <v>2.4500000000000002</v>
      </c>
      <c r="DH86">
        <f t="shared" ref="DH86:DH110" si="27">ROUND(ROUND(AG86,2)*CX86,2)</f>
        <v>0</v>
      </c>
      <c r="DI86">
        <f t="shared" si="25"/>
        <v>0</v>
      </c>
      <c r="DJ86">
        <f>DG86</f>
        <v>2.4500000000000002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ROW(Source!A92)</f>
        <v>92</v>
      </c>
      <c r="B87">
        <v>55919549</v>
      </c>
      <c r="C87">
        <v>55919910</v>
      </c>
      <c r="D87">
        <v>55460310</v>
      </c>
      <c r="E87">
        <v>1</v>
      </c>
      <c r="F87">
        <v>1</v>
      </c>
      <c r="G87">
        <v>1081</v>
      </c>
      <c r="H87">
        <v>3</v>
      </c>
      <c r="I87" t="s">
        <v>302</v>
      </c>
      <c r="J87" t="s">
        <v>303</v>
      </c>
      <c r="K87" t="s">
        <v>304</v>
      </c>
      <c r="L87">
        <v>1346</v>
      </c>
      <c r="N87">
        <v>1009</v>
      </c>
      <c r="O87" t="s">
        <v>151</v>
      </c>
      <c r="P87" t="s">
        <v>151</v>
      </c>
      <c r="Q87">
        <v>1</v>
      </c>
      <c r="W87">
        <v>0</v>
      </c>
      <c r="X87">
        <v>-1097873860</v>
      </c>
      <c r="Y87">
        <f>(AT87*1)</f>
        <v>0.02</v>
      </c>
      <c r="AA87">
        <v>101.03</v>
      </c>
      <c r="AB87">
        <v>0</v>
      </c>
      <c r="AC87">
        <v>0</v>
      </c>
      <c r="AD87">
        <v>0</v>
      </c>
      <c r="AE87">
        <v>29.89</v>
      </c>
      <c r="AF87">
        <v>0</v>
      </c>
      <c r="AG87">
        <v>0</v>
      </c>
      <c r="AH87">
        <v>0</v>
      </c>
      <c r="AI87">
        <v>3.38</v>
      </c>
      <c r="AJ87">
        <v>1</v>
      </c>
      <c r="AK87">
        <v>1</v>
      </c>
      <c r="AL87">
        <v>1</v>
      </c>
      <c r="AM87">
        <v>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0.02</v>
      </c>
      <c r="AU87" t="s">
        <v>56</v>
      </c>
      <c r="AV87">
        <v>0</v>
      </c>
      <c r="AW87">
        <v>2</v>
      </c>
      <c r="AX87">
        <v>55919936</v>
      </c>
      <c r="AY87">
        <v>1</v>
      </c>
      <c r="AZ87">
        <v>0</v>
      </c>
      <c r="BA87">
        <v>101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ROUND(Y87*Source!I92,9)</f>
        <v>0.02</v>
      </c>
      <c r="CY87">
        <f>AA87</f>
        <v>101.03</v>
      </c>
      <c r="CZ87">
        <f>AE87</f>
        <v>29.89</v>
      </c>
      <c r="DA87">
        <f>AI87</f>
        <v>3.38</v>
      </c>
      <c r="DB87">
        <f>ROUND((ROUND(AT87*CZ87,2)*1),6)</f>
        <v>0.6</v>
      </c>
      <c r="DC87">
        <f>ROUND((ROUND(AT87*AG87,2)*1),6)</f>
        <v>0</v>
      </c>
      <c r="DD87" t="s">
        <v>3</v>
      </c>
      <c r="DE87" t="s">
        <v>3</v>
      </c>
      <c r="DF87">
        <f>ROUND(ROUND(AE87*AI87,2)*CX87,2)</f>
        <v>2.02</v>
      </c>
      <c r="DG87">
        <f t="shared" ref="DG87:DG110" si="28">ROUND(ROUND(AF87,2)*CX87,2)</f>
        <v>0</v>
      </c>
      <c r="DH87">
        <f t="shared" si="27"/>
        <v>0</v>
      </c>
      <c r="DI87">
        <f t="shared" si="25"/>
        <v>0</v>
      </c>
      <c r="DJ87">
        <f>DF87</f>
        <v>2.02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ROW(Source!A92)</f>
        <v>92</v>
      </c>
      <c r="B88">
        <v>55919549</v>
      </c>
      <c r="C88">
        <v>55919910</v>
      </c>
      <c r="D88">
        <v>55460380</v>
      </c>
      <c r="E88">
        <v>1</v>
      </c>
      <c r="F88">
        <v>1</v>
      </c>
      <c r="G88">
        <v>1081</v>
      </c>
      <c r="H88">
        <v>3</v>
      </c>
      <c r="I88" t="s">
        <v>305</v>
      </c>
      <c r="J88" t="s">
        <v>306</v>
      </c>
      <c r="K88" t="s">
        <v>307</v>
      </c>
      <c r="L88">
        <v>1348</v>
      </c>
      <c r="N88">
        <v>1009</v>
      </c>
      <c r="O88" t="s">
        <v>284</v>
      </c>
      <c r="P88" t="s">
        <v>284</v>
      </c>
      <c r="Q88">
        <v>1000</v>
      </c>
      <c r="W88">
        <v>0</v>
      </c>
      <c r="X88">
        <v>277309194</v>
      </c>
      <c r="Y88">
        <f>(AT88*1)</f>
        <v>1E-4</v>
      </c>
      <c r="AA88">
        <v>141233.74</v>
      </c>
      <c r="AB88">
        <v>0</v>
      </c>
      <c r="AC88">
        <v>0</v>
      </c>
      <c r="AD88">
        <v>0</v>
      </c>
      <c r="AE88">
        <v>8590.86</v>
      </c>
      <c r="AF88">
        <v>0</v>
      </c>
      <c r="AG88">
        <v>0</v>
      </c>
      <c r="AH88">
        <v>0</v>
      </c>
      <c r="AI88">
        <v>16.440000000000001</v>
      </c>
      <c r="AJ88">
        <v>1</v>
      </c>
      <c r="AK88">
        <v>1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1E-4</v>
      </c>
      <c r="AU88" t="s">
        <v>56</v>
      </c>
      <c r="AV88">
        <v>0</v>
      </c>
      <c r="AW88">
        <v>2</v>
      </c>
      <c r="AX88">
        <v>55919937</v>
      </c>
      <c r="AY88">
        <v>1</v>
      </c>
      <c r="AZ88">
        <v>0</v>
      </c>
      <c r="BA88">
        <v>102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ROUND(Y88*Source!I92,9)</f>
        <v>1E-4</v>
      </c>
      <c r="CY88">
        <f>AA88</f>
        <v>141233.74</v>
      </c>
      <c r="CZ88">
        <f>AE88</f>
        <v>8590.86</v>
      </c>
      <c r="DA88">
        <f>AI88</f>
        <v>16.440000000000001</v>
      </c>
      <c r="DB88">
        <f>ROUND((ROUND(AT88*CZ88,2)*1),6)</f>
        <v>0.86</v>
      </c>
      <c r="DC88">
        <f>ROUND((ROUND(AT88*AG88,2)*1),6)</f>
        <v>0</v>
      </c>
      <c r="DD88" t="s">
        <v>3</v>
      </c>
      <c r="DE88" t="s">
        <v>3</v>
      </c>
      <c r="DF88">
        <f>ROUND(ROUND(AE88*AI88,2)*CX88,2)</f>
        <v>14.12</v>
      </c>
      <c r="DG88">
        <f t="shared" si="28"/>
        <v>0</v>
      </c>
      <c r="DH88">
        <f t="shared" si="27"/>
        <v>0</v>
      </c>
      <c r="DI88">
        <f t="shared" si="25"/>
        <v>0</v>
      </c>
      <c r="DJ88">
        <f>DF88</f>
        <v>14.12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ROW(Source!A92)</f>
        <v>92</v>
      </c>
      <c r="B89">
        <v>55919549</v>
      </c>
      <c r="C89">
        <v>55919910</v>
      </c>
      <c r="D89">
        <v>55466111</v>
      </c>
      <c r="E89">
        <v>1</v>
      </c>
      <c r="F89">
        <v>1</v>
      </c>
      <c r="G89">
        <v>1081</v>
      </c>
      <c r="H89">
        <v>3</v>
      </c>
      <c r="I89" t="s">
        <v>149</v>
      </c>
      <c r="J89" t="s">
        <v>152</v>
      </c>
      <c r="K89" t="s">
        <v>150</v>
      </c>
      <c r="L89">
        <v>1346</v>
      </c>
      <c r="N89">
        <v>1009</v>
      </c>
      <c r="O89" t="s">
        <v>151</v>
      </c>
      <c r="P89" t="s">
        <v>151</v>
      </c>
      <c r="Q89">
        <v>1</v>
      </c>
      <c r="W89">
        <v>0</v>
      </c>
      <c r="X89">
        <v>-2097101800</v>
      </c>
      <c r="Y89">
        <f>(AT89*1)</f>
        <v>0.1</v>
      </c>
      <c r="AA89">
        <v>111.58</v>
      </c>
      <c r="AB89">
        <v>0</v>
      </c>
      <c r="AC89">
        <v>0</v>
      </c>
      <c r="AD89">
        <v>0</v>
      </c>
      <c r="AE89">
        <v>31.08</v>
      </c>
      <c r="AF89">
        <v>0</v>
      </c>
      <c r="AG89">
        <v>0</v>
      </c>
      <c r="AH89">
        <v>0</v>
      </c>
      <c r="AI89">
        <v>3.59</v>
      </c>
      <c r="AJ89">
        <v>1</v>
      </c>
      <c r="AK89">
        <v>1</v>
      </c>
      <c r="AL89">
        <v>1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 t="s">
        <v>3</v>
      </c>
      <c r="AT89">
        <v>0.1</v>
      </c>
      <c r="AU89" t="s">
        <v>56</v>
      </c>
      <c r="AV89">
        <v>0</v>
      </c>
      <c r="AW89">
        <v>1</v>
      </c>
      <c r="AX89">
        <v>-1</v>
      </c>
      <c r="AY89">
        <v>0</v>
      </c>
      <c r="AZ89">
        <v>0</v>
      </c>
      <c r="BA89" t="s">
        <v>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v>0</v>
      </c>
      <c r="CX89">
        <f>ROUND(Y89*Source!I92,9)</f>
        <v>0.1</v>
      </c>
      <c r="CY89">
        <f>AA89</f>
        <v>111.58</v>
      </c>
      <c r="CZ89">
        <f>AE89</f>
        <v>31.08</v>
      </c>
      <c r="DA89">
        <f>AI89</f>
        <v>3.59</v>
      </c>
      <c r="DB89">
        <f>ROUND((ROUND(AT89*CZ89,2)*1),6)</f>
        <v>3.11</v>
      </c>
      <c r="DC89">
        <f>ROUND((ROUND(AT89*AG89,2)*1),6)</f>
        <v>0</v>
      </c>
      <c r="DD89" t="s">
        <v>3</v>
      </c>
      <c r="DE89" t="s">
        <v>3</v>
      </c>
      <c r="DF89">
        <f>ROUND(ROUND(AE89*AI89,2)*CX89,2)</f>
        <v>11.16</v>
      </c>
      <c r="DG89">
        <f t="shared" si="28"/>
        <v>0</v>
      </c>
      <c r="DH89">
        <f t="shared" si="27"/>
        <v>0</v>
      </c>
      <c r="DI89">
        <f t="shared" si="25"/>
        <v>0</v>
      </c>
      <c r="DJ89">
        <f>DF89</f>
        <v>11.16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ROW(Source!A92)</f>
        <v>92</v>
      </c>
      <c r="B90">
        <v>55919549</v>
      </c>
      <c r="C90">
        <v>55919910</v>
      </c>
      <c r="D90">
        <v>55481320</v>
      </c>
      <c r="E90">
        <v>1</v>
      </c>
      <c r="F90">
        <v>1</v>
      </c>
      <c r="G90">
        <v>1081</v>
      </c>
      <c r="H90">
        <v>3</v>
      </c>
      <c r="I90" t="s">
        <v>154</v>
      </c>
      <c r="J90" t="s">
        <v>157</v>
      </c>
      <c r="K90" t="s">
        <v>155</v>
      </c>
      <c r="L90">
        <v>1354</v>
      </c>
      <c r="N90">
        <v>1010</v>
      </c>
      <c r="O90" t="s">
        <v>156</v>
      </c>
      <c r="P90" t="s">
        <v>156</v>
      </c>
      <c r="Q90">
        <v>1</v>
      </c>
      <c r="W90">
        <v>0</v>
      </c>
      <c r="X90">
        <v>-573150796</v>
      </c>
      <c r="Y90">
        <f>(AT90*1)</f>
        <v>1</v>
      </c>
      <c r="AA90">
        <v>8031.44</v>
      </c>
      <c r="AB90">
        <v>0</v>
      </c>
      <c r="AC90">
        <v>0</v>
      </c>
      <c r="AD90">
        <v>0</v>
      </c>
      <c r="AE90">
        <v>2017.95</v>
      </c>
      <c r="AF90">
        <v>0</v>
      </c>
      <c r="AG90">
        <v>0</v>
      </c>
      <c r="AH90">
        <v>0</v>
      </c>
      <c r="AI90">
        <v>3.98</v>
      </c>
      <c r="AJ90">
        <v>1</v>
      </c>
      <c r="AK90">
        <v>1</v>
      </c>
      <c r="AL90">
        <v>1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 t="s">
        <v>3</v>
      </c>
      <c r="AT90">
        <v>1</v>
      </c>
      <c r="AU90" t="s">
        <v>56</v>
      </c>
      <c r="AV90">
        <v>0</v>
      </c>
      <c r="AW90">
        <v>1</v>
      </c>
      <c r="AX90">
        <v>-1</v>
      </c>
      <c r="AY90">
        <v>0</v>
      </c>
      <c r="AZ90">
        <v>0</v>
      </c>
      <c r="BA90" t="s">
        <v>3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ROUND(Y90*Source!I92,9)</f>
        <v>1</v>
      </c>
      <c r="CY90">
        <f>AA90</f>
        <v>8031.44</v>
      </c>
      <c r="CZ90">
        <f>AE90</f>
        <v>2017.95</v>
      </c>
      <c r="DA90">
        <f>AI90</f>
        <v>3.98</v>
      </c>
      <c r="DB90">
        <f>ROUND((ROUND(AT90*CZ90,2)*1),6)</f>
        <v>2017.95</v>
      </c>
      <c r="DC90">
        <f>ROUND((ROUND(AT90*AG90,2)*1),6)</f>
        <v>0</v>
      </c>
      <c r="DD90" t="s">
        <v>3</v>
      </c>
      <c r="DE90" t="s">
        <v>3</v>
      </c>
      <c r="DF90">
        <f>ROUND(ROUND(AE90*AI90,2)*CX90,2)</f>
        <v>8031.44</v>
      </c>
      <c r="DG90">
        <f t="shared" si="28"/>
        <v>0</v>
      </c>
      <c r="DH90">
        <f t="shared" si="27"/>
        <v>0</v>
      </c>
      <c r="DI90">
        <f t="shared" si="25"/>
        <v>0</v>
      </c>
      <c r="DJ90">
        <f>DF90</f>
        <v>8031.44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ROW(Source!A97)</f>
        <v>97</v>
      </c>
      <c r="B91">
        <v>55919547</v>
      </c>
      <c r="C91">
        <v>55919690</v>
      </c>
      <c r="D91">
        <v>55424304</v>
      </c>
      <c r="E91">
        <v>1081</v>
      </c>
      <c r="F91">
        <v>1</v>
      </c>
      <c r="G91">
        <v>1081</v>
      </c>
      <c r="H91">
        <v>1</v>
      </c>
      <c r="I91" t="s">
        <v>278</v>
      </c>
      <c r="J91" t="s">
        <v>3</v>
      </c>
      <c r="K91" t="s">
        <v>279</v>
      </c>
      <c r="L91">
        <v>1191</v>
      </c>
      <c r="N91">
        <v>1013</v>
      </c>
      <c r="O91" t="s">
        <v>280</v>
      </c>
      <c r="P91" t="s">
        <v>280</v>
      </c>
      <c r="Q91">
        <v>1</v>
      </c>
      <c r="W91">
        <v>0</v>
      </c>
      <c r="X91">
        <v>476480486</v>
      </c>
      <c r="Y91">
        <f>(AT91*1.2)</f>
        <v>9.6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8</v>
      </c>
      <c r="AU91" t="s">
        <v>57</v>
      </c>
      <c r="AV91">
        <v>1</v>
      </c>
      <c r="AW91">
        <v>2</v>
      </c>
      <c r="AX91">
        <v>55919691</v>
      </c>
      <c r="AY91">
        <v>1</v>
      </c>
      <c r="AZ91">
        <v>0</v>
      </c>
      <c r="BA91">
        <v>105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U91">
        <f>ROUND(AT91*Source!I97*AH91*AL91,2)</f>
        <v>0</v>
      </c>
      <c r="CV91">
        <f>ROUND(Y91*Source!I97,9)</f>
        <v>9.6</v>
      </c>
      <c r="CW91">
        <v>0</v>
      </c>
      <c r="CX91">
        <f>ROUND(Y91*Source!I97,9)</f>
        <v>9.6</v>
      </c>
      <c r="CY91">
        <f>AD91</f>
        <v>0</v>
      </c>
      <c r="CZ91">
        <f>AH91</f>
        <v>0</v>
      </c>
      <c r="DA91">
        <f>AL91</f>
        <v>1</v>
      </c>
      <c r="DB91">
        <f>ROUND((ROUND(AT91*CZ91,2)*1.2),6)</f>
        <v>0</v>
      </c>
      <c r="DC91">
        <f>ROUND((ROUND(AT91*AG91,2)*1.2),6)</f>
        <v>0</v>
      </c>
      <c r="DD91" t="s">
        <v>3</v>
      </c>
      <c r="DE91" t="s">
        <v>3</v>
      </c>
      <c r="DF91">
        <f>ROUND(ROUND(AE91,2)*CX91,2)</f>
        <v>0</v>
      </c>
      <c r="DG91">
        <f t="shared" si="28"/>
        <v>0</v>
      </c>
      <c r="DH91">
        <f t="shared" si="27"/>
        <v>0</v>
      </c>
      <c r="DI91">
        <f t="shared" si="25"/>
        <v>0</v>
      </c>
      <c r="DJ91">
        <f>DI91</f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ROW(Source!A97)</f>
        <v>97</v>
      </c>
      <c r="B92">
        <v>55919547</v>
      </c>
      <c r="C92">
        <v>55919690</v>
      </c>
      <c r="D92">
        <v>55460239</v>
      </c>
      <c r="E92">
        <v>1</v>
      </c>
      <c r="F92">
        <v>1</v>
      </c>
      <c r="G92">
        <v>1081</v>
      </c>
      <c r="H92">
        <v>3</v>
      </c>
      <c r="I92" t="s">
        <v>285</v>
      </c>
      <c r="J92" t="s">
        <v>286</v>
      </c>
      <c r="K92" t="s">
        <v>287</v>
      </c>
      <c r="L92">
        <v>1348</v>
      </c>
      <c r="N92">
        <v>1009</v>
      </c>
      <c r="O92" t="s">
        <v>284</v>
      </c>
      <c r="P92" t="s">
        <v>284</v>
      </c>
      <c r="Q92">
        <v>1000</v>
      </c>
      <c r="W92">
        <v>0</v>
      </c>
      <c r="X92">
        <v>-1843244094</v>
      </c>
      <c r="Y92">
        <f>(AT92*1)</f>
        <v>2.4000000000000001E-5</v>
      </c>
      <c r="AA92">
        <v>12416.13</v>
      </c>
      <c r="AB92">
        <v>0</v>
      </c>
      <c r="AC92">
        <v>0</v>
      </c>
      <c r="AD92">
        <v>0</v>
      </c>
      <c r="AE92">
        <v>12416.13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2.4000000000000001E-5</v>
      </c>
      <c r="AU92" t="s">
        <v>56</v>
      </c>
      <c r="AV92">
        <v>0</v>
      </c>
      <c r="AW92">
        <v>2</v>
      </c>
      <c r="AX92">
        <v>55919692</v>
      </c>
      <c r="AY92">
        <v>1</v>
      </c>
      <c r="AZ92">
        <v>0</v>
      </c>
      <c r="BA92">
        <v>106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ROUND(Y92*Source!I97,9)</f>
        <v>2.4000000000000001E-5</v>
      </c>
      <c r="CY92">
        <f>AA92</f>
        <v>12416.13</v>
      </c>
      <c r="CZ92">
        <f>AE92</f>
        <v>12416.13</v>
      </c>
      <c r="DA92">
        <f>AI92</f>
        <v>1</v>
      </c>
      <c r="DB92">
        <f>ROUND((ROUND(AT92*CZ92,2)*1),6)</f>
        <v>0.3</v>
      </c>
      <c r="DC92">
        <f>ROUND((ROUND(AT92*AG92,2)*1),6)</f>
        <v>0</v>
      </c>
      <c r="DD92" t="s">
        <v>3</v>
      </c>
      <c r="DE92" t="s">
        <v>3</v>
      </c>
      <c r="DF92">
        <f>ROUND(ROUND(AE92,2)*CX92,2)</f>
        <v>0.3</v>
      </c>
      <c r="DG92">
        <f t="shared" si="28"/>
        <v>0</v>
      </c>
      <c r="DH92">
        <f t="shared" si="27"/>
        <v>0</v>
      </c>
      <c r="DI92">
        <f t="shared" si="25"/>
        <v>0</v>
      </c>
      <c r="DJ92">
        <f>DF92</f>
        <v>0.3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ROW(Source!A98)</f>
        <v>98</v>
      </c>
      <c r="B93">
        <v>55919549</v>
      </c>
      <c r="C93">
        <v>55919690</v>
      </c>
      <c r="D93">
        <v>55424304</v>
      </c>
      <c r="E93">
        <v>1081</v>
      </c>
      <c r="F93">
        <v>1</v>
      </c>
      <c r="G93">
        <v>1081</v>
      </c>
      <c r="H93">
        <v>1</v>
      </c>
      <c r="I93" t="s">
        <v>278</v>
      </c>
      <c r="J93" t="s">
        <v>3</v>
      </c>
      <c r="K93" t="s">
        <v>279</v>
      </c>
      <c r="L93">
        <v>1191</v>
      </c>
      <c r="N93">
        <v>1013</v>
      </c>
      <c r="O93" t="s">
        <v>280</v>
      </c>
      <c r="P93" t="s">
        <v>280</v>
      </c>
      <c r="Q93">
        <v>1</v>
      </c>
      <c r="W93">
        <v>0</v>
      </c>
      <c r="X93">
        <v>476480486</v>
      </c>
      <c r="Y93">
        <f>(AT93*1.2)</f>
        <v>9.6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5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8</v>
      </c>
      <c r="AU93" t="s">
        <v>57</v>
      </c>
      <c r="AV93">
        <v>1</v>
      </c>
      <c r="AW93">
        <v>2</v>
      </c>
      <c r="AX93">
        <v>55919691</v>
      </c>
      <c r="AY93">
        <v>1</v>
      </c>
      <c r="AZ93">
        <v>0</v>
      </c>
      <c r="BA93">
        <v>107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U93">
        <f>ROUND(AT93*Source!I98*AH93*AL93,2)</f>
        <v>0</v>
      </c>
      <c r="CV93">
        <f>ROUND(Y93*Source!I98,9)</f>
        <v>9.6</v>
      </c>
      <c r="CW93">
        <v>0</v>
      </c>
      <c r="CX93">
        <f>ROUND(Y93*Source!I98,9)</f>
        <v>9.6</v>
      </c>
      <c r="CY93">
        <f>AD93</f>
        <v>0</v>
      </c>
      <c r="CZ93">
        <f>AH93</f>
        <v>0</v>
      </c>
      <c r="DA93">
        <f>AL93</f>
        <v>1</v>
      </c>
      <c r="DB93">
        <f>ROUND((ROUND(AT93*CZ93,2)*1.2),6)</f>
        <v>0</v>
      </c>
      <c r="DC93">
        <f>ROUND((ROUND(AT93*AG93,2)*1.2),6)</f>
        <v>0</v>
      </c>
      <c r="DD93" t="s">
        <v>3</v>
      </c>
      <c r="DE93" t="s">
        <v>3</v>
      </c>
      <c r="DF93">
        <f>ROUND(ROUND(AE93,2)*CX93,2)</f>
        <v>0</v>
      </c>
      <c r="DG93">
        <f t="shared" si="28"/>
        <v>0</v>
      </c>
      <c r="DH93">
        <f t="shared" si="27"/>
        <v>0</v>
      </c>
      <c r="DI93">
        <f t="shared" si="25"/>
        <v>0</v>
      </c>
      <c r="DJ93">
        <f>DI93</f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ROW(Source!A98)</f>
        <v>98</v>
      </c>
      <c r="B94">
        <v>55919549</v>
      </c>
      <c r="C94">
        <v>55919690</v>
      </c>
      <c r="D94">
        <v>55460239</v>
      </c>
      <c r="E94">
        <v>1</v>
      </c>
      <c r="F94">
        <v>1</v>
      </c>
      <c r="G94">
        <v>1081</v>
      </c>
      <c r="H94">
        <v>3</v>
      </c>
      <c r="I94" t="s">
        <v>285</v>
      </c>
      <c r="J94" t="s">
        <v>286</v>
      </c>
      <c r="K94" t="s">
        <v>287</v>
      </c>
      <c r="L94">
        <v>1348</v>
      </c>
      <c r="N94">
        <v>1009</v>
      </c>
      <c r="O94" t="s">
        <v>284</v>
      </c>
      <c r="P94" t="s">
        <v>284</v>
      </c>
      <c r="Q94">
        <v>1000</v>
      </c>
      <c r="W94">
        <v>0</v>
      </c>
      <c r="X94">
        <v>-1843244094</v>
      </c>
      <c r="Y94">
        <f>(AT94*1)</f>
        <v>2.4000000000000001E-5</v>
      </c>
      <c r="AA94">
        <v>91879.360000000001</v>
      </c>
      <c r="AB94">
        <v>0</v>
      </c>
      <c r="AC94">
        <v>0</v>
      </c>
      <c r="AD94">
        <v>0</v>
      </c>
      <c r="AE94">
        <v>12416.13</v>
      </c>
      <c r="AF94">
        <v>0</v>
      </c>
      <c r="AG94">
        <v>0</v>
      </c>
      <c r="AH94">
        <v>0</v>
      </c>
      <c r="AI94">
        <v>7.4</v>
      </c>
      <c r="AJ94">
        <v>1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2.4000000000000001E-5</v>
      </c>
      <c r="AU94" t="s">
        <v>56</v>
      </c>
      <c r="AV94">
        <v>0</v>
      </c>
      <c r="AW94">
        <v>2</v>
      </c>
      <c r="AX94">
        <v>55919692</v>
      </c>
      <c r="AY94">
        <v>1</v>
      </c>
      <c r="AZ94">
        <v>0</v>
      </c>
      <c r="BA94">
        <v>108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ROUND(Y94*Source!I98,9)</f>
        <v>2.4000000000000001E-5</v>
      </c>
      <c r="CY94">
        <f>AA94</f>
        <v>91879.360000000001</v>
      </c>
      <c r="CZ94">
        <f>AE94</f>
        <v>12416.13</v>
      </c>
      <c r="DA94">
        <f>AI94</f>
        <v>7.4</v>
      </c>
      <c r="DB94">
        <f>ROUND((ROUND(AT94*CZ94,2)*1),6)</f>
        <v>0.3</v>
      </c>
      <c r="DC94">
        <f>ROUND((ROUND(AT94*AG94,2)*1),6)</f>
        <v>0</v>
      </c>
      <c r="DD94" t="s">
        <v>3</v>
      </c>
      <c r="DE94" t="s">
        <v>3</v>
      </c>
      <c r="DF94">
        <f>ROUND(ROUND(AE94*AI94,2)*CX94,2)</f>
        <v>2.21</v>
      </c>
      <c r="DG94">
        <f t="shared" si="28"/>
        <v>0</v>
      </c>
      <c r="DH94">
        <f t="shared" si="27"/>
        <v>0</v>
      </c>
      <c r="DI94">
        <f t="shared" si="25"/>
        <v>0</v>
      </c>
      <c r="DJ94">
        <f>DF94</f>
        <v>2.21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ROW(Source!A101)</f>
        <v>101</v>
      </c>
      <c r="B95">
        <v>55919547</v>
      </c>
      <c r="C95">
        <v>55919886</v>
      </c>
      <c r="D95">
        <v>55424304</v>
      </c>
      <c r="E95">
        <v>1081</v>
      </c>
      <c r="F95">
        <v>1</v>
      </c>
      <c r="G95">
        <v>1081</v>
      </c>
      <c r="H95">
        <v>1</v>
      </c>
      <c r="I95" t="s">
        <v>278</v>
      </c>
      <c r="J95" t="s">
        <v>3</v>
      </c>
      <c r="K95" t="s">
        <v>279</v>
      </c>
      <c r="L95">
        <v>1191</v>
      </c>
      <c r="N95">
        <v>1013</v>
      </c>
      <c r="O95" t="s">
        <v>280</v>
      </c>
      <c r="P95" t="s">
        <v>280</v>
      </c>
      <c r="Q95">
        <v>1</v>
      </c>
      <c r="W95">
        <v>0</v>
      </c>
      <c r="X95">
        <v>476480486</v>
      </c>
      <c r="Y95">
        <f>(AT95*1.2)</f>
        <v>2.2799999999999998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1.9</v>
      </c>
      <c r="AU95" t="s">
        <v>57</v>
      </c>
      <c r="AV95">
        <v>1</v>
      </c>
      <c r="AW95">
        <v>2</v>
      </c>
      <c r="AX95">
        <v>55919887</v>
      </c>
      <c r="AY95">
        <v>1</v>
      </c>
      <c r="AZ95">
        <v>0</v>
      </c>
      <c r="BA95">
        <v>109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U95">
        <f>ROUND(AT95*Source!I101*AH95*AL95,2)</f>
        <v>0</v>
      </c>
      <c r="CV95">
        <f>ROUND(Y95*Source!I101,9)</f>
        <v>2.2799999999999998</v>
      </c>
      <c r="CW95">
        <v>0</v>
      </c>
      <c r="CX95">
        <f>ROUND(Y95*Source!I101,9)</f>
        <v>2.2799999999999998</v>
      </c>
      <c r="CY95">
        <f>AD95</f>
        <v>0</v>
      </c>
      <c r="CZ95">
        <f>AH95</f>
        <v>0</v>
      </c>
      <c r="DA95">
        <f>AL95</f>
        <v>1</v>
      </c>
      <c r="DB95">
        <f>ROUND((ROUND(AT95*CZ95,2)*1.2),6)</f>
        <v>0</v>
      </c>
      <c r="DC95">
        <f>ROUND((ROUND(AT95*AG95,2)*1.2),6)</f>
        <v>0</v>
      </c>
      <c r="DD95" t="s">
        <v>3</v>
      </c>
      <c r="DE95" t="s">
        <v>3</v>
      </c>
      <c r="DF95">
        <f>ROUND(ROUND(AE95,2)*CX95,2)</f>
        <v>0</v>
      </c>
      <c r="DG95">
        <f t="shared" si="28"/>
        <v>0</v>
      </c>
      <c r="DH95">
        <f t="shared" si="27"/>
        <v>0</v>
      </c>
      <c r="DI95">
        <f t="shared" si="25"/>
        <v>0</v>
      </c>
      <c r="DJ95">
        <f>DI95</f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ROW(Source!A101)</f>
        <v>101</v>
      </c>
      <c r="B96">
        <v>55919547</v>
      </c>
      <c r="C96">
        <v>55919886</v>
      </c>
      <c r="D96">
        <v>55459873</v>
      </c>
      <c r="E96">
        <v>1</v>
      </c>
      <c r="F96">
        <v>1</v>
      </c>
      <c r="G96">
        <v>1081</v>
      </c>
      <c r="H96">
        <v>3</v>
      </c>
      <c r="I96" t="s">
        <v>281</v>
      </c>
      <c r="J96" t="s">
        <v>282</v>
      </c>
      <c r="K96" t="s">
        <v>283</v>
      </c>
      <c r="L96">
        <v>1348</v>
      </c>
      <c r="N96">
        <v>1009</v>
      </c>
      <c r="O96" t="s">
        <v>284</v>
      </c>
      <c r="P96" t="s">
        <v>284</v>
      </c>
      <c r="Q96">
        <v>1000</v>
      </c>
      <c r="W96">
        <v>0</v>
      </c>
      <c r="X96">
        <v>-1448251497</v>
      </c>
      <c r="Y96">
        <f>(AT96*1)</f>
        <v>1.0000000000000001E-5</v>
      </c>
      <c r="AA96">
        <v>18495.41</v>
      </c>
      <c r="AB96">
        <v>0</v>
      </c>
      <c r="AC96">
        <v>0</v>
      </c>
      <c r="AD96">
        <v>0</v>
      </c>
      <c r="AE96">
        <v>18495.41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1.0000000000000001E-5</v>
      </c>
      <c r="AU96" t="s">
        <v>56</v>
      </c>
      <c r="AV96">
        <v>0</v>
      </c>
      <c r="AW96">
        <v>2</v>
      </c>
      <c r="AX96">
        <v>55919888</v>
      </c>
      <c r="AY96">
        <v>1</v>
      </c>
      <c r="AZ96">
        <v>0</v>
      </c>
      <c r="BA96">
        <v>110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ROUND(Y96*Source!I101,9)</f>
        <v>1.0000000000000001E-5</v>
      </c>
      <c r="CY96">
        <f>AA96</f>
        <v>18495.41</v>
      </c>
      <c r="CZ96">
        <f>AE96</f>
        <v>18495.41</v>
      </c>
      <c r="DA96">
        <f>AI96</f>
        <v>1</v>
      </c>
      <c r="DB96">
        <f>ROUND((ROUND(AT96*CZ96,2)*1),6)</f>
        <v>0.18</v>
      </c>
      <c r="DC96">
        <f>ROUND((ROUND(AT96*AG96,2)*1),6)</f>
        <v>0</v>
      </c>
      <c r="DD96" t="s">
        <v>3</v>
      </c>
      <c r="DE96" t="s">
        <v>3</v>
      </c>
      <c r="DF96">
        <f>ROUND(ROUND(AE96,2)*CX96,2)</f>
        <v>0.18</v>
      </c>
      <c r="DG96">
        <f t="shared" si="28"/>
        <v>0</v>
      </c>
      <c r="DH96">
        <f t="shared" si="27"/>
        <v>0</v>
      </c>
      <c r="DI96">
        <f t="shared" si="25"/>
        <v>0</v>
      </c>
      <c r="DJ96">
        <f>DF96</f>
        <v>0.18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ROW(Source!A102)</f>
        <v>102</v>
      </c>
      <c r="B97">
        <v>55919549</v>
      </c>
      <c r="C97">
        <v>55919886</v>
      </c>
      <c r="D97">
        <v>55424304</v>
      </c>
      <c r="E97">
        <v>1081</v>
      </c>
      <c r="F97">
        <v>1</v>
      </c>
      <c r="G97">
        <v>1081</v>
      </c>
      <c r="H97">
        <v>1</v>
      </c>
      <c r="I97" t="s">
        <v>278</v>
      </c>
      <c r="J97" t="s">
        <v>3</v>
      </c>
      <c r="K97" t="s">
        <v>279</v>
      </c>
      <c r="L97">
        <v>1191</v>
      </c>
      <c r="N97">
        <v>1013</v>
      </c>
      <c r="O97" t="s">
        <v>280</v>
      </c>
      <c r="P97" t="s">
        <v>280</v>
      </c>
      <c r="Q97">
        <v>1</v>
      </c>
      <c r="W97">
        <v>0</v>
      </c>
      <c r="X97">
        <v>476480486</v>
      </c>
      <c r="Y97">
        <f>(AT97*1.2)</f>
        <v>2.2799999999999998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5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1.9</v>
      </c>
      <c r="AU97" t="s">
        <v>57</v>
      </c>
      <c r="AV97">
        <v>1</v>
      </c>
      <c r="AW97">
        <v>2</v>
      </c>
      <c r="AX97">
        <v>55919887</v>
      </c>
      <c r="AY97">
        <v>1</v>
      </c>
      <c r="AZ97">
        <v>0</v>
      </c>
      <c r="BA97">
        <v>111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U97">
        <f>ROUND(AT97*Source!I102*AH97*AL97,2)</f>
        <v>0</v>
      </c>
      <c r="CV97">
        <f>ROUND(Y97*Source!I102,9)</f>
        <v>2.2799999999999998</v>
      </c>
      <c r="CW97">
        <v>0</v>
      </c>
      <c r="CX97">
        <f>ROUND(Y97*Source!I102,9)</f>
        <v>2.2799999999999998</v>
      </c>
      <c r="CY97">
        <f>AD97</f>
        <v>0</v>
      </c>
      <c r="CZ97">
        <f>AH97</f>
        <v>0</v>
      </c>
      <c r="DA97">
        <f>AL97</f>
        <v>1</v>
      </c>
      <c r="DB97">
        <f>ROUND((ROUND(AT97*CZ97,2)*1.2),6)</f>
        <v>0</v>
      </c>
      <c r="DC97">
        <f>ROUND((ROUND(AT97*AG97,2)*1.2),6)</f>
        <v>0</v>
      </c>
      <c r="DD97" t="s">
        <v>3</v>
      </c>
      <c r="DE97" t="s">
        <v>3</v>
      </c>
      <c r="DF97">
        <f>ROUND(ROUND(AE97,2)*CX97,2)</f>
        <v>0</v>
      </c>
      <c r="DG97">
        <f t="shared" si="28"/>
        <v>0</v>
      </c>
      <c r="DH97">
        <f t="shared" si="27"/>
        <v>0</v>
      </c>
      <c r="DI97">
        <f t="shared" si="25"/>
        <v>0</v>
      </c>
      <c r="DJ97">
        <f>DI97</f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ROW(Source!A102)</f>
        <v>102</v>
      </c>
      <c r="B98">
        <v>55919549</v>
      </c>
      <c r="C98">
        <v>55919886</v>
      </c>
      <c r="D98">
        <v>55459873</v>
      </c>
      <c r="E98">
        <v>1</v>
      </c>
      <c r="F98">
        <v>1</v>
      </c>
      <c r="G98">
        <v>1081</v>
      </c>
      <c r="H98">
        <v>3</v>
      </c>
      <c r="I98" t="s">
        <v>281</v>
      </c>
      <c r="J98" t="s">
        <v>282</v>
      </c>
      <c r="K98" t="s">
        <v>283</v>
      </c>
      <c r="L98">
        <v>1348</v>
      </c>
      <c r="N98">
        <v>1009</v>
      </c>
      <c r="O98" t="s">
        <v>284</v>
      </c>
      <c r="P98" t="s">
        <v>284</v>
      </c>
      <c r="Q98">
        <v>1000</v>
      </c>
      <c r="W98">
        <v>0</v>
      </c>
      <c r="X98">
        <v>-1448251497</v>
      </c>
      <c r="Y98">
        <f>(AT98*1)</f>
        <v>1.0000000000000001E-5</v>
      </c>
      <c r="AA98">
        <v>101169.89</v>
      </c>
      <c r="AB98">
        <v>0</v>
      </c>
      <c r="AC98">
        <v>0</v>
      </c>
      <c r="AD98">
        <v>0</v>
      </c>
      <c r="AE98">
        <v>18495.41</v>
      </c>
      <c r="AF98">
        <v>0</v>
      </c>
      <c r="AG98">
        <v>0</v>
      </c>
      <c r="AH98">
        <v>0</v>
      </c>
      <c r="AI98">
        <v>5.47</v>
      </c>
      <c r="AJ98">
        <v>1</v>
      </c>
      <c r="AK98">
        <v>1</v>
      </c>
      <c r="AL98">
        <v>1</v>
      </c>
      <c r="AM98">
        <v>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1.0000000000000001E-5</v>
      </c>
      <c r="AU98" t="s">
        <v>56</v>
      </c>
      <c r="AV98">
        <v>0</v>
      </c>
      <c r="AW98">
        <v>2</v>
      </c>
      <c r="AX98">
        <v>55919888</v>
      </c>
      <c r="AY98">
        <v>1</v>
      </c>
      <c r="AZ98">
        <v>0</v>
      </c>
      <c r="BA98">
        <v>112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ROUND(Y98*Source!I102,9)</f>
        <v>1.0000000000000001E-5</v>
      </c>
      <c r="CY98">
        <f>AA98</f>
        <v>101169.89</v>
      </c>
      <c r="CZ98">
        <f>AE98</f>
        <v>18495.41</v>
      </c>
      <c r="DA98">
        <f>AI98</f>
        <v>5.47</v>
      </c>
      <c r="DB98">
        <f>ROUND((ROUND(AT98*CZ98,2)*1),6)</f>
        <v>0.18</v>
      </c>
      <c r="DC98">
        <f>ROUND((ROUND(AT98*AG98,2)*1),6)</f>
        <v>0</v>
      </c>
      <c r="DD98" t="s">
        <v>3</v>
      </c>
      <c r="DE98" t="s">
        <v>3</v>
      </c>
      <c r="DF98">
        <f>ROUND(ROUND(AE98*AI98,2)*CX98,2)</f>
        <v>1.01</v>
      </c>
      <c r="DG98">
        <f t="shared" si="28"/>
        <v>0</v>
      </c>
      <c r="DH98">
        <f t="shared" si="27"/>
        <v>0</v>
      </c>
      <c r="DI98">
        <f t="shared" si="25"/>
        <v>0</v>
      </c>
      <c r="DJ98">
        <f>DF98</f>
        <v>1.01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ROW(Source!A105)</f>
        <v>105</v>
      </c>
      <c r="B99">
        <v>55919547</v>
      </c>
      <c r="C99">
        <v>55919897</v>
      </c>
      <c r="D99">
        <v>55424304</v>
      </c>
      <c r="E99">
        <v>1081</v>
      </c>
      <c r="F99">
        <v>1</v>
      </c>
      <c r="G99">
        <v>1081</v>
      </c>
      <c r="H99">
        <v>1</v>
      </c>
      <c r="I99" t="s">
        <v>278</v>
      </c>
      <c r="J99" t="s">
        <v>3</v>
      </c>
      <c r="K99" t="s">
        <v>279</v>
      </c>
      <c r="L99">
        <v>1191</v>
      </c>
      <c r="N99">
        <v>1013</v>
      </c>
      <c r="O99" t="s">
        <v>280</v>
      </c>
      <c r="P99" t="s">
        <v>280</v>
      </c>
      <c r="Q99">
        <v>1</v>
      </c>
      <c r="W99">
        <v>0</v>
      </c>
      <c r="X99">
        <v>476480486</v>
      </c>
      <c r="Y99">
        <f>(AT99*1.2)</f>
        <v>2.4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2</v>
      </c>
      <c r="AU99" t="s">
        <v>57</v>
      </c>
      <c r="AV99">
        <v>1</v>
      </c>
      <c r="AW99">
        <v>2</v>
      </c>
      <c r="AX99">
        <v>55919898</v>
      </c>
      <c r="AY99">
        <v>1</v>
      </c>
      <c r="AZ99">
        <v>0</v>
      </c>
      <c r="BA99">
        <v>113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U99">
        <f>ROUND(AT99*Source!I105*AH99*AL99,2)</f>
        <v>0</v>
      </c>
      <c r="CV99">
        <f>ROUND(Y99*Source!I105,9)</f>
        <v>2.4</v>
      </c>
      <c r="CW99">
        <v>0</v>
      </c>
      <c r="CX99">
        <f>ROUND(Y99*Source!I105,9)</f>
        <v>2.4</v>
      </c>
      <c r="CY99">
        <f>AD99</f>
        <v>0</v>
      </c>
      <c r="CZ99">
        <f>AH99</f>
        <v>0</v>
      </c>
      <c r="DA99">
        <f>AL99</f>
        <v>1</v>
      </c>
      <c r="DB99">
        <f>ROUND((ROUND(AT99*CZ99,2)*1.2),6)</f>
        <v>0</v>
      </c>
      <c r="DC99">
        <f>ROUND((ROUND(AT99*AG99,2)*1.2),6)</f>
        <v>0</v>
      </c>
      <c r="DD99" t="s">
        <v>3</v>
      </c>
      <c r="DE99" t="s">
        <v>3</v>
      </c>
      <c r="DF99">
        <f>ROUND(ROUND(AE99,2)*CX99,2)</f>
        <v>0</v>
      </c>
      <c r="DG99">
        <f t="shared" si="28"/>
        <v>0</v>
      </c>
      <c r="DH99">
        <f t="shared" si="27"/>
        <v>0</v>
      </c>
      <c r="DI99">
        <f t="shared" si="25"/>
        <v>0</v>
      </c>
      <c r="DJ99">
        <f>DI99</f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ROW(Source!A105)</f>
        <v>105</v>
      </c>
      <c r="B100">
        <v>55919547</v>
      </c>
      <c r="C100">
        <v>55919897</v>
      </c>
      <c r="D100">
        <v>55460239</v>
      </c>
      <c r="E100">
        <v>1</v>
      </c>
      <c r="F100">
        <v>1</v>
      </c>
      <c r="G100">
        <v>1081</v>
      </c>
      <c r="H100">
        <v>3</v>
      </c>
      <c r="I100" t="s">
        <v>285</v>
      </c>
      <c r="J100" t="s">
        <v>286</v>
      </c>
      <c r="K100" t="s">
        <v>287</v>
      </c>
      <c r="L100">
        <v>1348</v>
      </c>
      <c r="N100">
        <v>1009</v>
      </c>
      <c r="O100" t="s">
        <v>284</v>
      </c>
      <c r="P100" t="s">
        <v>284</v>
      </c>
      <c r="Q100">
        <v>1000</v>
      </c>
      <c r="W100">
        <v>0</v>
      </c>
      <c r="X100">
        <v>-1843244094</v>
      </c>
      <c r="Y100">
        <f>(AT100*1)</f>
        <v>2.4000000000000001E-5</v>
      </c>
      <c r="AA100">
        <v>12416.13</v>
      </c>
      <c r="AB100">
        <v>0</v>
      </c>
      <c r="AC100">
        <v>0</v>
      </c>
      <c r="AD100">
        <v>0</v>
      </c>
      <c r="AE100">
        <v>12416.13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2.4000000000000001E-5</v>
      </c>
      <c r="AU100" t="s">
        <v>56</v>
      </c>
      <c r="AV100">
        <v>0</v>
      </c>
      <c r="AW100">
        <v>2</v>
      </c>
      <c r="AX100">
        <v>55919899</v>
      </c>
      <c r="AY100">
        <v>1</v>
      </c>
      <c r="AZ100">
        <v>0</v>
      </c>
      <c r="BA100">
        <v>114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ROUND(Y100*Source!I105,9)</f>
        <v>2.4000000000000001E-5</v>
      </c>
      <c r="CY100">
        <f>AA100</f>
        <v>12416.13</v>
      </c>
      <c r="CZ100">
        <f>AE100</f>
        <v>12416.13</v>
      </c>
      <c r="DA100">
        <f>AI100</f>
        <v>1</v>
      </c>
      <c r="DB100">
        <f>ROUND((ROUND(AT100*CZ100,2)*1),6)</f>
        <v>0.3</v>
      </c>
      <c r="DC100">
        <f>ROUND((ROUND(AT100*AG100,2)*1),6)</f>
        <v>0</v>
      </c>
      <c r="DD100" t="s">
        <v>3</v>
      </c>
      <c r="DE100" t="s">
        <v>3</v>
      </c>
      <c r="DF100">
        <f>ROUND(ROUND(AE100,2)*CX100,2)</f>
        <v>0.3</v>
      </c>
      <c r="DG100">
        <f t="shared" si="28"/>
        <v>0</v>
      </c>
      <c r="DH100">
        <f t="shared" si="27"/>
        <v>0</v>
      </c>
      <c r="DI100">
        <f t="shared" si="25"/>
        <v>0</v>
      </c>
      <c r="DJ100">
        <f>DF100</f>
        <v>0.3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ROW(Source!A106)</f>
        <v>106</v>
      </c>
      <c r="B101">
        <v>55919549</v>
      </c>
      <c r="C101">
        <v>55919897</v>
      </c>
      <c r="D101">
        <v>55424304</v>
      </c>
      <c r="E101">
        <v>1081</v>
      </c>
      <c r="F101">
        <v>1</v>
      </c>
      <c r="G101">
        <v>1081</v>
      </c>
      <c r="H101">
        <v>1</v>
      </c>
      <c r="I101" t="s">
        <v>278</v>
      </c>
      <c r="J101" t="s">
        <v>3</v>
      </c>
      <c r="K101" t="s">
        <v>279</v>
      </c>
      <c r="L101">
        <v>1191</v>
      </c>
      <c r="N101">
        <v>1013</v>
      </c>
      <c r="O101" t="s">
        <v>280</v>
      </c>
      <c r="P101" t="s">
        <v>280</v>
      </c>
      <c r="Q101">
        <v>1</v>
      </c>
      <c r="W101">
        <v>0</v>
      </c>
      <c r="X101">
        <v>476480486</v>
      </c>
      <c r="Y101">
        <f>(AT101*1.2)</f>
        <v>2.4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5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2</v>
      </c>
      <c r="AU101" t="s">
        <v>57</v>
      </c>
      <c r="AV101">
        <v>1</v>
      </c>
      <c r="AW101">
        <v>2</v>
      </c>
      <c r="AX101">
        <v>55919898</v>
      </c>
      <c r="AY101">
        <v>1</v>
      </c>
      <c r="AZ101">
        <v>0</v>
      </c>
      <c r="BA101">
        <v>115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U101">
        <f>ROUND(AT101*Source!I106*AH101*AL101,2)</f>
        <v>0</v>
      </c>
      <c r="CV101">
        <f>ROUND(Y101*Source!I106,9)</f>
        <v>2.4</v>
      </c>
      <c r="CW101">
        <v>0</v>
      </c>
      <c r="CX101">
        <f>ROUND(Y101*Source!I106,9)</f>
        <v>2.4</v>
      </c>
      <c r="CY101">
        <f>AD101</f>
        <v>0</v>
      </c>
      <c r="CZ101">
        <f>AH101</f>
        <v>0</v>
      </c>
      <c r="DA101">
        <f>AL101</f>
        <v>1</v>
      </c>
      <c r="DB101">
        <f>ROUND((ROUND(AT101*CZ101,2)*1.2),6)</f>
        <v>0</v>
      </c>
      <c r="DC101">
        <f>ROUND((ROUND(AT101*AG101,2)*1.2),6)</f>
        <v>0</v>
      </c>
      <c r="DD101" t="s">
        <v>3</v>
      </c>
      <c r="DE101" t="s">
        <v>3</v>
      </c>
      <c r="DF101">
        <f>ROUND(ROUND(AE101,2)*CX101,2)</f>
        <v>0</v>
      </c>
      <c r="DG101">
        <f t="shared" si="28"/>
        <v>0</v>
      </c>
      <c r="DH101">
        <f t="shared" si="27"/>
        <v>0</v>
      </c>
      <c r="DI101">
        <f t="shared" si="25"/>
        <v>0</v>
      </c>
      <c r="DJ101">
        <f>DI101</f>
        <v>0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ROW(Source!A106)</f>
        <v>106</v>
      </c>
      <c r="B102">
        <v>55919549</v>
      </c>
      <c r="C102">
        <v>55919897</v>
      </c>
      <c r="D102">
        <v>55460239</v>
      </c>
      <c r="E102">
        <v>1</v>
      </c>
      <c r="F102">
        <v>1</v>
      </c>
      <c r="G102">
        <v>1081</v>
      </c>
      <c r="H102">
        <v>3</v>
      </c>
      <c r="I102" t="s">
        <v>285</v>
      </c>
      <c r="J102" t="s">
        <v>286</v>
      </c>
      <c r="K102" t="s">
        <v>287</v>
      </c>
      <c r="L102">
        <v>1348</v>
      </c>
      <c r="N102">
        <v>1009</v>
      </c>
      <c r="O102" t="s">
        <v>284</v>
      </c>
      <c r="P102" t="s">
        <v>284</v>
      </c>
      <c r="Q102">
        <v>1000</v>
      </c>
      <c r="W102">
        <v>0</v>
      </c>
      <c r="X102">
        <v>-1843244094</v>
      </c>
      <c r="Y102">
        <f>(AT102*1)</f>
        <v>2.4000000000000001E-5</v>
      </c>
      <c r="AA102">
        <v>91879.360000000001</v>
      </c>
      <c r="AB102">
        <v>0</v>
      </c>
      <c r="AC102">
        <v>0</v>
      </c>
      <c r="AD102">
        <v>0</v>
      </c>
      <c r="AE102">
        <v>12416.13</v>
      </c>
      <c r="AF102">
        <v>0</v>
      </c>
      <c r="AG102">
        <v>0</v>
      </c>
      <c r="AH102">
        <v>0</v>
      </c>
      <c r="AI102">
        <v>7.4</v>
      </c>
      <c r="AJ102">
        <v>1</v>
      </c>
      <c r="AK102">
        <v>1</v>
      </c>
      <c r="AL102">
        <v>1</v>
      </c>
      <c r="AM102">
        <v>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2.4000000000000001E-5</v>
      </c>
      <c r="AU102" t="s">
        <v>56</v>
      </c>
      <c r="AV102">
        <v>0</v>
      </c>
      <c r="AW102">
        <v>2</v>
      </c>
      <c r="AX102">
        <v>55919899</v>
      </c>
      <c r="AY102">
        <v>1</v>
      </c>
      <c r="AZ102">
        <v>0</v>
      </c>
      <c r="BA102">
        <v>116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ROUND(Y102*Source!I106,9)</f>
        <v>2.4000000000000001E-5</v>
      </c>
      <c r="CY102">
        <f>AA102</f>
        <v>91879.360000000001</v>
      </c>
      <c r="CZ102">
        <f>AE102</f>
        <v>12416.13</v>
      </c>
      <c r="DA102">
        <f>AI102</f>
        <v>7.4</v>
      </c>
      <c r="DB102">
        <f>ROUND((ROUND(AT102*CZ102,2)*1),6)</f>
        <v>0.3</v>
      </c>
      <c r="DC102">
        <f>ROUND((ROUND(AT102*AG102,2)*1),6)</f>
        <v>0</v>
      </c>
      <c r="DD102" t="s">
        <v>3</v>
      </c>
      <c r="DE102" t="s">
        <v>3</v>
      </c>
      <c r="DF102">
        <f>ROUND(ROUND(AE102*AI102,2)*CX102,2)</f>
        <v>2.21</v>
      </c>
      <c r="DG102">
        <f t="shared" si="28"/>
        <v>0</v>
      </c>
      <c r="DH102">
        <f t="shared" si="27"/>
        <v>0</v>
      </c>
      <c r="DI102">
        <f t="shared" si="25"/>
        <v>0</v>
      </c>
      <c r="DJ102">
        <f>DF102</f>
        <v>2.21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ROW(Source!A144)</f>
        <v>144</v>
      </c>
      <c r="B103">
        <v>55919547</v>
      </c>
      <c r="C103">
        <v>55919818</v>
      </c>
      <c r="D103">
        <v>55424304</v>
      </c>
      <c r="E103">
        <v>1081</v>
      </c>
      <c r="F103">
        <v>1</v>
      </c>
      <c r="G103">
        <v>1081</v>
      </c>
      <c r="H103">
        <v>1</v>
      </c>
      <c r="I103" t="s">
        <v>278</v>
      </c>
      <c r="J103" t="s">
        <v>3</v>
      </c>
      <c r="K103" t="s">
        <v>279</v>
      </c>
      <c r="L103">
        <v>1191</v>
      </c>
      <c r="N103">
        <v>1013</v>
      </c>
      <c r="O103" t="s">
        <v>280</v>
      </c>
      <c r="P103" t="s">
        <v>280</v>
      </c>
      <c r="Q103">
        <v>1</v>
      </c>
      <c r="W103">
        <v>0</v>
      </c>
      <c r="X103">
        <v>476480486</v>
      </c>
      <c r="Y103">
        <f>(AT103*1.2)</f>
        <v>0.96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0.8</v>
      </c>
      <c r="AU103" t="s">
        <v>57</v>
      </c>
      <c r="AV103">
        <v>1</v>
      </c>
      <c r="AW103">
        <v>2</v>
      </c>
      <c r="AX103">
        <v>55919819</v>
      </c>
      <c r="AY103">
        <v>1</v>
      </c>
      <c r="AZ103">
        <v>0</v>
      </c>
      <c r="BA103">
        <v>117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ROUND(AT103*Source!I144*AH103*AL103,2)</f>
        <v>0</v>
      </c>
      <c r="CV103">
        <f>ROUND(Y103*Source!I144,9)</f>
        <v>5.76</v>
      </c>
      <c r="CW103">
        <v>0</v>
      </c>
      <c r="CX103">
        <f>ROUND(Y103*Source!I144,9)</f>
        <v>5.76</v>
      </c>
      <c r="CY103">
        <f>AD103</f>
        <v>0</v>
      </c>
      <c r="CZ103">
        <f>AH103</f>
        <v>0</v>
      </c>
      <c r="DA103">
        <f>AL103</f>
        <v>1</v>
      </c>
      <c r="DB103">
        <f>ROUND((ROUND(AT103*CZ103,2)*1.2),6)</f>
        <v>0</v>
      </c>
      <c r="DC103">
        <f>ROUND((ROUND(AT103*AG103,2)*1.2),6)</f>
        <v>0</v>
      </c>
      <c r="DD103" t="s">
        <v>3</v>
      </c>
      <c r="DE103" t="s">
        <v>3</v>
      </c>
      <c r="DF103">
        <f>ROUND(ROUND(AE103,2)*CX103,2)</f>
        <v>0</v>
      </c>
      <c r="DG103">
        <f t="shared" si="28"/>
        <v>0</v>
      </c>
      <c r="DH103">
        <f t="shared" si="27"/>
        <v>0</v>
      </c>
      <c r="DI103">
        <f t="shared" si="25"/>
        <v>0</v>
      </c>
      <c r="DJ103">
        <f>DI103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ROW(Source!A144)</f>
        <v>144</v>
      </c>
      <c r="B104">
        <v>55919547</v>
      </c>
      <c r="C104">
        <v>55919818</v>
      </c>
      <c r="D104">
        <v>55460239</v>
      </c>
      <c r="E104">
        <v>1</v>
      </c>
      <c r="F104">
        <v>1</v>
      </c>
      <c r="G104">
        <v>1081</v>
      </c>
      <c r="H104">
        <v>3</v>
      </c>
      <c r="I104" t="s">
        <v>285</v>
      </c>
      <c r="J104" t="s">
        <v>286</v>
      </c>
      <c r="K104" t="s">
        <v>287</v>
      </c>
      <c r="L104">
        <v>1348</v>
      </c>
      <c r="N104">
        <v>1009</v>
      </c>
      <c r="O104" t="s">
        <v>284</v>
      </c>
      <c r="P104" t="s">
        <v>284</v>
      </c>
      <c r="Q104">
        <v>1000</v>
      </c>
      <c r="W104">
        <v>0</v>
      </c>
      <c r="X104">
        <v>-1843244094</v>
      </c>
      <c r="Y104">
        <f>(AT104*1)</f>
        <v>2.4000000000000001E-5</v>
      </c>
      <c r="AA104">
        <v>12416.13</v>
      </c>
      <c r="AB104">
        <v>0</v>
      </c>
      <c r="AC104">
        <v>0</v>
      </c>
      <c r="AD104">
        <v>0</v>
      </c>
      <c r="AE104">
        <v>12416.13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2.4000000000000001E-5</v>
      </c>
      <c r="AU104" t="s">
        <v>56</v>
      </c>
      <c r="AV104">
        <v>0</v>
      </c>
      <c r="AW104">
        <v>2</v>
      </c>
      <c r="AX104">
        <v>55919820</v>
      </c>
      <c r="AY104">
        <v>1</v>
      </c>
      <c r="AZ104">
        <v>0</v>
      </c>
      <c r="BA104">
        <v>118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ROUND(Y104*Source!I144,9)</f>
        <v>1.44E-4</v>
      </c>
      <c r="CY104">
        <f>AA104</f>
        <v>12416.13</v>
      </c>
      <c r="CZ104">
        <f>AE104</f>
        <v>12416.13</v>
      </c>
      <c r="DA104">
        <f>AI104</f>
        <v>1</v>
      </c>
      <c r="DB104">
        <f>ROUND((ROUND(AT104*CZ104,2)*1),6)</f>
        <v>0.3</v>
      </c>
      <c r="DC104">
        <f>ROUND((ROUND(AT104*AG104,2)*1),6)</f>
        <v>0</v>
      </c>
      <c r="DD104" t="s">
        <v>3</v>
      </c>
      <c r="DE104" t="s">
        <v>3</v>
      </c>
      <c r="DF104">
        <f>ROUND(ROUND(AE104,2)*CX104,2)</f>
        <v>1.79</v>
      </c>
      <c r="DG104">
        <f t="shared" si="28"/>
        <v>0</v>
      </c>
      <c r="DH104">
        <f t="shared" si="27"/>
        <v>0</v>
      </c>
      <c r="DI104">
        <f t="shared" si="25"/>
        <v>0</v>
      </c>
      <c r="DJ104">
        <f>DF104</f>
        <v>1.79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ROW(Source!A145)</f>
        <v>145</v>
      </c>
      <c r="B105">
        <v>55919549</v>
      </c>
      <c r="C105">
        <v>55919818</v>
      </c>
      <c r="D105">
        <v>55424304</v>
      </c>
      <c r="E105">
        <v>1081</v>
      </c>
      <c r="F105">
        <v>1</v>
      </c>
      <c r="G105">
        <v>1081</v>
      </c>
      <c r="H105">
        <v>1</v>
      </c>
      <c r="I105" t="s">
        <v>278</v>
      </c>
      <c r="J105" t="s">
        <v>3</v>
      </c>
      <c r="K105" t="s">
        <v>279</v>
      </c>
      <c r="L105">
        <v>1191</v>
      </c>
      <c r="N105">
        <v>1013</v>
      </c>
      <c r="O105" t="s">
        <v>280</v>
      </c>
      <c r="P105" t="s">
        <v>280</v>
      </c>
      <c r="Q105">
        <v>1</v>
      </c>
      <c r="W105">
        <v>0</v>
      </c>
      <c r="X105">
        <v>476480486</v>
      </c>
      <c r="Y105">
        <f>(AT105*1.2)</f>
        <v>0.96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5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0.8</v>
      </c>
      <c r="AU105" t="s">
        <v>57</v>
      </c>
      <c r="AV105">
        <v>1</v>
      </c>
      <c r="AW105">
        <v>2</v>
      </c>
      <c r="AX105">
        <v>55919819</v>
      </c>
      <c r="AY105">
        <v>1</v>
      </c>
      <c r="AZ105">
        <v>0</v>
      </c>
      <c r="BA105">
        <v>119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U105">
        <f>ROUND(AT105*Source!I145*AH105*AL105,2)</f>
        <v>0</v>
      </c>
      <c r="CV105">
        <f>ROUND(Y105*Source!I145,9)</f>
        <v>5.76</v>
      </c>
      <c r="CW105">
        <v>0</v>
      </c>
      <c r="CX105">
        <f>ROUND(Y105*Source!I145,9)</f>
        <v>5.76</v>
      </c>
      <c r="CY105">
        <f>AD105</f>
        <v>0</v>
      </c>
      <c r="CZ105">
        <f>AH105</f>
        <v>0</v>
      </c>
      <c r="DA105">
        <f>AL105</f>
        <v>1</v>
      </c>
      <c r="DB105">
        <f>ROUND((ROUND(AT105*CZ105,2)*1.2),6)</f>
        <v>0</v>
      </c>
      <c r="DC105">
        <f>ROUND((ROUND(AT105*AG105,2)*1.2),6)</f>
        <v>0</v>
      </c>
      <c r="DD105" t="s">
        <v>3</v>
      </c>
      <c r="DE105" t="s">
        <v>3</v>
      </c>
      <c r="DF105">
        <f>ROUND(ROUND(AE105,2)*CX105,2)</f>
        <v>0</v>
      </c>
      <c r="DG105">
        <f t="shared" si="28"/>
        <v>0</v>
      </c>
      <c r="DH105">
        <f t="shared" si="27"/>
        <v>0</v>
      </c>
      <c r="DI105">
        <f t="shared" si="25"/>
        <v>0</v>
      </c>
      <c r="DJ105">
        <f>DI105</f>
        <v>0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ROW(Source!A145)</f>
        <v>145</v>
      </c>
      <c r="B106">
        <v>55919549</v>
      </c>
      <c r="C106">
        <v>55919818</v>
      </c>
      <c r="D106">
        <v>55460239</v>
      </c>
      <c r="E106">
        <v>1</v>
      </c>
      <c r="F106">
        <v>1</v>
      </c>
      <c r="G106">
        <v>1081</v>
      </c>
      <c r="H106">
        <v>3</v>
      </c>
      <c r="I106" t="s">
        <v>285</v>
      </c>
      <c r="J106" t="s">
        <v>286</v>
      </c>
      <c r="K106" t="s">
        <v>287</v>
      </c>
      <c r="L106">
        <v>1348</v>
      </c>
      <c r="N106">
        <v>1009</v>
      </c>
      <c r="O106" t="s">
        <v>284</v>
      </c>
      <c r="P106" t="s">
        <v>284</v>
      </c>
      <c r="Q106">
        <v>1000</v>
      </c>
      <c r="W106">
        <v>0</v>
      </c>
      <c r="X106">
        <v>-1843244094</v>
      </c>
      <c r="Y106">
        <f>(AT106*1)</f>
        <v>2.4000000000000001E-5</v>
      </c>
      <c r="AA106">
        <v>91879.360000000001</v>
      </c>
      <c r="AB106">
        <v>0</v>
      </c>
      <c r="AC106">
        <v>0</v>
      </c>
      <c r="AD106">
        <v>0</v>
      </c>
      <c r="AE106">
        <v>12416.13</v>
      </c>
      <c r="AF106">
        <v>0</v>
      </c>
      <c r="AG106">
        <v>0</v>
      </c>
      <c r="AH106">
        <v>0</v>
      </c>
      <c r="AI106">
        <v>7.4</v>
      </c>
      <c r="AJ106">
        <v>1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2.4000000000000001E-5</v>
      </c>
      <c r="AU106" t="s">
        <v>56</v>
      </c>
      <c r="AV106">
        <v>0</v>
      </c>
      <c r="AW106">
        <v>2</v>
      </c>
      <c r="AX106">
        <v>55919820</v>
      </c>
      <c r="AY106">
        <v>1</v>
      </c>
      <c r="AZ106">
        <v>0</v>
      </c>
      <c r="BA106">
        <v>120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ROUND(Y106*Source!I145,9)</f>
        <v>1.44E-4</v>
      </c>
      <c r="CY106">
        <f>AA106</f>
        <v>91879.360000000001</v>
      </c>
      <c r="CZ106">
        <f>AE106</f>
        <v>12416.13</v>
      </c>
      <c r="DA106">
        <f>AI106</f>
        <v>7.4</v>
      </c>
      <c r="DB106">
        <f>ROUND((ROUND(AT106*CZ106,2)*1),6)</f>
        <v>0.3</v>
      </c>
      <c r="DC106">
        <f>ROUND((ROUND(AT106*AG106,2)*1),6)</f>
        <v>0</v>
      </c>
      <c r="DD106" t="s">
        <v>3</v>
      </c>
      <c r="DE106" t="s">
        <v>3</v>
      </c>
      <c r="DF106">
        <f>ROUND(ROUND(AE106*AI106,2)*CX106,2)</f>
        <v>13.23</v>
      </c>
      <c r="DG106">
        <f t="shared" si="28"/>
        <v>0</v>
      </c>
      <c r="DH106">
        <f t="shared" si="27"/>
        <v>0</v>
      </c>
      <c r="DI106">
        <f t="shared" si="25"/>
        <v>0</v>
      </c>
      <c r="DJ106">
        <f>DF106</f>
        <v>13.23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ROW(Source!A148)</f>
        <v>148</v>
      </c>
      <c r="B107">
        <v>55919547</v>
      </c>
      <c r="C107">
        <v>55919822</v>
      </c>
      <c r="D107">
        <v>55424304</v>
      </c>
      <c r="E107">
        <v>1081</v>
      </c>
      <c r="F107">
        <v>1</v>
      </c>
      <c r="G107">
        <v>1081</v>
      </c>
      <c r="H107">
        <v>1</v>
      </c>
      <c r="I107" t="s">
        <v>278</v>
      </c>
      <c r="J107" t="s">
        <v>3</v>
      </c>
      <c r="K107" t="s">
        <v>279</v>
      </c>
      <c r="L107">
        <v>1191</v>
      </c>
      <c r="N107">
        <v>1013</v>
      </c>
      <c r="O107" t="s">
        <v>280</v>
      </c>
      <c r="P107" t="s">
        <v>280</v>
      </c>
      <c r="Q107">
        <v>1</v>
      </c>
      <c r="W107">
        <v>0</v>
      </c>
      <c r="X107">
        <v>476480486</v>
      </c>
      <c r="Y107">
        <f>(AT107*1.2)</f>
        <v>22.608000000000001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-2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18.84</v>
      </c>
      <c r="AU107" t="s">
        <v>57</v>
      </c>
      <c r="AV107">
        <v>1</v>
      </c>
      <c r="AW107">
        <v>2</v>
      </c>
      <c r="AX107">
        <v>55919823</v>
      </c>
      <c r="AY107">
        <v>1</v>
      </c>
      <c r="AZ107">
        <v>0</v>
      </c>
      <c r="BA107">
        <v>121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U107">
        <f>ROUND(AT107*Source!I148*AH107*AL107,2)</f>
        <v>0</v>
      </c>
      <c r="CV107">
        <f>ROUND(Y107*Source!I148,9)</f>
        <v>1.3564799999999999</v>
      </c>
      <c r="CW107">
        <v>0</v>
      </c>
      <c r="CX107">
        <f>ROUND(Y107*Source!I148,9)</f>
        <v>1.3564799999999999</v>
      </c>
      <c r="CY107">
        <f>AD107</f>
        <v>0</v>
      </c>
      <c r="CZ107">
        <f>AH107</f>
        <v>0</v>
      </c>
      <c r="DA107">
        <f>AL107</f>
        <v>1</v>
      </c>
      <c r="DB107">
        <f>ROUND((ROUND(AT107*CZ107,2)*1.2),6)</f>
        <v>0</v>
      </c>
      <c r="DC107">
        <f>ROUND((ROUND(AT107*AG107,2)*1.2),6)</f>
        <v>0</v>
      </c>
      <c r="DD107" t="s">
        <v>3</v>
      </c>
      <c r="DE107" t="s">
        <v>3</v>
      </c>
      <c r="DF107">
        <f>ROUND(ROUND(AE107,2)*CX107,2)</f>
        <v>0</v>
      </c>
      <c r="DG107">
        <f t="shared" si="28"/>
        <v>0</v>
      </c>
      <c r="DH107">
        <f t="shared" si="27"/>
        <v>0</v>
      </c>
      <c r="DI107">
        <f t="shared" si="25"/>
        <v>0</v>
      </c>
      <c r="DJ107">
        <f>DI107</f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ROW(Source!A148)</f>
        <v>148</v>
      </c>
      <c r="B108">
        <v>55919547</v>
      </c>
      <c r="C108">
        <v>55919822</v>
      </c>
      <c r="D108">
        <v>55490209</v>
      </c>
      <c r="E108">
        <v>1</v>
      </c>
      <c r="F108">
        <v>1</v>
      </c>
      <c r="G108">
        <v>1081</v>
      </c>
      <c r="H108">
        <v>2</v>
      </c>
      <c r="I108" t="s">
        <v>296</v>
      </c>
      <c r="J108" t="s">
        <v>297</v>
      </c>
      <c r="K108" t="s">
        <v>298</v>
      </c>
      <c r="L108">
        <v>1368</v>
      </c>
      <c r="N108">
        <v>1011</v>
      </c>
      <c r="O108" t="s">
        <v>291</v>
      </c>
      <c r="P108" t="s">
        <v>291</v>
      </c>
      <c r="Q108">
        <v>1</v>
      </c>
      <c r="W108">
        <v>0</v>
      </c>
      <c r="X108">
        <v>874612079</v>
      </c>
      <c r="Y108">
        <f>(AT108*1.2)</f>
        <v>1.2E-2</v>
      </c>
      <c r="AA108">
        <v>0</v>
      </c>
      <c r="AB108">
        <v>87.01</v>
      </c>
      <c r="AC108">
        <v>13.21</v>
      </c>
      <c r="AD108">
        <v>0</v>
      </c>
      <c r="AE108">
        <v>0</v>
      </c>
      <c r="AF108">
        <v>83.1</v>
      </c>
      <c r="AG108">
        <v>12.62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-2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0.01</v>
      </c>
      <c r="AU108" t="s">
        <v>57</v>
      </c>
      <c r="AV108">
        <v>0</v>
      </c>
      <c r="AW108">
        <v>2</v>
      </c>
      <c r="AX108">
        <v>55919824</v>
      </c>
      <c r="AY108">
        <v>1</v>
      </c>
      <c r="AZ108">
        <v>0</v>
      </c>
      <c r="BA108">
        <v>122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f>ROUND(Y108*Source!I148*DO108,9)</f>
        <v>9.0863999999999997E-3</v>
      </c>
      <c r="CX108">
        <f>ROUND(Y108*Source!I148,9)</f>
        <v>7.2000000000000005E-4</v>
      </c>
      <c r="CY108">
        <f>AB108</f>
        <v>87.01</v>
      </c>
      <c r="CZ108">
        <f>AF108</f>
        <v>83.1</v>
      </c>
      <c r="DA108">
        <f>AJ108</f>
        <v>1</v>
      </c>
      <c r="DB108">
        <f>ROUND((ROUND(AT108*CZ108,2)*1.2),6)</f>
        <v>0.996</v>
      </c>
      <c r="DC108">
        <f>ROUND((ROUND(AT108*AG108,2)*1.2),6)</f>
        <v>0.156</v>
      </c>
      <c r="DD108" t="s">
        <v>3</v>
      </c>
      <c r="DE108" t="s">
        <v>3</v>
      </c>
      <c r="DF108">
        <f>ROUND(ROUND(AE108,2)*CX108,2)</f>
        <v>0</v>
      </c>
      <c r="DG108">
        <f t="shared" si="28"/>
        <v>0.06</v>
      </c>
      <c r="DH108">
        <f t="shared" si="27"/>
        <v>0.01</v>
      </c>
      <c r="DI108">
        <f t="shared" si="25"/>
        <v>0</v>
      </c>
      <c r="DJ108">
        <f>DG108</f>
        <v>0.06</v>
      </c>
      <c r="DK108">
        <v>0</v>
      </c>
      <c r="DL108" t="s">
        <v>292</v>
      </c>
      <c r="DM108">
        <v>0</v>
      </c>
      <c r="DN108" t="s">
        <v>280</v>
      </c>
      <c r="DO108">
        <v>12.62</v>
      </c>
    </row>
    <row r="109" spans="1:119" x14ac:dyDescent="0.2">
      <c r="A109">
        <f>ROW(Source!A148)</f>
        <v>148</v>
      </c>
      <c r="B109">
        <v>55919547</v>
      </c>
      <c r="C109">
        <v>55919822</v>
      </c>
      <c r="D109">
        <v>55477464</v>
      </c>
      <c r="E109">
        <v>1</v>
      </c>
      <c r="F109">
        <v>1</v>
      </c>
      <c r="G109">
        <v>1081</v>
      </c>
      <c r="H109">
        <v>3</v>
      </c>
      <c r="I109" t="s">
        <v>192</v>
      </c>
      <c r="J109" t="s">
        <v>193</v>
      </c>
      <c r="K109" t="s">
        <v>493</v>
      </c>
      <c r="L109">
        <v>1354</v>
      </c>
      <c r="N109">
        <v>1010</v>
      </c>
      <c r="O109" t="s">
        <v>156</v>
      </c>
      <c r="P109" t="s">
        <v>156</v>
      </c>
      <c r="Q109">
        <v>1</v>
      </c>
      <c r="W109">
        <v>0</v>
      </c>
      <c r="X109">
        <v>653291748</v>
      </c>
      <c r="Y109">
        <f>(AT109*1)</f>
        <v>102</v>
      </c>
      <c r="AA109">
        <v>133.05000000000001</v>
      </c>
      <c r="AB109">
        <v>0</v>
      </c>
      <c r="AC109">
        <v>0</v>
      </c>
      <c r="AD109">
        <v>0</v>
      </c>
      <c r="AE109">
        <v>133.05000000000001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 t="s">
        <v>3</v>
      </c>
      <c r="AT109">
        <v>102</v>
      </c>
      <c r="AU109" t="s">
        <v>56</v>
      </c>
      <c r="AV109">
        <v>0</v>
      </c>
      <c r="AW109">
        <v>1</v>
      </c>
      <c r="AX109">
        <v>-1</v>
      </c>
      <c r="AY109">
        <v>0</v>
      </c>
      <c r="AZ109">
        <v>0</v>
      </c>
      <c r="BA109" t="s">
        <v>3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ROUND(Y109*Source!I148,9)</f>
        <v>6.12</v>
      </c>
      <c r="CY109">
        <f>AA109</f>
        <v>133.05000000000001</v>
      </c>
      <c r="CZ109">
        <f>AE109</f>
        <v>133.05000000000001</v>
      </c>
      <c r="DA109">
        <f>AI109</f>
        <v>1</v>
      </c>
      <c r="DB109">
        <f>ROUND((ROUND(AT109*CZ109,2)*1),6)</f>
        <v>13571.1</v>
      </c>
      <c r="DC109">
        <f>ROUND((ROUND(AT109*AG109,2)*1),6)</f>
        <v>0</v>
      </c>
      <c r="DD109" t="s">
        <v>3</v>
      </c>
      <c r="DE109" t="s">
        <v>3</v>
      </c>
      <c r="DF109">
        <f>ROUND(ROUND(AE109,2)*CX109,2)</f>
        <v>814.27</v>
      </c>
      <c r="DG109">
        <f t="shared" si="28"/>
        <v>0</v>
      </c>
      <c r="DH109">
        <f t="shared" si="27"/>
        <v>0</v>
      </c>
      <c r="DI109">
        <f t="shared" si="25"/>
        <v>0</v>
      </c>
      <c r="DJ109">
        <f>DF109</f>
        <v>814.27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ROW(Source!A149)</f>
        <v>149</v>
      </c>
      <c r="B110">
        <v>55919549</v>
      </c>
      <c r="C110">
        <v>55919822</v>
      </c>
      <c r="D110">
        <v>55424304</v>
      </c>
      <c r="E110">
        <v>1081</v>
      </c>
      <c r="F110">
        <v>1</v>
      </c>
      <c r="G110">
        <v>1081</v>
      </c>
      <c r="H110">
        <v>1</v>
      </c>
      <c r="I110" t="s">
        <v>278</v>
      </c>
      <c r="J110" t="s">
        <v>3</v>
      </c>
      <c r="K110" t="s">
        <v>279</v>
      </c>
      <c r="L110">
        <v>1191</v>
      </c>
      <c r="N110">
        <v>1013</v>
      </c>
      <c r="O110" t="s">
        <v>280</v>
      </c>
      <c r="P110" t="s">
        <v>280</v>
      </c>
      <c r="Q110">
        <v>1</v>
      </c>
      <c r="W110">
        <v>0</v>
      </c>
      <c r="X110">
        <v>476480486</v>
      </c>
      <c r="Y110">
        <f>(AT110*1.2)</f>
        <v>22.608000000000001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5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18.84</v>
      </c>
      <c r="AU110" t="s">
        <v>57</v>
      </c>
      <c r="AV110">
        <v>1</v>
      </c>
      <c r="AW110">
        <v>2</v>
      </c>
      <c r="AX110">
        <v>55919823</v>
      </c>
      <c r="AY110">
        <v>1</v>
      </c>
      <c r="AZ110">
        <v>0</v>
      </c>
      <c r="BA110">
        <v>124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U110">
        <f>ROUND(AT110*Source!I149*AH110*AL110,2)</f>
        <v>0</v>
      </c>
      <c r="CV110">
        <f>ROUND(Y110*Source!I149,9)</f>
        <v>1.3564799999999999</v>
      </c>
      <c r="CW110">
        <v>0</v>
      </c>
      <c r="CX110">
        <f>ROUND(Y110*Source!I149,9)</f>
        <v>1.3564799999999999</v>
      </c>
      <c r="CY110">
        <f>AD110</f>
        <v>0</v>
      </c>
      <c r="CZ110">
        <f>AH110</f>
        <v>0</v>
      </c>
      <c r="DA110">
        <f>AL110</f>
        <v>1</v>
      </c>
      <c r="DB110">
        <f>ROUND((ROUND(AT110*CZ110,2)*1.2),6)</f>
        <v>0</v>
      </c>
      <c r="DC110">
        <f>ROUND((ROUND(AT110*AG110,2)*1.2),6)</f>
        <v>0</v>
      </c>
      <c r="DD110" t="s">
        <v>3</v>
      </c>
      <c r="DE110" t="s">
        <v>3</v>
      </c>
      <c r="DF110">
        <f>ROUND(ROUND(AE110,2)*CX110,2)</f>
        <v>0</v>
      </c>
      <c r="DG110">
        <f t="shared" si="28"/>
        <v>0</v>
      </c>
      <c r="DH110">
        <f t="shared" si="27"/>
        <v>0</v>
      </c>
      <c r="DI110">
        <f t="shared" si="25"/>
        <v>0</v>
      </c>
      <c r="DJ110">
        <f>DI110</f>
        <v>0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ROW(Source!A149)</f>
        <v>149</v>
      </c>
      <c r="B111">
        <v>55919549</v>
      </c>
      <c r="C111">
        <v>55919822</v>
      </c>
      <c r="D111">
        <v>55490209</v>
      </c>
      <c r="E111">
        <v>1</v>
      </c>
      <c r="F111">
        <v>1</v>
      </c>
      <c r="G111">
        <v>1081</v>
      </c>
      <c r="H111">
        <v>2</v>
      </c>
      <c r="I111" t="s">
        <v>296</v>
      </c>
      <c r="J111" t="s">
        <v>297</v>
      </c>
      <c r="K111" t="s">
        <v>298</v>
      </c>
      <c r="L111">
        <v>1368</v>
      </c>
      <c r="N111">
        <v>1011</v>
      </c>
      <c r="O111" t="s">
        <v>291</v>
      </c>
      <c r="P111" t="s">
        <v>291</v>
      </c>
      <c r="Q111">
        <v>1</v>
      </c>
      <c r="W111">
        <v>0</v>
      </c>
      <c r="X111">
        <v>874612079</v>
      </c>
      <c r="Y111">
        <f>(AT111*1.2)</f>
        <v>1.2E-2</v>
      </c>
      <c r="AA111">
        <v>0</v>
      </c>
      <c r="AB111">
        <v>1485.19</v>
      </c>
      <c r="AC111">
        <v>744.56</v>
      </c>
      <c r="AD111">
        <v>0</v>
      </c>
      <c r="AE111">
        <v>0</v>
      </c>
      <c r="AF111">
        <v>83.1</v>
      </c>
      <c r="AG111">
        <v>12.62</v>
      </c>
      <c r="AH111">
        <v>0</v>
      </c>
      <c r="AI111">
        <v>1</v>
      </c>
      <c r="AJ111">
        <v>17.07</v>
      </c>
      <c r="AK111">
        <v>56.35</v>
      </c>
      <c r="AL111">
        <v>1</v>
      </c>
      <c r="AM111">
        <v>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0.01</v>
      </c>
      <c r="AU111" t="s">
        <v>57</v>
      </c>
      <c r="AV111">
        <v>0</v>
      </c>
      <c r="AW111">
        <v>2</v>
      </c>
      <c r="AX111">
        <v>55919824</v>
      </c>
      <c r="AY111">
        <v>1</v>
      </c>
      <c r="AZ111">
        <v>0</v>
      </c>
      <c r="BA111">
        <v>125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f>ROUND(Y111*Source!I149*DO111,9)</f>
        <v>9.0863999999999997E-3</v>
      </c>
      <c r="CX111">
        <f>ROUND(Y111*Source!I149,9)</f>
        <v>7.2000000000000005E-4</v>
      </c>
      <c r="CY111">
        <f>AB111</f>
        <v>1485.19</v>
      </c>
      <c r="CZ111">
        <f>AF111</f>
        <v>83.1</v>
      </c>
      <c r="DA111">
        <f>AJ111</f>
        <v>17.07</v>
      </c>
      <c r="DB111">
        <f>ROUND((ROUND(AT111*CZ111,2)*1.2),6)</f>
        <v>0.996</v>
      </c>
      <c r="DC111">
        <f>ROUND((ROUND(AT111*AG111,2)*1.2),6)</f>
        <v>0.156</v>
      </c>
      <c r="DD111" t="s">
        <v>3</v>
      </c>
      <c r="DE111" t="s">
        <v>3</v>
      </c>
      <c r="DF111">
        <f>ROUND(ROUND(AE111,2)*CX111,2)</f>
        <v>0</v>
      </c>
      <c r="DG111">
        <f>ROUND(ROUND(AF111*AJ111,2)*CX111,2)</f>
        <v>1.02</v>
      </c>
      <c r="DH111">
        <f>ROUND(ROUND(AG111*AK111,2)*CX111,2)</f>
        <v>0.51</v>
      </c>
      <c r="DI111">
        <f t="shared" si="25"/>
        <v>0</v>
      </c>
      <c r="DJ111">
        <f>DG111</f>
        <v>1.02</v>
      </c>
      <c r="DK111">
        <v>0</v>
      </c>
      <c r="DL111" t="s">
        <v>292</v>
      </c>
      <c r="DM111">
        <v>0</v>
      </c>
      <c r="DN111" t="s">
        <v>280</v>
      </c>
      <c r="DO111">
        <v>12.62</v>
      </c>
    </row>
    <row r="112" spans="1:119" x14ac:dyDescent="0.2">
      <c r="A112">
        <f>ROW(Source!A149)</f>
        <v>149</v>
      </c>
      <c r="B112">
        <v>55919549</v>
      </c>
      <c r="C112">
        <v>55919822</v>
      </c>
      <c r="D112">
        <v>55477464</v>
      </c>
      <c r="E112">
        <v>1</v>
      </c>
      <c r="F112">
        <v>1</v>
      </c>
      <c r="G112">
        <v>1081</v>
      </c>
      <c r="H112">
        <v>3</v>
      </c>
      <c r="I112" t="s">
        <v>192</v>
      </c>
      <c r="J112" t="s">
        <v>193</v>
      </c>
      <c r="K112" t="s">
        <v>493</v>
      </c>
      <c r="L112">
        <v>1354</v>
      </c>
      <c r="N112">
        <v>1010</v>
      </c>
      <c r="O112" t="s">
        <v>156</v>
      </c>
      <c r="P112" t="s">
        <v>156</v>
      </c>
      <c r="Q112">
        <v>1</v>
      </c>
      <c r="W112">
        <v>0</v>
      </c>
      <c r="X112">
        <v>653291748</v>
      </c>
      <c r="Y112">
        <f>(AT112*1)</f>
        <v>102</v>
      </c>
      <c r="AA112">
        <v>1242.69</v>
      </c>
      <c r="AB112">
        <v>0</v>
      </c>
      <c r="AC112">
        <v>0</v>
      </c>
      <c r="AD112">
        <v>0</v>
      </c>
      <c r="AE112">
        <v>133.05000000000001</v>
      </c>
      <c r="AF112">
        <v>0</v>
      </c>
      <c r="AG112">
        <v>0</v>
      </c>
      <c r="AH112">
        <v>0</v>
      </c>
      <c r="AI112">
        <v>9.34</v>
      </c>
      <c r="AJ112">
        <v>1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 t="s">
        <v>3</v>
      </c>
      <c r="AT112">
        <v>102</v>
      </c>
      <c r="AU112" t="s">
        <v>56</v>
      </c>
      <c r="AV112">
        <v>0</v>
      </c>
      <c r="AW112">
        <v>1</v>
      </c>
      <c r="AX112">
        <v>-1</v>
      </c>
      <c r="AY112">
        <v>0</v>
      </c>
      <c r="AZ112">
        <v>0</v>
      </c>
      <c r="BA112" t="s">
        <v>3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ROUND(Y112*Source!I149,9)</f>
        <v>6.12</v>
      </c>
      <c r="CY112">
        <f>AA112</f>
        <v>1242.69</v>
      </c>
      <c r="CZ112">
        <f>AE112</f>
        <v>133.05000000000001</v>
      </c>
      <c r="DA112">
        <f>AI112</f>
        <v>9.34</v>
      </c>
      <c r="DB112">
        <f>ROUND((ROUND(AT112*CZ112,2)*1),6)</f>
        <v>13571.1</v>
      </c>
      <c r="DC112">
        <f>ROUND((ROUND(AT112*AG112,2)*1),6)</f>
        <v>0</v>
      </c>
      <c r="DD112" t="s">
        <v>3</v>
      </c>
      <c r="DE112" t="s">
        <v>3</v>
      </c>
      <c r="DF112">
        <f>ROUND(ROUND(AE112*AI112,2)*CX112,2)</f>
        <v>7605.26</v>
      </c>
      <c r="DG112">
        <f t="shared" ref="DG112:DG122" si="29">ROUND(ROUND(AF112,2)*CX112,2)</f>
        <v>0</v>
      </c>
      <c r="DH112">
        <f t="shared" ref="DH112:DH122" si="30">ROUND(ROUND(AG112,2)*CX112,2)</f>
        <v>0</v>
      </c>
      <c r="DI112">
        <f t="shared" si="25"/>
        <v>0</v>
      </c>
      <c r="DJ112">
        <f>DF112</f>
        <v>7605.26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ROW(Source!A189)</f>
        <v>189</v>
      </c>
      <c r="B113">
        <v>55919547</v>
      </c>
      <c r="C113">
        <v>55927910</v>
      </c>
      <c r="D113">
        <v>55424304</v>
      </c>
      <c r="E113">
        <v>1081</v>
      </c>
      <c r="F113">
        <v>1</v>
      </c>
      <c r="G113">
        <v>1081</v>
      </c>
      <c r="H113">
        <v>1</v>
      </c>
      <c r="I113" t="s">
        <v>278</v>
      </c>
      <c r="J113" t="s">
        <v>3</v>
      </c>
      <c r="K113" t="s">
        <v>279</v>
      </c>
      <c r="L113">
        <v>1191</v>
      </c>
      <c r="N113">
        <v>1013</v>
      </c>
      <c r="O113" t="s">
        <v>280</v>
      </c>
      <c r="P113" t="s">
        <v>280</v>
      </c>
      <c r="Q113">
        <v>1</v>
      </c>
      <c r="W113">
        <v>0</v>
      </c>
      <c r="X113">
        <v>476480486</v>
      </c>
      <c r="Y113">
        <f>(AT113*1.2)</f>
        <v>5.3879999999999999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4.49</v>
      </c>
      <c r="AU113" t="s">
        <v>57</v>
      </c>
      <c r="AV113">
        <v>1</v>
      </c>
      <c r="AW113">
        <v>2</v>
      </c>
      <c r="AX113">
        <v>55927921</v>
      </c>
      <c r="AY113">
        <v>1</v>
      </c>
      <c r="AZ113">
        <v>0</v>
      </c>
      <c r="BA113">
        <v>127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U113">
        <f>ROUND(AT113*Source!I189*AH113*AL113,2)</f>
        <v>0</v>
      </c>
      <c r="CV113">
        <f>ROUND(Y113*Source!I189,9)</f>
        <v>11.3148</v>
      </c>
      <c r="CW113">
        <v>0</v>
      </c>
      <c r="CX113">
        <f>ROUND(Y113*Source!I189,9)</f>
        <v>11.3148</v>
      </c>
      <c r="CY113">
        <f>AD113</f>
        <v>0</v>
      </c>
      <c r="CZ113">
        <f>AH113</f>
        <v>0</v>
      </c>
      <c r="DA113">
        <f>AL113</f>
        <v>1</v>
      </c>
      <c r="DB113">
        <f>ROUND((ROUND(AT113*CZ113,2)*1.2),6)</f>
        <v>0</v>
      </c>
      <c r="DC113">
        <f>ROUND((ROUND(AT113*AG113,2)*1.2),6)</f>
        <v>0</v>
      </c>
      <c r="DD113" t="s">
        <v>3</v>
      </c>
      <c r="DE113" t="s">
        <v>3</v>
      </c>
      <c r="DF113">
        <f t="shared" ref="DF113:DF124" si="31">ROUND(ROUND(AE113,2)*CX113,2)</f>
        <v>0</v>
      </c>
      <c r="DG113">
        <f t="shared" si="29"/>
        <v>0</v>
      </c>
      <c r="DH113">
        <f t="shared" si="30"/>
        <v>0</v>
      </c>
      <c r="DI113">
        <f t="shared" si="25"/>
        <v>0</v>
      </c>
      <c r="DJ113">
        <f>DI113</f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ROW(Source!A189)</f>
        <v>189</v>
      </c>
      <c r="B114">
        <v>55919547</v>
      </c>
      <c r="C114">
        <v>55927910</v>
      </c>
      <c r="D114">
        <v>55490209</v>
      </c>
      <c r="E114">
        <v>1</v>
      </c>
      <c r="F114">
        <v>1</v>
      </c>
      <c r="G114">
        <v>1081</v>
      </c>
      <c r="H114">
        <v>2</v>
      </c>
      <c r="I114" t="s">
        <v>296</v>
      </c>
      <c r="J114" t="s">
        <v>297</v>
      </c>
      <c r="K114" t="s">
        <v>298</v>
      </c>
      <c r="L114">
        <v>1368</v>
      </c>
      <c r="N114">
        <v>1011</v>
      </c>
      <c r="O114" t="s">
        <v>291</v>
      </c>
      <c r="P114" t="s">
        <v>291</v>
      </c>
      <c r="Q114">
        <v>1</v>
      </c>
      <c r="W114">
        <v>0</v>
      </c>
      <c r="X114">
        <v>874612079</v>
      </c>
      <c r="Y114">
        <f>(AT114*1.2)</f>
        <v>1.2E-2</v>
      </c>
      <c r="AA114">
        <v>0</v>
      </c>
      <c r="AB114">
        <v>87.01</v>
      </c>
      <c r="AC114">
        <v>13.21</v>
      </c>
      <c r="AD114">
        <v>0</v>
      </c>
      <c r="AE114">
        <v>0</v>
      </c>
      <c r="AF114">
        <v>83.1</v>
      </c>
      <c r="AG114">
        <v>12.62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0.01</v>
      </c>
      <c r="AU114" t="s">
        <v>57</v>
      </c>
      <c r="AV114">
        <v>0</v>
      </c>
      <c r="AW114">
        <v>2</v>
      </c>
      <c r="AX114">
        <v>55927922</v>
      </c>
      <c r="AY114">
        <v>1</v>
      </c>
      <c r="AZ114">
        <v>0</v>
      </c>
      <c r="BA114">
        <v>128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f>ROUND(Y114*Source!I189*DO114,9)</f>
        <v>0.31802399999999997</v>
      </c>
      <c r="CX114">
        <f>ROUND(Y114*Source!I189,9)</f>
        <v>2.52E-2</v>
      </c>
      <c r="CY114">
        <f>AB114</f>
        <v>87.01</v>
      </c>
      <c r="CZ114">
        <f>AF114</f>
        <v>83.1</v>
      </c>
      <c r="DA114">
        <f>AJ114</f>
        <v>1</v>
      </c>
      <c r="DB114">
        <f>ROUND((ROUND(AT114*CZ114,2)*1.2),6)</f>
        <v>0.996</v>
      </c>
      <c r="DC114">
        <f>ROUND((ROUND(AT114*AG114,2)*1.2),6)</f>
        <v>0.156</v>
      </c>
      <c r="DD114" t="s">
        <v>3</v>
      </c>
      <c r="DE114" t="s">
        <v>3</v>
      </c>
      <c r="DF114">
        <f t="shared" si="31"/>
        <v>0</v>
      </c>
      <c r="DG114">
        <f t="shared" si="29"/>
        <v>2.09</v>
      </c>
      <c r="DH114">
        <f t="shared" si="30"/>
        <v>0.32</v>
      </c>
      <c r="DI114">
        <f t="shared" si="25"/>
        <v>0</v>
      </c>
      <c r="DJ114">
        <f>DG114</f>
        <v>2.09</v>
      </c>
      <c r="DK114">
        <v>0</v>
      </c>
      <c r="DL114" t="s">
        <v>292</v>
      </c>
      <c r="DM114">
        <v>0</v>
      </c>
      <c r="DN114" t="s">
        <v>280</v>
      </c>
      <c r="DO114">
        <v>12.62</v>
      </c>
    </row>
    <row r="115" spans="1:119" x14ac:dyDescent="0.2">
      <c r="A115">
        <f>ROW(Source!A189)</f>
        <v>189</v>
      </c>
      <c r="B115">
        <v>55919547</v>
      </c>
      <c r="C115">
        <v>55927910</v>
      </c>
      <c r="D115">
        <v>55489443</v>
      </c>
      <c r="E115">
        <v>1</v>
      </c>
      <c r="F115">
        <v>1</v>
      </c>
      <c r="G115">
        <v>1081</v>
      </c>
      <c r="H115">
        <v>2</v>
      </c>
      <c r="I115" t="s">
        <v>332</v>
      </c>
      <c r="J115" t="s">
        <v>333</v>
      </c>
      <c r="K115" t="s">
        <v>334</v>
      </c>
      <c r="L115">
        <v>1368</v>
      </c>
      <c r="N115">
        <v>1011</v>
      </c>
      <c r="O115" t="s">
        <v>291</v>
      </c>
      <c r="P115" t="s">
        <v>291</v>
      </c>
      <c r="Q115">
        <v>1</v>
      </c>
      <c r="W115">
        <v>0</v>
      </c>
      <c r="X115">
        <v>-44940208</v>
      </c>
      <c r="Y115">
        <f>(AT115*1.2)</f>
        <v>1.2E-2</v>
      </c>
      <c r="AA115">
        <v>0</v>
      </c>
      <c r="AB115">
        <v>187.59</v>
      </c>
      <c r="AC115">
        <v>17.73</v>
      </c>
      <c r="AD115">
        <v>0</v>
      </c>
      <c r="AE115">
        <v>0</v>
      </c>
      <c r="AF115">
        <v>179.17</v>
      </c>
      <c r="AG115">
        <v>16.93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0.01</v>
      </c>
      <c r="AU115" t="s">
        <v>57</v>
      </c>
      <c r="AV115">
        <v>0</v>
      </c>
      <c r="AW115">
        <v>2</v>
      </c>
      <c r="AX115">
        <v>55927923</v>
      </c>
      <c r="AY115">
        <v>1</v>
      </c>
      <c r="AZ115">
        <v>0</v>
      </c>
      <c r="BA115">
        <v>129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f>ROUND(Y115*Source!I189*DO115,9)</f>
        <v>0.42663600000000002</v>
      </c>
      <c r="CX115">
        <f>ROUND(Y115*Source!I189,9)</f>
        <v>2.52E-2</v>
      </c>
      <c r="CY115">
        <f>AB115</f>
        <v>187.59</v>
      </c>
      <c r="CZ115">
        <f>AF115</f>
        <v>179.17</v>
      </c>
      <c r="DA115">
        <f>AJ115</f>
        <v>1</v>
      </c>
      <c r="DB115">
        <f>ROUND((ROUND(AT115*CZ115,2)*1.2),6)</f>
        <v>2.1480000000000001</v>
      </c>
      <c r="DC115">
        <f>ROUND((ROUND(AT115*AG115,2)*1.2),6)</f>
        <v>0.20399999999999999</v>
      </c>
      <c r="DD115" t="s">
        <v>3</v>
      </c>
      <c r="DE115" t="s">
        <v>3</v>
      </c>
      <c r="DF115">
        <f t="shared" si="31"/>
        <v>0</v>
      </c>
      <c r="DG115">
        <f t="shared" si="29"/>
        <v>4.5199999999999996</v>
      </c>
      <c r="DH115">
        <f t="shared" si="30"/>
        <v>0.43</v>
      </c>
      <c r="DI115">
        <f t="shared" si="25"/>
        <v>0</v>
      </c>
      <c r="DJ115">
        <f>DG115</f>
        <v>4.5199999999999996</v>
      </c>
      <c r="DK115">
        <v>0</v>
      </c>
      <c r="DL115" t="s">
        <v>292</v>
      </c>
      <c r="DM115">
        <v>0</v>
      </c>
      <c r="DN115" t="s">
        <v>280</v>
      </c>
      <c r="DO115">
        <v>16.93</v>
      </c>
    </row>
    <row r="116" spans="1:119" x14ac:dyDescent="0.2">
      <c r="A116">
        <f>ROW(Source!A189)</f>
        <v>189</v>
      </c>
      <c r="B116">
        <v>55919547</v>
      </c>
      <c r="C116">
        <v>55927910</v>
      </c>
      <c r="D116">
        <v>55460033</v>
      </c>
      <c r="E116">
        <v>1</v>
      </c>
      <c r="F116">
        <v>1</v>
      </c>
      <c r="G116">
        <v>1081</v>
      </c>
      <c r="H116">
        <v>3</v>
      </c>
      <c r="I116" t="s">
        <v>335</v>
      </c>
      <c r="J116" t="s">
        <v>336</v>
      </c>
      <c r="K116" t="s">
        <v>337</v>
      </c>
      <c r="L116">
        <v>1346</v>
      </c>
      <c r="N116">
        <v>1009</v>
      </c>
      <c r="O116" t="s">
        <v>151</v>
      </c>
      <c r="P116" t="s">
        <v>151</v>
      </c>
      <c r="Q116">
        <v>1</v>
      </c>
      <c r="W116">
        <v>0</v>
      </c>
      <c r="X116">
        <v>-1364668115</v>
      </c>
      <c r="Y116">
        <f t="shared" ref="Y116:Y121" si="32">(AT116*1)</f>
        <v>0.43</v>
      </c>
      <c r="AA116">
        <v>1.38</v>
      </c>
      <c r="AB116">
        <v>0</v>
      </c>
      <c r="AC116">
        <v>0</v>
      </c>
      <c r="AD116">
        <v>0</v>
      </c>
      <c r="AE116">
        <v>1.38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0.43</v>
      </c>
      <c r="AU116" t="s">
        <v>56</v>
      </c>
      <c r="AV116">
        <v>0</v>
      </c>
      <c r="AW116">
        <v>2</v>
      </c>
      <c r="AX116">
        <v>55927924</v>
      </c>
      <c r="AY116">
        <v>1</v>
      </c>
      <c r="AZ116">
        <v>0</v>
      </c>
      <c r="BA116">
        <v>130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ROUND(Y116*Source!I189,9)</f>
        <v>0.90300000000000002</v>
      </c>
      <c r="CY116">
        <f t="shared" ref="CY116:CY121" si="33">AA116</f>
        <v>1.38</v>
      </c>
      <c r="CZ116">
        <f t="shared" ref="CZ116:CZ121" si="34">AE116</f>
        <v>1.38</v>
      </c>
      <c r="DA116">
        <f t="shared" ref="DA116:DA121" si="35">AI116</f>
        <v>1</v>
      </c>
      <c r="DB116">
        <f t="shared" ref="DB116:DB121" si="36">ROUND((ROUND(AT116*CZ116,2)*1),6)</f>
        <v>0.59</v>
      </c>
      <c r="DC116">
        <f t="shared" ref="DC116:DC121" si="37">ROUND((ROUND(AT116*AG116,2)*1),6)</f>
        <v>0</v>
      </c>
      <c r="DD116" t="s">
        <v>3</v>
      </c>
      <c r="DE116" t="s">
        <v>3</v>
      </c>
      <c r="DF116">
        <f t="shared" si="31"/>
        <v>1.25</v>
      </c>
      <c r="DG116">
        <f t="shared" si="29"/>
        <v>0</v>
      </c>
      <c r="DH116">
        <f t="shared" si="30"/>
        <v>0</v>
      </c>
      <c r="DI116">
        <f t="shared" si="25"/>
        <v>0</v>
      </c>
      <c r="DJ116">
        <f t="shared" ref="DJ116:DJ121" si="38">DF116</f>
        <v>1.25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ROW(Source!A189)</f>
        <v>189</v>
      </c>
      <c r="B117">
        <v>55919547</v>
      </c>
      <c r="C117">
        <v>55927910</v>
      </c>
      <c r="D117">
        <v>55460424</v>
      </c>
      <c r="E117">
        <v>1</v>
      </c>
      <c r="F117">
        <v>1</v>
      </c>
      <c r="G117">
        <v>1081</v>
      </c>
      <c r="H117">
        <v>3</v>
      </c>
      <c r="I117" t="s">
        <v>338</v>
      </c>
      <c r="J117" t="s">
        <v>339</v>
      </c>
      <c r="K117" t="s">
        <v>340</v>
      </c>
      <c r="L117">
        <v>1346</v>
      </c>
      <c r="N117">
        <v>1009</v>
      </c>
      <c r="O117" t="s">
        <v>151</v>
      </c>
      <c r="P117" t="s">
        <v>151</v>
      </c>
      <c r="Q117">
        <v>1</v>
      </c>
      <c r="W117">
        <v>0</v>
      </c>
      <c r="X117">
        <v>1309298634</v>
      </c>
      <c r="Y117">
        <f t="shared" si="32"/>
        <v>0.16</v>
      </c>
      <c r="AA117">
        <v>159.06</v>
      </c>
      <c r="AB117">
        <v>0</v>
      </c>
      <c r="AC117">
        <v>0</v>
      </c>
      <c r="AD117">
        <v>0</v>
      </c>
      <c r="AE117">
        <v>159.06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0.16</v>
      </c>
      <c r="AU117" t="s">
        <v>56</v>
      </c>
      <c r="AV117">
        <v>0</v>
      </c>
      <c r="AW117">
        <v>2</v>
      </c>
      <c r="AX117">
        <v>55927925</v>
      </c>
      <c r="AY117">
        <v>1</v>
      </c>
      <c r="AZ117">
        <v>0</v>
      </c>
      <c r="BA117">
        <v>131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ROUND(Y117*Source!I189,9)</f>
        <v>0.33600000000000002</v>
      </c>
      <c r="CY117">
        <f t="shared" si="33"/>
        <v>159.06</v>
      </c>
      <c r="CZ117">
        <f t="shared" si="34"/>
        <v>159.06</v>
      </c>
      <c r="DA117">
        <f t="shared" si="35"/>
        <v>1</v>
      </c>
      <c r="DB117">
        <f t="shared" si="36"/>
        <v>25.45</v>
      </c>
      <c r="DC117">
        <f t="shared" si="37"/>
        <v>0</v>
      </c>
      <c r="DD117" t="s">
        <v>3</v>
      </c>
      <c r="DE117" t="s">
        <v>3</v>
      </c>
      <c r="DF117">
        <f t="shared" si="31"/>
        <v>53.44</v>
      </c>
      <c r="DG117">
        <f t="shared" si="29"/>
        <v>0</v>
      </c>
      <c r="DH117">
        <f t="shared" si="30"/>
        <v>0</v>
      </c>
      <c r="DI117">
        <f t="shared" si="25"/>
        <v>0</v>
      </c>
      <c r="DJ117">
        <f t="shared" si="38"/>
        <v>53.44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ROW(Source!A189)</f>
        <v>189</v>
      </c>
      <c r="B118">
        <v>55919547</v>
      </c>
      <c r="C118">
        <v>55927910</v>
      </c>
      <c r="D118">
        <v>55482505</v>
      </c>
      <c r="E118">
        <v>1</v>
      </c>
      <c r="F118">
        <v>1</v>
      </c>
      <c r="G118">
        <v>1081</v>
      </c>
      <c r="H118">
        <v>3</v>
      </c>
      <c r="I118" t="s">
        <v>341</v>
      </c>
      <c r="J118" t="s">
        <v>342</v>
      </c>
      <c r="K118" t="s">
        <v>343</v>
      </c>
      <c r="L118">
        <v>1355</v>
      </c>
      <c r="N118">
        <v>1010</v>
      </c>
      <c r="O118" t="s">
        <v>54</v>
      </c>
      <c r="P118" t="s">
        <v>54</v>
      </c>
      <c r="Q118">
        <v>100</v>
      </c>
      <c r="W118">
        <v>0</v>
      </c>
      <c r="X118">
        <v>1198965026</v>
      </c>
      <c r="Y118">
        <f t="shared" si="32"/>
        <v>0.05</v>
      </c>
      <c r="AA118">
        <v>68.819999999999993</v>
      </c>
      <c r="AB118">
        <v>0</v>
      </c>
      <c r="AC118">
        <v>0</v>
      </c>
      <c r="AD118">
        <v>0</v>
      </c>
      <c r="AE118">
        <v>68.819999999999993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0.05</v>
      </c>
      <c r="AU118" t="s">
        <v>56</v>
      </c>
      <c r="AV118">
        <v>0</v>
      </c>
      <c r="AW118">
        <v>2</v>
      </c>
      <c r="AX118">
        <v>55927926</v>
      </c>
      <c r="AY118">
        <v>1</v>
      </c>
      <c r="AZ118">
        <v>0</v>
      </c>
      <c r="BA118">
        <v>132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ROUND(Y118*Source!I189,9)</f>
        <v>0.105</v>
      </c>
      <c r="CY118">
        <f t="shared" si="33"/>
        <v>68.819999999999993</v>
      </c>
      <c r="CZ118">
        <f t="shared" si="34"/>
        <v>68.819999999999993</v>
      </c>
      <c r="DA118">
        <f t="shared" si="35"/>
        <v>1</v>
      </c>
      <c r="DB118">
        <f t="shared" si="36"/>
        <v>3.44</v>
      </c>
      <c r="DC118">
        <f t="shared" si="37"/>
        <v>0</v>
      </c>
      <c r="DD118" t="s">
        <v>3</v>
      </c>
      <c r="DE118" t="s">
        <v>3</v>
      </c>
      <c r="DF118">
        <f t="shared" si="31"/>
        <v>7.23</v>
      </c>
      <c r="DG118">
        <f t="shared" si="29"/>
        <v>0</v>
      </c>
      <c r="DH118">
        <f t="shared" si="30"/>
        <v>0</v>
      </c>
      <c r="DI118">
        <f t="shared" si="25"/>
        <v>0</v>
      </c>
      <c r="DJ118">
        <f t="shared" si="38"/>
        <v>7.23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ROW(Source!A189)</f>
        <v>189</v>
      </c>
      <c r="B119">
        <v>55919547</v>
      </c>
      <c r="C119">
        <v>55927910</v>
      </c>
      <c r="D119">
        <v>55482516</v>
      </c>
      <c r="E119">
        <v>1</v>
      </c>
      <c r="F119">
        <v>1</v>
      </c>
      <c r="G119">
        <v>1081</v>
      </c>
      <c r="H119">
        <v>3</v>
      </c>
      <c r="I119" t="s">
        <v>344</v>
      </c>
      <c r="J119" t="s">
        <v>345</v>
      </c>
      <c r="K119" t="s">
        <v>346</v>
      </c>
      <c r="L119">
        <v>1356</v>
      </c>
      <c r="N119">
        <v>1010</v>
      </c>
      <c r="O119" t="s">
        <v>331</v>
      </c>
      <c r="P119" t="s">
        <v>331</v>
      </c>
      <c r="Q119">
        <v>1000</v>
      </c>
      <c r="W119">
        <v>0</v>
      </c>
      <c r="X119">
        <v>472025271</v>
      </c>
      <c r="Y119">
        <f t="shared" si="32"/>
        <v>1.2200000000000001E-2</v>
      </c>
      <c r="AA119">
        <v>183.4</v>
      </c>
      <c r="AB119">
        <v>0</v>
      </c>
      <c r="AC119">
        <v>0</v>
      </c>
      <c r="AD119">
        <v>0</v>
      </c>
      <c r="AE119">
        <v>183.4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1.2200000000000001E-2</v>
      </c>
      <c r="AU119" t="s">
        <v>56</v>
      </c>
      <c r="AV119">
        <v>0</v>
      </c>
      <c r="AW119">
        <v>2</v>
      </c>
      <c r="AX119">
        <v>55927927</v>
      </c>
      <c r="AY119">
        <v>1</v>
      </c>
      <c r="AZ119">
        <v>0</v>
      </c>
      <c r="BA119">
        <v>133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v>0</v>
      </c>
      <c r="CX119">
        <f>ROUND(Y119*Source!I189,9)</f>
        <v>2.562E-2</v>
      </c>
      <c r="CY119">
        <f t="shared" si="33"/>
        <v>183.4</v>
      </c>
      <c r="CZ119">
        <f t="shared" si="34"/>
        <v>183.4</v>
      </c>
      <c r="DA119">
        <f t="shared" si="35"/>
        <v>1</v>
      </c>
      <c r="DB119">
        <f t="shared" si="36"/>
        <v>2.2400000000000002</v>
      </c>
      <c r="DC119">
        <f t="shared" si="37"/>
        <v>0</v>
      </c>
      <c r="DD119" t="s">
        <v>3</v>
      </c>
      <c r="DE119" t="s">
        <v>3</v>
      </c>
      <c r="DF119">
        <f t="shared" si="31"/>
        <v>4.7</v>
      </c>
      <c r="DG119">
        <f t="shared" si="29"/>
        <v>0</v>
      </c>
      <c r="DH119">
        <f t="shared" si="30"/>
        <v>0</v>
      </c>
      <c r="DI119">
        <f t="shared" si="25"/>
        <v>0</v>
      </c>
      <c r="DJ119">
        <f t="shared" si="38"/>
        <v>4.7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ROW(Source!A189)</f>
        <v>189</v>
      </c>
      <c r="B120">
        <v>55919547</v>
      </c>
      <c r="C120">
        <v>55927910</v>
      </c>
      <c r="D120">
        <v>55481842</v>
      </c>
      <c r="E120">
        <v>1</v>
      </c>
      <c r="F120">
        <v>1</v>
      </c>
      <c r="G120">
        <v>1081</v>
      </c>
      <c r="H120">
        <v>3</v>
      </c>
      <c r="I120" t="s">
        <v>347</v>
      </c>
      <c r="J120" t="s">
        <v>348</v>
      </c>
      <c r="K120" t="s">
        <v>349</v>
      </c>
      <c r="L120">
        <v>1354</v>
      </c>
      <c r="N120">
        <v>1010</v>
      </c>
      <c r="O120" t="s">
        <v>156</v>
      </c>
      <c r="P120" t="s">
        <v>156</v>
      </c>
      <c r="Q120">
        <v>1</v>
      </c>
      <c r="W120">
        <v>0</v>
      </c>
      <c r="X120">
        <v>-1424681180</v>
      </c>
      <c r="Y120">
        <f t="shared" si="32"/>
        <v>3.1</v>
      </c>
      <c r="AA120">
        <v>6.94</v>
      </c>
      <c r="AB120">
        <v>0</v>
      </c>
      <c r="AC120">
        <v>0</v>
      </c>
      <c r="AD120">
        <v>0</v>
      </c>
      <c r="AE120">
        <v>6.94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-2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3.1</v>
      </c>
      <c r="AU120" t="s">
        <v>56</v>
      </c>
      <c r="AV120">
        <v>0</v>
      </c>
      <c r="AW120">
        <v>2</v>
      </c>
      <c r="AX120">
        <v>55927928</v>
      </c>
      <c r="AY120">
        <v>1</v>
      </c>
      <c r="AZ120">
        <v>0</v>
      </c>
      <c r="BA120">
        <v>134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v>0</v>
      </c>
      <c r="CX120">
        <f>ROUND(Y120*Source!I189,9)</f>
        <v>6.51</v>
      </c>
      <c r="CY120">
        <f t="shared" si="33"/>
        <v>6.94</v>
      </c>
      <c r="CZ120">
        <f t="shared" si="34"/>
        <v>6.94</v>
      </c>
      <c r="DA120">
        <f t="shared" si="35"/>
        <v>1</v>
      </c>
      <c r="DB120">
        <f t="shared" si="36"/>
        <v>21.51</v>
      </c>
      <c r="DC120">
        <f t="shared" si="37"/>
        <v>0</v>
      </c>
      <c r="DD120" t="s">
        <v>3</v>
      </c>
      <c r="DE120" t="s">
        <v>3</v>
      </c>
      <c r="DF120">
        <f t="shared" si="31"/>
        <v>45.18</v>
      </c>
      <c r="DG120">
        <f t="shared" si="29"/>
        <v>0</v>
      </c>
      <c r="DH120">
        <f t="shared" si="30"/>
        <v>0</v>
      </c>
      <c r="DI120">
        <f t="shared" si="25"/>
        <v>0</v>
      </c>
      <c r="DJ120">
        <f t="shared" si="38"/>
        <v>45.18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ROW(Source!A189)</f>
        <v>189</v>
      </c>
      <c r="B121">
        <v>55919547</v>
      </c>
      <c r="C121">
        <v>55927910</v>
      </c>
      <c r="D121">
        <v>55481849</v>
      </c>
      <c r="E121">
        <v>1</v>
      </c>
      <c r="F121">
        <v>1</v>
      </c>
      <c r="G121">
        <v>1081</v>
      </c>
      <c r="H121">
        <v>3</v>
      </c>
      <c r="I121" t="s">
        <v>350</v>
      </c>
      <c r="J121" t="s">
        <v>351</v>
      </c>
      <c r="K121" t="s">
        <v>352</v>
      </c>
      <c r="L121">
        <v>1356</v>
      </c>
      <c r="N121">
        <v>1010</v>
      </c>
      <c r="O121" t="s">
        <v>331</v>
      </c>
      <c r="P121" t="s">
        <v>331</v>
      </c>
      <c r="Q121">
        <v>1000</v>
      </c>
      <c r="W121">
        <v>0</v>
      </c>
      <c r="X121">
        <v>-41723139</v>
      </c>
      <c r="Y121">
        <f t="shared" si="32"/>
        <v>8.0000000000000002E-3</v>
      </c>
      <c r="AA121">
        <v>614.09</v>
      </c>
      <c r="AB121">
        <v>0</v>
      </c>
      <c r="AC121">
        <v>0</v>
      </c>
      <c r="AD121">
        <v>0</v>
      </c>
      <c r="AE121">
        <v>614.09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8.0000000000000002E-3</v>
      </c>
      <c r="AU121" t="s">
        <v>56</v>
      </c>
      <c r="AV121">
        <v>0</v>
      </c>
      <c r="AW121">
        <v>2</v>
      </c>
      <c r="AX121">
        <v>55927929</v>
      </c>
      <c r="AY121">
        <v>1</v>
      </c>
      <c r="AZ121">
        <v>0</v>
      </c>
      <c r="BA121">
        <v>135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ROUND(Y121*Source!I189,9)</f>
        <v>1.6799999999999999E-2</v>
      </c>
      <c r="CY121">
        <f t="shared" si="33"/>
        <v>614.09</v>
      </c>
      <c r="CZ121">
        <f t="shared" si="34"/>
        <v>614.09</v>
      </c>
      <c r="DA121">
        <f t="shared" si="35"/>
        <v>1</v>
      </c>
      <c r="DB121">
        <f t="shared" si="36"/>
        <v>4.91</v>
      </c>
      <c r="DC121">
        <f t="shared" si="37"/>
        <v>0</v>
      </c>
      <c r="DD121" t="s">
        <v>3</v>
      </c>
      <c r="DE121" t="s">
        <v>3</v>
      </c>
      <c r="DF121">
        <f t="shared" si="31"/>
        <v>10.32</v>
      </c>
      <c r="DG121">
        <f t="shared" si="29"/>
        <v>0</v>
      </c>
      <c r="DH121">
        <f t="shared" si="30"/>
        <v>0</v>
      </c>
      <c r="DI121">
        <f t="shared" si="25"/>
        <v>0</v>
      </c>
      <c r="DJ121">
        <f t="shared" si="38"/>
        <v>10.32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ROW(Source!A190)</f>
        <v>190</v>
      </c>
      <c r="B122">
        <v>55919549</v>
      </c>
      <c r="C122">
        <v>55927910</v>
      </c>
      <c r="D122">
        <v>55424304</v>
      </c>
      <c r="E122">
        <v>1081</v>
      </c>
      <c r="F122">
        <v>1</v>
      </c>
      <c r="G122">
        <v>1081</v>
      </c>
      <c r="H122">
        <v>1</v>
      </c>
      <c r="I122" t="s">
        <v>278</v>
      </c>
      <c r="J122" t="s">
        <v>3</v>
      </c>
      <c r="K122" t="s">
        <v>279</v>
      </c>
      <c r="L122">
        <v>1191</v>
      </c>
      <c r="N122">
        <v>1013</v>
      </c>
      <c r="O122" t="s">
        <v>280</v>
      </c>
      <c r="P122" t="s">
        <v>280</v>
      </c>
      <c r="Q122">
        <v>1</v>
      </c>
      <c r="W122">
        <v>0</v>
      </c>
      <c r="X122">
        <v>476480486</v>
      </c>
      <c r="Y122">
        <f>(AT122*1.2)</f>
        <v>5.3879999999999999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5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4.49</v>
      </c>
      <c r="AU122" t="s">
        <v>57</v>
      </c>
      <c r="AV122">
        <v>1</v>
      </c>
      <c r="AW122">
        <v>2</v>
      </c>
      <c r="AX122">
        <v>55927921</v>
      </c>
      <c r="AY122">
        <v>1</v>
      </c>
      <c r="AZ122">
        <v>0</v>
      </c>
      <c r="BA122">
        <v>137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U122">
        <f>ROUND(AT122*Source!I190*AH122*AL122,2)</f>
        <v>0</v>
      </c>
      <c r="CV122">
        <f>ROUND(Y122*Source!I190,9)</f>
        <v>11.3148</v>
      </c>
      <c r="CW122">
        <v>0</v>
      </c>
      <c r="CX122">
        <f>ROUND(Y122*Source!I190,9)</f>
        <v>11.3148</v>
      </c>
      <c r="CY122">
        <f>AD122</f>
        <v>0</v>
      </c>
      <c r="CZ122">
        <f>AH122</f>
        <v>0</v>
      </c>
      <c r="DA122">
        <f>AL122</f>
        <v>1</v>
      </c>
      <c r="DB122">
        <f>ROUND((ROUND(AT122*CZ122,2)*1.2),6)</f>
        <v>0</v>
      </c>
      <c r="DC122">
        <f>ROUND((ROUND(AT122*AG122,2)*1.2),6)</f>
        <v>0</v>
      </c>
      <c r="DD122" t="s">
        <v>3</v>
      </c>
      <c r="DE122" t="s">
        <v>3</v>
      </c>
      <c r="DF122">
        <f t="shared" si="31"/>
        <v>0</v>
      </c>
      <c r="DG122">
        <f t="shared" si="29"/>
        <v>0</v>
      </c>
      <c r="DH122">
        <f t="shared" si="30"/>
        <v>0</v>
      </c>
      <c r="DI122">
        <f t="shared" si="25"/>
        <v>0</v>
      </c>
      <c r="DJ122">
        <f>DI122</f>
        <v>0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ROW(Source!A190)</f>
        <v>190</v>
      </c>
      <c r="B123">
        <v>55919549</v>
      </c>
      <c r="C123">
        <v>55927910</v>
      </c>
      <c r="D123">
        <v>55490209</v>
      </c>
      <c r="E123">
        <v>1</v>
      </c>
      <c r="F123">
        <v>1</v>
      </c>
      <c r="G123">
        <v>1081</v>
      </c>
      <c r="H123">
        <v>2</v>
      </c>
      <c r="I123" t="s">
        <v>296</v>
      </c>
      <c r="J123" t="s">
        <v>297</v>
      </c>
      <c r="K123" t="s">
        <v>298</v>
      </c>
      <c r="L123">
        <v>1368</v>
      </c>
      <c r="N123">
        <v>1011</v>
      </c>
      <c r="O123" t="s">
        <v>291</v>
      </c>
      <c r="P123" t="s">
        <v>291</v>
      </c>
      <c r="Q123">
        <v>1</v>
      </c>
      <c r="W123">
        <v>0</v>
      </c>
      <c r="X123">
        <v>874612079</v>
      </c>
      <c r="Y123">
        <f>(AT123*1.2)</f>
        <v>1.2E-2</v>
      </c>
      <c r="AA123">
        <v>0</v>
      </c>
      <c r="AB123">
        <v>1485.19</v>
      </c>
      <c r="AC123">
        <v>744.56</v>
      </c>
      <c r="AD123">
        <v>0</v>
      </c>
      <c r="AE123">
        <v>0</v>
      </c>
      <c r="AF123">
        <v>83.1</v>
      </c>
      <c r="AG123">
        <v>12.62</v>
      </c>
      <c r="AH123">
        <v>0</v>
      </c>
      <c r="AI123">
        <v>1</v>
      </c>
      <c r="AJ123">
        <v>17.07</v>
      </c>
      <c r="AK123">
        <v>56.35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0.01</v>
      </c>
      <c r="AU123" t="s">
        <v>57</v>
      </c>
      <c r="AV123">
        <v>0</v>
      </c>
      <c r="AW123">
        <v>2</v>
      </c>
      <c r="AX123">
        <v>55927922</v>
      </c>
      <c r="AY123">
        <v>1</v>
      </c>
      <c r="AZ123">
        <v>0</v>
      </c>
      <c r="BA123">
        <v>138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f>ROUND(Y123*Source!I190*DO123,9)</f>
        <v>0.31802399999999997</v>
      </c>
      <c r="CX123">
        <f>ROUND(Y123*Source!I190,9)</f>
        <v>2.52E-2</v>
      </c>
      <c r="CY123">
        <f>AB123</f>
        <v>1485.19</v>
      </c>
      <c r="CZ123">
        <f>AF123</f>
        <v>83.1</v>
      </c>
      <c r="DA123">
        <f>AJ123</f>
        <v>17.07</v>
      </c>
      <c r="DB123">
        <f>ROUND((ROUND(AT123*CZ123,2)*1.2),6)</f>
        <v>0.996</v>
      </c>
      <c r="DC123">
        <f>ROUND((ROUND(AT123*AG123,2)*1.2),6)</f>
        <v>0.156</v>
      </c>
      <c r="DD123" t="s">
        <v>3</v>
      </c>
      <c r="DE123" t="s">
        <v>3</v>
      </c>
      <c r="DF123">
        <f t="shared" si="31"/>
        <v>0</v>
      </c>
      <c r="DG123">
        <f>ROUND(ROUND(AF123*AJ123,2)*CX123,2)</f>
        <v>35.75</v>
      </c>
      <c r="DH123">
        <f>ROUND(ROUND(AG123*AK123,2)*CX123,2)</f>
        <v>17.920000000000002</v>
      </c>
      <c r="DI123">
        <f t="shared" si="25"/>
        <v>0</v>
      </c>
      <c r="DJ123">
        <f>DG123</f>
        <v>35.75</v>
      </c>
      <c r="DK123">
        <v>0</v>
      </c>
      <c r="DL123" t="s">
        <v>292</v>
      </c>
      <c r="DM123">
        <v>0</v>
      </c>
      <c r="DN123" t="s">
        <v>280</v>
      </c>
      <c r="DO123">
        <v>12.62</v>
      </c>
    </row>
    <row r="124" spans="1:119" x14ac:dyDescent="0.2">
      <c r="A124">
        <f>ROW(Source!A190)</f>
        <v>190</v>
      </c>
      <c r="B124">
        <v>55919549</v>
      </c>
      <c r="C124">
        <v>55927910</v>
      </c>
      <c r="D124">
        <v>55489443</v>
      </c>
      <c r="E124">
        <v>1</v>
      </c>
      <c r="F124">
        <v>1</v>
      </c>
      <c r="G124">
        <v>1081</v>
      </c>
      <c r="H124">
        <v>2</v>
      </c>
      <c r="I124" t="s">
        <v>332</v>
      </c>
      <c r="J124" t="s">
        <v>333</v>
      </c>
      <c r="K124" t="s">
        <v>334</v>
      </c>
      <c r="L124">
        <v>1368</v>
      </c>
      <c r="N124">
        <v>1011</v>
      </c>
      <c r="O124" t="s">
        <v>291</v>
      </c>
      <c r="P124" t="s">
        <v>291</v>
      </c>
      <c r="Q124">
        <v>1</v>
      </c>
      <c r="W124">
        <v>0</v>
      </c>
      <c r="X124">
        <v>-44940208</v>
      </c>
      <c r="Y124">
        <f>(AT124*1.2)</f>
        <v>1.2E-2</v>
      </c>
      <c r="AA124">
        <v>0</v>
      </c>
      <c r="AB124">
        <v>2706.94</v>
      </c>
      <c r="AC124">
        <v>998.84</v>
      </c>
      <c r="AD124">
        <v>0</v>
      </c>
      <c r="AE124">
        <v>0</v>
      </c>
      <c r="AF124">
        <v>179.17</v>
      </c>
      <c r="AG124">
        <v>16.93</v>
      </c>
      <c r="AH124">
        <v>0</v>
      </c>
      <c r="AI124">
        <v>1</v>
      </c>
      <c r="AJ124">
        <v>14.43</v>
      </c>
      <c r="AK124">
        <v>56.35</v>
      </c>
      <c r="AL124">
        <v>1</v>
      </c>
      <c r="AM124">
        <v>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0.01</v>
      </c>
      <c r="AU124" t="s">
        <v>57</v>
      </c>
      <c r="AV124">
        <v>0</v>
      </c>
      <c r="AW124">
        <v>2</v>
      </c>
      <c r="AX124">
        <v>55927923</v>
      </c>
      <c r="AY124">
        <v>1</v>
      </c>
      <c r="AZ124">
        <v>0</v>
      </c>
      <c r="BA124">
        <v>139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ROUND(Y124*Source!I190*DO124,9)</f>
        <v>0.42663600000000002</v>
      </c>
      <c r="CX124">
        <f>ROUND(Y124*Source!I190,9)</f>
        <v>2.52E-2</v>
      </c>
      <c r="CY124">
        <f>AB124</f>
        <v>2706.94</v>
      </c>
      <c r="CZ124">
        <f>AF124</f>
        <v>179.17</v>
      </c>
      <c r="DA124">
        <f>AJ124</f>
        <v>14.43</v>
      </c>
      <c r="DB124">
        <f>ROUND((ROUND(AT124*CZ124,2)*1.2),6)</f>
        <v>2.1480000000000001</v>
      </c>
      <c r="DC124">
        <f>ROUND((ROUND(AT124*AG124,2)*1.2),6)</f>
        <v>0.20399999999999999</v>
      </c>
      <c r="DD124" t="s">
        <v>3</v>
      </c>
      <c r="DE124" t="s">
        <v>3</v>
      </c>
      <c r="DF124">
        <f t="shared" si="31"/>
        <v>0</v>
      </c>
      <c r="DG124">
        <f>ROUND(ROUND(AF124*AJ124,2)*CX124,2)</f>
        <v>65.150000000000006</v>
      </c>
      <c r="DH124">
        <f>ROUND(ROUND(AG124*AK124,2)*CX124,2)</f>
        <v>24.04</v>
      </c>
      <c r="DI124">
        <f t="shared" si="25"/>
        <v>0</v>
      </c>
      <c r="DJ124">
        <f>DG124</f>
        <v>65.150000000000006</v>
      </c>
      <c r="DK124">
        <v>0</v>
      </c>
      <c r="DL124" t="s">
        <v>292</v>
      </c>
      <c r="DM124">
        <v>0</v>
      </c>
      <c r="DN124" t="s">
        <v>280</v>
      </c>
      <c r="DO124">
        <v>16.93</v>
      </c>
    </row>
    <row r="125" spans="1:119" x14ac:dyDescent="0.2">
      <c r="A125">
        <f>ROW(Source!A190)</f>
        <v>190</v>
      </c>
      <c r="B125">
        <v>55919549</v>
      </c>
      <c r="C125">
        <v>55927910</v>
      </c>
      <c r="D125">
        <v>55460033</v>
      </c>
      <c r="E125">
        <v>1</v>
      </c>
      <c r="F125">
        <v>1</v>
      </c>
      <c r="G125">
        <v>1081</v>
      </c>
      <c r="H125">
        <v>3</v>
      </c>
      <c r="I125" t="s">
        <v>335</v>
      </c>
      <c r="J125" t="s">
        <v>336</v>
      </c>
      <c r="K125" t="s">
        <v>337</v>
      </c>
      <c r="L125">
        <v>1346</v>
      </c>
      <c r="N125">
        <v>1009</v>
      </c>
      <c r="O125" t="s">
        <v>151</v>
      </c>
      <c r="P125" t="s">
        <v>151</v>
      </c>
      <c r="Q125">
        <v>1</v>
      </c>
      <c r="W125">
        <v>0</v>
      </c>
      <c r="X125">
        <v>-1364668115</v>
      </c>
      <c r="Y125">
        <f t="shared" ref="Y125:Y130" si="39">(AT125*1)</f>
        <v>0.43</v>
      </c>
      <c r="AA125">
        <v>33.64</v>
      </c>
      <c r="AB125">
        <v>0</v>
      </c>
      <c r="AC125">
        <v>0</v>
      </c>
      <c r="AD125">
        <v>0</v>
      </c>
      <c r="AE125">
        <v>1.38</v>
      </c>
      <c r="AF125">
        <v>0</v>
      </c>
      <c r="AG125">
        <v>0</v>
      </c>
      <c r="AH125">
        <v>0</v>
      </c>
      <c r="AI125">
        <v>24.38</v>
      </c>
      <c r="AJ125">
        <v>1</v>
      </c>
      <c r="AK125">
        <v>1</v>
      </c>
      <c r="AL125">
        <v>1</v>
      </c>
      <c r="AM125">
        <v>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0.43</v>
      </c>
      <c r="AU125" t="s">
        <v>56</v>
      </c>
      <c r="AV125">
        <v>0</v>
      </c>
      <c r="AW125">
        <v>2</v>
      </c>
      <c r="AX125">
        <v>55927924</v>
      </c>
      <c r="AY125">
        <v>1</v>
      </c>
      <c r="AZ125">
        <v>0</v>
      </c>
      <c r="BA125">
        <v>140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ROUND(Y125*Source!I190,9)</f>
        <v>0.90300000000000002</v>
      </c>
      <c r="CY125">
        <f t="shared" ref="CY125:CY130" si="40">AA125</f>
        <v>33.64</v>
      </c>
      <c r="CZ125">
        <f t="shared" ref="CZ125:CZ130" si="41">AE125</f>
        <v>1.38</v>
      </c>
      <c r="DA125">
        <f t="shared" ref="DA125:DA130" si="42">AI125</f>
        <v>24.38</v>
      </c>
      <c r="DB125">
        <f t="shared" ref="DB125:DB130" si="43">ROUND((ROUND(AT125*CZ125,2)*1),6)</f>
        <v>0.59</v>
      </c>
      <c r="DC125">
        <f t="shared" ref="DC125:DC130" si="44">ROUND((ROUND(AT125*AG125,2)*1),6)</f>
        <v>0</v>
      </c>
      <c r="DD125" t="s">
        <v>3</v>
      </c>
      <c r="DE125" t="s">
        <v>3</v>
      </c>
      <c r="DF125">
        <f t="shared" ref="DF125:DF130" si="45">ROUND(ROUND(AE125*AI125,2)*CX125,2)</f>
        <v>30.38</v>
      </c>
      <c r="DG125">
        <f t="shared" ref="DG125:DG140" si="46">ROUND(ROUND(AF125,2)*CX125,2)</f>
        <v>0</v>
      </c>
      <c r="DH125">
        <f t="shared" ref="DH125:DH141" si="47">ROUND(ROUND(AG125,2)*CX125,2)</f>
        <v>0</v>
      </c>
      <c r="DI125">
        <f t="shared" si="25"/>
        <v>0</v>
      </c>
      <c r="DJ125">
        <f t="shared" ref="DJ125:DJ130" si="48">DF125</f>
        <v>30.38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ROW(Source!A190)</f>
        <v>190</v>
      </c>
      <c r="B126">
        <v>55919549</v>
      </c>
      <c r="C126">
        <v>55927910</v>
      </c>
      <c r="D126">
        <v>55460424</v>
      </c>
      <c r="E126">
        <v>1</v>
      </c>
      <c r="F126">
        <v>1</v>
      </c>
      <c r="G126">
        <v>1081</v>
      </c>
      <c r="H126">
        <v>3</v>
      </c>
      <c r="I126" t="s">
        <v>338</v>
      </c>
      <c r="J126" t="s">
        <v>339</v>
      </c>
      <c r="K126" t="s">
        <v>340</v>
      </c>
      <c r="L126">
        <v>1346</v>
      </c>
      <c r="N126">
        <v>1009</v>
      </c>
      <c r="O126" t="s">
        <v>151</v>
      </c>
      <c r="P126" t="s">
        <v>151</v>
      </c>
      <c r="Q126">
        <v>1</v>
      </c>
      <c r="W126">
        <v>0</v>
      </c>
      <c r="X126">
        <v>1309298634</v>
      </c>
      <c r="Y126">
        <f t="shared" si="39"/>
        <v>0.16</v>
      </c>
      <c r="AA126">
        <v>286.31</v>
      </c>
      <c r="AB126">
        <v>0</v>
      </c>
      <c r="AC126">
        <v>0</v>
      </c>
      <c r="AD126">
        <v>0</v>
      </c>
      <c r="AE126">
        <v>159.06</v>
      </c>
      <c r="AF126">
        <v>0</v>
      </c>
      <c r="AG126">
        <v>0</v>
      </c>
      <c r="AH126">
        <v>0</v>
      </c>
      <c r="AI126">
        <v>1.8</v>
      </c>
      <c r="AJ126">
        <v>1</v>
      </c>
      <c r="AK126">
        <v>1</v>
      </c>
      <c r="AL126">
        <v>1</v>
      </c>
      <c r="AM126">
        <v>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0.16</v>
      </c>
      <c r="AU126" t="s">
        <v>56</v>
      </c>
      <c r="AV126">
        <v>0</v>
      </c>
      <c r="AW126">
        <v>2</v>
      </c>
      <c r="AX126">
        <v>55927925</v>
      </c>
      <c r="AY126">
        <v>1</v>
      </c>
      <c r="AZ126">
        <v>0</v>
      </c>
      <c r="BA126">
        <v>141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ROUND(Y126*Source!I190,9)</f>
        <v>0.33600000000000002</v>
      </c>
      <c r="CY126">
        <f t="shared" si="40"/>
        <v>286.31</v>
      </c>
      <c r="CZ126">
        <f t="shared" si="41"/>
        <v>159.06</v>
      </c>
      <c r="DA126">
        <f t="shared" si="42"/>
        <v>1.8</v>
      </c>
      <c r="DB126">
        <f t="shared" si="43"/>
        <v>25.45</v>
      </c>
      <c r="DC126">
        <f t="shared" si="44"/>
        <v>0</v>
      </c>
      <c r="DD126" t="s">
        <v>3</v>
      </c>
      <c r="DE126" t="s">
        <v>3</v>
      </c>
      <c r="DF126">
        <f t="shared" si="45"/>
        <v>96.2</v>
      </c>
      <c r="DG126">
        <f t="shared" si="46"/>
        <v>0</v>
      </c>
      <c r="DH126">
        <f t="shared" si="47"/>
        <v>0</v>
      </c>
      <c r="DI126">
        <f t="shared" si="25"/>
        <v>0</v>
      </c>
      <c r="DJ126">
        <f t="shared" si="48"/>
        <v>96.2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ROW(Source!A190)</f>
        <v>190</v>
      </c>
      <c r="B127">
        <v>55919549</v>
      </c>
      <c r="C127">
        <v>55927910</v>
      </c>
      <c r="D127">
        <v>55482505</v>
      </c>
      <c r="E127">
        <v>1</v>
      </c>
      <c r="F127">
        <v>1</v>
      </c>
      <c r="G127">
        <v>1081</v>
      </c>
      <c r="H127">
        <v>3</v>
      </c>
      <c r="I127" t="s">
        <v>341</v>
      </c>
      <c r="J127" t="s">
        <v>342</v>
      </c>
      <c r="K127" t="s">
        <v>343</v>
      </c>
      <c r="L127">
        <v>1355</v>
      </c>
      <c r="N127">
        <v>1010</v>
      </c>
      <c r="O127" t="s">
        <v>54</v>
      </c>
      <c r="P127" t="s">
        <v>54</v>
      </c>
      <c r="Q127">
        <v>100</v>
      </c>
      <c r="W127">
        <v>0</v>
      </c>
      <c r="X127">
        <v>1198965026</v>
      </c>
      <c r="Y127">
        <f t="shared" si="39"/>
        <v>0.05</v>
      </c>
      <c r="AA127">
        <v>1102.5</v>
      </c>
      <c r="AB127">
        <v>0</v>
      </c>
      <c r="AC127">
        <v>0</v>
      </c>
      <c r="AD127">
        <v>0</v>
      </c>
      <c r="AE127">
        <v>68.819999999999993</v>
      </c>
      <c r="AF127">
        <v>0</v>
      </c>
      <c r="AG127">
        <v>0</v>
      </c>
      <c r="AH127">
        <v>0</v>
      </c>
      <c r="AI127">
        <v>16.02</v>
      </c>
      <c r="AJ127">
        <v>1</v>
      </c>
      <c r="AK127">
        <v>1</v>
      </c>
      <c r="AL127">
        <v>1</v>
      </c>
      <c r="AM127">
        <v>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0.05</v>
      </c>
      <c r="AU127" t="s">
        <v>56</v>
      </c>
      <c r="AV127">
        <v>0</v>
      </c>
      <c r="AW127">
        <v>2</v>
      </c>
      <c r="AX127">
        <v>55927926</v>
      </c>
      <c r="AY127">
        <v>1</v>
      </c>
      <c r="AZ127">
        <v>0</v>
      </c>
      <c r="BA127">
        <v>142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ROUND(Y127*Source!I190,9)</f>
        <v>0.105</v>
      </c>
      <c r="CY127">
        <f t="shared" si="40"/>
        <v>1102.5</v>
      </c>
      <c r="CZ127">
        <f t="shared" si="41"/>
        <v>68.819999999999993</v>
      </c>
      <c r="DA127">
        <f t="shared" si="42"/>
        <v>16.02</v>
      </c>
      <c r="DB127">
        <f t="shared" si="43"/>
        <v>3.44</v>
      </c>
      <c r="DC127">
        <f t="shared" si="44"/>
        <v>0</v>
      </c>
      <c r="DD127" t="s">
        <v>3</v>
      </c>
      <c r="DE127" t="s">
        <v>3</v>
      </c>
      <c r="DF127">
        <f t="shared" si="45"/>
        <v>115.76</v>
      </c>
      <c r="DG127">
        <f t="shared" si="46"/>
        <v>0</v>
      </c>
      <c r="DH127">
        <f t="shared" si="47"/>
        <v>0</v>
      </c>
      <c r="DI127">
        <f t="shared" si="25"/>
        <v>0</v>
      </c>
      <c r="DJ127">
        <f t="shared" si="48"/>
        <v>115.76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ROW(Source!A190)</f>
        <v>190</v>
      </c>
      <c r="B128">
        <v>55919549</v>
      </c>
      <c r="C128">
        <v>55927910</v>
      </c>
      <c r="D128">
        <v>55482516</v>
      </c>
      <c r="E128">
        <v>1</v>
      </c>
      <c r="F128">
        <v>1</v>
      </c>
      <c r="G128">
        <v>1081</v>
      </c>
      <c r="H128">
        <v>3</v>
      </c>
      <c r="I128" t="s">
        <v>344</v>
      </c>
      <c r="J128" t="s">
        <v>345</v>
      </c>
      <c r="K128" t="s">
        <v>346</v>
      </c>
      <c r="L128">
        <v>1356</v>
      </c>
      <c r="N128">
        <v>1010</v>
      </c>
      <c r="O128" t="s">
        <v>331</v>
      </c>
      <c r="P128" t="s">
        <v>331</v>
      </c>
      <c r="Q128">
        <v>1000</v>
      </c>
      <c r="W128">
        <v>0</v>
      </c>
      <c r="X128">
        <v>472025271</v>
      </c>
      <c r="Y128">
        <f t="shared" si="39"/>
        <v>1.2200000000000001E-2</v>
      </c>
      <c r="AA128">
        <v>1267.29</v>
      </c>
      <c r="AB128">
        <v>0</v>
      </c>
      <c r="AC128">
        <v>0</v>
      </c>
      <c r="AD128">
        <v>0</v>
      </c>
      <c r="AE128">
        <v>183.4</v>
      </c>
      <c r="AF128">
        <v>0</v>
      </c>
      <c r="AG128">
        <v>0</v>
      </c>
      <c r="AH128">
        <v>0</v>
      </c>
      <c r="AI128">
        <v>6.91</v>
      </c>
      <c r="AJ128">
        <v>1</v>
      </c>
      <c r="AK128">
        <v>1</v>
      </c>
      <c r="AL128">
        <v>1</v>
      </c>
      <c r="AM128">
        <v>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1.2200000000000001E-2</v>
      </c>
      <c r="AU128" t="s">
        <v>56</v>
      </c>
      <c r="AV128">
        <v>0</v>
      </c>
      <c r="AW128">
        <v>2</v>
      </c>
      <c r="AX128">
        <v>55927927</v>
      </c>
      <c r="AY128">
        <v>1</v>
      </c>
      <c r="AZ128">
        <v>0</v>
      </c>
      <c r="BA128">
        <v>143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ROUND(Y128*Source!I190,9)</f>
        <v>2.562E-2</v>
      </c>
      <c r="CY128">
        <f t="shared" si="40"/>
        <v>1267.29</v>
      </c>
      <c r="CZ128">
        <f t="shared" si="41"/>
        <v>183.4</v>
      </c>
      <c r="DA128">
        <f t="shared" si="42"/>
        <v>6.91</v>
      </c>
      <c r="DB128">
        <f t="shared" si="43"/>
        <v>2.2400000000000002</v>
      </c>
      <c r="DC128">
        <f t="shared" si="44"/>
        <v>0</v>
      </c>
      <c r="DD128" t="s">
        <v>3</v>
      </c>
      <c r="DE128" t="s">
        <v>3</v>
      </c>
      <c r="DF128">
        <f t="shared" si="45"/>
        <v>32.47</v>
      </c>
      <c r="DG128">
        <f t="shared" si="46"/>
        <v>0</v>
      </c>
      <c r="DH128">
        <f t="shared" si="47"/>
        <v>0</v>
      </c>
      <c r="DI128">
        <f t="shared" si="25"/>
        <v>0</v>
      </c>
      <c r="DJ128">
        <f t="shared" si="48"/>
        <v>32.47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ROW(Source!A190)</f>
        <v>190</v>
      </c>
      <c r="B129">
        <v>55919549</v>
      </c>
      <c r="C129">
        <v>55927910</v>
      </c>
      <c r="D129">
        <v>55481842</v>
      </c>
      <c r="E129">
        <v>1</v>
      </c>
      <c r="F129">
        <v>1</v>
      </c>
      <c r="G129">
        <v>1081</v>
      </c>
      <c r="H129">
        <v>3</v>
      </c>
      <c r="I129" t="s">
        <v>347</v>
      </c>
      <c r="J129" t="s">
        <v>348</v>
      </c>
      <c r="K129" t="s">
        <v>349</v>
      </c>
      <c r="L129">
        <v>1354</v>
      </c>
      <c r="N129">
        <v>1010</v>
      </c>
      <c r="O129" t="s">
        <v>156</v>
      </c>
      <c r="P129" t="s">
        <v>156</v>
      </c>
      <c r="Q129">
        <v>1</v>
      </c>
      <c r="W129">
        <v>0</v>
      </c>
      <c r="X129">
        <v>-1424681180</v>
      </c>
      <c r="Y129">
        <f t="shared" si="39"/>
        <v>3.1</v>
      </c>
      <c r="AA129">
        <v>25.33</v>
      </c>
      <c r="AB129">
        <v>0</v>
      </c>
      <c r="AC129">
        <v>0</v>
      </c>
      <c r="AD129">
        <v>0</v>
      </c>
      <c r="AE129">
        <v>6.94</v>
      </c>
      <c r="AF129">
        <v>0</v>
      </c>
      <c r="AG129">
        <v>0</v>
      </c>
      <c r="AH129">
        <v>0</v>
      </c>
      <c r="AI129">
        <v>3.65</v>
      </c>
      <c r="AJ129">
        <v>1</v>
      </c>
      <c r="AK129">
        <v>1</v>
      </c>
      <c r="AL129">
        <v>1</v>
      </c>
      <c r="AM129">
        <v>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3.1</v>
      </c>
      <c r="AU129" t="s">
        <v>56</v>
      </c>
      <c r="AV129">
        <v>0</v>
      </c>
      <c r="AW129">
        <v>2</v>
      </c>
      <c r="AX129">
        <v>55927928</v>
      </c>
      <c r="AY129">
        <v>1</v>
      </c>
      <c r="AZ129">
        <v>0</v>
      </c>
      <c r="BA129">
        <v>144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ROUND(Y129*Source!I190,9)</f>
        <v>6.51</v>
      </c>
      <c r="CY129">
        <f t="shared" si="40"/>
        <v>25.33</v>
      </c>
      <c r="CZ129">
        <f t="shared" si="41"/>
        <v>6.94</v>
      </c>
      <c r="DA129">
        <f t="shared" si="42"/>
        <v>3.65</v>
      </c>
      <c r="DB129">
        <f t="shared" si="43"/>
        <v>21.51</v>
      </c>
      <c r="DC129">
        <f t="shared" si="44"/>
        <v>0</v>
      </c>
      <c r="DD129" t="s">
        <v>3</v>
      </c>
      <c r="DE129" t="s">
        <v>3</v>
      </c>
      <c r="DF129">
        <f t="shared" si="45"/>
        <v>164.9</v>
      </c>
      <c r="DG129">
        <f t="shared" si="46"/>
        <v>0</v>
      </c>
      <c r="DH129">
        <f t="shared" si="47"/>
        <v>0</v>
      </c>
      <c r="DI129">
        <f t="shared" ref="DI129:DI192" si="49">ROUND(ROUND(AH129,2)*CX129,2)</f>
        <v>0</v>
      </c>
      <c r="DJ129">
        <f t="shared" si="48"/>
        <v>164.9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ROW(Source!A190)</f>
        <v>190</v>
      </c>
      <c r="B130">
        <v>55919549</v>
      </c>
      <c r="C130">
        <v>55927910</v>
      </c>
      <c r="D130">
        <v>55481849</v>
      </c>
      <c r="E130">
        <v>1</v>
      </c>
      <c r="F130">
        <v>1</v>
      </c>
      <c r="G130">
        <v>1081</v>
      </c>
      <c r="H130">
        <v>3</v>
      </c>
      <c r="I130" t="s">
        <v>350</v>
      </c>
      <c r="J130" t="s">
        <v>351</v>
      </c>
      <c r="K130" t="s">
        <v>352</v>
      </c>
      <c r="L130">
        <v>1356</v>
      </c>
      <c r="N130">
        <v>1010</v>
      </c>
      <c r="O130" t="s">
        <v>331</v>
      </c>
      <c r="P130" t="s">
        <v>331</v>
      </c>
      <c r="Q130">
        <v>1000</v>
      </c>
      <c r="W130">
        <v>0</v>
      </c>
      <c r="X130">
        <v>-41723139</v>
      </c>
      <c r="Y130">
        <f t="shared" si="39"/>
        <v>8.0000000000000002E-3</v>
      </c>
      <c r="AA130">
        <v>786.04</v>
      </c>
      <c r="AB130">
        <v>0</v>
      </c>
      <c r="AC130">
        <v>0</v>
      </c>
      <c r="AD130">
        <v>0</v>
      </c>
      <c r="AE130">
        <v>614.09</v>
      </c>
      <c r="AF130">
        <v>0</v>
      </c>
      <c r="AG130">
        <v>0</v>
      </c>
      <c r="AH130">
        <v>0</v>
      </c>
      <c r="AI130">
        <v>1.28</v>
      </c>
      <c r="AJ130">
        <v>1</v>
      </c>
      <c r="AK130">
        <v>1</v>
      </c>
      <c r="AL130">
        <v>1</v>
      </c>
      <c r="AM130">
        <v>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8.0000000000000002E-3</v>
      </c>
      <c r="AU130" t="s">
        <v>56</v>
      </c>
      <c r="AV130">
        <v>0</v>
      </c>
      <c r="AW130">
        <v>2</v>
      </c>
      <c r="AX130">
        <v>55927929</v>
      </c>
      <c r="AY130">
        <v>1</v>
      </c>
      <c r="AZ130">
        <v>0</v>
      </c>
      <c r="BA130">
        <v>145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ROUND(Y130*Source!I190,9)</f>
        <v>1.6799999999999999E-2</v>
      </c>
      <c r="CY130">
        <f t="shared" si="40"/>
        <v>786.04</v>
      </c>
      <c r="CZ130">
        <f t="shared" si="41"/>
        <v>614.09</v>
      </c>
      <c r="DA130">
        <f t="shared" si="42"/>
        <v>1.28</v>
      </c>
      <c r="DB130">
        <f t="shared" si="43"/>
        <v>4.91</v>
      </c>
      <c r="DC130">
        <f t="shared" si="44"/>
        <v>0</v>
      </c>
      <c r="DD130" t="s">
        <v>3</v>
      </c>
      <c r="DE130" t="s">
        <v>3</v>
      </c>
      <c r="DF130">
        <f t="shared" si="45"/>
        <v>13.21</v>
      </c>
      <c r="DG130">
        <f t="shared" si="46"/>
        <v>0</v>
      </c>
      <c r="DH130">
        <f t="shared" si="47"/>
        <v>0</v>
      </c>
      <c r="DI130">
        <f t="shared" si="49"/>
        <v>0</v>
      </c>
      <c r="DJ130">
        <f t="shared" si="48"/>
        <v>13.21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ROW(Source!A195)</f>
        <v>195</v>
      </c>
      <c r="B131">
        <v>55919547</v>
      </c>
      <c r="C131">
        <v>55927750</v>
      </c>
      <c r="D131">
        <v>55424304</v>
      </c>
      <c r="E131">
        <v>1081</v>
      </c>
      <c r="F131">
        <v>1</v>
      </c>
      <c r="G131">
        <v>1081</v>
      </c>
      <c r="H131">
        <v>1</v>
      </c>
      <c r="I131" t="s">
        <v>278</v>
      </c>
      <c r="J131" t="s">
        <v>3</v>
      </c>
      <c r="K131" t="s">
        <v>279</v>
      </c>
      <c r="L131">
        <v>1191</v>
      </c>
      <c r="N131">
        <v>1013</v>
      </c>
      <c r="O131" t="s">
        <v>280</v>
      </c>
      <c r="P131" t="s">
        <v>280</v>
      </c>
      <c r="Q131">
        <v>1</v>
      </c>
      <c r="W131">
        <v>0</v>
      </c>
      <c r="X131">
        <v>476480486</v>
      </c>
      <c r="Y131">
        <f>(AT131*1.2)</f>
        <v>39.6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33</v>
      </c>
      <c r="AU131" t="s">
        <v>57</v>
      </c>
      <c r="AV131">
        <v>1</v>
      </c>
      <c r="AW131">
        <v>2</v>
      </c>
      <c r="AX131">
        <v>55927751</v>
      </c>
      <c r="AY131">
        <v>1</v>
      </c>
      <c r="AZ131">
        <v>0</v>
      </c>
      <c r="BA131">
        <v>147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U131">
        <f>ROUND(AT131*Source!I195*AH131*AL131,2)</f>
        <v>0</v>
      </c>
      <c r="CV131">
        <f>ROUND(Y131*Source!I195,9)</f>
        <v>71.28</v>
      </c>
      <c r="CW131">
        <v>0</v>
      </c>
      <c r="CX131">
        <f>ROUND(Y131*Source!I195,9)</f>
        <v>71.28</v>
      </c>
      <c r="CY131">
        <f>AD131</f>
        <v>0</v>
      </c>
      <c r="CZ131">
        <f>AH131</f>
        <v>0</v>
      </c>
      <c r="DA131">
        <f>AL131</f>
        <v>1</v>
      </c>
      <c r="DB131">
        <f>ROUND((ROUND(AT131*CZ131,2)*1.2),6)</f>
        <v>0</v>
      </c>
      <c r="DC131">
        <f>ROUND((ROUND(AT131*AG131,2)*1.2),6)</f>
        <v>0</v>
      </c>
      <c r="DD131" t="s">
        <v>3</v>
      </c>
      <c r="DE131" t="s">
        <v>3</v>
      </c>
      <c r="DF131">
        <f t="shared" ref="DF131:DF143" si="50">ROUND(ROUND(AE131,2)*CX131,2)</f>
        <v>0</v>
      </c>
      <c r="DG131">
        <f t="shared" si="46"/>
        <v>0</v>
      </c>
      <c r="DH131">
        <f t="shared" si="47"/>
        <v>0</v>
      </c>
      <c r="DI131">
        <f t="shared" si="49"/>
        <v>0</v>
      </c>
      <c r="DJ131">
        <f>DI131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ROW(Source!A195)</f>
        <v>195</v>
      </c>
      <c r="B132">
        <v>55919547</v>
      </c>
      <c r="C132">
        <v>55927750</v>
      </c>
      <c r="D132">
        <v>55489910</v>
      </c>
      <c r="E132">
        <v>1</v>
      </c>
      <c r="F132">
        <v>1</v>
      </c>
      <c r="G132">
        <v>1081</v>
      </c>
      <c r="H132">
        <v>2</v>
      </c>
      <c r="I132" t="s">
        <v>293</v>
      </c>
      <c r="J132" t="s">
        <v>294</v>
      </c>
      <c r="K132" t="s">
        <v>295</v>
      </c>
      <c r="L132">
        <v>1368</v>
      </c>
      <c r="N132">
        <v>1011</v>
      </c>
      <c r="O132" t="s">
        <v>291</v>
      </c>
      <c r="P132" t="s">
        <v>291</v>
      </c>
      <c r="Q132">
        <v>1</v>
      </c>
      <c r="W132">
        <v>0</v>
      </c>
      <c r="X132">
        <v>1498588441</v>
      </c>
      <c r="Y132">
        <f>(AT132*1.2)</f>
        <v>6.3959999999999999</v>
      </c>
      <c r="AA132">
        <v>0</v>
      </c>
      <c r="AB132">
        <v>7.44</v>
      </c>
      <c r="AC132">
        <v>0</v>
      </c>
      <c r="AD132">
        <v>0</v>
      </c>
      <c r="AE132">
        <v>0</v>
      </c>
      <c r="AF132">
        <v>7.11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5.33</v>
      </c>
      <c r="AU132" t="s">
        <v>57</v>
      </c>
      <c r="AV132">
        <v>0</v>
      </c>
      <c r="AW132">
        <v>2</v>
      </c>
      <c r="AX132">
        <v>55927752</v>
      </c>
      <c r="AY132">
        <v>1</v>
      </c>
      <c r="AZ132">
        <v>0</v>
      </c>
      <c r="BA132">
        <v>148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ROUND(Y132*Source!I195*DO132,9)</f>
        <v>0</v>
      </c>
      <c r="CX132">
        <f>ROUND(Y132*Source!I195,9)</f>
        <v>11.5128</v>
      </c>
      <c r="CY132">
        <f>AB132</f>
        <v>7.44</v>
      </c>
      <c r="CZ132">
        <f>AF132</f>
        <v>7.11</v>
      </c>
      <c r="DA132">
        <f>AJ132</f>
        <v>1</v>
      </c>
      <c r="DB132">
        <f>ROUND((ROUND(AT132*CZ132,2)*1.2),6)</f>
        <v>45.48</v>
      </c>
      <c r="DC132">
        <f>ROUND((ROUND(AT132*AG132,2)*1.2),6)</f>
        <v>0</v>
      </c>
      <c r="DD132" t="s">
        <v>3</v>
      </c>
      <c r="DE132" t="s">
        <v>3</v>
      </c>
      <c r="DF132">
        <f t="shared" si="50"/>
        <v>0</v>
      </c>
      <c r="DG132">
        <f t="shared" si="46"/>
        <v>81.86</v>
      </c>
      <c r="DH132">
        <f t="shared" si="47"/>
        <v>0</v>
      </c>
      <c r="DI132">
        <f t="shared" si="49"/>
        <v>0</v>
      </c>
      <c r="DJ132">
        <f>DG132</f>
        <v>81.86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ROW(Source!A195)</f>
        <v>195</v>
      </c>
      <c r="B133">
        <v>55919547</v>
      </c>
      <c r="C133">
        <v>55927750</v>
      </c>
      <c r="D133">
        <v>55490209</v>
      </c>
      <c r="E133">
        <v>1</v>
      </c>
      <c r="F133">
        <v>1</v>
      </c>
      <c r="G133">
        <v>1081</v>
      </c>
      <c r="H133">
        <v>2</v>
      </c>
      <c r="I133" t="s">
        <v>296</v>
      </c>
      <c r="J133" t="s">
        <v>297</v>
      </c>
      <c r="K133" t="s">
        <v>298</v>
      </c>
      <c r="L133">
        <v>1368</v>
      </c>
      <c r="N133">
        <v>1011</v>
      </c>
      <c r="O133" t="s">
        <v>291</v>
      </c>
      <c r="P133" t="s">
        <v>291</v>
      </c>
      <c r="Q133">
        <v>1</v>
      </c>
      <c r="W133">
        <v>0</v>
      </c>
      <c r="X133">
        <v>874612079</v>
      </c>
      <c r="Y133">
        <f>(AT133*1.2)</f>
        <v>0.27600000000000002</v>
      </c>
      <c r="AA133">
        <v>0</v>
      </c>
      <c r="AB133">
        <v>87.01</v>
      </c>
      <c r="AC133">
        <v>13.21</v>
      </c>
      <c r="AD133">
        <v>0</v>
      </c>
      <c r="AE133">
        <v>0</v>
      </c>
      <c r="AF133">
        <v>83.1</v>
      </c>
      <c r="AG133">
        <v>12.62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0.23</v>
      </c>
      <c r="AU133" t="s">
        <v>57</v>
      </c>
      <c r="AV133">
        <v>0</v>
      </c>
      <c r="AW133">
        <v>2</v>
      </c>
      <c r="AX133">
        <v>55927753</v>
      </c>
      <c r="AY133">
        <v>1</v>
      </c>
      <c r="AZ133">
        <v>0</v>
      </c>
      <c r="BA133">
        <v>149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f>ROUND(Y133*Source!I195*DO133,9)</f>
        <v>6.2696160000000001</v>
      </c>
      <c r="CX133">
        <f>ROUND(Y133*Source!I195,9)</f>
        <v>0.49680000000000002</v>
      </c>
      <c r="CY133">
        <f>AB133</f>
        <v>87.01</v>
      </c>
      <c r="CZ133">
        <f>AF133</f>
        <v>83.1</v>
      </c>
      <c r="DA133">
        <f>AJ133</f>
        <v>1</v>
      </c>
      <c r="DB133">
        <f>ROUND((ROUND(AT133*CZ133,2)*1.2),6)</f>
        <v>22.931999999999999</v>
      </c>
      <c r="DC133">
        <f>ROUND((ROUND(AT133*AG133,2)*1.2),6)</f>
        <v>3.48</v>
      </c>
      <c r="DD133" t="s">
        <v>3</v>
      </c>
      <c r="DE133" t="s">
        <v>3</v>
      </c>
      <c r="DF133">
        <f t="shared" si="50"/>
        <v>0</v>
      </c>
      <c r="DG133">
        <f t="shared" si="46"/>
        <v>41.28</v>
      </c>
      <c r="DH133">
        <f t="shared" si="47"/>
        <v>6.27</v>
      </c>
      <c r="DI133">
        <f t="shared" si="49"/>
        <v>0</v>
      </c>
      <c r="DJ133">
        <f>DG133</f>
        <v>41.28</v>
      </c>
      <c r="DK133">
        <v>0</v>
      </c>
      <c r="DL133" t="s">
        <v>292</v>
      </c>
      <c r="DM133">
        <v>0</v>
      </c>
      <c r="DN133" t="s">
        <v>280</v>
      </c>
      <c r="DO133">
        <v>12.62</v>
      </c>
    </row>
    <row r="134" spans="1:119" x14ac:dyDescent="0.2">
      <c r="A134">
        <f>ROW(Source!A195)</f>
        <v>195</v>
      </c>
      <c r="B134">
        <v>55919547</v>
      </c>
      <c r="C134">
        <v>55927750</v>
      </c>
      <c r="D134">
        <v>55490330</v>
      </c>
      <c r="E134">
        <v>1</v>
      </c>
      <c r="F134">
        <v>1</v>
      </c>
      <c r="G134">
        <v>1081</v>
      </c>
      <c r="H134">
        <v>2</v>
      </c>
      <c r="I134" t="s">
        <v>353</v>
      </c>
      <c r="J134" t="s">
        <v>354</v>
      </c>
      <c r="K134" t="s">
        <v>355</v>
      </c>
      <c r="L134">
        <v>1368</v>
      </c>
      <c r="N134">
        <v>1011</v>
      </c>
      <c r="O134" t="s">
        <v>291</v>
      </c>
      <c r="P134" t="s">
        <v>291</v>
      </c>
      <c r="Q134">
        <v>1</v>
      </c>
      <c r="W134">
        <v>0</v>
      </c>
      <c r="X134">
        <v>-2083101341</v>
      </c>
      <c r="Y134">
        <f>(AT134*1.2)</f>
        <v>6.323999999999999</v>
      </c>
      <c r="AA134">
        <v>0</v>
      </c>
      <c r="AB134">
        <v>0.84</v>
      </c>
      <c r="AC134">
        <v>0</v>
      </c>
      <c r="AD134">
        <v>0</v>
      </c>
      <c r="AE134">
        <v>0</v>
      </c>
      <c r="AF134">
        <v>0.8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5.27</v>
      </c>
      <c r="AU134" t="s">
        <v>57</v>
      </c>
      <c r="AV134">
        <v>0</v>
      </c>
      <c r="AW134">
        <v>2</v>
      </c>
      <c r="AX134">
        <v>55927754</v>
      </c>
      <c r="AY134">
        <v>1</v>
      </c>
      <c r="AZ134">
        <v>0</v>
      </c>
      <c r="BA134">
        <v>150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f>ROUND(Y134*Source!I195*DO134,9)</f>
        <v>0</v>
      </c>
      <c r="CX134">
        <f>ROUND(Y134*Source!I195,9)</f>
        <v>11.3832</v>
      </c>
      <c r="CY134">
        <f>AB134</f>
        <v>0.84</v>
      </c>
      <c r="CZ134">
        <f>AF134</f>
        <v>0.8</v>
      </c>
      <c r="DA134">
        <f>AJ134</f>
        <v>1</v>
      </c>
      <c r="DB134">
        <f>ROUND((ROUND(AT134*CZ134,2)*1.2),6)</f>
        <v>5.0640000000000001</v>
      </c>
      <c r="DC134">
        <f>ROUND((ROUND(AT134*AG134,2)*1.2),6)</f>
        <v>0</v>
      </c>
      <c r="DD134" t="s">
        <v>3</v>
      </c>
      <c r="DE134" t="s">
        <v>3</v>
      </c>
      <c r="DF134">
        <f t="shared" si="50"/>
        <v>0</v>
      </c>
      <c r="DG134">
        <f t="shared" si="46"/>
        <v>9.11</v>
      </c>
      <c r="DH134">
        <f t="shared" si="47"/>
        <v>0</v>
      </c>
      <c r="DI134">
        <f t="shared" si="49"/>
        <v>0</v>
      </c>
      <c r="DJ134">
        <f>DG134</f>
        <v>9.11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ROW(Source!A195)</f>
        <v>195</v>
      </c>
      <c r="B135">
        <v>55919547</v>
      </c>
      <c r="C135">
        <v>55927750</v>
      </c>
      <c r="D135">
        <v>55460380</v>
      </c>
      <c r="E135">
        <v>1</v>
      </c>
      <c r="F135">
        <v>1</v>
      </c>
      <c r="G135">
        <v>1081</v>
      </c>
      <c r="H135">
        <v>3</v>
      </c>
      <c r="I135" t="s">
        <v>305</v>
      </c>
      <c r="J135" t="s">
        <v>306</v>
      </c>
      <c r="K135" t="s">
        <v>307</v>
      </c>
      <c r="L135">
        <v>1348</v>
      </c>
      <c r="N135">
        <v>1009</v>
      </c>
      <c r="O135" t="s">
        <v>284</v>
      </c>
      <c r="P135" t="s">
        <v>284</v>
      </c>
      <c r="Q135">
        <v>1000</v>
      </c>
      <c r="W135">
        <v>0</v>
      </c>
      <c r="X135">
        <v>277309194</v>
      </c>
      <c r="Y135">
        <f>(AT135*1)</f>
        <v>3.0000000000000001E-3</v>
      </c>
      <c r="AA135">
        <v>8590.86</v>
      </c>
      <c r="AB135">
        <v>0</v>
      </c>
      <c r="AC135">
        <v>0</v>
      </c>
      <c r="AD135">
        <v>0</v>
      </c>
      <c r="AE135">
        <v>8590.86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3.0000000000000001E-3</v>
      </c>
      <c r="AU135" t="s">
        <v>56</v>
      </c>
      <c r="AV135">
        <v>0</v>
      </c>
      <c r="AW135">
        <v>2</v>
      </c>
      <c r="AX135">
        <v>55927755</v>
      </c>
      <c r="AY135">
        <v>1</v>
      </c>
      <c r="AZ135">
        <v>0</v>
      </c>
      <c r="BA135">
        <v>151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ROUND(Y135*Source!I195,9)</f>
        <v>5.4000000000000003E-3</v>
      </c>
      <c r="CY135">
        <f>AA135</f>
        <v>8590.86</v>
      </c>
      <c r="CZ135">
        <f>AE135</f>
        <v>8590.86</v>
      </c>
      <c r="DA135">
        <f>AI135</f>
        <v>1</v>
      </c>
      <c r="DB135">
        <f>ROUND((ROUND(AT135*CZ135,2)*1),6)</f>
        <v>25.77</v>
      </c>
      <c r="DC135">
        <f>ROUND((ROUND(AT135*AG135,2)*1),6)</f>
        <v>0</v>
      </c>
      <c r="DD135" t="s">
        <v>3</v>
      </c>
      <c r="DE135" t="s">
        <v>3</v>
      </c>
      <c r="DF135">
        <f t="shared" si="50"/>
        <v>46.39</v>
      </c>
      <c r="DG135">
        <f t="shared" si="46"/>
        <v>0</v>
      </c>
      <c r="DH135">
        <f t="shared" si="47"/>
        <v>0</v>
      </c>
      <c r="DI135">
        <f t="shared" si="49"/>
        <v>0</v>
      </c>
      <c r="DJ135">
        <f>DF135</f>
        <v>46.39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ROW(Source!A195)</f>
        <v>195</v>
      </c>
      <c r="B136">
        <v>55919547</v>
      </c>
      <c r="C136">
        <v>55927750</v>
      </c>
      <c r="D136">
        <v>55460882</v>
      </c>
      <c r="E136">
        <v>1</v>
      </c>
      <c r="F136">
        <v>1</v>
      </c>
      <c r="G136">
        <v>1081</v>
      </c>
      <c r="H136">
        <v>3</v>
      </c>
      <c r="I136" t="s">
        <v>319</v>
      </c>
      <c r="J136" t="s">
        <v>320</v>
      </c>
      <c r="K136" t="s">
        <v>321</v>
      </c>
      <c r="L136">
        <v>1348</v>
      </c>
      <c r="N136">
        <v>1009</v>
      </c>
      <c r="O136" t="s">
        <v>284</v>
      </c>
      <c r="P136" t="s">
        <v>284</v>
      </c>
      <c r="Q136">
        <v>1000</v>
      </c>
      <c r="W136">
        <v>0</v>
      </c>
      <c r="X136">
        <v>-1448166212</v>
      </c>
      <c r="Y136">
        <f>(AT136*1)</f>
        <v>5.8E-4</v>
      </c>
      <c r="AA136">
        <v>14327.51</v>
      </c>
      <c r="AB136">
        <v>0</v>
      </c>
      <c r="AC136">
        <v>0</v>
      </c>
      <c r="AD136">
        <v>0</v>
      </c>
      <c r="AE136">
        <v>14327.51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5.8E-4</v>
      </c>
      <c r="AU136" t="s">
        <v>56</v>
      </c>
      <c r="AV136">
        <v>0</v>
      </c>
      <c r="AW136">
        <v>2</v>
      </c>
      <c r="AX136">
        <v>55927756</v>
      </c>
      <c r="AY136">
        <v>1</v>
      </c>
      <c r="AZ136">
        <v>0</v>
      </c>
      <c r="BA136">
        <v>152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ROUND(Y136*Source!I195,9)</f>
        <v>1.044E-3</v>
      </c>
      <c r="CY136">
        <f>AA136</f>
        <v>14327.51</v>
      </c>
      <c r="CZ136">
        <f>AE136</f>
        <v>14327.51</v>
      </c>
      <c r="DA136">
        <f>AI136</f>
        <v>1</v>
      </c>
      <c r="DB136">
        <f>ROUND((ROUND(AT136*CZ136,2)*1),6)</f>
        <v>8.31</v>
      </c>
      <c r="DC136">
        <f>ROUND((ROUND(AT136*AG136,2)*1),6)</f>
        <v>0</v>
      </c>
      <c r="DD136" t="s">
        <v>3</v>
      </c>
      <c r="DE136" t="s">
        <v>3</v>
      </c>
      <c r="DF136">
        <f t="shared" si="50"/>
        <v>14.96</v>
      </c>
      <c r="DG136">
        <f t="shared" si="46"/>
        <v>0</v>
      </c>
      <c r="DH136">
        <f t="shared" si="47"/>
        <v>0</v>
      </c>
      <c r="DI136">
        <f t="shared" si="49"/>
        <v>0</v>
      </c>
      <c r="DJ136">
        <f>DF136</f>
        <v>14.96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ROW(Source!A195)</f>
        <v>195</v>
      </c>
      <c r="B137">
        <v>55919547</v>
      </c>
      <c r="C137">
        <v>55927750</v>
      </c>
      <c r="D137">
        <v>55459404</v>
      </c>
      <c r="E137">
        <v>1</v>
      </c>
      <c r="F137">
        <v>1</v>
      </c>
      <c r="G137">
        <v>1081</v>
      </c>
      <c r="H137">
        <v>3</v>
      </c>
      <c r="I137" t="s">
        <v>356</v>
      </c>
      <c r="J137" t="s">
        <v>357</v>
      </c>
      <c r="K137" t="s">
        <v>358</v>
      </c>
      <c r="L137">
        <v>1346</v>
      </c>
      <c r="N137">
        <v>1009</v>
      </c>
      <c r="O137" t="s">
        <v>151</v>
      </c>
      <c r="P137" t="s">
        <v>151</v>
      </c>
      <c r="Q137">
        <v>1</v>
      </c>
      <c r="W137">
        <v>0</v>
      </c>
      <c r="X137">
        <v>669791865</v>
      </c>
      <c r="Y137">
        <f>(AT137*1)</f>
        <v>0.55000000000000004</v>
      </c>
      <c r="AA137">
        <v>73.53</v>
      </c>
      <c r="AB137">
        <v>0</v>
      </c>
      <c r="AC137">
        <v>0</v>
      </c>
      <c r="AD137">
        <v>0</v>
      </c>
      <c r="AE137">
        <v>73.53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0.55000000000000004</v>
      </c>
      <c r="AU137" t="s">
        <v>56</v>
      </c>
      <c r="AV137">
        <v>0</v>
      </c>
      <c r="AW137">
        <v>2</v>
      </c>
      <c r="AX137">
        <v>55927757</v>
      </c>
      <c r="AY137">
        <v>1</v>
      </c>
      <c r="AZ137">
        <v>0</v>
      </c>
      <c r="BA137">
        <v>153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ROUND(Y137*Source!I195,9)</f>
        <v>0.99</v>
      </c>
      <c r="CY137">
        <f>AA137</f>
        <v>73.53</v>
      </c>
      <c r="CZ137">
        <f>AE137</f>
        <v>73.53</v>
      </c>
      <c r="DA137">
        <f>AI137</f>
        <v>1</v>
      </c>
      <c r="DB137">
        <f>ROUND((ROUND(AT137*CZ137,2)*1),6)</f>
        <v>40.44</v>
      </c>
      <c r="DC137">
        <f>ROUND((ROUND(AT137*AG137,2)*1),6)</f>
        <v>0</v>
      </c>
      <c r="DD137" t="s">
        <v>3</v>
      </c>
      <c r="DE137" t="s">
        <v>3</v>
      </c>
      <c r="DF137">
        <f t="shared" si="50"/>
        <v>72.790000000000006</v>
      </c>
      <c r="DG137">
        <f t="shared" si="46"/>
        <v>0</v>
      </c>
      <c r="DH137">
        <f t="shared" si="47"/>
        <v>0</v>
      </c>
      <c r="DI137">
        <f t="shared" si="49"/>
        <v>0</v>
      </c>
      <c r="DJ137">
        <f>DF137</f>
        <v>72.790000000000006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ROW(Source!A195)</f>
        <v>195</v>
      </c>
      <c r="B138">
        <v>55919547</v>
      </c>
      <c r="C138">
        <v>55927750</v>
      </c>
      <c r="D138">
        <v>55477681</v>
      </c>
      <c r="E138">
        <v>1</v>
      </c>
      <c r="F138">
        <v>1</v>
      </c>
      <c r="G138">
        <v>1081</v>
      </c>
      <c r="H138">
        <v>3</v>
      </c>
      <c r="I138" t="s">
        <v>221</v>
      </c>
      <c r="J138" t="s">
        <v>223</v>
      </c>
      <c r="K138" t="s">
        <v>222</v>
      </c>
      <c r="L138">
        <v>1355</v>
      </c>
      <c r="N138">
        <v>1010</v>
      </c>
      <c r="O138" t="s">
        <v>54</v>
      </c>
      <c r="P138" t="s">
        <v>54</v>
      </c>
      <c r="Q138">
        <v>100</v>
      </c>
      <c r="W138">
        <v>0</v>
      </c>
      <c r="X138">
        <v>-1630187773</v>
      </c>
      <c r="Y138">
        <f>(AT138*1)</f>
        <v>2.2000000000000002</v>
      </c>
      <c r="AA138">
        <v>46.63</v>
      </c>
      <c r="AB138">
        <v>0</v>
      </c>
      <c r="AC138">
        <v>0</v>
      </c>
      <c r="AD138">
        <v>0</v>
      </c>
      <c r="AE138">
        <v>46.63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 t="s">
        <v>3</v>
      </c>
      <c r="AT138">
        <v>2.2000000000000002</v>
      </c>
      <c r="AU138" t="s">
        <v>56</v>
      </c>
      <c r="AV138">
        <v>0</v>
      </c>
      <c r="AW138">
        <v>1</v>
      </c>
      <c r="AX138">
        <v>-1</v>
      </c>
      <c r="AY138">
        <v>0</v>
      </c>
      <c r="AZ138">
        <v>0</v>
      </c>
      <c r="BA138" t="s">
        <v>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ROUND(Y138*Source!I195,9)</f>
        <v>3.96</v>
      </c>
      <c r="CY138">
        <f>AA138</f>
        <v>46.63</v>
      </c>
      <c r="CZ138">
        <f>AE138</f>
        <v>46.63</v>
      </c>
      <c r="DA138">
        <f>AI138</f>
        <v>1</v>
      </c>
      <c r="DB138">
        <f>ROUND((ROUND(AT138*CZ138,2)*1),6)</f>
        <v>102.59</v>
      </c>
      <c r="DC138">
        <f>ROUND((ROUND(AT138*AG138,2)*1),6)</f>
        <v>0</v>
      </c>
      <c r="DD138" t="s">
        <v>3</v>
      </c>
      <c r="DE138" t="s">
        <v>3</v>
      </c>
      <c r="DF138">
        <f t="shared" si="50"/>
        <v>184.65</v>
      </c>
      <c r="DG138">
        <f t="shared" si="46"/>
        <v>0</v>
      </c>
      <c r="DH138">
        <f t="shared" si="47"/>
        <v>0</v>
      </c>
      <c r="DI138">
        <f t="shared" si="49"/>
        <v>0</v>
      </c>
      <c r="DJ138">
        <f>DF138</f>
        <v>184.65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ROW(Source!A195)</f>
        <v>195</v>
      </c>
      <c r="B139">
        <v>55919547</v>
      </c>
      <c r="C139">
        <v>55927750</v>
      </c>
      <c r="D139">
        <v>55482614</v>
      </c>
      <c r="E139">
        <v>1</v>
      </c>
      <c r="F139">
        <v>1</v>
      </c>
      <c r="G139">
        <v>1081</v>
      </c>
      <c r="H139">
        <v>3</v>
      </c>
      <c r="I139" t="s">
        <v>359</v>
      </c>
      <c r="J139" t="s">
        <v>360</v>
      </c>
      <c r="K139" t="s">
        <v>361</v>
      </c>
      <c r="L139">
        <v>1355</v>
      </c>
      <c r="N139">
        <v>1010</v>
      </c>
      <c r="O139" t="s">
        <v>54</v>
      </c>
      <c r="P139" t="s">
        <v>54</v>
      </c>
      <c r="Q139">
        <v>100</v>
      </c>
      <c r="W139">
        <v>0</v>
      </c>
      <c r="X139">
        <v>-1747219598</v>
      </c>
      <c r="Y139">
        <f>(AT139*1)</f>
        <v>2.2000000000000002</v>
      </c>
      <c r="AA139">
        <v>323.76</v>
      </c>
      <c r="AB139">
        <v>0</v>
      </c>
      <c r="AC139">
        <v>0</v>
      </c>
      <c r="AD139">
        <v>0</v>
      </c>
      <c r="AE139">
        <v>323.76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2.2000000000000002</v>
      </c>
      <c r="AU139" t="s">
        <v>56</v>
      </c>
      <c r="AV139">
        <v>0</v>
      </c>
      <c r="AW139">
        <v>2</v>
      </c>
      <c r="AX139">
        <v>55927758</v>
      </c>
      <c r="AY139">
        <v>1</v>
      </c>
      <c r="AZ139">
        <v>0</v>
      </c>
      <c r="BA139">
        <v>154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ROUND(Y139*Source!I195,9)</f>
        <v>3.96</v>
      </c>
      <c r="CY139">
        <f>AA139</f>
        <v>323.76</v>
      </c>
      <c r="CZ139">
        <f>AE139</f>
        <v>323.76</v>
      </c>
      <c r="DA139">
        <f>AI139</f>
        <v>1</v>
      </c>
      <c r="DB139">
        <f>ROUND((ROUND(AT139*CZ139,2)*1),6)</f>
        <v>712.27</v>
      </c>
      <c r="DC139">
        <f>ROUND((ROUND(AT139*AG139,2)*1),6)</f>
        <v>0</v>
      </c>
      <c r="DD139" t="s">
        <v>3</v>
      </c>
      <c r="DE139" t="s">
        <v>3</v>
      </c>
      <c r="DF139">
        <f t="shared" si="50"/>
        <v>1282.0899999999999</v>
      </c>
      <c r="DG139">
        <f t="shared" si="46"/>
        <v>0</v>
      </c>
      <c r="DH139">
        <f t="shared" si="47"/>
        <v>0</v>
      </c>
      <c r="DI139">
        <f t="shared" si="49"/>
        <v>0</v>
      </c>
      <c r="DJ139">
        <f>DF139</f>
        <v>1282.0899999999999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ROW(Source!A196)</f>
        <v>196</v>
      </c>
      <c r="B140">
        <v>55919549</v>
      </c>
      <c r="C140">
        <v>55927750</v>
      </c>
      <c r="D140">
        <v>55424304</v>
      </c>
      <c r="E140">
        <v>1081</v>
      </c>
      <c r="F140">
        <v>1</v>
      </c>
      <c r="G140">
        <v>1081</v>
      </c>
      <c r="H140">
        <v>1</v>
      </c>
      <c r="I140" t="s">
        <v>278</v>
      </c>
      <c r="J140" t="s">
        <v>3</v>
      </c>
      <c r="K140" t="s">
        <v>279</v>
      </c>
      <c r="L140">
        <v>1191</v>
      </c>
      <c r="N140">
        <v>1013</v>
      </c>
      <c r="O140" t="s">
        <v>280</v>
      </c>
      <c r="P140" t="s">
        <v>280</v>
      </c>
      <c r="Q140">
        <v>1</v>
      </c>
      <c r="W140">
        <v>0</v>
      </c>
      <c r="X140">
        <v>476480486</v>
      </c>
      <c r="Y140">
        <f>(AT140*1.2)</f>
        <v>39.6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5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33</v>
      </c>
      <c r="AU140" t="s">
        <v>57</v>
      </c>
      <c r="AV140">
        <v>1</v>
      </c>
      <c r="AW140">
        <v>2</v>
      </c>
      <c r="AX140">
        <v>55927751</v>
      </c>
      <c r="AY140">
        <v>1</v>
      </c>
      <c r="AZ140">
        <v>0</v>
      </c>
      <c r="BA140">
        <v>158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U140">
        <f>ROUND(AT140*Source!I196*AH140*AL140,2)</f>
        <v>0</v>
      </c>
      <c r="CV140">
        <f>ROUND(Y140*Source!I196,9)</f>
        <v>71.28</v>
      </c>
      <c r="CW140">
        <v>0</v>
      </c>
      <c r="CX140">
        <f>ROUND(Y140*Source!I196,9)</f>
        <v>71.28</v>
      </c>
      <c r="CY140">
        <f>AD140</f>
        <v>0</v>
      </c>
      <c r="CZ140">
        <f>AH140</f>
        <v>0</v>
      </c>
      <c r="DA140">
        <f>AL140</f>
        <v>1</v>
      </c>
      <c r="DB140">
        <f>ROUND((ROUND(AT140*CZ140,2)*1.2),6)</f>
        <v>0</v>
      </c>
      <c r="DC140">
        <f>ROUND((ROUND(AT140*AG140,2)*1.2),6)</f>
        <v>0</v>
      </c>
      <c r="DD140" t="s">
        <v>3</v>
      </c>
      <c r="DE140" t="s">
        <v>3</v>
      </c>
      <c r="DF140">
        <f t="shared" si="50"/>
        <v>0</v>
      </c>
      <c r="DG140">
        <f t="shared" si="46"/>
        <v>0</v>
      </c>
      <c r="DH140">
        <f t="shared" si="47"/>
        <v>0</v>
      </c>
      <c r="DI140">
        <f t="shared" si="49"/>
        <v>0</v>
      </c>
      <c r="DJ140">
        <f>DI140</f>
        <v>0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ROW(Source!A196)</f>
        <v>196</v>
      </c>
      <c r="B141">
        <v>55919549</v>
      </c>
      <c r="C141">
        <v>55927750</v>
      </c>
      <c r="D141">
        <v>55489910</v>
      </c>
      <c r="E141">
        <v>1</v>
      </c>
      <c r="F141">
        <v>1</v>
      </c>
      <c r="G141">
        <v>1081</v>
      </c>
      <c r="H141">
        <v>2</v>
      </c>
      <c r="I141" t="s">
        <v>293</v>
      </c>
      <c r="J141" t="s">
        <v>294</v>
      </c>
      <c r="K141" t="s">
        <v>295</v>
      </c>
      <c r="L141">
        <v>1368</v>
      </c>
      <c r="N141">
        <v>1011</v>
      </c>
      <c r="O141" t="s">
        <v>291</v>
      </c>
      <c r="P141" t="s">
        <v>291</v>
      </c>
      <c r="Q141">
        <v>1</v>
      </c>
      <c r="W141">
        <v>0</v>
      </c>
      <c r="X141">
        <v>1498588441</v>
      </c>
      <c r="Y141">
        <f>(AT141*1.2)</f>
        <v>6.3959999999999999</v>
      </c>
      <c r="AA141">
        <v>0</v>
      </c>
      <c r="AB141">
        <v>100.2</v>
      </c>
      <c r="AC141">
        <v>0</v>
      </c>
      <c r="AD141">
        <v>0</v>
      </c>
      <c r="AE141">
        <v>0</v>
      </c>
      <c r="AF141">
        <v>7.11</v>
      </c>
      <c r="AG141">
        <v>0</v>
      </c>
      <c r="AH141">
        <v>0</v>
      </c>
      <c r="AI141">
        <v>1</v>
      </c>
      <c r="AJ141">
        <v>13.46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5.33</v>
      </c>
      <c r="AU141" t="s">
        <v>57</v>
      </c>
      <c r="AV141">
        <v>0</v>
      </c>
      <c r="AW141">
        <v>2</v>
      </c>
      <c r="AX141">
        <v>55927752</v>
      </c>
      <c r="AY141">
        <v>1</v>
      </c>
      <c r="AZ141">
        <v>0</v>
      </c>
      <c r="BA141">
        <v>159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f>ROUND(Y141*Source!I196*DO141,9)</f>
        <v>0</v>
      </c>
      <c r="CX141">
        <f>ROUND(Y141*Source!I196,9)</f>
        <v>11.5128</v>
      </c>
      <c r="CY141">
        <f>AB141</f>
        <v>100.2</v>
      </c>
      <c r="CZ141">
        <f>AF141</f>
        <v>7.11</v>
      </c>
      <c r="DA141">
        <f>AJ141</f>
        <v>13.46</v>
      </c>
      <c r="DB141">
        <f>ROUND((ROUND(AT141*CZ141,2)*1.2),6)</f>
        <v>45.48</v>
      </c>
      <c r="DC141">
        <f>ROUND((ROUND(AT141*AG141,2)*1.2),6)</f>
        <v>0</v>
      </c>
      <c r="DD141" t="s">
        <v>3</v>
      </c>
      <c r="DE141" t="s">
        <v>3</v>
      </c>
      <c r="DF141">
        <f t="shared" si="50"/>
        <v>0</v>
      </c>
      <c r="DG141">
        <f>ROUND(ROUND(AF141*AJ141,2)*CX141,2)</f>
        <v>1101.77</v>
      </c>
      <c r="DH141">
        <f t="shared" si="47"/>
        <v>0</v>
      </c>
      <c r="DI141">
        <f t="shared" si="49"/>
        <v>0</v>
      </c>
      <c r="DJ141">
        <f>DG141</f>
        <v>1101.77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ROW(Source!A196)</f>
        <v>196</v>
      </c>
      <c r="B142">
        <v>55919549</v>
      </c>
      <c r="C142">
        <v>55927750</v>
      </c>
      <c r="D142">
        <v>55490209</v>
      </c>
      <c r="E142">
        <v>1</v>
      </c>
      <c r="F142">
        <v>1</v>
      </c>
      <c r="G142">
        <v>1081</v>
      </c>
      <c r="H142">
        <v>2</v>
      </c>
      <c r="I142" t="s">
        <v>296</v>
      </c>
      <c r="J142" t="s">
        <v>297</v>
      </c>
      <c r="K142" t="s">
        <v>298</v>
      </c>
      <c r="L142">
        <v>1368</v>
      </c>
      <c r="N142">
        <v>1011</v>
      </c>
      <c r="O142" t="s">
        <v>291</v>
      </c>
      <c r="P142" t="s">
        <v>291</v>
      </c>
      <c r="Q142">
        <v>1</v>
      </c>
      <c r="W142">
        <v>0</v>
      </c>
      <c r="X142">
        <v>874612079</v>
      </c>
      <c r="Y142">
        <f>(AT142*1.2)</f>
        <v>0.27600000000000002</v>
      </c>
      <c r="AA142">
        <v>0</v>
      </c>
      <c r="AB142">
        <v>1485.19</v>
      </c>
      <c r="AC142">
        <v>744.56</v>
      </c>
      <c r="AD142">
        <v>0</v>
      </c>
      <c r="AE142">
        <v>0</v>
      </c>
      <c r="AF142">
        <v>83.1</v>
      </c>
      <c r="AG142">
        <v>12.62</v>
      </c>
      <c r="AH142">
        <v>0</v>
      </c>
      <c r="AI142">
        <v>1</v>
      </c>
      <c r="AJ142">
        <v>17.07</v>
      </c>
      <c r="AK142">
        <v>56.35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0.23</v>
      </c>
      <c r="AU142" t="s">
        <v>57</v>
      </c>
      <c r="AV142">
        <v>0</v>
      </c>
      <c r="AW142">
        <v>2</v>
      </c>
      <c r="AX142">
        <v>55927753</v>
      </c>
      <c r="AY142">
        <v>1</v>
      </c>
      <c r="AZ142">
        <v>0</v>
      </c>
      <c r="BA142">
        <v>160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f>ROUND(Y142*Source!I196*DO142,9)</f>
        <v>6.2696160000000001</v>
      </c>
      <c r="CX142">
        <f>ROUND(Y142*Source!I196,9)</f>
        <v>0.49680000000000002</v>
      </c>
      <c r="CY142">
        <f>AB142</f>
        <v>1485.19</v>
      </c>
      <c r="CZ142">
        <f>AF142</f>
        <v>83.1</v>
      </c>
      <c r="DA142">
        <f>AJ142</f>
        <v>17.07</v>
      </c>
      <c r="DB142">
        <f>ROUND((ROUND(AT142*CZ142,2)*1.2),6)</f>
        <v>22.931999999999999</v>
      </c>
      <c r="DC142">
        <f>ROUND((ROUND(AT142*AG142,2)*1.2),6)</f>
        <v>3.48</v>
      </c>
      <c r="DD142" t="s">
        <v>3</v>
      </c>
      <c r="DE142" t="s">
        <v>3</v>
      </c>
      <c r="DF142">
        <f t="shared" si="50"/>
        <v>0</v>
      </c>
      <c r="DG142">
        <f>ROUND(ROUND(AF142*AJ142,2)*CX142,2)</f>
        <v>704.72</v>
      </c>
      <c r="DH142">
        <f>ROUND(ROUND(AG142*AK142,2)*CX142,2)</f>
        <v>353.29</v>
      </c>
      <c r="DI142">
        <f t="shared" si="49"/>
        <v>0</v>
      </c>
      <c r="DJ142">
        <f>DG142</f>
        <v>704.72</v>
      </c>
      <c r="DK142">
        <v>0</v>
      </c>
      <c r="DL142" t="s">
        <v>292</v>
      </c>
      <c r="DM142">
        <v>0</v>
      </c>
      <c r="DN142" t="s">
        <v>280</v>
      </c>
      <c r="DO142">
        <v>12.62</v>
      </c>
    </row>
    <row r="143" spans="1:119" x14ac:dyDescent="0.2">
      <c r="A143">
        <f>ROW(Source!A196)</f>
        <v>196</v>
      </c>
      <c r="B143">
        <v>55919549</v>
      </c>
      <c r="C143">
        <v>55927750</v>
      </c>
      <c r="D143">
        <v>55490330</v>
      </c>
      <c r="E143">
        <v>1</v>
      </c>
      <c r="F143">
        <v>1</v>
      </c>
      <c r="G143">
        <v>1081</v>
      </c>
      <c r="H143">
        <v>2</v>
      </c>
      <c r="I143" t="s">
        <v>353</v>
      </c>
      <c r="J143" t="s">
        <v>354</v>
      </c>
      <c r="K143" t="s">
        <v>355</v>
      </c>
      <c r="L143">
        <v>1368</v>
      </c>
      <c r="N143">
        <v>1011</v>
      </c>
      <c r="O143" t="s">
        <v>291</v>
      </c>
      <c r="P143" t="s">
        <v>291</v>
      </c>
      <c r="Q143">
        <v>1</v>
      </c>
      <c r="W143">
        <v>0</v>
      </c>
      <c r="X143">
        <v>-2083101341</v>
      </c>
      <c r="Y143">
        <f>(AT143*1.2)</f>
        <v>6.323999999999999</v>
      </c>
      <c r="AA143">
        <v>0</v>
      </c>
      <c r="AB143">
        <v>7.92</v>
      </c>
      <c r="AC143">
        <v>0</v>
      </c>
      <c r="AD143">
        <v>0</v>
      </c>
      <c r="AE143">
        <v>0</v>
      </c>
      <c r="AF143">
        <v>0.8</v>
      </c>
      <c r="AG143">
        <v>0</v>
      </c>
      <c r="AH143">
        <v>0</v>
      </c>
      <c r="AI143">
        <v>1</v>
      </c>
      <c r="AJ143">
        <v>9.4600000000000009</v>
      </c>
      <c r="AK143">
        <v>1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5.27</v>
      </c>
      <c r="AU143" t="s">
        <v>57</v>
      </c>
      <c r="AV143">
        <v>0</v>
      </c>
      <c r="AW143">
        <v>2</v>
      </c>
      <c r="AX143">
        <v>55927754</v>
      </c>
      <c r="AY143">
        <v>1</v>
      </c>
      <c r="AZ143">
        <v>0</v>
      </c>
      <c r="BA143">
        <v>161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f>ROUND(Y143*Source!I196*DO143,9)</f>
        <v>0</v>
      </c>
      <c r="CX143">
        <f>ROUND(Y143*Source!I196,9)</f>
        <v>11.3832</v>
      </c>
      <c r="CY143">
        <f>AB143</f>
        <v>7.92</v>
      </c>
      <c r="CZ143">
        <f>AF143</f>
        <v>0.8</v>
      </c>
      <c r="DA143">
        <f>AJ143</f>
        <v>9.4600000000000009</v>
      </c>
      <c r="DB143">
        <f>ROUND((ROUND(AT143*CZ143,2)*1.2),6)</f>
        <v>5.0640000000000001</v>
      </c>
      <c r="DC143">
        <f>ROUND((ROUND(AT143*AG143,2)*1.2),6)</f>
        <v>0</v>
      </c>
      <c r="DD143" t="s">
        <v>3</v>
      </c>
      <c r="DE143" t="s">
        <v>3</v>
      </c>
      <c r="DF143">
        <f t="shared" si="50"/>
        <v>0</v>
      </c>
      <c r="DG143">
        <f>ROUND(ROUND(AF143*AJ143,2)*CX143,2)</f>
        <v>86.17</v>
      </c>
      <c r="DH143">
        <f t="shared" ref="DH143:DH168" si="51">ROUND(ROUND(AG143,2)*CX143,2)</f>
        <v>0</v>
      </c>
      <c r="DI143">
        <f t="shared" si="49"/>
        <v>0</v>
      </c>
      <c r="DJ143">
        <f>DG143</f>
        <v>86.17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ROW(Source!A196)</f>
        <v>196</v>
      </c>
      <c r="B144">
        <v>55919549</v>
      </c>
      <c r="C144">
        <v>55927750</v>
      </c>
      <c r="D144">
        <v>55460380</v>
      </c>
      <c r="E144">
        <v>1</v>
      </c>
      <c r="F144">
        <v>1</v>
      </c>
      <c r="G144">
        <v>1081</v>
      </c>
      <c r="H144">
        <v>3</v>
      </c>
      <c r="I144" t="s">
        <v>305</v>
      </c>
      <c r="J144" t="s">
        <v>306</v>
      </c>
      <c r="K144" t="s">
        <v>307</v>
      </c>
      <c r="L144">
        <v>1348</v>
      </c>
      <c r="N144">
        <v>1009</v>
      </c>
      <c r="O144" t="s">
        <v>284</v>
      </c>
      <c r="P144" t="s">
        <v>284</v>
      </c>
      <c r="Q144">
        <v>1000</v>
      </c>
      <c r="W144">
        <v>0</v>
      </c>
      <c r="X144">
        <v>277309194</v>
      </c>
      <c r="Y144">
        <f>(AT144*1)</f>
        <v>3.0000000000000001E-3</v>
      </c>
      <c r="AA144">
        <v>141233.74</v>
      </c>
      <c r="AB144">
        <v>0</v>
      </c>
      <c r="AC144">
        <v>0</v>
      </c>
      <c r="AD144">
        <v>0</v>
      </c>
      <c r="AE144">
        <v>8590.86</v>
      </c>
      <c r="AF144">
        <v>0</v>
      </c>
      <c r="AG144">
        <v>0</v>
      </c>
      <c r="AH144">
        <v>0</v>
      </c>
      <c r="AI144">
        <v>16.440000000000001</v>
      </c>
      <c r="AJ144">
        <v>1</v>
      </c>
      <c r="AK144">
        <v>1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3.0000000000000001E-3</v>
      </c>
      <c r="AU144" t="s">
        <v>56</v>
      </c>
      <c r="AV144">
        <v>0</v>
      </c>
      <c r="AW144">
        <v>2</v>
      </c>
      <c r="AX144">
        <v>55927755</v>
      </c>
      <c r="AY144">
        <v>1</v>
      </c>
      <c r="AZ144">
        <v>0</v>
      </c>
      <c r="BA144">
        <v>162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ROUND(Y144*Source!I196,9)</f>
        <v>5.4000000000000003E-3</v>
      </c>
      <c r="CY144">
        <f>AA144</f>
        <v>141233.74</v>
      </c>
      <c r="CZ144">
        <f>AE144</f>
        <v>8590.86</v>
      </c>
      <c r="DA144">
        <f>AI144</f>
        <v>16.440000000000001</v>
      </c>
      <c r="DB144">
        <f>ROUND((ROUND(AT144*CZ144,2)*1),6)</f>
        <v>25.77</v>
      </c>
      <c r="DC144">
        <f>ROUND((ROUND(AT144*AG144,2)*1),6)</f>
        <v>0</v>
      </c>
      <c r="DD144" t="s">
        <v>3</v>
      </c>
      <c r="DE144" t="s">
        <v>3</v>
      </c>
      <c r="DF144">
        <f>ROUND(ROUND(AE144*AI144,2)*CX144,2)</f>
        <v>762.66</v>
      </c>
      <c r="DG144">
        <f t="shared" ref="DG144:DG167" si="52">ROUND(ROUND(AF144,2)*CX144,2)</f>
        <v>0</v>
      </c>
      <c r="DH144">
        <f t="shared" si="51"/>
        <v>0</v>
      </c>
      <c r="DI144">
        <f t="shared" si="49"/>
        <v>0</v>
      </c>
      <c r="DJ144">
        <f>DF144</f>
        <v>762.66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ROW(Source!A196)</f>
        <v>196</v>
      </c>
      <c r="B145">
        <v>55919549</v>
      </c>
      <c r="C145">
        <v>55927750</v>
      </c>
      <c r="D145">
        <v>55460882</v>
      </c>
      <c r="E145">
        <v>1</v>
      </c>
      <c r="F145">
        <v>1</v>
      </c>
      <c r="G145">
        <v>1081</v>
      </c>
      <c r="H145">
        <v>3</v>
      </c>
      <c r="I145" t="s">
        <v>319</v>
      </c>
      <c r="J145" t="s">
        <v>320</v>
      </c>
      <c r="K145" t="s">
        <v>321</v>
      </c>
      <c r="L145">
        <v>1348</v>
      </c>
      <c r="N145">
        <v>1009</v>
      </c>
      <c r="O145" t="s">
        <v>284</v>
      </c>
      <c r="P145" t="s">
        <v>284</v>
      </c>
      <c r="Q145">
        <v>1000</v>
      </c>
      <c r="W145">
        <v>0</v>
      </c>
      <c r="X145">
        <v>-1448166212</v>
      </c>
      <c r="Y145">
        <f>(AT145*1)</f>
        <v>5.8E-4</v>
      </c>
      <c r="AA145">
        <v>109175.63</v>
      </c>
      <c r="AB145">
        <v>0</v>
      </c>
      <c r="AC145">
        <v>0</v>
      </c>
      <c r="AD145">
        <v>0</v>
      </c>
      <c r="AE145">
        <v>14327.51</v>
      </c>
      <c r="AF145">
        <v>0</v>
      </c>
      <c r="AG145">
        <v>0</v>
      </c>
      <c r="AH145">
        <v>0</v>
      </c>
      <c r="AI145">
        <v>7.62</v>
      </c>
      <c r="AJ145">
        <v>1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5.8E-4</v>
      </c>
      <c r="AU145" t="s">
        <v>56</v>
      </c>
      <c r="AV145">
        <v>0</v>
      </c>
      <c r="AW145">
        <v>2</v>
      </c>
      <c r="AX145">
        <v>55927756</v>
      </c>
      <c r="AY145">
        <v>1</v>
      </c>
      <c r="AZ145">
        <v>0</v>
      </c>
      <c r="BA145">
        <v>163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ROUND(Y145*Source!I196,9)</f>
        <v>1.044E-3</v>
      </c>
      <c r="CY145">
        <f>AA145</f>
        <v>109175.63</v>
      </c>
      <c r="CZ145">
        <f>AE145</f>
        <v>14327.51</v>
      </c>
      <c r="DA145">
        <f>AI145</f>
        <v>7.62</v>
      </c>
      <c r="DB145">
        <f>ROUND((ROUND(AT145*CZ145,2)*1),6)</f>
        <v>8.31</v>
      </c>
      <c r="DC145">
        <f>ROUND((ROUND(AT145*AG145,2)*1),6)</f>
        <v>0</v>
      </c>
      <c r="DD145" t="s">
        <v>3</v>
      </c>
      <c r="DE145" t="s">
        <v>3</v>
      </c>
      <c r="DF145">
        <f>ROUND(ROUND(AE145*AI145,2)*CX145,2)</f>
        <v>113.98</v>
      </c>
      <c r="DG145">
        <f t="shared" si="52"/>
        <v>0</v>
      </c>
      <c r="DH145">
        <f t="shared" si="51"/>
        <v>0</v>
      </c>
      <c r="DI145">
        <f t="shared" si="49"/>
        <v>0</v>
      </c>
      <c r="DJ145">
        <f>DF145</f>
        <v>113.98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ROW(Source!A196)</f>
        <v>196</v>
      </c>
      <c r="B146">
        <v>55919549</v>
      </c>
      <c r="C146">
        <v>55927750</v>
      </c>
      <c r="D146">
        <v>55459404</v>
      </c>
      <c r="E146">
        <v>1</v>
      </c>
      <c r="F146">
        <v>1</v>
      </c>
      <c r="G146">
        <v>1081</v>
      </c>
      <c r="H146">
        <v>3</v>
      </c>
      <c r="I146" t="s">
        <v>356</v>
      </c>
      <c r="J146" t="s">
        <v>357</v>
      </c>
      <c r="K146" t="s">
        <v>358</v>
      </c>
      <c r="L146">
        <v>1346</v>
      </c>
      <c r="N146">
        <v>1009</v>
      </c>
      <c r="O146" t="s">
        <v>151</v>
      </c>
      <c r="P146" t="s">
        <v>151</v>
      </c>
      <c r="Q146">
        <v>1</v>
      </c>
      <c r="W146">
        <v>0</v>
      </c>
      <c r="X146">
        <v>669791865</v>
      </c>
      <c r="Y146">
        <f>(AT146*1)</f>
        <v>0.55000000000000004</v>
      </c>
      <c r="AA146">
        <v>158.82</v>
      </c>
      <c r="AB146">
        <v>0</v>
      </c>
      <c r="AC146">
        <v>0</v>
      </c>
      <c r="AD146">
        <v>0</v>
      </c>
      <c r="AE146">
        <v>73.53</v>
      </c>
      <c r="AF146">
        <v>0</v>
      </c>
      <c r="AG146">
        <v>0</v>
      </c>
      <c r="AH146">
        <v>0</v>
      </c>
      <c r="AI146">
        <v>2.16</v>
      </c>
      <c r="AJ146">
        <v>1</v>
      </c>
      <c r="AK146">
        <v>1</v>
      </c>
      <c r="AL146">
        <v>1</v>
      </c>
      <c r="AM146">
        <v>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0.55000000000000004</v>
      </c>
      <c r="AU146" t="s">
        <v>56</v>
      </c>
      <c r="AV146">
        <v>0</v>
      </c>
      <c r="AW146">
        <v>2</v>
      </c>
      <c r="AX146">
        <v>55927757</v>
      </c>
      <c r="AY146">
        <v>1</v>
      </c>
      <c r="AZ146">
        <v>0</v>
      </c>
      <c r="BA146">
        <v>164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ROUND(Y146*Source!I196,9)</f>
        <v>0.99</v>
      </c>
      <c r="CY146">
        <f>AA146</f>
        <v>158.82</v>
      </c>
      <c r="CZ146">
        <f>AE146</f>
        <v>73.53</v>
      </c>
      <c r="DA146">
        <f>AI146</f>
        <v>2.16</v>
      </c>
      <c r="DB146">
        <f>ROUND((ROUND(AT146*CZ146,2)*1),6)</f>
        <v>40.44</v>
      </c>
      <c r="DC146">
        <f>ROUND((ROUND(AT146*AG146,2)*1),6)</f>
        <v>0</v>
      </c>
      <c r="DD146" t="s">
        <v>3</v>
      </c>
      <c r="DE146" t="s">
        <v>3</v>
      </c>
      <c r="DF146">
        <f>ROUND(ROUND(AE146*AI146,2)*CX146,2)</f>
        <v>157.22999999999999</v>
      </c>
      <c r="DG146">
        <f t="shared" si="52"/>
        <v>0</v>
      </c>
      <c r="DH146">
        <f t="shared" si="51"/>
        <v>0</v>
      </c>
      <c r="DI146">
        <f t="shared" si="49"/>
        <v>0</v>
      </c>
      <c r="DJ146">
        <f>DF146</f>
        <v>157.22999999999999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ROW(Source!A196)</f>
        <v>196</v>
      </c>
      <c r="B147">
        <v>55919549</v>
      </c>
      <c r="C147">
        <v>55927750</v>
      </c>
      <c r="D147">
        <v>55477681</v>
      </c>
      <c r="E147">
        <v>1</v>
      </c>
      <c r="F147">
        <v>1</v>
      </c>
      <c r="G147">
        <v>1081</v>
      </c>
      <c r="H147">
        <v>3</v>
      </c>
      <c r="I147" t="s">
        <v>221</v>
      </c>
      <c r="J147" t="s">
        <v>223</v>
      </c>
      <c r="K147" t="s">
        <v>222</v>
      </c>
      <c r="L147">
        <v>1355</v>
      </c>
      <c r="N147">
        <v>1010</v>
      </c>
      <c r="O147" t="s">
        <v>54</v>
      </c>
      <c r="P147" t="s">
        <v>54</v>
      </c>
      <c r="Q147">
        <v>100</v>
      </c>
      <c r="W147">
        <v>0</v>
      </c>
      <c r="X147">
        <v>-1630187773</v>
      </c>
      <c r="Y147">
        <f>(AT147*1)</f>
        <v>2.2000000000000002</v>
      </c>
      <c r="AA147">
        <v>50.83</v>
      </c>
      <c r="AB147">
        <v>0</v>
      </c>
      <c r="AC147">
        <v>0</v>
      </c>
      <c r="AD147">
        <v>0</v>
      </c>
      <c r="AE147">
        <v>46.63</v>
      </c>
      <c r="AF147">
        <v>0</v>
      </c>
      <c r="AG147">
        <v>0</v>
      </c>
      <c r="AH147">
        <v>0</v>
      </c>
      <c r="AI147">
        <v>1.0900000000000001</v>
      </c>
      <c r="AJ147">
        <v>1</v>
      </c>
      <c r="AK147">
        <v>1</v>
      </c>
      <c r="AL147">
        <v>1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 t="s">
        <v>3</v>
      </c>
      <c r="AT147">
        <v>2.2000000000000002</v>
      </c>
      <c r="AU147" t="s">
        <v>56</v>
      </c>
      <c r="AV147">
        <v>0</v>
      </c>
      <c r="AW147">
        <v>1</v>
      </c>
      <c r="AX147">
        <v>-1</v>
      </c>
      <c r="AY147">
        <v>0</v>
      </c>
      <c r="AZ147">
        <v>0</v>
      </c>
      <c r="BA147" t="s">
        <v>3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ROUND(Y147*Source!I196,9)</f>
        <v>3.96</v>
      </c>
      <c r="CY147">
        <f>AA147</f>
        <v>50.83</v>
      </c>
      <c r="CZ147">
        <f>AE147</f>
        <v>46.63</v>
      </c>
      <c r="DA147">
        <f>AI147</f>
        <v>1.0900000000000001</v>
      </c>
      <c r="DB147">
        <f>ROUND((ROUND(AT147*CZ147,2)*1),6)</f>
        <v>102.59</v>
      </c>
      <c r="DC147">
        <f>ROUND((ROUND(AT147*AG147,2)*1),6)</f>
        <v>0</v>
      </c>
      <c r="DD147" t="s">
        <v>3</v>
      </c>
      <c r="DE147" t="s">
        <v>3</v>
      </c>
      <c r="DF147">
        <f>ROUND(ROUND(AE147*AI147,2)*CX147,2)</f>
        <v>201.29</v>
      </c>
      <c r="DG147">
        <f t="shared" si="52"/>
        <v>0</v>
      </c>
      <c r="DH147">
        <f t="shared" si="51"/>
        <v>0</v>
      </c>
      <c r="DI147">
        <f t="shared" si="49"/>
        <v>0</v>
      </c>
      <c r="DJ147">
        <f>DF147</f>
        <v>201.29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ROW(Source!A196)</f>
        <v>196</v>
      </c>
      <c r="B148">
        <v>55919549</v>
      </c>
      <c r="C148">
        <v>55927750</v>
      </c>
      <c r="D148">
        <v>55482614</v>
      </c>
      <c r="E148">
        <v>1</v>
      </c>
      <c r="F148">
        <v>1</v>
      </c>
      <c r="G148">
        <v>1081</v>
      </c>
      <c r="H148">
        <v>3</v>
      </c>
      <c r="I148" t="s">
        <v>359</v>
      </c>
      <c r="J148" t="s">
        <v>360</v>
      </c>
      <c r="K148" t="s">
        <v>361</v>
      </c>
      <c r="L148">
        <v>1355</v>
      </c>
      <c r="N148">
        <v>1010</v>
      </c>
      <c r="O148" t="s">
        <v>54</v>
      </c>
      <c r="P148" t="s">
        <v>54</v>
      </c>
      <c r="Q148">
        <v>100</v>
      </c>
      <c r="W148">
        <v>0</v>
      </c>
      <c r="X148">
        <v>-1747219598</v>
      </c>
      <c r="Y148">
        <f>(AT148*1)</f>
        <v>2.2000000000000002</v>
      </c>
      <c r="AA148">
        <v>2340.7800000000002</v>
      </c>
      <c r="AB148">
        <v>0</v>
      </c>
      <c r="AC148">
        <v>0</v>
      </c>
      <c r="AD148">
        <v>0</v>
      </c>
      <c r="AE148">
        <v>323.76</v>
      </c>
      <c r="AF148">
        <v>0</v>
      </c>
      <c r="AG148">
        <v>0</v>
      </c>
      <c r="AH148">
        <v>0</v>
      </c>
      <c r="AI148">
        <v>7.23</v>
      </c>
      <c r="AJ148">
        <v>1</v>
      </c>
      <c r="AK148">
        <v>1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2.2000000000000002</v>
      </c>
      <c r="AU148" t="s">
        <v>56</v>
      </c>
      <c r="AV148">
        <v>0</v>
      </c>
      <c r="AW148">
        <v>2</v>
      </c>
      <c r="AX148">
        <v>55927758</v>
      </c>
      <c r="AY148">
        <v>1</v>
      </c>
      <c r="AZ148">
        <v>0</v>
      </c>
      <c r="BA148">
        <v>165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ROUND(Y148*Source!I196,9)</f>
        <v>3.96</v>
      </c>
      <c r="CY148">
        <f>AA148</f>
        <v>2340.7800000000002</v>
      </c>
      <c r="CZ148">
        <f>AE148</f>
        <v>323.76</v>
      </c>
      <c r="DA148">
        <f>AI148</f>
        <v>7.23</v>
      </c>
      <c r="DB148">
        <f>ROUND((ROUND(AT148*CZ148,2)*1),6)</f>
        <v>712.27</v>
      </c>
      <c r="DC148">
        <f>ROUND((ROUND(AT148*AG148,2)*1),6)</f>
        <v>0</v>
      </c>
      <c r="DD148" t="s">
        <v>3</v>
      </c>
      <c r="DE148" t="s">
        <v>3</v>
      </c>
      <c r="DF148">
        <f>ROUND(ROUND(AE148*AI148,2)*CX148,2)</f>
        <v>9269.49</v>
      </c>
      <c r="DG148">
        <f t="shared" si="52"/>
        <v>0</v>
      </c>
      <c r="DH148">
        <f t="shared" si="51"/>
        <v>0</v>
      </c>
      <c r="DI148">
        <f t="shared" si="49"/>
        <v>0</v>
      </c>
      <c r="DJ148">
        <f>DF148</f>
        <v>9269.49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ROW(Source!A238)</f>
        <v>238</v>
      </c>
      <c r="B149">
        <v>55919547</v>
      </c>
      <c r="C149">
        <v>55928119</v>
      </c>
      <c r="D149">
        <v>55424304</v>
      </c>
      <c r="E149">
        <v>1081</v>
      </c>
      <c r="F149">
        <v>1</v>
      </c>
      <c r="G149">
        <v>1081</v>
      </c>
      <c r="H149">
        <v>1</v>
      </c>
      <c r="I149" t="s">
        <v>278</v>
      </c>
      <c r="J149" t="s">
        <v>3</v>
      </c>
      <c r="K149" t="s">
        <v>279</v>
      </c>
      <c r="L149">
        <v>1191</v>
      </c>
      <c r="N149">
        <v>1013</v>
      </c>
      <c r="O149" t="s">
        <v>280</v>
      </c>
      <c r="P149" t="s">
        <v>280</v>
      </c>
      <c r="Q149">
        <v>1</v>
      </c>
      <c r="W149">
        <v>0</v>
      </c>
      <c r="X149">
        <v>476480486</v>
      </c>
      <c r="Y149">
        <f>(AT149*1.2)</f>
        <v>32.159999999999997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26.8</v>
      </c>
      <c r="AU149" t="s">
        <v>57</v>
      </c>
      <c r="AV149">
        <v>1</v>
      </c>
      <c r="AW149">
        <v>2</v>
      </c>
      <c r="AX149">
        <v>55928143</v>
      </c>
      <c r="AY149">
        <v>1</v>
      </c>
      <c r="AZ149">
        <v>0</v>
      </c>
      <c r="BA149">
        <v>169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U149">
        <f>ROUND(AT149*Source!I238*AH149*AL149,2)</f>
        <v>0</v>
      </c>
      <c r="CV149">
        <f>ROUND(Y149*Source!I238,9)</f>
        <v>64.319999999999993</v>
      </c>
      <c r="CW149">
        <v>0</v>
      </c>
      <c r="CX149">
        <f>ROUND(Y149*Source!I238,9)</f>
        <v>64.319999999999993</v>
      </c>
      <c r="CY149">
        <f>AD149</f>
        <v>0</v>
      </c>
      <c r="CZ149">
        <f>AH149</f>
        <v>0</v>
      </c>
      <c r="DA149">
        <f>AL149</f>
        <v>1</v>
      </c>
      <c r="DB149">
        <f>ROUND((ROUND(AT149*CZ149,2)*1.2),6)</f>
        <v>0</v>
      </c>
      <c r="DC149">
        <f>ROUND((ROUND(AT149*AG149,2)*1.2),6)</f>
        <v>0</v>
      </c>
      <c r="DD149" t="s">
        <v>3</v>
      </c>
      <c r="DE149" t="s">
        <v>3</v>
      </c>
      <c r="DF149">
        <f t="shared" ref="DF149:DF171" si="53">ROUND(ROUND(AE149,2)*CX149,2)</f>
        <v>0</v>
      </c>
      <c r="DG149">
        <f t="shared" si="52"/>
        <v>0</v>
      </c>
      <c r="DH149">
        <f t="shared" si="51"/>
        <v>0</v>
      </c>
      <c r="DI149">
        <f t="shared" si="49"/>
        <v>0</v>
      </c>
      <c r="DJ149">
        <f>DI149</f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ROW(Source!A238)</f>
        <v>238</v>
      </c>
      <c r="B150">
        <v>55919547</v>
      </c>
      <c r="C150">
        <v>55928119</v>
      </c>
      <c r="D150">
        <v>55489910</v>
      </c>
      <c r="E150">
        <v>1</v>
      </c>
      <c r="F150">
        <v>1</v>
      </c>
      <c r="G150">
        <v>1081</v>
      </c>
      <c r="H150">
        <v>2</v>
      </c>
      <c r="I150" t="s">
        <v>293</v>
      </c>
      <c r="J150" t="s">
        <v>294</v>
      </c>
      <c r="K150" t="s">
        <v>295</v>
      </c>
      <c r="L150">
        <v>1368</v>
      </c>
      <c r="N150">
        <v>1011</v>
      </c>
      <c r="O150" t="s">
        <v>291</v>
      </c>
      <c r="P150" t="s">
        <v>291</v>
      </c>
      <c r="Q150">
        <v>1</v>
      </c>
      <c r="W150">
        <v>0</v>
      </c>
      <c r="X150">
        <v>1498588441</v>
      </c>
      <c r="Y150">
        <f>(AT150*1.2)</f>
        <v>6.6360000000000001</v>
      </c>
      <c r="AA150">
        <v>0</v>
      </c>
      <c r="AB150">
        <v>7.44</v>
      </c>
      <c r="AC150">
        <v>0</v>
      </c>
      <c r="AD150">
        <v>0</v>
      </c>
      <c r="AE150">
        <v>0</v>
      </c>
      <c r="AF150">
        <v>7.11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-2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5.53</v>
      </c>
      <c r="AU150" t="s">
        <v>57</v>
      </c>
      <c r="AV150">
        <v>0</v>
      </c>
      <c r="AW150">
        <v>2</v>
      </c>
      <c r="AX150">
        <v>55928144</v>
      </c>
      <c r="AY150">
        <v>1</v>
      </c>
      <c r="AZ150">
        <v>0</v>
      </c>
      <c r="BA150">
        <v>170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f>ROUND(Y150*Source!I238*DO150,9)</f>
        <v>0</v>
      </c>
      <c r="CX150">
        <f>ROUND(Y150*Source!I238,9)</f>
        <v>13.272</v>
      </c>
      <c r="CY150">
        <f>AB150</f>
        <v>7.44</v>
      </c>
      <c r="CZ150">
        <f>AF150</f>
        <v>7.11</v>
      </c>
      <c r="DA150">
        <f>AJ150</f>
        <v>1</v>
      </c>
      <c r="DB150">
        <f>ROUND((ROUND(AT150*CZ150,2)*1.2),6)</f>
        <v>47.183999999999997</v>
      </c>
      <c r="DC150">
        <f>ROUND((ROUND(AT150*AG150,2)*1.2),6)</f>
        <v>0</v>
      </c>
      <c r="DD150" t="s">
        <v>3</v>
      </c>
      <c r="DE150" t="s">
        <v>3</v>
      </c>
      <c r="DF150">
        <f t="shared" si="53"/>
        <v>0</v>
      </c>
      <c r="DG150">
        <f t="shared" si="52"/>
        <v>94.36</v>
      </c>
      <c r="DH150">
        <f t="shared" si="51"/>
        <v>0</v>
      </c>
      <c r="DI150">
        <f t="shared" si="49"/>
        <v>0</v>
      </c>
      <c r="DJ150">
        <f>DG150</f>
        <v>94.36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ROW(Source!A238)</f>
        <v>238</v>
      </c>
      <c r="B151">
        <v>55919547</v>
      </c>
      <c r="C151">
        <v>55928119</v>
      </c>
      <c r="D151">
        <v>55490209</v>
      </c>
      <c r="E151">
        <v>1</v>
      </c>
      <c r="F151">
        <v>1</v>
      </c>
      <c r="G151">
        <v>1081</v>
      </c>
      <c r="H151">
        <v>2</v>
      </c>
      <c r="I151" t="s">
        <v>296</v>
      </c>
      <c r="J151" t="s">
        <v>297</v>
      </c>
      <c r="K151" t="s">
        <v>298</v>
      </c>
      <c r="L151">
        <v>1368</v>
      </c>
      <c r="N151">
        <v>1011</v>
      </c>
      <c r="O151" t="s">
        <v>291</v>
      </c>
      <c r="P151" t="s">
        <v>291</v>
      </c>
      <c r="Q151">
        <v>1</v>
      </c>
      <c r="W151">
        <v>0</v>
      </c>
      <c r="X151">
        <v>874612079</v>
      </c>
      <c r="Y151">
        <f>(AT151*1.2)</f>
        <v>0.51600000000000001</v>
      </c>
      <c r="AA151">
        <v>0</v>
      </c>
      <c r="AB151">
        <v>87.01</v>
      </c>
      <c r="AC151">
        <v>13.21</v>
      </c>
      <c r="AD151">
        <v>0</v>
      </c>
      <c r="AE151">
        <v>0</v>
      </c>
      <c r="AF151">
        <v>83.1</v>
      </c>
      <c r="AG151">
        <v>12.62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-2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0.43</v>
      </c>
      <c r="AU151" t="s">
        <v>57</v>
      </c>
      <c r="AV151">
        <v>0</v>
      </c>
      <c r="AW151">
        <v>2</v>
      </c>
      <c r="AX151">
        <v>55928145</v>
      </c>
      <c r="AY151">
        <v>1</v>
      </c>
      <c r="AZ151">
        <v>0</v>
      </c>
      <c r="BA151">
        <v>171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f>ROUND(Y151*Source!I238*DO151,9)</f>
        <v>13.02384</v>
      </c>
      <c r="CX151">
        <f>ROUND(Y151*Source!I238,9)</f>
        <v>1.032</v>
      </c>
      <c r="CY151">
        <f>AB151</f>
        <v>87.01</v>
      </c>
      <c r="CZ151">
        <f>AF151</f>
        <v>83.1</v>
      </c>
      <c r="DA151">
        <f>AJ151</f>
        <v>1</v>
      </c>
      <c r="DB151">
        <f>ROUND((ROUND(AT151*CZ151,2)*1.2),6)</f>
        <v>42.875999999999998</v>
      </c>
      <c r="DC151">
        <f>ROUND((ROUND(AT151*AG151,2)*1.2),6)</f>
        <v>6.516</v>
      </c>
      <c r="DD151" t="s">
        <v>3</v>
      </c>
      <c r="DE151" t="s">
        <v>3</v>
      </c>
      <c r="DF151">
        <f t="shared" si="53"/>
        <v>0</v>
      </c>
      <c r="DG151">
        <f t="shared" si="52"/>
        <v>85.76</v>
      </c>
      <c r="DH151">
        <f t="shared" si="51"/>
        <v>13.02</v>
      </c>
      <c r="DI151">
        <f t="shared" si="49"/>
        <v>0</v>
      </c>
      <c r="DJ151">
        <f>DG151</f>
        <v>85.76</v>
      </c>
      <c r="DK151">
        <v>0</v>
      </c>
      <c r="DL151" t="s">
        <v>292</v>
      </c>
      <c r="DM151">
        <v>0</v>
      </c>
      <c r="DN151" t="s">
        <v>280</v>
      </c>
      <c r="DO151">
        <v>12.62</v>
      </c>
    </row>
    <row r="152" spans="1:119" x14ac:dyDescent="0.2">
      <c r="A152">
        <f>ROW(Source!A238)</f>
        <v>238</v>
      </c>
      <c r="B152">
        <v>55919547</v>
      </c>
      <c r="C152">
        <v>55928119</v>
      </c>
      <c r="D152">
        <v>55490263</v>
      </c>
      <c r="E152">
        <v>1</v>
      </c>
      <c r="F152">
        <v>1</v>
      </c>
      <c r="G152">
        <v>1081</v>
      </c>
      <c r="H152">
        <v>2</v>
      </c>
      <c r="I152" t="s">
        <v>310</v>
      </c>
      <c r="J152" t="s">
        <v>311</v>
      </c>
      <c r="K152" t="s">
        <v>312</v>
      </c>
      <c r="L152">
        <v>1368</v>
      </c>
      <c r="N152">
        <v>1011</v>
      </c>
      <c r="O152" t="s">
        <v>291</v>
      </c>
      <c r="P152" t="s">
        <v>291</v>
      </c>
      <c r="Q152">
        <v>1</v>
      </c>
      <c r="W152">
        <v>0</v>
      </c>
      <c r="X152">
        <v>-1895752648</v>
      </c>
      <c r="Y152">
        <f>(AT152*1.2)</f>
        <v>6.3959999999999999</v>
      </c>
      <c r="AA152">
        <v>0</v>
      </c>
      <c r="AB152">
        <v>0.81</v>
      </c>
      <c r="AC152">
        <v>0</v>
      </c>
      <c r="AD152">
        <v>0</v>
      </c>
      <c r="AE152">
        <v>0</v>
      </c>
      <c r="AF152">
        <v>0.77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-2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5.33</v>
      </c>
      <c r="AU152" t="s">
        <v>57</v>
      </c>
      <c r="AV152">
        <v>0</v>
      </c>
      <c r="AW152">
        <v>2</v>
      </c>
      <c r="AX152">
        <v>55928146</v>
      </c>
      <c r="AY152">
        <v>1</v>
      </c>
      <c r="AZ152">
        <v>0</v>
      </c>
      <c r="BA152">
        <v>172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f>ROUND(Y152*Source!I238*DO152,9)</f>
        <v>0</v>
      </c>
      <c r="CX152">
        <f>ROUND(Y152*Source!I238,9)</f>
        <v>12.792</v>
      </c>
      <c r="CY152">
        <f>AB152</f>
        <v>0.81</v>
      </c>
      <c r="CZ152">
        <f>AF152</f>
        <v>0.77</v>
      </c>
      <c r="DA152">
        <f>AJ152</f>
        <v>1</v>
      </c>
      <c r="DB152">
        <f>ROUND((ROUND(AT152*CZ152,2)*1.2),6)</f>
        <v>4.92</v>
      </c>
      <c r="DC152">
        <f>ROUND((ROUND(AT152*AG152,2)*1.2),6)</f>
        <v>0</v>
      </c>
      <c r="DD152" t="s">
        <v>3</v>
      </c>
      <c r="DE152" t="s">
        <v>3</v>
      </c>
      <c r="DF152">
        <f t="shared" si="53"/>
        <v>0</v>
      </c>
      <c r="DG152">
        <f t="shared" si="52"/>
        <v>9.85</v>
      </c>
      <c r="DH152">
        <f t="shared" si="51"/>
        <v>0</v>
      </c>
      <c r="DI152">
        <f t="shared" si="49"/>
        <v>0</v>
      </c>
      <c r="DJ152">
        <f>DG152</f>
        <v>9.85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ROW(Source!A238)</f>
        <v>238</v>
      </c>
      <c r="B153">
        <v>55919547</v>
      </c>
      <c r="C153">
        <v>55928119</v>
      </c>
      <c r="D153">
        <v>55489583</v>
      </c>
      <c r="E153">
        <v>1</v>
      </c>
      <c r="F153">
        <v>1</v>
      </c>
      <c r="G153">
        <v>1081</v>
      </c>
      <c r="H153">
        <v>2</v>
      </c>
      <c r="I153" t="s">
        <v>362</v>
      </c>
      <c r="J153" t="s">
        <v>363</v>
      </c>
      <c r="K153" t="s">
        <v>364</v>
      </c>
      <c r="L153">
        <v>1368</v>
      </c>
      <c r="N153">
        <v>1011</v>
      </c>
      <c r="O153" t="s">
        <v>291</v>
      </c>
      <c r="P153" t="s">
        <v>291</v>
      </c>
      <c r="Q153">
        <v>1</v>
      </c>
      <c r="W153">
        <v>0</v>
      </c>
      <c r="X153">
        <v>-9547295</v>
      </c>
      <c r="Y153">
        <f>(AT153*1.2)</f>
        <v>21</v>
      </c>
      <c r="AA153">
        <v>0</v>
      </c>
      <c r="AB153">
        <v>26.78</v>
      </c>
      <c r="AC153">
        <v>13.21</v>
      </c>
      <c r="AD153">
        <v>0</v>
      </c>
      <c r="AE153">
        <v>0</v>
      </c>
      <c r="AF153">
        <v>25.58</v>
      </c>
      <c r="AG153">
        <v>12.62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17.5</v>
      </c>
      <c r="AU153" t="s">
        <v>57</v>
      </c>
      <c r="AV153">
        <v>0</v>
      </c>
      <c r="AW153">
        <v>2</v>
      </c>
      <c r="AX153">
        <v>55928147</v>
      </c>
      <c r="AY153">
        <v>1</v>
      </c>
      <c r="AZ153">
        <v>0</v>
      </c>
      <c r="BA153">
        <v>173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f>ROUND(Y153*Source!I238*DO153,9)</f>
        <v>530.04</v>
      </c>
      <c r="CX153">
        <f>ROUND(Y153*Source!I238,9)</f>
        <v>42</v>
      </c>
      <c r="CY153">
        <f>AB153</f>
        <v>26.78</v>
      </c>
      <c r="CZ153">
        <f>AF153</f>
        <v>25.58</v>
      </c>
      <c r="DA153">
        <f>AJ153</f>
        <v>1</v>
      </c>
      <c r="DB153">
        <f>ROUND((ROUND(AT153*CZ153,2)*1.2),6)</f>
        <v>537.17999999999995</v>
      </c>
      <c r="DC153">
        <f>ROUND((ROUND(AT153*AG153,2)*1.2),6)</f>
        <v>265.02</v>
      </c>
      <c r="DD153" t="s">
        <v>3</v>
      </c>
      <c r="DE153" t="s">
        <v>3</v>
      </c>
      <c r="DF153">
        <f t="shared" si="53"/>
        <v>0</v>
      </c>
      <c r="DG153">
        <f t="shared" si="52"/>
        <v>1074.3599999999999</v>
      </c>
      <c r="DH153">
        <f t="shared" si="51"/>
        <v>530.04</v>
      </c>
      <c r="DI153">
        <f t="shared" si="49"/>
        <v>0</v>
      </c>
      <c r="DJ153">
        <f>DG153</f>
        <v>1074.3599999999999</v>
      </c>
      <c r="DK153">
        <v>0</v>
      </c>
      <c r="DL153" t="s">
        <v>292</v>
      </c>
      <c r="DM153">
        <v>0</v>
      </c>
      <c r="DN153" t="s">
        <v>280</v>
      </c>
      <c r="DO153">
        <v>12.62</v>
      </c>
    </row>
    <row r="154" spans="1:119" x14ac:dyDescent="0.2">
      <c r="A154">
        <f>ROW(Source!A238)</f>
        <v>238</v>
      </c>
      <c r="B154">
        <v>55919547</v>
      </c>
      <c r="C154">
        <v>55928119</v>
      </c>
      <c r="D154">
        <v>55460380</v>
      </c>
      <c r="E154">
        <v>1</v>
      </c>
      <c r="F154">
        <v>1</v>
      </c>
      <c r="G154">
        <v>1081</v>
      </c>
      <c r="H154">
        <v>3</v>
      </c>
      <c r="I154" t="s">
        <v>305</v>
      </c>
      <c r="J154" t="s">
        <v>306</v>
      </c>
      <c r="K154" t="s">
        <v>307</v>
      </c>
      <c r="L154">
        <v>1348</v>
      </c>
      <c r="N154">
        <v>1009</v>
      </c>
      <c r="O154" t="s">
        <v>284</v>
      </c>
      <c r="P154" t="s">
        <v>284</v>
      </c>
      <c r="Q154">
        <v>1000</v>
      </c>
      <c r="W154">
        <v>0</v>
      </c>
      <c r="X154">
        <v>277309194</v>
      </c>
      <c r="Y154">
        <f>(AT154*1)</f>
        <v>1.0499999999999999E-3</v>
      </c>
      <c r="AA154">
        <v>8590.86</v>
      </c>
      <c r="AB154">
        <v>0</v>
      </c>
      <c r="AC154">
        <v>0</v>
      </c>
      <c r="AD154">
        <v>0</v>
      </c>
      <c r="AE154">
        <v>8590.86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1.0499999999999999E-3</v>
      </c>
      <c r="AU154" t="s">
        <v>56</v>
      </c>
      <c r="AV154">
        <v>0</v>
      </c>
      <c r="AW154">
        <v>2</v>
      </c>
      <c r="AX154">
        <v>55928148</v>
      </c>
      <c r="AY154">
        <v>1</v>
      </c>
      <c r="AZ154">
        <v>0</v>
      </c>
      <c r="BA154">
        <v>174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ROUND(Y154*Source!I238,9)</f>
        <v>2.0999999999999999E-3</v>
      </c>
      <c r="CY154">
        <f t="shared" ref="CY154:CY166" si="54">AA154</f>
        <v>8590.86</v>
      </c>
      <c r="CZ154">
        <f t="shared" ref="CZ154:CZ166" si="55">AE154</f>
        <v>8590.86</v>
      </c>
      <c r="DA154">
        <f t="shared" ref="DA154:DA166" si="56">AI154</f>
        <v>1</v>
      </c>
      <c r="DB154">
        <f>ROUND((ROUND(AT154*CZ154,2)*1),6)</f>
        <v>9.02</v>
      </c>
      <c r="DC154">
        <f>ROUND((ROUND(AT154*AG154,2)*1),6)</f>
        <v>0</v>
      </c>
      <c r="DD154" t="s">
        <v>3</v>
      </c>
      <c r="DE154" t="s">
        <v>3</v>
      </c>
      <c r="DF154">
        <f t="shared" si="53"/>
        <v>18.04</v>
      </c>
      <c r="DG154">
        <f t="shared" si="52"/>
        <v>0</v>
      </c>
      <c r="DH154">
        <f t="shared" si="51"/>
        <v>0</v>
      </c>
      <c r="DI154">
        <f t="shared" si="49"/>
        <v>0</v>
      </c>
      <c r="DJ154">
        <f t="shared" ref="DJ154:DJ166" si="57">DF154</f>
        <v>18.04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ROW(Source!A238)</f>
        <v>238</v>
      </c>
      <c r="B155">
        <v>55919547</v>
      </c>
      <c r="C155">
        <v>55928119</v>
      </c>
      <c r="D155">
        <v>55459340</v>
      </c>
      <c r="E155">
        <v>1</v>
      </c>
      <c r="F155">
        <v>1</v>
      </c>
      <c r="G155">
        <v>1081</v>
      </c>
      <c r="H155">
        <v>3</v>
      </c>
      <c r="I155" t="s">
        <v>365</v>
      </c>
      <c r="J155" t="s">
        <v>366</v>
      </c>
      <c r="K155" t="s">
        <v>367</v>
      </c>
      <c r="L155">
        <v>1354</v>
      </c>
      <c r="N155">
        <v>1010</v>
      </c>
      <c r="O155" t="s">
        <v>156</v>
      </c>
      <c r="P155" t="s">
        <v>156</v>
      </c>
      <c r="Q155">
        <v>1</v>
      </c>
      <c r="W155">
        <v>0</v>
      </c>
      <c r="X155">
        <v>-1352077490</v>
      </c>
      <c r="Y155">
        <f>(AT155*1)</f>
        <v>82</v>
      </c>
      <c r="AA155">
        <v>0.89</v>
      </c>
      <c r="AB155">
        <v>0</v>
      </c>
      <c r="AC155">
        <v>0</v>
      </c>
      <c r="AD155">
        <v>0</v>
      </c>
      <c r="AE155">
        <v>0.89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82</v>
      </c>
      <c r="AU155" t="s">
        <v>56</v>
      </c>
      <c r="AV155">
        <v>0</v>
      </c>
      <c r="AW155">
        <v>2</v>
      </c>
      <c r="AX155">
        <v>55928149</v>
      </c>
      <c r="AY155">
        <v>1</v>
      </c>
      <c r="AZ155">
        <v>0</v>
      </c>
      <c r="BA155">
        <v>175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ROUND(Y155*Source!I238,9)</f>
        <v>164</v>
      </c>
      <c r="CY155">
        <f t="shared" si="54"/>
        <v>0.89</v>
      </c>
      <c r="CZ155">
        <f t="shared" si="55"/>
        <v>0.89</v>
      </c>
      <c r="DA155">
        <f t="shared" si="56"/>
        <v>1</v>
      </c>
      <c r="DB155">
        <f>ROUND((ROUND(AT155*CZ155,2)*1),6)</f>
        <v>72.98</v>
      </c>
      <c r="DC155">
        <f>ROUND((ROUND(AT155*AG155,2)*1),6)</f>
        <v>0</v>
      </c>
      <c r="DD155" t="s">
        <v>3</v>
      </c>
      <c r="DE155" t="s">
        <v>3</v>
      </c>
      <c r="DF155">
        <f t="shared" si="53"/>
        <v>145.96</v>
      </c>
      <c r="DG155">
        <f t="shared" si="52"/>
        <v>0</v>
      </c>
      <c r="DH155">
        <f t="shared" si="51"/>
        <v>0</v>
      </c>
      <c r="DI155">
        <f t="shared" si="49"/>
        <v>0</v>
      </c>
      <c r="DJ155">
        <f t="shared" si="57"/>
        <v>145.96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ROW(Source!A238)</f>
        <v>238</v>
      </c>
      <c r="B156">
        <v>55919547</v>
      </c>
      <c r="C156">
        <v>55928119</v>
      </c>
      <c r="D156">
        <v>55461705</v>
      </c>
      <c r="E156">
        <v>1</v>
      </c>
      <c r="F156">
        <v>1</v>
      </c>
      <c r="G156">
        <v>1081</v>
      </c>
      <c r="H156">
        <v>3</v>
      </c>
      <c r="I156" t="s">
        <v>368</v>
      </c>
      <c r="J156" t="s">
        <v>369</v>
      </c>
      <c r="K156" t="s">
        <v>370</v>
      </c>
      <c r="L156">
        <v>1346</v>
      </c>
      <c r="N156">
        <v>1009</v>
      </c>
      <c r="O156" t="s">
        <v>151</v>
      </c>
      <c r="P156" t="s">
        <v>151</v>
      </c>
      <c r="Q156">
        <v>1</v>
      </c>
      <c r="W156">
        <v>0</v>
      </c>
      <c r="X156">
        <v>731843586</v>
      </c>
      <c r="Y156">
        <f>(AT156*1)</f>
        <v>0.03</v>
      </c>
      <c r="AA156">
        <v>520.51</v>
      </c>
      <c r="AB156">
        <v>0</v>
      </c>
      <c r="AC156">
        <v>0</v>
      </c>
      <c r="AD156">
        <v>0</v>
      </c>
      <c r="AE156">
        <v>520.51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0.03</v>
      </c>
      <c r="AU156" t="s">
        <v>56</v>
      </c>
      <c r="AV156">
        <v>0</v>
      </c>
      <c r="AW156">
        <v>2</v>
      </c>
      <c r="AX156">
        <v>55928150</v>
      </c>
      <c r="AY156">
        <v>1</v>
      </c>
      <c r="AZ156">
        <v>0</v>
      </c>
      <c r="BA156">
        <v>176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ROUND(Y156*Source!I238,9)</f>
        <v>0.06</v>
      </c>
      <c r="CY156">
        <f t="shared" si="54"/>
        <v>520.51</v>
      </c>
      <c r="CZ156">
        <f t="shared" si="55"/>
        <v>520.51</v>
      </c>
      <c r="DA156">
        <f t="shared" si="56"/>
        <v>1</v>
      </c>
      <c r="DB156">
        <f>ROUND((ROUND(AT156*CZ156,2)*1),6)</f>
        <v>15.62</v>
      </c>
      <c r="DC156">
        <f>ROUND((ROUND(AT156*AG156,2)*1),6)</f>
        <v>0</v>
      </c>
      <c r="DD156" t="s">
        <v>3</v>
      </c>
      <c r="DE156" t="s">
        <v>3</v>
      </c>
      <c r="DF156">
        <f t="shared" si="53"/>
        <v>31.23</v>
      </c>
      <c r="DG156">
        <f t="shared" si="52"/>
        <v>0</v>
      </c>
      <c r="DH156">
        <f t="shared" si="51"/>
        <v>0</v>
      </c>
      <c r="DI156">
        <f t="shared" si="49"/>
        <v>0</v>
      </c>
      <c r="DJ156">
        <f t="shared" si="57"/>
        <v>31.23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ROW(Source!A238)</f>
        <v>238</v>
      </c>
      <c r="B157">
        <v>55919547</v>
      </c>
      <c r="C157">
        <v>55928119</v>
      </c>
      <c r="D157">
        <v>55459516</v>
      </c>
      <c r="E157">
        <v>1</v>
      </c>
      <c r="F157">
        <v>1</v>
      </c>
      <c r="G157">
        <v>1081</v>
      </c>
      <c r="H157">
        <v>3</v>
      </c>
      <c r="I157" t="s">
        <v>371</v>
      </c>
      <c r="J157" t="s">
        <v>372</v>
      </c>
      <c r="K157" t="s">
        <v>373</v>
      </c>
      <c r="L157">
        <v>1348</v>
      </c>
      <c r="N157">
        <v>1009</v>
      </c>
      <c r="O157" t="s">
        <v>284</v>
      </c>
      <c r="P157" t="s">
        <v>284</v>
      </c>
      <c r="Q157">
        <v>1000</v>
      </c>
      <c r="W157">
        <v>0</v>
      </c>
      <c r="X157">
        <v>-1125045429</v>
      </c>
      <c r="Y157">
        <f>(AT157*1)</f>
        <v>6.8000000000000005E-4</v>
      </c>
      <c r="AA157">
        <v>16180.28</v>
      </c>
      <c r="AB157">
        <v>0</v>
      </c>
      <c r="AC157">
        <v>0</v>
      </c>
      <c r="AD157">
        <v>0</v>
      </c>
      <c r="AE157">
        <v>16180.28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6.8000000000000005E-4</v>
      </c>
      <c r="AU157" t="s">
        <v>56</v>
      </c>
      <c r="AV157">
        <v>0</v>
      </c>
      <c r="AW157">
        <v>2</v>
      </c>
      <c r="AX157">
        <v>55928151</v>
      </c>
      <c r="AY157">
        <v>1</v>
      </c>
      <c r="AZ157">
        <v>0</v>
      </c>
      <c r="BA157">
        <v>177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ROUND(Y157*Source!I238,9)</f>
        <v>1.3600000000000001E-3</v>
      </c>
      <c r="CY157">
        <f t="shared" si="54"/>
        <v>16180.28</v>
      </c>
      <c r="CZ157">
        <f t="shared" si="55"/>
        <v>16180.28</v>
      </c>
      <c r="DA157">
        <f t="shared" si="56"/>
        <v>1</v>
      </c>
      <c r="DB157">
        <f>ROUND((ROUND(AT157*CZ157,2)*1),6)</f>
        <v>11</v>
      </c>
      <c r="DC157">
        <f>ROUND((ROUND(AT157*AG157,2)*1),6)</f>
        <v>0</v>
      </c>
      <c r="DD157" t="s">
        <v>3</v>
      </c>
      <c r="DE157" t="s">
        <v>3</v>
      </c>
      <c r="DF157">
        <f t="shared" si="53"/>
        <v>22.01</v>
      </c>
      <c r="DG157">
        <f t="shared" si="52"/>
        <v>0</v>
      </c>
      <c r="DH157">
        <f t="shared" si="51"/>
        <v>0</v>
      </c>
      <c r="DI157">
        <f t="shared" si="49"/>
        <v>0</v>
      </c>
      <c r="DJ157">
        <f t="shared" si="57"/>
        <v>22.01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ROW(Source!A238)</f>
        <v>238</v>
      </c>
      <c r="B158">
        <v>55919547</v>
      </c>
      <c r="C158">
        <v>55928119</v>
      </c>
      <c r="D158">
        <v>55459815</v>
      </c>
      <c r="E158">
        <v>1</v>
      </c>
      <c r="F158">
        <v>1</v>
      </c>
      <c r="G158">
        <v>1081</v>
      </c>
      <c r="H158">
        <v>3</v>
      </c>
      <c r="I158" t="s">
        <v>322</v>
      </c>
      <c r="J158" t="s">
        <v>323</v>
      </c>
      <c r="K158" t="s">
        <v>324</v>
      </c>
      <c r="L158">
        <v>1348</v>
      </c>
      <c r="N158">
        <v>1009</v>
      </c>
      <c r="O158" t="s">
        <v>284</v>
      </c>
      <c r="P158" t="s">
        <v>284</v>
      </c>
      <c r="Q158">
        <v>1000</v>
      </c>
      <c r="W158">
        <v>0</v>
      </c>
      <c r="X158">
        <v>-557692701</v>
      </c>
      <c r="Y158">
        <f>(AT158*1)</f>
        <v>2.0999999999999999E-3</v>
      </c>
      <c r="AA158">
        <v>7973.67</v>
      </c>
      <c r="AB158">
        <v>0</v>
      </c>
      <c r="AC158">
        <v>0</v>
      </c>
      <c r="AD158">
        <v>0</v>
      </c>
      <c r="AE158">
        <v>7973.67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2.0999999999999999E-3</v>
      </c>
      <c r="AU158" t="s">
        <v>56</v>
      </c>
      <c r="AV158">
        <v>0</v>
      </c>
      <c r="AW158">
        <v>2</v>
      </c>
      <c r="AX158">
        <v>55928152</v>
      </c>
      <c r="AY158">
        <v>1</v>
      </c>
      <c r="AZ158">
        <v>0</v>
      </c>
      <c r="BA158">
        <v>178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ROUND(Y158*Source!I238,9)</f>
        <v>4.1999999999999997E-3</v>
      </c>
      <c r="CY158">
        <f t="shared" si="54"/>
        <v>7973.67</v>
      </c>
      <c r="CZ158">
        <f t="shared" si="55"/>
        <v>7973.67</v>
      </c>
      <c r="DA158">
        <f t="shared" si="56"/>
        <v>1</v>
      </c>
      <c r="DB158">
        <f>ROUND((ROUND(AT158*CZ158,2)*1),6)</f>
        <v>16.739999999999998</v>
      </c>
      <c r="DC158">
        <f>ROUND((ROUND(AT158*AG158,2)*1),6)</f>
        <v>0</v>
      </c>
      <c r="DD158" t="s">
        <v>3</v>
      </c>
      <c r="DE158" t="s">
        <v>3</v>
      </c>
      <c r="DF158">
        <f t="shared" si="53"/>
        <v>33.49</v>
      </c>
      <c r="DG158">
        <f t="shared" si="52"/>
        <v>0</v>
      </c>
      <c r="DH158">
        <f t="shared" si="51"/>
        <v>0</v>
      </c>
      <c r="DI158">
        <f t="shared" si="49"/>
        <v>0</v>
      </c>
      <c r="DJ158">
        <f t="shared" si="57"/>
        <v>33.49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ROW(Source!A238)</f>
        <v>238</v>
      </c>
      <c r="B159">
        <v>55919547</v>
      </c>
      <c r="C159">
        <v>55928119</v>
      </c>
      <c r="D159">
        <v>55477471</v>
      </c>
      <c r="E159">
        <v>1</v>
      </c>
      <c r="F159">
        <v>1</v>
      </c>
      <c r="G159">
        <v>1081</v>
      </c>
      <c r="H159">
        <v>3</v>
      </c>
      <c r="I159" t="s">
        <v>251</v>
      </c>
      <c r="J159" t="s">
        <v>253</v>
      </c>
      <c r="K159" t="s">
        <v>252</v>
      </c>
      <c r="L159">
        <v>1354</v>
      </c>
      <c r="N159">
        <v>1010</v>
      </c>
      <c r="O159" t="s">
        <v>156</v>
      </c>
      <c r="P159" t="s">
        <v>156</v>
      </c>
      <c r="Q159">
        <v>1</v>
      </c>
      <c r="W159">
        <v>0</v>
      </c>
      <c r="X159">
        <v>-1151203687</v>
      </c>
      <c r="Y159">
        <f>AT159</f>
        <v>9.5</v>
      </c>
      <c r="AA159">
        <v>15.9</v>
      </c>
      <c r="AB159">
        <v>0</v>
      </c>
      <c r="AC159">
        <v>0</v>
      </c>
      <c r="AD159">
        <v>0</v>
      </c>
      <c r="AE159">
        <v>15.9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 t="s">
        <v>3</v>
      </c>
      <c r="AT159">
        <v>9.5</v>
      </c>
      <c r="AU159" t="s">
        <v>3</v>
      </c>
      <c r="AV159">
        <v>0</v>
      </c>
      <c r="AW159">
        <v>1</v>
      </c>
      <c r="AX159">
        <v>-1</v>
      </c>
      <c r="AY159">
        <v>0</v>
      </c>
      <c r="AZ159">
        <v>0</v>
      </c>
      <c r="BA159" t="s">
        <v>3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ROUND(Y159*Source!I238,9)</f>
        <v>19</v>
      </c>
      <c r="CY159">
        <f t="shared" si="54"/>
        <v>15.9</v>
      </c>
      <c r="CZ159">
        <f t="shared" si="55"/>
        <v>15.9</v>
      </c>
      <c r="DA159">
        <f t="shared" si="56"/>
        <v>1</v>
      </c>
      <c r="DB159">
        <f>ROUND(ROUND(AT159*CZ159,2),6)</f>
        <v>151.05000000000001</v>
      </c>
      <c r="DC159">
        <f>ROUND(ROUND(AT159*AG159,2),6)</f>
        <v>0</v>
      </c>
      <c r="DD159" t="s">
        <v>3</v>
      </c>
      <c r="DE159" t="s">
        <v>3</v>
      </c>
      <c r="DF159">
        <f t="shared" si="53"/>
        <v>302.10000000000002</v>
      </c>
      <c r="DG159">
        <f t="shared" si="52"/>
        <v>0</v>
      </c>
      <c r="DH159">
        <f t="shared" si="51"/>
        <v>0</v>
      </c>
      <c r="DI159">
        <f t="shared" si="49"/>
        <v>0</v>
      </c>
      <c r="DJ159">
        <f t="shared" si="57"/>
        <v>302.10000000000002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ROW(Source!A238)</f>
        <v>238</v>
      </c>
      <c r="B160">
        <v>55919547</v>
      </c>
      <c r="C160">
        <v>55928119</v>
      </c>
      <c r="D160">
        <v>55477490</v>
      </c>
      <c r="E160">
        <v>1</v>
      </c>
      <c r="F160">
        <v>1</v>
      </c>
      <c r="G160">
        <v>1081</v>
      </c>
      <c r="H160">
        <v>3</v>
      </c>
      <c r="I160" t="s">
        <v>247</v>
      </c>
      <c r="J160" t="s">
        <v>249</v>
      </c>
      <c r="K160" t="s">
        <v>248</v>
      </c>
      <c r="L160">
        <v>1354</v>
      </c>
      <c r="N160">
        <v>1010</v>
      </c>
      <c r="O160" t="s">
        <v>156</v>
      </c>
      <c r="P160" t="s">
        <v>156</v>
      </c>
      <c r="Q160">
        <v>1</v>
      </c>
      <c r="W160">
        <v>0</v>
      </c>
      <c r="X160">
        <v>1350097796</v>
      </c>
      <c r="Y160">
        <f>AT160</f>
        <v>3</v>
      </c>
      <c r="AA160">
        <v>9.1199999999999992</v>
      </c>
      <c r="AB160">
        <v>0</v>
      </c>
      <c r="AC160">
        <v>0</v>
      </c>
      <c r="AD160">
        <v>0</v>
      </c>
      <c r="AE160">
        <v>9.1199999999999992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 t="s">
        <v>3</v>
      </c>
      <c r="AT160">
        <v>3</v>
      </c>
      <c r="AU160" t="s">
        <v>3</v>
      </c>
      <c r="AV160">
        <v>0</v>
      </c>
      <c r="AW160">
        <v>1</v>
      </c>
      <c r="AX160">
        <v>-1</v>
      </c>
      <c r="AY160">
        <v>0</v>
      </c>
      <c r="AZ160">
        <v>0</v>
      </c>
      <c r="BA160" t="s">
        <v>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ROUND(Y160*Source!I238,9)</f>
        <v>6</v>
      </c>
      <c r="CY160">
        <f t="shared" si="54"/>
        <v>9.1199999999999992</v>
      </c>
      <c r="CZ160">
        <f t="shared" si="55"/>
        <v>9.1199999999999992</v>
      </c>
      <c r="DA160">
        <f t="shared" si="56"/>
        <v>1</v>
      </c>
      <c r="DB160">
        <f>ROUND(ROUND(AT160*CZ160,2),6)</f>
        <v>27.36</v>
      </c>
      <c r="DC160">
        <f>ROUND(ROUND(AT160*AG160,2),6)</f>
        <v>0</v>
      </c>
      <c r="DD160" t="s">
        <v>3</v>
      </c>
      <c r="DE160" t="s">
        <v>3</v>
      </c>
      <c r="DF160">
        <f t="shared" si="53"/>
        <v>54.72</v>
      </c>
      <c r="DG160">
        <f t="shared" si="52"/>
        <v>0</v>
      </c>
      <c r="DH160">
        <f t="shared" si="51"/>
        <v>0</v>
      </c>
      <c r="DI160">
        <f t="shared" si="49"/>
        <v>0</v>
      </c>
      <c r="DJ160">
        <f t="shared" si="57"/>
        <v>54.72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ROW(Source!A238)</f>
        <v>238</v>
      </c>
      <c r="B161">
        <v>55919547</v>
      </c>
      <c r="C161">
        <v>55928119</v>
      </c>
      <c r="D161">
        <v>55477491</v>
      </c>
      <c r="E161">
        <v>1</v>
      </c>
      <c r="F161">
        <v>1</v>
      </c>
      <c r="G161">
        <v>1081</v>
      </c>
      <c r="H161">
        <v>3</v>
      </c>
      <c r="I161" t="s">
        <v>243</v>
      </c>
      <c r="J161" t="s">
        <v>245</v>
      </c>
      <c r="K161" t="s">
        <v>244</v>
      </c>
      <c r="L161">
        <v>1354</v>
      </c>
      <c r="N161">
        <v>1010</v>
      </c>
      <c r="O161" t="s">
        <v>156</v>
      </c>
      <c r="P161" t="s">
        <v>156</v>
      </c>
      <c r="Q161">
        <v>1</v>
      </c>
      <c r="W161">
        <v>0</v>
      </c>
      <c r="X161">
        <v>907770592</v>
      </c>
      <c r="Y161">
        <f>AT161</f>
        <v>9</v>
      </c>
      <c r="AA161">
        <v>30.69</v>
      </c>
      <c r="AB161">
        <v>0</v>
      </c>
      <c r="AC161">
        <v>0</v>
      </c>
      <c r="AD161">
        <v>0</v>
      </c>
      <c r="AE161">
        <v>30.69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 t="s">
        <v>3</v>
      </c>
      <c r="AT161">
        <v>9</v>
      </c>
      <c r="AU161" t="s">
        <v>3</v>
      </c>
      <c r="AV161">
        <v>0</v>
      </c>
      <c r="AW161">
        <v>1</v>
      </c>
      <c r="AX161">
        <v>-1</v>
      </c>
      <c r="AY161">
        <v>0</v>
      </c>
      <c r="AZ161">
        <v>0</v>
      </c>
      <c r="BA161" t="s">
        <v>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v>0</v>
      </c>
      <c r="CX161">
        <f>ROUND(Y161*Source!I238,9)</f>
        <v>18</v>
      </c>
      <c r="CY161">
        <f t="shared" si="54"/>
        <v>30.69</v>
      </c>
      <c r="CZ161">
        <f t="shared" si="55"/>
        <v>30.69</v>
      </c>
      <c r="DA161">
        <f t="shared" si="56"/>
        <v>1</v>
      </c>
      <c r="DB161">
        <f>ROUND(ROUND(AT161*CZ161,2),6)</f>
        <v>276.20999999999998</v>
      </c>
      <c r="DC161">
        <f>ROUND(ROUND(AT161*AG161,2),6)</f>
        <v>0</v>
      </c>
      <c r="DD161" t="s">
        <v>3</v>
      </c>
      <c r="DE161" t="s">
        <v>3</v>
      </c>
      <c r="DF161">
        <f t="shared" si="53"/>
        <v>552.41999999999996</v>
      </c>
      <c r="DG161">
        <f t="shared" si="52"/>
        <v>0</v>
      </c>
      <c r="DH161">
        <f t="shared" si="51"/>
        <v>0</v>
      </c>
      <c r="DI161">
        <f t="shared" si="49"/>
        <v>0</v>
      </c>
      <c r="DJ161">
        <f t="shared" si="57"/>
        <v>552.41999999999996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ROW(Source!A238)</f>
        <v>238</v>
      </c>
      <c r="B162">
        <v>55919547</v>
      </c>
      <c r="C162">
        <v>55928119</v>
      </c>
      <c r="D162">
        <v>55482161</v>
      </c>
      <c r="E162">
        <v>1</v>
      </c>
      <c r="F162">
        <v>1</v>
      </c>
      <c r="G162">
        <v>1081</v>
      </c>
      <c r="H162">
        <v>3</v>
      </c>
      <c r="I162" t="s">
        <v>239</v>
      </c>
      <c r="J162" t="s">
        <v>241</v>
      </c>
      <c r="K162" t="s">
        <v>240</v>
      </c>
      <c r="L162">
        <v>1355</v>
      </c>
      <c r="N162">
        <v>1010</v>
      </c>
      <c r="O162" t="s">
        <v>54</v>
      </c>
      <c r="P162" t="s">
        <v>54</v>
      </c>
      <c r="Q162">
        <v>100</v>
      </c>
      <c r="W162">
        <v>0</v>
      </c>
      <c r="X162">
        <v>289520784</v>
      </c>
      <c r="Y162">
        <f>AT162</f>
        <v>200</v>
      </c>
      <c r="AA162">
        <v>146.88999999999999</v>
      </c>
      <c r="AB162">
        <v>0</v>
      </c>
      <c r="AC162">
        <v>0</v>
      </c>
      <c r="AD162">
        <v>0</v>
      </c>
      <c r="AE162">
        <v>146.88999999999999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 t="s">
        <v>3</v>
      </c>
      <c r="AT162">
        <v>200</v>
      </c>
      <c r="AU162" t="s">
        <v>3</v>
      </c>
      <c r="AV162">
        <v>0</v>
      </c>
      <c r="AW162">
        <v>1</v>
      </c>
      <c r="AX162">
        <v>-1</v>
      </c>
      <c r="AY162">
        <v>0</v>
      </c>
      <c r="AZ162">
        <v>0</v>
      </c>
      <c r="BA162" t="s">
        <v>3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ROUND(Y162*Source!I238,9)</f>
        <v>400</v>
      </c>
      <c r="CY162">
        <f t="shared" si="54"/>
        <v>146.88999999999999</v>
      </c>
      <c r="CZ162">
        <f t="shared" si="55"/>
        <v>146.88999999999999</v>
      </c>
      <c r="DA162">
        <f t="shared" si="56"/>
        <v>1</v>
      </c>
      <c r="DB162">
        <f>ROUND(ROUND(AT162*CZ162,2),6)</f>
        <v>29378</v>
      </c>
      <c r="DC162">
        <f>ROUND(ROUND(AT162*AG162,2),6)</f>
        <v>0</v>
      </c>
      <c r="DD162" t="s">
        <v>3</v>
      </c>
      <c r="DE162" t="s">
        <v>3</v>
      </c>
      <c r="DF162">
        <f t="shared" si="53"/>
        <v>58756</v>
      </c>
      <c r="DG162">
        <f t="shared" si="52"/>
        <v>0</v>
      </c>
      <c r="DH162">
        <f t="shared" si="51"/>
        <v>0</v>
      </c>
      <c r="DI162">
        <f t="shared" si="49"/>
        <v>0</v>
      </c>
      <c r="DJ162">
        <f t="shared" si="57"/>
        <v>58756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ROW(Source!A238)</f>
        <v>238</v>
      </c>
      <c r="B163">
        <v>55919547</v>
      </c>
      <c r="C163">
        <v>55928119</v>
      </c>
      <c r="D163">
        <v>55482523</v>
      </c>
      <c r="E163">
        <v>1</v>
      </c>
      <c r="F163">
        <v>1</v>
      </c>
      <c r="G163">
        <v>1081</v>
      </c>
      <c r="H163">
        <v>3</v>
      </c>
      <c r="I163" t="s">
        <v>374</v>
      </c>
      <c r="J163" t="s">
        <v>375</v>
      </c>
      <c r="K163" t="s">
        <v>376</v>
      </c>
      <c r="L163">
        <v>1358</v>
      </c>
      <c r="N163">
        <v>1010</v>
      </c>
      <c r="O163" t="s">
        <v>377</v>
      </c>
      <c r="P163" t="s">
        <v>377</v>
      </c>
      <c r="Q163">
        <v>10</v>
      </c>
      <c r="W163">
        <v>0</v>
      </c>
      <c r="X163">
        <v>-101314250</v>
      </c>
      <c r="Y163">
        <f>(AT163*1)</f>
        <v>1.02</v>
      </c>
      <c r="AA163">
        <v>5.46</v>
      </c>
      <c r="AB163">
        <v>0</v>
      </c>
      <c r="AC163">
        <v>0</v>
      </c>
      <c r="AD163">
        <v>0</v>
      </c>
      <c r="AE163">
        <v>5.46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1.02</v>
      </c>
      <c r="AU163" t="s">
        <v>56</v>
      </c>
      <c r="AV163">
        <v>0</v>
      </c>
      <c r="AW163">
        <v>2</v>
      </c>
      <c r="AX163">
        <v>55928153</v>
      </c>
      <c r="AY163">
        <v>1</v>
      </c>
      <c r="AZ163">
        <v>0</v>
      </c>
      <c r="BA163">
        <v>179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v>0</v>
      </c>
      <c r="CX163">
        <f>ROUND(Y163*Source!I238,9)</f>
        <v>2.04</v>
      </c>
      <c r="CY163">
        <f t="shared" si="54"/>
        <v>5.46</v>
      </c>
      <c r="CZ163">
        <f t="shared" si="55"/>
        <v>5.46</v>
      </c>
      <c r="DA163">
        <f t="shared" si="56"/>
        <v>1</v>
      </c>
      <c r="DB163">
        <f>ROUND((ROUND(AT163*CZ163,2)*1),6)</f>
        <v>5.57</v>
      </c>
      <c r="DC163">
        <f>ROUND((ROUND(AT163*AG163,2)*1),6)</f>
        <v>0</v>
      </c>
      <c r="DD163" t="s">
        <v>3</v>
      </c>
      <c r="DE163" t="s">
        <v>3</v>
      </c>
      <c r="DF163">
        <f t="shared" si="53"/>
        <v>11.14</v>
      </c>
      <c r="DG163">
        <f t="shared" si="52"/>
        <v>0</v>
      </c>
      <c r="DH163">
        <f t="shared" si="51"/>
        <v>0</v>
      </c>
      <c r="DI163">
        <f t="shared" si="49"/>
        <v>0</v>
      </c>
      <c r="DJ163">
        <f t="shared" si="57"/>
        <v>11.14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ROW(Source!A238)</f>
        <v>238</v>
      </c>
      <c r="B164">
        <v>55919547</v>
      </c>
      <c r="C164">
        <v>55928119</v>
      </c>
      <c r="D164">
        <v>55482617</v>
      </c>
      <c r="E164">
        <v>1</v>
      </c>
      <c r="F164">
        <v>1</v>
      </c>
      <c r="G164">
        <v>1081</v>
      </c>
      <c r="H164">
        <v>3</v>
      </c>
      <c r="I164" t="s">
        <v>325</v>
      </c>
      <c r="J164" t="s">
        <v>326</v>
      </c>
      <c r="K164" t="s">
        <v>327</v>
      </c>
      <c r="L164">
        <v>1354</v>
      </c>
      <c r="N164">
        <v>1010</v>
      </c>
      <c r="O164" t="s">
        <v>156</v>
      </c>
      <c r="P164" t="s">
        <v>156</v>
      </c>
      <c r="Q164">
        <v>1</v>
      </c>
      <c r="W164">
        <v>0</v>
      </c>
      <c r="X164">
        <v>-1189947653</v>
      </c>
      <c r="Y164">
        <f>(AT164*1)</f>
        <v>8</v>
      </c>
      <c r="AA164">
        <v>14.99</v>
      </c>
      <c r="AB164">
        <v>0</v>
      </c>
      <c r="AC164">
        <v>0</v>
      </c>
      <c r="AD164">
        <v>0</v>
      </c>
      <c r="AE164">
        <v>14.99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-2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8</v>
      </c>
      <c r="AU164" t="s">
        <v>56</v>
      </c>
      <c r="AV164">
        <v>0</v>
      </c>
      <c r="AW164">
        <v>2</v>
      </c>
      <c r="AX164">
        <v>55928154</v>
      </c>
      <c r="AY164">
        <v>1</v>
      </c>
      <c r="AZ164">
        <v>0</v>
      </c>
      <c r="BA164">
        <v>180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ROUND(Y164*Source!I238,9)</f>
        <v>16</v>
      </c>
      <c r="CY164">
        <f t="shared" si="54"/>
        <v>14.99</v>
      </c>
      <c r="CZ164">
        <f t="shared" si="55"/>
        <v>14.99</v>
      </c>
      <c r="DA164">
        <f t="shared" si="56"/>
        <v>1</v>
      </c>
      <c r="DB164">
        <f>ROUND((ROUND(AT164*CZ164,2)*1),6)</f>
        <v>119.92</v>
      </c>
      <c r="DC164">
        <f>ROUND((ROUND(AT164*AG164,2)*1),6)</f>
        <v>0</v>
      </c>
      <c r="DD164" t="s">
        <v>3</v>
      </c>
      <c r="DE164" t="s">
        <v>3</v>
      </c>
      <c r="DF164">
        <f t="shared" si="53"/>
        <v>239.84</v>
      </c>
      <c r="DG164">
        <f t="shared" si="52"/>
        <v>0</v>
      </c>
      <c r="DH164">
        <f t="shared" si="51"/>
        <v>0</v>
      </c>
      <c r="DI164">
        <f t="shared" si="49"/>
        <v>0</v>
      </c>
      <c r="DJ164">
        <f t="shared" si="57"/>
        <v>239.84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ROW(Source!A238)</f>
        <v>238</v>
      </c>
      <c r="B165">
        <v>55919547</v>
      </c>
      <c r="C165">
        <v>55928119</v>
      </c>
      <c r="D165">
        <v>55481932</v>
      </c>
      <c r="E165">
        <v>1</v>
      </c>
      <c r="F165">
        <v>1</v>
      </c>
      <c r="G165">
        <v>1081</v>
      </c>
      <c r="H165">
        <v>3</v>
      </c>
      <c r="I165" t="s">
        <v>378</v>
      </c>
      <c r="J165" t="s">
        <v>379</v>
      </c>
      <c r="K165" t="s">
        <v>380</v>
      </c>
      <c r="L165">
        <v>1356</v>
      </c>
      <c r="N165">
        <v>1010</v>
      </c>
      <c r="O165" t="s">
        <v>331</v>
      </c>
      <c r="P165" t="s">
        <v>331</v>
      </c>
      <c r="Q165">
        <v>1000</v>
      </c>
      <c r="W165">
        <v>0</v>
      </c>
      <c r="X165">
        <v>1938675882</v>
      </c>
      <c r="Y165">
        <f>(AT165*1)</f>
        <v>4.1000000000000002E-2</v>
      </c>
      <c r="AA165">
        <v>919.92</v>
      </c>
      <c r="AB165">
        <v>0</v>
      </c>
      <c r="AC165">
        <v>0</v>
      </c>
      <c r="AD165">
        <v>0</v>
      </c>
      <c r="AE165">
        <v>919.92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4.1000000000000002E-2</v>
      </c>
      <c r="AU165" t="s">
        <v>56</v>
      </c>
      <c r="AV165">
        <v>0</v>
      </c>
      <c r="AW165">
        <v>2</v>
      </c>
      <c r="AX165">
        <v>55928155</v>
      </c>
      <c r="AY165">
        <v>1</v>
      </c>
      <c r="AZ165">
        <v>0</v>
      </c>
      <c r="BA165">
        <v>181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ROUND(Y165*Source!I238,9)</f>
        <v>8.2000000000000003E-2</v>
      </c>
      <c r="CY165">
        <f t="shared" si="54"/>
        <v>919.92</v>
      </c>
      <c r="CZ165">
        <f t="shared" si="55"/>
        <v>919.92</v>
      </c>
      <c r="DA165">
        <f t="shared" si="56"/>
        <v>1</v>
      </c>
      <c r="DB165">
        <f>ROUND((ROUND(AT165*CZ165,2)*1),6)</f>
        <v>37.72</v>
      </c>
      <c r="DC165">
        <f>ROUND((ROUND(AT165*AG165,2)*1),6)</f>
        <v>0</v>
      </c>
      <c r="DD165" t="s">
        <v>3</v>
      </c>
      <c r="DE165" t="s">
        <v>3</v>
      </c>
      <c r="DF165">
        <f t="shared" si="53"/>
        <v>75.430000000000007</v>
      </c>
      <c r="DG165">
        <f t="shared" si="52"/>
        <v>0</v>
      </c>
      <c r="DH165">
        <f t="shared" si="51"/>
        <v>0</v>
      </c>
      <c r="DI165">
        <f t="shared" si="49"/>
        <v>0</v>
      </c>
      <c r="DJ165">
        <f t="shared" si="57"/>
        <v>75.430000000000007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ROW(Source!A238)</f>
        <v>238</v>
      </c>
      <c r="B166">
        <v>55919547</v>
      </c>
      <c r="C166">
        <v>55928119</v>
      </c>
      <c r="D166">
        <v>0</v>
      </c>
      <c r="E166">
        <v>0</v>
      </c>
      <c r="F166">
        <v>1</v>
      </c>
      <c r="G166">
        <v>1081</v>
      </c>
      <c r="H166">
        <v>3</v>
      </c>
      <c r="I166" t="s">
        <v>381</v>
      </c>
      <c r="J166" t="s">
        <v>381</v>
      </c>
      <c r="K166" t="s">
        <v>236</v>
      </c>
      <c r="L166">
        <v>1301</v>
      </c>
      <c r="N166">
        <v>1003</v>
      </c>
      <c r="O166" t="s">
        <v>206</v>
      </c>
      <c r="P166" t="s">
        <v>206</v>
      </c>
      <c r="Q166">
        <v>1</v>
      </c>
      <c r="W166">
        <v>0</v>
      </c>
      <c r="X166">
        <v>-1759619333</v>
      </c>
      <c r="Y166">
        <f>(AT166*1)</f>
        <v>103</v>
      </c>
      <c r="AA166">
        <v>14.73</v>
      </c>
      <c r="AB166">
        <v>0</v>
      </c>
      <c r="AC166">
        <v>0</v>
      </c>
      <c r="AD166">
        <v>0</v>
      </c>
      <c r="AE166">
        <v>14.729999999999999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 t="s">
        <v>3</v>
      </c>
      <c r="AT166">
        <v>103</v>
      </c>
      <c r="AU166" t="s">
        <v>56</v>
      </c>
      <c r="AV166">
        <v>0</v>
      </c>
      <c r="AW166">
        <v>1</v>
      </c>
      <c r="AX166">
        <v>-1</v>
      </c>
      <c r="AY166">
        <v>0</v>
      </c>
      <c r="AZ166">
        <v>0</v>
      </c>
      <c r="BA166" t="s">
        <v>3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ROUND(Y166*Source!I238,9)</f>
        <v>206</v>
      </c>
      <c r="CY166">
        <f t="shared" si="54"/>
        <v>14.73</v>
      </c>
      <c r="CZ166">
        <f t="shared" si="55"/>
        <v>14.729999999999999</v>
      </c>
      <c r="DA166">
        <f t="shared" si="56"/>
        <v>1</v>
      </c>
      <c r="DB166">
        <f>ROUND((ROUND(AT166*CZ166,2)*1),6)</f>
        <v>1517.19</v>
      </c>
      <c r="DC166">
        <f>ROUND((ROUND(AT166*AG166,2)*1),6)</f>
        <v>0</v>
      </c>
      <c r="DD166" t="s">
        <v>3</v>
      </c>
      <c r="DE166" t="s">
        <v>3</v>
      </c>
      <c r="DF166">
        <f t="shared" si="53"/>
        <v>3034.38</v>
      </c>
      <c r="DG166">
        <f t="shared" si="52"/>
        <v>0</v>
      </c>
      <c r="DH166">
        <f t="shared" si="51"/>
        <v>0</v>
      </c>
      <c r="DI166">
        <f t="shared" si="49"/>
        <v>0</v>
      </c>
      <c r="DJ166">
        <f t="shared" si="57"/>
        <v>3034.38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ROW(Source!A239)</f>
        <v>239</v>
      </c>
      <c r="B167">
        <v>55919549</v>
      </c>
      <c r="C167">
        <v>55928119</v>
      </c>
      <c r="D167">
        <v>55424304</v>
      </c>
      <c r="E167">
        <v>1081</v>
      </c>
      <c r="F167">
        <v>1</v>
      </c>
      <c r="G167">
        <v>1081</v>
      </c>
      <c r="H167">
        <v>1</v>
      </c>
      <c r="I167" t="s">
        <v>278</v>
      </c>
      <c r="J167" t="s">
        <v>3</v>
      </c>
      <c r="K167" t="s">
        <v>279</v>
      </c>
      <c r="L167">
        <v>1191</v>
      </c>
      <c r="N167">
        <v>1013</v>
      </c>
      <c r="O167" t="s">
        <v>280</v>
      </c>
      <c r="P167" t="s">
        <v>280</v>
      </c>
      <c r="Q167">
        <v>1</v>
      </c>
      <c r="W167">
        <v>0</v>
      </c>
      <c r="X167">
        <v>476480486</v>
      </c>
      <c r="Y167">
        <f>(AT167*1.2)</f>
        <v>32.159999999999997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5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26.8</v>
      </c>
      <c r="AU167" t="s">
        <v>57</v>
      </c>
      <c r="AV167">
        <v>1</v>
      </c>
      <c r="AW167">
        <v>2</v>
      </c>
      <c r="AX167">
        <v>55928143</v>
      </c>
      <c r="AY167">
        <v>1</v>
      </c>
      <c r="AZ167">
        <v>0</v>
      </c>
      <c r="BA167">
        <v>187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U167">
        <f>ROUND(AT167*Source!I239*AH167*AL167,2)</f>
        <v>0</v>
      </c>
      <c r="CV167">
        <f>ROUND(Y167*Source!I239,9)</f>
        <v>64.319999999999993</v>
      </c>
      <c r="CW167">
        <v>0</v>
      </c>
      <c r="CX167">
        <f>ROUND(Y167*Source!I239,9)</f>
        <v>64.319999999999993</v>
      </c>
      <c r="CY167">
        <f>AD167</f>
        <v>0</v>
      </c>
      <c r="CZ167">
        <f>AH167</f>
        <v>0</v>
      </c>
      <c r="DA167">
        <f>AL167</f>
        <v>1</v>
      </c>
      <c r="DB167">
        <f>ROUND((ROUND(AT167*CZ167,2)*1.2),6)</f>
        <v>0</v>
      </c>
      <c r="DC167">
        <f>ROUND((ROUND(AT167*AG167,2)*1.2),6)</f>
        <v>0</v>
      </c>
      <c r="DD167" t="s">
        <v>3</v>
      </c>
      <c r="DE167" t="s">
        <v>3</v>
      </c>
      <c r="DF167">
        <f t="shared" si="53"/>
        <v>0</v>
      </c>
      <c r="DG167">
        <f t="shared" si="52"/>
        <v>0</v>
      </c>
      <c r="DH167">
        <f t="shared" si="51"/>
        <v>0</v>
      </c>
      <c r="DI167">
        <f t="shared" si="49"/>
        <v>0</v>
      </c>
      <c r="DJ167">
        <f>DI167</f>
        <v>0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ROW(Source!A239)</f>
        <v>239</v>
      </c>
      <c r="B168">
        <v>55919549</v>
      </c>
      <c r="C168">
        <v>55928119</v>
      </c>
      <c r="D168">
        <v>55489910</v>
      </c>
      <c r="E168">
        <v>1</v>
      </c>
      <c r="F168">
        <v>1</v>
      </c>
      <c r="G168">
        <v>1081</v>
      </c>
      <c r="H168">
        <v>2</v>
      </c>
      <c r="I168" t="s">
        <v>293</v>
      </c>
      <c r="J168" t="s">
        <v>294</v>
      </c>
      <c r="K168" t="s">
        <v>295</v>
      </c>
      <c r="L168">
        <v>1368</v>
      </c>
      <c r="N168">
        <v>1011</v>
      </c>
      <c r="O168" t="s">
        <v>291</v>
      </c>
      <c r="P168" t="s">
        <v>291</v>
      </c>
      <c r="Q168">
        <v>1</v>
      </c>
      <c r="W168">
        <v>0</v>
      </c>
      <c r="X168">
        <v>1498588441</v>
      </c>
      <c r="Y168">
        <f>(AT168*1.2)</f>
        <v>6.6360000000000001</v>
      </c>
      <c r="AA168">
        <v>0</v>
      </c>
      <c r="AB168">
        <v>100.2</v>
      </c>
      <c r="AC168">
        <v>0</v>
      </c>
      <c r="AD168">
        <v>0</v>
      </c>
      <c r="AE168">
        <v>0</v>
      </c>
      <c r="AF168">
        <v>7.11</v>
      </c>
      <c r="AG168">
        <v>0</v>
      </c>
      <c r="AH168">
        <v>0</v>
      </c>
      <c r="AI168">
        <v>1</v>
      </c>
      <c r="AJ168">
        <v>13.46</v>
      </c>
      <c r="AK168">
        <v>1</v>
      </c>
      <c r="AL168">
        <v>1</v>
      </c>
      <c r="AM168">
        <v>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5.53</v>
      </c>
      <c r="AU168" t="s">
        <v>57</v>
      </c>
      <c r="AV168">
        <v>0</v>
      </c>
      <c r="AW168">
        <v>2</v>
      </c>
      <c r="AX168">
        <v>55928144</v>
      </c>
      <c r="AY168">
        <v>1</v>
      </c>
      <c r="AZ168">
        <v>0</v>
      </c>
      <c r="BA168">
        <v>188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f>ROUND(Y168*Source!I239*DO168,9)</f>
        <v>0</v>
      </c>
      <c r="CX168">
        <f>ROUND(Y168*Source!I239,9)</f>
        <v>13.272</v>
      </c>
      <c r="CY168">
        <f>AB168</f>
        <v>100.2</v>
      </c>
      <c r="CZ168">
        <f>AF168</f>
        <v>7.11</v>
      </c>
      <c r="DA168">
        <f>AJ168</f>
        <v>13.46</v>
      </c>
      <c r="DB168">
        <f>ROUND((ROUND(AT168*CZ168,2)*1.2),6)</f>
        <v>47.183999999999997</v>
      </c>
      <c r="DC168">
        <f>ROUND((ROUND(AT168*AG168,2)*1.2),6)</f>
        <v>0</v>
      </c>
      <c r="DD168" t="s">
        <v>3</v>
      </c>
      <c r="DE168" t="s">
        <v>3</v>
      </c>
      <c r="DF168">
        <f t="shared" si="53"/>
        <v>0</v>
      </c>
      <c r="DG168">
        <f>ROUND(ROUND(AF168*AJ168,2)*CX168,2)</f>
        <v>1270.1300000000001</v>
      </c>
      <c r="DH168">
        <f t="shared" si="51"/>
        <v>0</v>
      </c>
      <c r="DI168">
        <f t="shared" si="49"/>
        <v>0</v>
      </c>
      <c r="DJ168">
        <f>DG168</f>
        <v>1270.1300000000001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ROW(Source!A239)</f>
        <v>239</v>
      </c>
      <c r="B169">
        <v>55919549</v>
      </c>
      <c r="C169">
        <v>55928119</v>
      </c>
      <c r="D169">
        <v>55490209</v>
      </c>
      <c r="E169">
        <v>1</v>
      </c>
      <c r="F169">
        <v>1</v>
      </c>
      <c r="G169">
        <v>1081</v>
      </c>
      <c r="H169">
        <v>2</v>
      </c>
      <c r="I169" t="s">
        <v>296</v>
      </c>
      <c r="J169" t="s">
        <v>297</v>
      </c>
      <c r="K169" t="s">
        <v>298</v>
      </c>
      <c r="L169">
        <v>1368</v>
      </c>
      <c r="N169">
        <v>1011</v>
      </c>
      <c r="O169" t="s">
        <v>291</v>
      </c>
      <c r="P169" t="s">
        <v>291</v>
      </c>
      <c r="Q169">
        <v>1</v>
      </c>
      <c r="W169">
        <v>0</v>
      </c>
      <c r="X169">
        <v>874612079</v>
      </c>
      <c r="Y169">
        <f>(AT169*1.2)</f>
        <v>0.51600000000000001</v>
      </c>
      <c r="AA169">
        <v>0</v>
      </c>
      <c r="AB169">
        <v>1485.19</v>
      </c>
      <c r="AC169">
        <v>744.56</v>
      </c>
      <c r="AD169">
        <v>0</v>
      </c>
      <c r="AE169">
        <v>0</v>
      </c>
      <c r="AF169">
        <v>83.1</v>
      </c>
      <c r="AG169">
        <v>12.62</v>
      </c>
      <c r="AH169">
        <v>0</v>
      </c>
      <c r="AI169">
        <v>1</v>
      </c>
      <c r="AJ169">
        <v>17.07</v>
      </c>
      <c r="AK169">
        <v>56.35</v>
      </c>
      <c r="AL169">
        <v>1</v>
      </c>
      <c r="AM169">
        <v>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0.43</v>
      </c>
      <c r="AU169" t="s">
        <v>57</v>
      </c>
      <c r="AV169">
        <v>0</v>
      </c>
      <c r="AW169">
        <v>2</v>
      </c>
      <c r="AX169">
        <v>55928145</v>
      </c>
      <c r="AY169">
        <v>1</v>
      </c>
      <c r="AZ169">
        <v>0</v>
      </c>
      <c r="BA169">
        <v>189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f>ROUND(Y169*Source!I239*DO169,9)</f>
        <v>13.02384</v>
      </c>
      <c r="CX169">
        <f>ROUND(Y169*Source!I239,9)</f>
        <v>1.032</v>
      </c>
      <c r="CY169">
        <f>AB169</f>
        <v>1485.19</v>
      </c>
      <c r="CZ169">
        <f>AF169</f>
        <v>83.1</v>
      </c>
      <c r="DA169">
        <f>AJ169</f>
        <v>17.07</v>
      </c>
      <c r="DB169">
        <f>ROUND((ROUND(AT169*CZ169,2)*1.2),6)</f>
        <v>42.875999999999998</v>
      </c>
      <c r="DC169">
        <f>ROUND((ROUND(AT169*AG169,2)*1.2),6)</f>
        <v>6.516</v>
      </c>
      <c r="DD169" t="s">
        <v>3</v>
      </c>
      <c r="DE169" t="s">
        <v>3</v>
      </c>
      <c r="DF169">
        <f t="shared" si="53"/>
        <v>0</v>
      </c>
      <c r="DG169">
        <f>ROUND(ROUND(AF169*AJ169,2)*CX169,2)</f>
        <v>1463.91</v>
      </c>
      <c r="DH169">
        <f>ROUND(ROUND(AG169*AK169,2)*CX169,2)</f>
        <v>733.9</v>
      </c>
      <c r="DI169">
        <f t="shared" si="49"/>
        <v>0</v>
      </c>
      <c r="DJ169">
        <f>DG169</f>
        <v>1463.91</v>
      </c>
      <c r="DK169">
        <v>0</v>
      </c>
      <c r="DL169" t="s">
        <v>292</v>
      </c>
      <c r="DM169">
        <v>0</v>
      </c>
      <c r="DN169" t="s">
        <v>280</v>
      </c>
      <c r="DO169">
        <v>12.62</v>
      </c>
    </row>
    <row r="170" spans="1:119" x14ac:dyDescent="0.2">
      <c r="A170">
        <f>ROW(Source!A239)</f>
        <v>239</v>
      </c>
      <c r="B170">
        <v>55919549</v>
      </c>
      <c r="C170">
        <v>55928119</v>
      </c>
      <c r="D170">
        <v>55490263</v>
      </c>
      <c r="E170">
        <v>1</v>
      </c>
      <c r="F170">
        <v>1</v>
      </c>
      <c r="G170">
        <v>1081</v>
      </c>
      <c r="H170">
        <v>2</v>
      </c>
      <c r="I170" t="s">
        <v>310</v>
      </c>
      <c r="J170" t="s">
        <v>311</v>
      </c>
      <c r="K170" t="s">
        <v>312</v>
      </c>
      <c r="L170">
        <v>1368</v>
      </c>
      <c r="N170">
        <v>1011</v>
      </c>
      <c r="O170" t="s">
        <v>291</v>
      </c>
      <c r="P170" t="s">
        <v>291</v>
      </c>
      <c r="Q170">
        <v>1</v>
      </c>
      <c r="W170">
        <v>0</v>
      </c>
      <c r="X170">
        <v>-1895752648</v>
      </c>
      <c r="Y170">
        <f>(AT170*1.2)</f>
        <v>6.3959999999999999</v>
      </c>
      <c r="AA170">
        <v>0</v>
      </c>
      <c r="AB170">
        <v>7.71</v>
      </c>
      <c r="AC170">
        <v>0</v>
      </c>
      <c r="AD170">
        <v>0</v>
      </c>
      <c r="AE170">
        <v>0</v>
      </c>
      <c r="AF170">
        <v>0.77</v>
      </c>
      <c r="AG170">
        <v>0</v>
      </c>
      <c r="AH170">
        <v>0</v>
      </c>
      <c r="AI170">
        <v>1</v>
      </c>
      <c r="AJ170">
        <v>9.56</v>
      </c>
      <c r="AK170">
        <v>1</v>
      </c>
      <c r="AL170">
        <v>1</v>
      </c>
      <c r="AM170">
        <v>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5.33</v>
      </c>
      <c r="AU170" t="s">
        <v>57</v>
      </c>
      <c r="AV170">
        <v>0</v>
      </c>
      <c r="AW170">
        <v>2</v>
      </c>
      <c r="AX170">
        <v>55928146</v>
      </c>
      <c r="AY170">
        <v>1</v>
      </c>
      <c r="AZ170">
        <v>0</v>
      </c>
      <c r="BA170">
        <v>190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f>ROUND(Y170*Source!I239*DO170,9)</f>
        <v>0</v>
      </c>
      <c r="CX170">
        <f>ROUND(Y170*Source!I239,9)</f>
        <v>12.792</v>
      </c>
      <c r="CY170">
        <f>AB170</f>
        <v>7.71</v>
      </c>
      <c r="CZ170">
        <f>AF170</f>
        <v>0.77</v>
      </c>
      <c r="DA170">
        <f>AJ170</f>
        <v>9.56</v>
      </c>
      <c r="DB170">
        <f>ROUND((ROUND(AT170*CZ170,2)*1.2),6)</f>
        <v>4.92</v>
      </c>
      <c r="DC170">
        <f>ROUND((ROUND(AT170*AG170,2)*1.2),6)</f>
        <v>0</v>
      </c>
      <c r="DD170" t="s">
        <v>3</v>
      </c>
      <c r="DE170" t="s">
        <v>3</v>
      </c>
      <c r="DF170">
        <f t="shared" si="53"/>
        <v>0</v>
      </c>
      <c r="DG170">
        <f>ROUND(ROUND(AF170*AJ170,2)*CX170,2)</f>
        <v>94.15</v>
      </c>
      <c r="DH170">
        <f>ROUND(ROUND(AG170,2)*CX170,2)</f>
        <v>0</v>
      </c>
      <c r="DI170">
        <f t="shared" si="49"/>
        <v>0</v>
      </c>
      <c r="DJ170">
        <f>DG170</f>
        <v>94.15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ROW(Source!A239)</f>
        <v>239</v>
      </c>
      <c r="B171">
        <v>55919549</v>
      </c>
      <c r="C171">
        <v>55928119</v>
      </c>
      <c r="D171">
        <v>55489583</v>
      </c>
      <c r="E171">
        <v>1</v>
      </c>
      <c r="F171">
        <v>1</v>
      </c>
      <c r="G171">
        <v>1081</v>
      </c>
      <c r="H171">
        <v>2</v>
      </c>
      <c r="I171" t="s">
        <v>362</v>
      </c>
      <c r="J171" t="s">
        <v>363</v>
      </c>
      <c r="K171" t="s">
        <v>364</v>
      </c>
      <c r="L171">
        <v>1368</v>
      </c>
      <c r="N171">
        <v>1011</v>
      </c>
      <c r="O171" t="s">
        <v>291</v>
      </c>
      <c r="P171" t="s">
        <v>291</v>
      </c>
      <c r="Q171">
        <v>1</v>
      </c>
      <c r="W171">
        <v>0</v>
      </c>
      <c r="X171">
        <v>-9547295</v>
      </c>
      <c r="Y171">
        <f>(AT171*1.2)</f>
        <v>21</v>
      </c>
      <c r="AA171">
        <v>0</v>
      </c>
      <c r="AB171">
        <v>907.92</v>
      </c>
      <c r="AC171">
        <v>744.56</v>
      </c>
      <c r="AD171">
        <v>0</v>
      </c>
      <c r="AE171">
        <v>0</v>
      </c>
      <c r="AF171">
        <v>25.58</v>
      </c>
      <c r="AG171">
        <v>12.62</v>
      </c>
      <c r="AH171">
        <v>0</v>
      </c>
      <c r="AI171">
        <v>1</v>
      </c>
      <c r="AJ171">
        <v>33.9</v>
      </c>
      <c r="AK171">
        <v>56.35</v>
      </c>
      <c r="AL171">
        <v>1</v>
      </c>
      <c r="AM171">
        <v>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17.5</v>
      </c>
      <c r="AU171" t="s">
        <v>57</v>
      </c>
      <c r="AV171">
        <v>0</v>
      </c>
      <c r="AW171">
        <v>2</v>
      </c>
      <c r="AX171">
        <v>55928147</v>
      </c>
      <c r="AY171">
        <v>1</v>
      </c>
      <c r="AZ171">
        <v>0</v>
      </c>
      <c r="BA171">
        <v>191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f>ROUND(Y171*Source!I239*DO171,9)</f>
        <v>530.04</v>
      </c>
      <c r="CX171">
        <f>ROUND(Y171*Source!I239,9)</f>
        <v>42</v>
      </c>
      <c r="CY171">
        <f>AB171</f>
        <v>907.92</v>
      </c>
      <c r="CZ171">
        <f>AF171</f>
        <v>25.58</v>
      </c>
      <c r="DA171">
        <f>AJ171</f>
        <v>33.9</v>
      </c>
      <c r="DB171">
        <f>ROUND((ROUND(AT171*CZ171,2)*1.2),6)</f>
        <v>537.17999999999995</v>
      </c>
      <c r="DC171">
        <f>ROUND((ROUND(AT171*AG171,2)*1.2),6)</f>
        <v>265.02</v>
      </c>
      <c r="DD171" t="s">
        <v>3</v>
      </c>
      <c r="DE171" t="s">
        <v>3</v>
      </c>
      <c r="DF171">
        <f t="shared" si="53"/>
        <v>0</v>
      </c>
      <c r="DG171">
        <f>ROUND(ROUND(AF171*AJ171,2)*CX171,2)</f>
        <v>36420.720000000001</v>
      </c>
      <c r="DH171">
        <f>ROUND(ROUND(AG171*AK171,2)*CX171,2)</f>
        <v>29867.88</v>
      </c>
      <c r="DI171">
        <f t="shared" si="49"/>
        <v>0</v>
      </c>
      <c r="DJ171">
        <f>DG171</f>
        <v>36420.720000000001</v>
      </c>
      <c r="DK171">
        <v>0</v>
      </c>
      <c r="DL171" t="s">
        <v>292</v>
      </c>
      <c r="DM171">
        <v>0</v>
      </c>
      <c r="DN171" t="s">
        <v>280</v>
      </c>
      <c r="DO171">
        <v>12.62</v>
      </c>
    </row>
    <row r="172" spans="1:119" x14ac:dyDescent="0.2">
      <c r="A172">
        <f>ROW(Source!A239)</f>
        <v>239</v>
      </c>
      <c r="B172">
        <v>55919549</v>
      </c>
      <c r="C172">
        <v>55928119</v>
      </c>
      <c r="D172">
        <v>55460380</v>
      </c>
      <c r="E172">
        <v>1</v>
      </c>
      <c r="F172">
        <v>1</v>
      </c>
      <c r="G172">
        <v>1081</v>
      </c>
      <c r="H172">
        <v>3</v>
      </c>
      <c r="I172" t="s">
        <v>305</v>
      </c>
      <c r="J172" t="s">
        <v>306</v>
      </c>
      <c r="K172" t="s">
        <v>307</v>
      </c>
      <c r="L172">
        <v>1348</v>
      </c>
      <c r="N172">
        <v>1009</v>
      </c>
      <c r="O172" t="s">
        <v>284</v>
      </c>
      <c r="P172" t="s">
        <v>284</v>
      </c>
      <c r="Q172">
        <v>1000</v>
      </c>
      <c r="W172">
        <v>0</v>
      </c>
      <c r="X172">
        <v>277309194</v>
      </c>
      <c r="Y172">
        <f>(AT172*1)</f>
        <v>1.0499999999999999E-3</v>
      </c>
      <c r="AA172">
        <v>141233.74</v>
      </c>
      <c r="AB172">
        <v>0</v>
      </c>
      <c r="AC172">
        <v>0</v>
      </c>
      <c r="AD172">
        <v>0</v>
      </c>
      <c r="AE172">
        <v>8590.86</v>
      </c>
      <c r="AF172">
        <v>0</v>
      </c>
      <c r="AG172">
        <v>0</v>
      </c>
      <c r="AH172">
        <v>0</v>
      </c>
      <c r="AI172">
        <v>16.440000000000001</v>
      </c>
      <c r="AJ172">
        <v>1</v>
      </c>
      <c r="AK172">
        <v>1</v>
      </c>
      <c r="AL172">
        <v>1</v>
      </c>
      <c r="AM172">
        <v>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1.0499999999999999E-3</v>
      </c>
      <c r="AU172" t="s">
        <v>56</v>
      </c>
      <c r="AV172">
        <v>0</v>
      </c>
      <c r="AW172">
        <v>2</v>
      </c>
      <c r="AX172">
        <v>55928148</v>
      </c>
      <c r="AY172">
        <v>1</v>
      </c>
      <c r="AZ172">
        <v>0</v>
      </c>
      <c r="BA172">
        <v>192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ROUND(Y172*Source!I239,9)</f>
        <v>2.0999999999999999E-3</v>
      </c>
      <c r="CY172">
        <f t="shared" ref="CY172:CY184" si="58">AA172</f>
        <v>141233.74</v>
      </c>
      <c r="CZ172">
        <f t="shared" ref="CZ172:CZ184" si="59">AE172</f>
        <v>8590.86</v>
      </c>
      <c r="DA172">
        <f t="shared" ref="DA172:DA184" si="60">AI172</f>
        <v>16.440000000000001</v>
      </c>
      <c r="DB172">
        <f>ROUND((ROUND(AT172*CZ172,2)*1),6)</f>
        <v>9.02</v>
      </c>
      <c r="DC172">
        <f>ROUND((ROUND(AT172*AG172,2)*1),6)</f>
        <v>0</v>
      </c>
      <c r="DD172" t="s">
        <v>3</v>
      </c>
      <c r="DE172" t="s">
        <v>3</v>
      </c>
      <c r="DF172">
        <f t="shared" ref="DF172:DF184" si="61">ROUND(ROUND(AE172*AI172,2)*CX172,2)</f>
        <v>296.58999999999997</v>
      </c>
      <c r="DG172">
        <f t="shared" ref="DG172:DG197" si="62">ROUND(ROUND(AF172,2)*CX172,2)</f>
        <v>0</v>
      </c>
      <c r="DH172">
        <f t="shared" ref="DH172:DH198" si="63">ROUND(ROUND(AG172,2)*CX172,2)</f>
        <v>0</v>
      </c>
      <c r="DI172">
        <f t="shared" si="49"/>
        <v>0</v>
      </c>
      <c r="DJ172">
        <f t="shared" ref="DJ172:DJ184" si="64">DF172</f>
        <v>296.58999999999997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ROW(Source!A239)</f>
        <v>239</v>
      </c>
      <c r="B173">
        <v>55919549</v>
      </c>
      <c r="C173">
        <v>55928119</v>
      </c>
      <c r="D173">
        <v>55459340</v>
      </c>
      <c r="E173">
        <v>1</v>
      </c>
      <c r="F173">
        <v>1</v>
      </c>
      <c r="G173">
        <v>1081</v>
      </c>
      <c r="H173">
        <v>3</v>
      </c>
      <c r="I173" t="s">
        <v>365</v>
      </c>
      <c r="J173" t="s">
        <v>366</v>
      </c>
      <c r="K173" t="s">
        <v>367</v>
      </c>
      <c r="L173">
        <v>1354</v>
      </c>
      <c r="N173">
        <v>1010</v>
      </c>
      <c r="O173" t="s">
        <v>156</v>
      </c>
      <c r="P173" t="s">
        <v>156</v>
      </c>
      <c r="Q173">
        <v>1</v>
      </c>
      <c r="W173">
        <v>0</v>
      </c>
      <c r="X173">
        <v>-1352077490</v>
      </c>
      <c r="Y173">
        <f>(AT173*1)</f>
        <v>82</v>
      </c>
      <c r="AA173">
        <v>0.83</v>
      </c>
      <c r="AB173">
        <v>0</v>
      </c>
      <c r="AC173">
        <v>0</v>
      </c>
      <c r="AD173">
        <v>0</v>
      </c>
      <c r="AE173">
        <v>0.89</v>
      </c>
      <c r="AF173">
        <v>0</v>
      </c>
      <c r="AG173">
        <v>0</v>
      </c>
      <c r="AH173">
        <v>0</v>
      </c>
      <c r="AI173">
        <v>0.93</v>
      </c>
      <c r="AJ173">
        <v>1</v>
      </c>
      <c r="AK173">
        <v>1</v>
      </c>
      <c r="AL173">
        <v>1</v>
      </c>
      <c r="AM173">
        <v>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82</v>
      </c>
      <c r="AU173" t="s">
        <v>56</v>
      </c>
      <c r="AV173">
        <v>0</v>
      </c>
      <c r="AW173">
        <v>2</v>
      </c>
      <c r="AX173">
        <v>55928149</v>
      </c>
      <c r="AY173">
        <v>1</v>
      </c>
      <c r="AZ173">
        <v>0</v>
      </c>
      <c r="BA173">
        <v>193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v>0</v>
      </c>
      <c r="CX173">
        <f>ROUND(Y173*Source!I239,9)</f>
        <v>164</v>
      </c>
      <c r="CY173">
        <f t="shared" si="58"/>
        <v>0.83</v>
      </c>
      <c r="CZ173">
        <f t="shared" si="59"/>
        <v>0.89</v>
      </c>
      <c r="DA173">
        <f t="shared" si="60"/>
        <v>0.93</v>
      </c>
      <c r="DB173">
        <f>ROUND((ROUND(AT173*CZ173,2)*1),6)</f>
        <v>72.98</v>
      </c>
      <c r="DC173">
        <f>ROUND((ROUND(AT173*AG173,2)*1),6)</f>
        <v>0</v>
      </c>
      <c r="DD173" t="s">
        <v>3</v>
      </c>
      <c r="DE173" t="s">
        <v>3</v>
      </c>
      <c r="DF173">
        <f t="shared" si="61"/>
        <v>136.12</v>
      </c>
      <c r="DG173">
        <f t="shared" si="62"/>
        <v>0</v>
      </c>
      <c r="DH173">
        <f t="shared" si="63"/>
        <v>0</v>
      </c>
      <c r="DI173">
        <f t="shared" si="49"/>
        <v>0</v>
      </c>
      <c r="DJ173">
        <f t="shared" si="64"/>
        <v>136.12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ROW(Source!A239)</f>
        <v>239</v>
      </c>
      <c r="B174">
        <v>55919549</v>
      </c>
      <c r="C174">
        <v>55928119</v>
      </c>
      <c r="D174">
        <v>55461705</v>
      </c>
      <c r="E174">
        <v>1</v>
      </c>
      <c r="F174">
        <v>1</v>
      </c>
      <c r="G174">
        <v>1081</v>
      </c>
      <c r="H174">
        <v>3</v>
      </c>
      <c r="I174" t="s">
        <v>368</v>
      </c>
      <c r="J174" t="s">
        <v>369</v>
      </c>
      <c r="K174" t="s">
        <v>370</v>
      </c>
      <c r="L174">
        <v>1346</v>
      </c>
      <c r="N174">
        <v>1009</v>
      </c>
      <c r="O174" t="s">
        <v>151</v>
      </c>
      <c r="P174" t="s">
        <v>151</v>
      </c>
      <c r="Q174">
        <v>1</v>
      </c>
      <c r="W174">
        <v>0</v>
      </c>
      <c r="X174">
        <v>731843586</v>
      </c>
      <c r="Y174">
        <f>(AT174*1)</f>
        <v>0.03</v>
      </c>
      <c r="AA174">
        <v>978.56</v>
      </c>
      <c r="AB174">
        <v>0</v>
      </c>
      <c r="AC174">
        <v>0</v>
      </c>
      <c r="AD174">
        <v>0</v>
      </c>
      <c r="AE174">
        <v>520.51</v>
      </c>
      <c r="AF174">
        <v>0</v>
      </c>
      <c r="AG174">
        <v>0</v>
      </c>
      <c r="AH174">
        <v>0</v>
      </c>
      <c r="AI174">
        <v>1.88</v>
      </c>
      <c r="AJ174">
        <v>1</v>
      </c>
      <c r="AK174">
        <v>1</v>
      </c>
      <c r="AL174">
        <v>1</v>
      </c>
      <c r="AM174">
        <v>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0.03</v>
      </c>
      <c r="AU174" t="s">
        <v>56</v>
      </c>
      <c r="AV174">
        <v>0</v>
      </c>
      <c r="AW174">
        <v>2</v>
      </c>
      <c r="AX174">
        <v>55928150</v>
      </c>
      <c r="AY174">
        <v>1</v>
      </c>
      <c r="AZ174">
        <v>0</v>
      </c>
      <c r="BA174">
        <v>194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ROUND(Y174*Source!I239,9)</f>
        <v>0.06</v>
      </c>
      <c r="CY174">
        <f t="shared" si="58"/>
        <v>978.56</v>
      </c>
      <c r="CZ174">
        <f t="shared" si="59"/>
        <v>520.51</v>
      </c>
      <c r="DA174">
        <f t="shared" si="60"/>
        <v>1.88</v>
      </c>
      <c r="DB174">
        <f>ROUND((ROUND(AT174*CZ174,2)*1),6)</f>
        <v>15.62</v>
      </c>
      <c r="DC174">
        <f>ROUND((ROUND(AT174*AG174,2)*1),6)</f>
        <v>0</v>
      </c>
      <c r="DD174" t="s">
        <v>3</v>
      </c>
      <c r="DE174" t="s">
        <v>3</v>
      </c>
      <c r="DF174">
        <f t="shared" si="61"/>
        <v>58.71</v>
      </c>
      <c r="DG174">
        <f t="shared" si="62"/>
        <v>0</v>
      </c>
      <c r="DH174">
        <f t="shared" si="63"/>
        <v>0</v>
      </c>
      <c r="DI174">
        <f t="shared" si="49"/>
        <v>0</v>
      </c>
      <c r="DJ174">
        <f t="shared" si="64"/>
        <v>58.71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ROW(Source!A239)</f>
        <v>239</v>
      </c>
      <c r="B175">
        <v>55919549</v>
      </c>
      <c r="C175">
        <v>55928119</v>
      </c>
      <c r="D175">
        <v>55459516</v>
      </c>
      <c r="E175">
        <v>1</v>
      </c>
      <c r="F175">
        <v>1</v>
      </c>
      <c r="G175">
        <v>1081</v>
      </c>
      <c r="H175">
        <v>3</v>
      </c>
      <c r="I175" t="s">
        <v>371</v>
      </c>
      <c r="J175" t="s">
        <v>372</v>
      </c>
      <c r="K175" t="s">
        <v>373</v>
      </c>
      <c r="L175">
        <v>1348</v>
      </c>
      <c r="N175">
        <v>1009</v>
      </c>
      <c r="O175" t="s">
        <v>284</v>
      </c>
      <c r="P175" t="s">
        <v>284</v>
      </c>
      <c r="Q175">
        <v>1000</v>
      </c>
      <c r="W175">
        <v>0</v>
      </c>
      <c r="X175">
        <v>-1125045429</v>
      </c>
      <c r="Y175">
        <f>(AT175*1)</f>
        <v>6.8000000000000005E-4</v>
      </c>
      <c r="AA175">
        <v>51129.68</v>
      </c>
      <c r="AB175">
        <v>0</v>
      </c>
      <c r="AC175">
        <v>0</v>
      </c>
      <c r="AD175">
        <v>0</v>
      </c>
      <c r="AE175">
        <v>16180.28</v>
      </c>
      <c r="AF175">
        <v>0</v>
      </c>
      <c r="AG175">
        <v>0</v>
      </c>
      <c r="AH175">
        <v>0</v>
      </c>
      <c r="AI175">
        <v>3.16</v>
      </c>
      <c r="AJ175">
        <v>1</v>
      </c>
      <c r="AK175">
        <v>1</v>
      </c>
      <c r="AL175">
        <v>1</v>
      </c>
      <c r="AM175">
        <v>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6.8000000000000005E-4</v>
      </c>
      <c r="AU175" t="s">
        <v>56</v>
      </c>
      <c r="AV175">
        <v>0</v>
      </c>
      <c r="AW175">
        <v>2</v>
      </c>
      <c r="AX175">
        <v>55928151</v>
      </c>
      <c r="AY175">
        <v>1</v>
      </c>
      <c r="AZ175">
        <v>0</v>
      </c>
      <c r="BA175">
        <v>195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ROUND(Y175*Source!I239,9)</f>
        <v>1.3600000000000001E-3</v>
      </c>
      <c r="CY175">
        <f t="shared" si="58"/>
        <v>51129.68</v>
      </c>
      <c r="CZ175">
        <f t="shared" si="59"/>
        <v>16180.28</v>
      </c>
      <c r="DA175">
        <f t="shared" si="60"/>
        <v>3.16</v>
      </c>
      <c r="DB175">
        <f>ROUND((ROUND(AT175*CZ175,2)*1),6)</f>
        <v>11</v>
      </c>
      <c r="DC175">
        <f>ROUND((ROUND(AT175*AG175,2)*1),6)</f>
        <v>0</v>
      </c>
      <c r="DD175" t="s">
        <v>3</v>
      </c>
      <c r="DE175" t="s">
        <v>3</v>
      </c>
      <c r="DF175">
        <f t="shared" si="61"/>
        <v>69.540000000000006</v>
      </c>
      <c r="DG175">
        <f t="shared" si="62"/>
        <v>0</v>
      </c>
      <c r="DH175">
        <f t="shared" si="63"/>
        <v>0</v>
      </c>
      <c r="DI175">
        <f t="shared" si="49"/>
        <v>0</v>
      </c>
      <c r="DJ175">
        <f t="shared" si="64"/>
        <v>69.540000000000006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ROW(Source!A239)</f>
        <v>239</v>
      </c>
      <c r="B176">
        <v>55919549</v>
      </c>
      <c r="C176">
        <v>55928119</v>
      </c>
      <c r="D176">
        <v>55459815</v>
      </c>
      <c r="E176">
        <v>1</v>
      </c>
      <c r="F176">
        <v>1</v>
      </c>
      <c r="G176">
        <v>1081</v>
      </c>
      <c r="H176">
        <v>3</v>
      </c>
      <c r="I176" t="s">
        <v>322</v>
      </c>
      <c r="J176" t="s">
        <v>323</v>
      </c>
      <c r="K176" t="s">
        <v>324</v>
      </c>
      <c r="L176">
        <v>1348</v>
      </c>
      <c r="N176">
        <v>1009</v>
      </c>
      <c r="O176" t="s">
        <v>284</v>
      </c>
      <c r="P176" t="s">
        <v>284</v>
      </c>
      <c r="Q176">
        <v>1000</v>
      </c>
      <c r="W176">
        <v>0</v>
      </c>
      <c r="X176">
        <v>-557692701</v>
      </c>
      <c r="Y176">
        <f>(AT176*1)</f>
        <v>2.0999999999999999E-3</v>
      </c>
      <c r="AA176">
        <v>72799.61</v>
      </c>
      <c r="AB176">
        <v>0</v>
      </c>
      <c r="AC176">
        <v>0</v>
      </c>
      <c r="AD176">
        <v>0</v>
      </c>
      <c r="AE176">
        <v>7973.67</v>
      </c>
      <c r="AF176">
        <v>0</v>
      </c>
      <c r="AG176">
        <v>0</v>
      </c>
      <c r="AH176">
        <v>0</v>
      </c>
      <c r="AI176">
        <v>9.1300000000000008</v>
      </c>
      <c r="AJ176">
        <v>1</v>
      </c>
      <c r="AK176">
        <v>1</v>
      </c>
      <c r="AL176">
        <v>1</v>
      </c>
      <c r="AM176">
        <v>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2.0999999999999999E-3</v>
      </c>
      <c r="AU176" t="s">
        <v>56</v>
      </c>
      <c r="AV176">
        <v>0</v>
      </c>
      <c r="AW176">
        <v>2</v>
      </c>
      <c r="AX176">
        <v>55928152</v>
      </c>
      <c r="AY176">
        <v>1</v>
      </c>
      <c r="AZ176">
        <v>0</v>
      </c>
      <c r="BA176">
        <v>196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ROUND(Y176*Source!I239,9)</f>
        <v>4.1999999999999997E-3</v>
      </c>
      <c r="CY176">
        <f t="shared" si="58"/>
        <v>72799.61</v>
      </c>
      <c r="CZ176">
        <f t="shared" si="59"/>
        <v>7973.67</v>
      </c>
      <c r="DA176">
        <f t="shared" si="60"/>
        <v>9.1300000000000008</v>
      </c>
      <c r="DB176">
        <f>ROUND((ROUND(AT176*CZ176,2)*1),6)</f>
        <v>16.739999999999998</v>
      </c>
      <c r="DC176">
        <f>ROUND((ROUND(AT176*AG176,2)*1),6)</f>
        <v>0</v>
      </c>
      <c r="DD176" t="s">
        <v>3</v>
      </c>
      <c r="DE176" t="s">
        <v>3</v>
      </c>
      <c r="DF176">
        <f t="shared" si="61"/>
        <v>305.76</v>
      </c>
      <c r="DG176">
        <f t="shared" si="62"/>
        <v>0</v>
      </c>
      <c r="DH176">
        <f t="shared" si="63"/>
        <v>0</v>
      </c>
      <c r="DI176">
        <f t="shared" si="49"/>
        <v>0</v>
      </c>
      <c r="DJ176">
        <f t="shared" si="64"/>
        <v>305.76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ROW(Source!A239)</f>
        <v>239</v>
      </c>
      <c r="B177">
        <v>55919549</v>
      </c>
      <c r="C177">
        <v>55928119</v>
      </c>
      <c r="D177">
        <v>55477471</v>
      </c>
      <c r="E177">
        <v>1</v>
      </c>
      <c r="F177">
        <v>1</v>
      </c>
      <c r="G177">
        <v>1081</v>
      </c>
      <c r="H177">
        <v>3</v>
      </c>
      <c r="I177" t="s">
        <v>251</v>
      </c>
      <c r="J177" t="s">
        <v>253</v>
      </c>
      <c r="K177" t="s">
        <v>252</v>
      </c>
      <c r="L177">
        <v>1354</v>
      </c>
      <c r="N177">
        <v>1010</v>
      </c>
      <c r="O177" t="s">
        <v>156</v>
      </c>
      <c r="P177" t="s">
        <v>156</v>
      </c>
      <c r="Q177">
        <v>1</v>
      </c>
      <c r="W177">
        <v>0</v>
      </c>
      <c r="X177">
        <v>-1151203687</v>
      </c>
      <c r="Y177">
        <f>AT177</f>
        <v>9.5</v>
      </c>
      <c r="AA177">
        <v>58.67</v>
      </c>
      <c r="AB177">
        <v>0</v>
      </c>
      <c r="AC177">
        <v>0</v>
      </c>
      <c r="AD177">
        <v>0</v>
      </c>
      <c r="AE177">
        <v>15.9</v>
      </c>
      <c r="AF177">
        <v>0</v>
      </c>
      <c r="AG177">
        <v>0</v>
      </c>
      <c r="AH177">
        <v>0</v>
      </c>
      <c r="AI177">
        <v>3.69</v>
      </c>
      <c r="AJ177">
        <v>1</v>
      </c>
      <c r="AK177">
        <v>1</v>
      </c>
      <c r="AL177">
        <v>1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  <c r="AS177" t="s">
        <v>3</v>
      </c>
      <c r="AT177">
        <v>9.5</v>
      </c>
      <c r="AU177" t="s">
        <v>3</v>
      </c>
      <c r="AV177">
        <v>0</v>
      </c>
      <c r="AW177">
        <v>1</v>
      </c>
      <c r="AX177">
        <v>-1</v>
      </c>
      <c r="AY177">
        <v>0</v>
      </c>
      <c r="AZ177">
        <v>0</v>
      </c>
      <c r="BA177" t="s">
        <v>3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ROUND(Y177*Source!I239,9)</f>
        <v>19</v>
      </c>
      <c r="CY177">
        <f t="shared" si="58"/>
        <v>58.67</v>
      </c>
      <c r="CZ177">
        <f t="shared" si="59"/>
        <v>15.9</v>
      </c>
      <c r="DA177">
        <f t="shared" si="60"/>
        <v>3.69</v>
      </c>
      <c r="DB177">
        <f>ROUND(ROUND(AT177*CZ177,2),6)</f>
        <v>151.05000000000001</v>
      </c>
      <c r="DC177">
        <f>ROUND(ROUND(AT177*AG177,2),6)</f>
        <v>0</v>
      </c>
      <c r="DD177" t="s">
        <v>3</v>
      </c>
      <c r="DE177" t="s">
        <v>3</v>
      </c>
      <c r="DF177">
        <f t="shared" si="61"/>
        <v>1114.73</v>
      </c>
      <c r="DG177">
        <f t="shared" si="62"/>
        <v>0</v>
      </c>
      <c r="DH177">
        <f t="shared" si="63"/>
        <v>0</v>
      </c>
      <c r="DI177">
        <f t="shared" si="49"/>
        <v>0</v>
      </c>
      <c r="DJ177">
        <f t="shared" si="64"/>
        <v>1114.73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ROW(Source!A239)</f>
        <v>239</v>
      </c>
      <c r="B178">
        <v>55919549</v>
      </c>
      <c r="C178">
        <v>55928119</v>
      </c>
      <c r="D178">
        <v>55477490</v>
      </c>
      <c r="E178">
        <v>1</v>
      </c>
      <c r="F178">
        <v>1</v>
      </c>
      <c r="G178">
        <v>1081</v>
      </c>
      <c r="H178">
        <v>3</v>
      </c>
      <c r="I178" t="s">
        <v>247</v>
      </c>
      <c r="J178" t="s">
        <v>249</v>
      </c>
      <c r="K178" t="s">
        <v>248</v>
      </c>
      <c r="L178">
        <v>1354</v>
      </c>
      <c r="N178">
        <v>1010</v>
      </c>
      <c r="O178" t="s">
        <v>156</v>
      </c>
      <c r="P178" t="s">
        <v>156</v>
      </c>
      <c r="Q178">
        <v>1</v>
      </c>
      <c r="W178">
        <v>0</v>
      </c>
      <c r="X178">
        <v>1350097796</v>
      </c>
      <c r="Y178">
        <f>AT178</f>
        <v>3</v>
      </c>
      <c r="AA178">
        <v>24.99</v>
      </c>
      <c r="AB178">
        <v>0</v>
      </c>
      <c r="AC178">
        <v>0</v>
      </c>
      <c r="AD178">
        <v>0</v>
      </c>
      <c r="AE178">
        <v>9.1199999999999992</v>
      </c>
      <c r="AF178">
        <v>0</v>
      </c>
      <c r="AG178">
        <v>0</v>
      </c>
      <c r="AH178">
        <v>0</v>
      </c>
      <c r="AI178">
        <v>2.74</v>
      </c>
      <c r="AJ178">
        <v>1</v>
      </c>
      <c r="AK178">
        <v>1</v>
      </c>
      <c r="AL178">
        <v>1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 t="s">
        <v>3</v>
      </c>
      <c r="AT178">
        <v>3</v>
      </c>
      <c r="AU178" t="s">
        <v>3</v>
      </c>
      <c r="AV178">
        <v>0</v>
      </c>
      <c r="AW178">
        <v>1</v>
      </c>
      <c r="AX178">
        <v>-1</v>
      </c>
      <c r="AY178">
        <v>0</v>
      </c>
      <c r="AZ178">
        <v>0</v>
      </c>
      <c r="BA178" t="s">
        <v>3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ROUND(Y178*Source!I239,9)</f>
        <v>6</v>
      </c>
      <c r="CY178">
        <f t="shared" si="58"/>
        <v>24.99</v>
      </c>
      <c r="CZ178">
        <f t="shared" si="59"/>
        <v>9.1199999999999992</v>
      </c>
      <c r="DA178">
        <f t="shared" si="60"/>
        <v>2.74</v>
      </c>
      <c r="DB178">
        <f>ROUND(ROUND(AT178*CZ178,2),6)</f>
        <v>27.36</v>
      </c>
      <c r="DC178">
        <f>ROUND(ROUND(AT178*AG178,2),6)</f>
        <v>0</v>
      </c>
      <c r="DD178" t="s">
        <v>3</v>
      </c>
      <c r="DE178" t="s">
        <v>3</v>
      </c>
      <c r="DF178">
        <f t="shared" si="61"/>
        <v>149.94</v>
      </c>
      <c r="DG178">
        <f t="shared" si="62"/>
        <v>0</v>
      </c>
      <c r="DH178">
        <f t="shared" si="63"/>
        <v>0</v>
      </c>
      <c r="DI178">
        <f t="shared" si="49"/>
        <v>0</v>
      </c>
      <c r="DJ178">
        <f t="shared" si="64"/>
        <v>149.94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ROW(Source!A239)</f>
        <v>239</v>
      </c>
      <c r="B179">
        <v>55919549</v>
      </c>
      <c r="C179">
        <v>55928119</v>
      </c>
      <c r="D179">
        <v>55477491</v>
      </c>
      <c r="E179">
        <v>1</v>
      </c>
      <c r="F179">
        <v>1</v>
      </c>
      <c r="G179">
        <v>1081</v>
      </c>
      <c r="H179">
        <v>3</v>
      </c>
      <c r="I179" t="s">
        <v>243</v>
      </c>
      <c r="J179" t="s">
        <v>245</v>
      </c>
      <c r="K179" t="s">
        <v>244</v>
      </c>
      <c r="L179">
        <v>1354</v>
      </c>
      <c r="N179">
        <v>1010</v>
      </c>
      <c r="O179" t="s">
        <v>156</v>
      </c>
      <c r="P179" t="s">
        <v>156</v>
      </c>
      <c r="Q179">
        <v>1</v>
      </c>
      <c r="W179">
        <v>0</v>
      </c>
      <c r="X179">
        <v>907770592</v>
      </c>
      <c r="Y179">
        <f>AT179</f>
        <v>9</v>
      </c>
      <c r="AA179">
        <v>176.77</v>
      </c>
      <c r="AB179">
        <v>0</v>
      </c>
      <c r="AC179">
        <v>0</v>
      </c>
      <c r="AD179">
        <v>0</v>
      </c>
      <c r="AE179">
        <v>30.69</v>
      </c>
      <c r="AF179">
        <v>0</v>
      </c>
      <c r="AG179">
        <v>0</v>
      </c>
      <c r="AH179">
        <v>0</v>
      </c>
      <c r="AI179">
        <v>5.76</v>
      </c>
      <c r="AJ179">
        <v>1</v>
      </c>
      <c r="AK179">
        <v>1</v>
      </c>
      <c r="AL179">
        <v>1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0</v>
      </c>
      <c r="AS179" t="s">
        <v>3</v>
      </c>
      <c r="AT179">
        <v>9</v>
      </c>
      <c r="AU179" t="s">
        <v>3</v>
      </c>
      <c r="AV179">
        <v>0</v>
      </c>
      <c r="AW179">
        <v>1</v>
      </c>
      <c r="AX179">
        <v>-1</v>
      </c>
      <c r="AY179">
        <v>0</v>
      </c>
      <c r="AZ179">
        <v>0</v>
      </c>
      <c r="BA179" t="s">
        <v>3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ROUND(Y179*Source!I239,9)</f>
        <v>18</v>
      </c>
      <c r="CY179">
        <f t="shared" si="58"/>
        <v>176.77</v>
      </c>
      <c r="CZ179">
        <f t="shared" si="59"/>
        <v>30.69</v>
      </c>
      <c r="DA179">
        <f t="shared" si="60"/>
        <v>5.76</v>
      </c>
      <c r="DB179">
        <f>ROUND(ROUND(AT179*CZ179,2),6)</f>
        <v>276.20999999999998</v>
      </c>
      <c r="DC179">
        <f>ROUND(ROUND(AT179*AG179,2),6)</f>
        <v>0</v>
      </c>
      <c r="DD179" t="s">
        <v>3</v>
      </c>
      <c r="DE179" t="s">
        <v>3</v>
      </c>
      <c r="DF179">
        <f t="shared" si="61"/>
        <v>3181.86</v>
      </c>
      <c r="DG179">
        <f t="shared" si="62"/>
        <v>0</v>
      </c>
      <c r="DH179">
        <f t="shared" si="63"/>
        <v>0</v>
      </c>
      <c r="DI179">
        <f t="shared" si="49"/>
        <v>0</v>
      </c>
      <c r="DJ179">
        <f t="shared" si="64"/>
        <v>3181.86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ROW(Source!A239)</f>
        <v>239</v>
      </c>
      <c r="B180">
        <v>55919549</v>
      </c>
      <c r="C180">
        <v>55928119</v>
      </c>
      <c r="D180">
        <v>55482161</v>
      </c>
      <c r="E180">
        <v>1</v>
      </c>
      <c r="F180">
        <v>1</v>
      </c>
      <c r="G180">
        <v>1081</v>
      </c>
      <c r="H180">
        <v>3</v>
      </c>
      <c r="I180" t="s">
        <v>239</v>
      </c>
      <c r="J180" t="s">
        <v>241</v>
      </c>
      <c r="K180" t="s">
        <v>240</v>
      </c>
      <c r="L180">
        <v>1355</v>
      </c>
      <c r="N180">
        <v>1010</v>
      </c>
      <c r="O180" t="s">
        <v>54</v>
      </c>
      <c r="P180" t="s">
        <v>54</v>
      </c>
      <c r="Q180">
        <v>100</v>
      </c>
      <c r="W180">
        <v>0</v>
      </c>
      <c r="X180">
        <v>289520784</v>
      </c>
      <c r="Y180">
        <f>AT180</f>
        <v>200</v>
      </c>
      <c r="AA180">
        <v>255.59</v>
      </c>
      <c r="AB180">
        <v>0</v>
      </c>
      <c r="AC180">
        <v>0</v>
      </c>
      <c r="AD180">
        <v>0</v>
      </c>
      <c r="AE180">
        <v>146.88999999999999</v>
      </c>
      <c r="AF180">
        <v>0</v>
      </c>
      <c r="AG180">
        <v>0</v>
      </c>
      <c r="AH180">
        <v>0</v>
      </c>
      <c r="AI180">
        <v>1.74</v>
      </c>
      <c r="AJ180">
        <v>1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 t="s">
        <v>3</v>
      </c>
      <c r="AT180">
        <v>200</v>
      </c>
      <c r="AU180" t="s">
        <v>3</v>
      </c>
      <c r="AV180">
        <v>0</v>
      </c>
      <c r="AW180">
        <v>1</v>
      </c>
      <c r="AX180">
        <v>-1</v>
      </c>
      <c r="AY180">
        <v>0</v>
      </c>
      <c r="AZ180">
        <v>0</v>
      </c>
      <c r="BA180" t="s">
        <v>3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ROUND(Y180*Source!I239,9)</f>
        <v>400</v>
      </c>
      <c r="CY180">
        <f t="shared" si="58"/>
        <v>255.59</v>
      </c>
      <c r="CZ180">
        <f t="shared" si="59"/>
        <v>146.88999999999999</v>
      </c>
      <c r="DA180">
        <f t="shared" si="60"/>
        <v>1.74</v>
      </c>
      <c r="DB180">
        <f>ROUND(ROUND(AT180*CZ180,2),6)</f>
        <v>29378</v>
      </c>
      <c r="DC180">
        <f>ROUND(ROUND(AT180*AG180,2),6)</f>
        <v>0</v>
      </c>
      <c r="DD180" t="s">
        <v>3</v>
      </c>
      <c r="DE180" t="s">
        <v>3</v>
      </c>
      <c r="DF180">
        <f t="shared" si="61"/>
        <v>102236</v>
      </c>
      <c r="DG180">
        <f t="shared" si="62"/>
        <v>0</v>
      </c>
      <c r="DH180">
        <f t="shared" si="63"/>
        <v>0</v>
      </c>
      <c r="DI180">
        <f t="shared" si="49"/>
        <v>0</v>
      </c>
      <c r="DJ180">
        <f t="shared" si="64"/>
        <v>102236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">
      <c r="A181">
        <f>ROW(Source!A239)</f>
        <v>239</v>
      </c>
      <c r="B181">
        <v>55919549</v>
      </c>
      <c r="C181">
        <v>55928119</v>
      </c>
      <c r="D181">
        <v>55482523</v>
      </c>
      <c r="E181">
        <v>1</v>
      </c>
      <c r="F181">
        <v>1</v>
      </c>
      <c r="G181">
        <v>1081</v>
      </c>
      <c r="H181">
        <v>3</v>
      </c>
      <c r="I181" t="s">
        <v>374</v>
      </c>
      <c r="J181" t="s">
        <v>375</v>
      </c>
      <c r="K181" t="s">
        <v>376</v>
      </c>
      <c r="L181">
        <v>1358</v>
      </c>
      <c r="N181">
        <v>1010</v>
      </c>
      <c r="O181" t="s">
        <v>377</v>
      </c>
      <c r="P181" t="s">
        <v>377</v>
      </c>
      <c r="Q181">
        <v>10</v>
      </c>
      <c r="W181">
        <v>0</v>
      </c>
      <c r="X181">
        <v>-101314250</v>
      </c>
      <c r="Y181">
        <f>(AT181*1)</f>
        <v>1.02</v>
      </c>
      <c r="AA181">
        <v>43.35</v>
      </c>
      <c r="AB181">
        <v>0</v>
      </c>
      <c r="AC181">
        <v>0</v>
      </c>
      <c r="AD181">
        <v>0</v>
      </c>
      <c r="AE181">
        <v>5.46</v>
      </c>
      <c r="AF181">
        <v>0</v>
      </c>
      <c r="AG181">
        <v>0</v>
      </c>
      <c r="AH181">
        <v>0</v>
      </c>
      <c r="AI181">
        <v>7.94</v>
      </c>
      <c r="AJ181">
        <v>1</v>
      </c>
      <c r="AK181">
        <v>1</v>
      </c>
      <c r="AL181">
        <v>1</v>
      </c>
      <c r="AM181">
        <v>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1.02</v>
      </c>
      <c r="AU181" t="s">
        <v>56</v>
      </c>
      <c r="AV181">
        <v>0</v>
      </c>
      <c r="AW181">
        <v>2</v>
      </c>
      <c r="AX181">
        <v>55928153</v>
      </c>
      <c r="AY181">
        <v>1</v>
      </c>
      <c r="AZ181">
        <v>0</v>
      </c>
      <c r="BA181">
        <v>197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ROUND(Y181*Source!I239,9)</f>
        <v>2.04</v>
      </c>
      <c r="CY181">
        <f t="shared" si="58"/>
        <v>43.35</v>
      </c>
      <c r="CZ181">
        <f t="shared" si="59"/>
        <v>5.46</v>
      </c>
      <c r="DA181">
        <f t="shared" si="60"/>
        <v>7.94</v>
      </c>
      <c r="DB181">
        <f>ROUND((ROUND(AT181*CZ181,2)*1),6)</f>
        <v>5.57</v>
      </c>
      <c r="DC181">
        <f>ROUND((ROUND(AT181*AG181,2)*1),6)</f>
        <v>0</v>
      </c>
      <c r="DD181" t="s">
        <v>3</v>
      </c>
      <c r="DE181" t="s">
        <v>3</v>
      </c>
      <c r="DF181">
        <f t="shared" si="61"/>
        <v>88.43</v>
      </c>
      <c r="DG181">
        <f t="shared" si="62"/>
        <v>0</v>
      </c>
      <c r="DH181">
        <f t="shared" si="63"/>
        <v>0</v>
      </c>
      <c r="DI181">
        <f t="shared" si="49"/>
        <v>0</v>
      </c>
      <c r="DJ181">
        <f t="shared" si="64"/>
        <v>88.43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ROW(Source!A239)</f>
        <v>239</v>
      </c>
      <c r="B182">
        <v>55919549</v>
      </c>
      <c r="C182">
        <v>55928119</v>
      </c>
      <c r="D182">
        <v>55482617</v>
      </c>
      <c r="E182">
        <v>1</v>
      </c>
      <c r="F182">
        <v>1</v>
      </c>
      <c r="G182">
        <v>1081</v>
      </c>
      <c r="H182">
        <v>3</v>
      </c>
      <c r="I182" t="s">
        <v>325</v>
      </c>
      <c r="J182" t="s">
        <v>326</v>
      </c>
      <c r="K182" t="s">
        <v>327</v>
      </c>
      <c r="L182">
        <v>1354</v>
      </c>
      <c r="N182">
        <v>1010</v>
      </c>
      <c r="O182" t="s">
        <v>156</v>
      </c>
      <c r="P182" t="s">
        <v>156</v>
      </c>
      <c r="Q182">
        <v>1</v>
      </c>
      <c r="W182">
        <v>0</v>
      </c>
      <c r="X182">
        <v>-1189947653</v>
      </c>
      <c r="Y182">
        <f>(AT182*1)</f>
        <v>8</v>
      </c>
      <c r="AA182">
        <v>123.97</v>
      </c>
      <c r="AB182">
        <v>0</v>
      </c>
      <c r="AC182">
        <v>0</v>
      </c>
      <c r="AD182">
        <v>0</v>
      </c>
      <c r="AE182">
        <v>14.99</v>
      </c>
      <c r="AF182">
        <v>0</v>
      </c>
      <c r="AG182">
        <v>0</v>
      </c>
      <c r="AH182">
        <v>0</v>
      </c>
      <c r="AI182">
        <v>8.27</v>
      </c>
      <c r="AJ182">
        <v>1</v>
      </c>
      <c r="AK182">
        <v>1</v>
      </c>
      <c r="AL182">
        <v>1</v>
      </c>
      <c r="AM182">
        <v>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8</v>
      </c>
      <c r="AU182" t="s">
        <v>56</v>
      </c>
      <c r="AV182">
        <v>0</v>
      </c>
      <c r="AW182">
        <v>2</v>
      </c>
      <c r="AX182">
        <v>55928154</v>
      </c>
      <c r="AY182">
        <v>1</v>
      </c>
      <c r="AZ182">
        <v>0</v>
      </c>
      <c r="BA182">
        <v>198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ROUND(Y182*Source!I239,9)</f>
        <v>16</v>
      </c>
      <c r="CY182">
        <f t="shared" si="58"/>
        <v>123.97</v>
      </c>
      <c r="CZ182">
        <f t="shared" si="59"/>
        <v>14.99</v>
      </c>
      <c r="DA182">
        <f t="shared" si="60"/>
        <v>8.27</v>
      </c>
      <c r="DB182">
        <f>ROUND((ROUND(AT182*CZ182,2)*1),6)</f>
        <v>119.92</v>
      </c>
      <c r="DC182">
        <f>ROUND((ROUND(AT182*AG182,2)*1),6)</f>
        <v>0</v>
      </c>
      <c r="DD182" t="s">
        <v>3</v>
      </c>
      <c r="DE182" t="s">
        <v>3</v>
      </c>
      <c r="DF182">
        <f t="shared" si="61"/>
        <v>1983.52</v>
      </c>
      <c r="DG182">
        <f t="shared" si="62"/>
        <v>0</v>
      </c>
      <c r="DH182">
        <f t="shared" si="63"/>
        <v>0</v>
      </c>
      <c r="DI182">
        <f t="shared" si="49"/>
        <v>0</v>
      </c>
      <c r="DJ182">
        <f t="shared" si="64"/>
        <v>1983.52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ROW(Source!A239)</f>
        <v>239</v>
      </c>
      <c r="B183">
        <v>55919549</v>
      </c>
      <c r="C183">
        <v>55928119</v>
      </c>
      <c r="D183">
        <v>55481932</v>
      </c>
      <c r="E183">
        <v>1</v>
      </c>
      <c r="F183">
        <v>1</v>
      </c>
      <c r="G183">
        <v>1081</v>
      </c>
      <c r="H183">
        <v>3</v>
      </c>
      <c r="I183" t="s">
        <v>378</v>
      </c>
      <c r="J183" t="s">
        <v>379</v>
      </c>
      <c r="K183" t="s">
        <v>380</v>
      </c>
      <c r="L183">
        <v>1356</v>
      </c>
      <c r="N183">
        <v>1010</v>
      </c>
      <c r="O183" t="s">
        <v>331</v>
      </c>
      <c r="P183" t="s">
        <v>331</v>
      </c>
      <c r="Q183">
        <v>1000</v>
      </c>
      <c r="W183">
        <v>0</v>
      </c>
      <c r="X183">
        <v>1938675882</v>
      </c>
      <c r="Y183">
        <f>(AT183*1)</f>
        <v>4.1000000000000002E-2</v>
      </c>
      <c r="AA183">
        <v>2336.6</v>
      </c>
      <c r="AB183">
        <v>0</v>
      </c>
      <c r="AC183">
        <v>0</v>
      </c>
      <c r="AD183">
        <v>0</v>
      </c>
      <c r="AE183">
        <v>919.92</v>
      </c>
      <c r="AF183">
        <v>0</v>
      </c>
      <c r="AG183">
        <v>0</v>
      </c>
      <c r="AH183">
        <v>0</v>
      </c>
      <c r="AI183">
        <v>2.54</v>
      </c>
      <c r="AJ183">
        <v>1</v>
      </c>
      <c r="AK183">
        <v>1</v>
      </c>
      <c r="AL183">
        <v>1</v>
      </c>
      <c r="AM183">
        <v>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4.1000000000000002E-2</v>
      </c>
      <c r="AU183" t="s">
        <v>56</v>
      </c>
      <c r="AV183">
        <v>0</v>
      </c>
      <c r="AW183">
        <v>2</v>
      </c>
      <c r="AX183">
        <v>55928155</v>
      </c>
      <c r="AY183">
        <v>1</v>
      </c>
      <c r="AZ183">
        <v>0</v>
      </c>
      <c r="BA183">
        <v>199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v>0</v>
      </c>
      <c r="CX183">
        <f>ROUND(Y183*Source!I239,9)</f>
        <v>8.2000000000000003E-2</v>
      </c>
      <c r="CY183">
        <f t="shared" si="58"/>
        <v>2336.6</v>
      </c>
      <c r="CZ183">
        <f t="shared" si="59"/>
        <v>919.92</v>
      </c>
      <c r="DA183">
        <f t="shared" si="60"/>
        <v>2.54</v>
      </c>
      <c r="DB183">
        <f>ROUND((ROUND(AT183*CZ183,2)*1),6)</f>
        <v>37.72</v>
      </c>
      <c r="DC183">
        <f>ROUND((ROUND(AT183*AG183,2)*1),6)</f>
        <v>0</v>
      </c>
      <c r="DD183" t="s">
        <v>3</v>
      </c>
      <c r="DE183" t="s">
        <v>3</v>
      </c>
      <c r="DF183">
        <f t="shared" si="61"/>
        <v>191.6</v>
      </c>
      <c r="DG183">
        <f t="shared" si="62"/>
        <v>0</v>
      </c>
      <c r="DH183">
        <f t="shared" si="63"/>
        <v>0</v>
      </c>
      <c r="DI183">
        <f t="shared" si="49"/>
        <v>0</v>
      </c>
      <c r="DJ183">
        <f t="shared" si="64"/>
        <v>191.6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ROW(Source!A239)</f>
        <v>239</v>
      </c>
      <c r="B184">
        <v>55919549</v>
      </c>
      <c r="C184">
        <v>55928119</v>
      </c>
      <c r="D184">
        <v>0</v>
      </c>
      <c r="E184">
        <v>0</v>
      </c>
      <c r="F184">
        <v>1</v>
      </c>
      <c r="G184">
        <v>1081</v>
      </c>
      <c r="H184">
        <v>3</v>
      </c>
      <c r="I184" t="s">
        <v>381</v>
      </c>
      <c r="J184" t="s">
        <v>381</v>
      </c>
      <c r="K184" t="s">
        <v>236</v>
      </c>
      <c r="L184">
        <v>1301</v>
      </c>
      <c r="N184">
        <v>1003</v>
      </c>
      <c r="O184" t="s">
        <v>206</v>
      </c>
      <c r="P184" t="s">
        <v>206</v>
      </c>
      <c r="Q184">
        <v>1</v>
      </c>
      <c r="W184">
        <v>0</v>
      </c>
      <c r="X184">
        <v>-1759619333</v>
      </c>
      <c r="Y184">
        <f>(AT184*1)</f>
        <v>103</v>
      </c>
      <c r="AA184">
        <v>111.51</v>
      </c>
      <c r="AB184">
        <v>0</v>
      </c>
      <c r="AC184">
        <v>0</v>
      </c>
      <c r="AD184">
        <v>0</v>
      </c>
      <c r="AE184">
        <v>14.729999999999999</v>
      </c>
      <c r="AF184">
        <v>0</v>
      </c>
      <c r="AG184">
        <v>0</v>
      </c>
      <c r="AH184">
        <v>0</v>
      </c>
      <c r="AI184">
        <v>7.57</v>
      </c>
      <c r="AJ184">
        <v>1</v>
      </c>
      <c r="AK184">
        <v>1</v>
      </c>
      <c r="AL184">
        <v>1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 t="s">
        <v>3</v>
      </c>
      <c r="AT184">
        <v>103</v>
      </c>
      <c r="AU184" t="s">
        <v>56</v>
      </c>
      <c r="AV184">
        <v>0</v>
      </c>
      <c r="AW184">
        <v>1</v>
      </c>
      <c r="AX184">
        <v>-1</v>
      </c>
      <c r="AY184">
        <v>0</v>
      </c>
      <c r="AZ184">
        <v>0</v>
      </c>
      <c r="BA184" t="s">
        <v>3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ROUND(Y184*Source!I239,9)</f>
        <v>206</v>
      </c>
      <c r="CY184">
        <f t="shared" si="58"/>
        <v>111.51</v>
      </c>
      <c r="CZ184">
        <f t="shared" si="59"/>
        <v>14.729999999999999</v>
      </c>
      <c r="DA184">
        <f t="shared" si="60"/>
        <v>7.57</v>
      </c>
      <c r="DB184">
        <f>ROUND((ROUND(AT184*CZ184,2)*1),6)</f>
        <v>1517.19</v>
      </c>
      <c r="DC184">
        <f>ROUND((ROUND(AT184*AG184,2)*1),6)</f>
        <v>0</v>
      </c>
      <c r="DD184" t="s">
        <v>3</v>
      </c>
      <c r="DE184" t="s">
        <v>3</v>
      </c>
      <c r="DF184">
        <f t="shared" si="61"/>
        <v>22971.06</v>
      </c>
      <c r="DG184">
        <f t="shared" si="62"/>
        <v>0</v>
      </c>
      <c r="DH184">
        <f t="shared" si="63"/>
        <v>0</v>
      </c>
      <c r="DI184">
        <f t="shared" si="49"/>
        <v>0</v>
      </c>
      <c r="DJ184">
        <f t="shared" si="64"/>
        <v>22971.06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ROW(Source!A250)</f>
        <v>250</v>
      </c>
      <c r="B185">
        <v>55919547</v>
      </c>
      <c r="C185">
        <v>55928166</v>
      </c>
      <c r="D185">
        <v>55424304</v>
      </c>
      <c r="E185">
        <v>1081</v>
      </c>
      <c r="F185">
        <v>1</v>
      </c>
      <c r="G185">
        <v>1081</v>
      </c>
      <c r="H185">
        <v>1</v>
      </c>
      <c r="I185" t="s">
        <v>278</v>
      </c>
      <c r="J185" t="s">
        <v>3</v>
      </c>
      <c r="K185" t="s">
        <v>279</v>
      </c>
      <c r="L185">
        <v>1191</v>
      </c>
      <c r="N185">
        <v>1013</v>
      </c>
      <c r="O185" t="s">
        <v>280</v>
      </c>
      <c r="P185" t="s">
        <v>280</v>
      </c>
      <c r="Q185">
        <v>1</v>
      </c>
      <c r="W185">
        <v>0</v>
      </c>
      <c r="X185">
        <v>476480486</v>
      </c>
      <c r="Y185">
        <f>(AT185*1.2)</f>
        <v>35.879999999999995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-2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29.9</v>
      </c>
      <c r="AU185" t="s">
        <v>57</v>
      </c>
      <c r="AV185">
        <v>1</v>
      </c>
      <c r="AW185">
        <v>2</v>
      </c>
      <c r="AX185">
        <v>55928167</v>
      </c>
      <c r="AY185">
        <v>1</v>
      </c>
      <c r="AZ185">
        <v>0</v>
      </c>
      <c r="BA185">
        <v>205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U185">
        <f>ROUND(AT185*Source!I250*AH185*AL185,2)</f>
        <v>0</v>
      </c>
      <c r="CV185">
        <f>ROUND(Y185*Source!I250,9)</f>
        <v>3.5880000000000001</v>
      </c>
      <c r="CW185">
        <v>0</v>
      </c>
      <c r="CX185">
        <f>ROUND(Y185*Source!I250,9)</f>
        <v>3.5880000000000001</v>
      </c>
      <c r="CY185">
        <f>AD185</f>
        <v>0</v>
      </c>
      <c r="CZ185">
        <f>AH185</f>
        <v>0</v>
      </c>
      <c r="DA185">
        <f>AL185</f>
        <v>1</v>
      </c>
      <c r="DB185">
        <f>ROUND((ROUND(AT185*CZ185,2)*1.2),6)</f>
        <v>0</v>
      </c>
      <c r="DC185">
        <f>ROUND((ROUND(AT185*AG185,2)*1.2),6)</f>
        <v>0</v>
      </c>
      <c r="DD185" t="s">
        <v>3</v>
      </c>
      <c r="DE185" t="s">
        <v>3</v>
      </c>
      <c r="DF185">
        <f t="shared" ref="DF185:DF200" si="65">ROUND(ROUND(AE185,2)*CX185,2)</f>
        <v>0</v>
      </c>
      <c r="DG185">
        <f t="shared" si="62"/>
        <v>0</v>
      </c>
      <c r="DH185">
        <f t="shared" si="63"/>
        <v>0</v>
      </c>
      <c r="DI185">
        <f t="shared" si="49"/>
        <v>0</v>
      </c>
      <c r="DJ185">
        <f>DI185</f>
        <v>0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ROW(Source!A250)</f>
        <v>250</v>
      </c>
      <c r="B186">
        <v>55919547</v>
      </c>
      <c r="C186">
        <v>55928166</v>
      </c>
      <c r="D186">
        <v>55489910</v>
      </c>
      <c r="E186">
        <v>1</v>
      </c>
      <c r="F186">
        <v>1</v>
      </c>
      <c r="G186">
        <v>1081</v>
      </c>
      <c r="H186">
        <v>2</v>
      </c>
      <c r="I186" t="s">
        <v>293</v>
      </c>
      <c r="J186" t="s">
        <v>294</v>
      </c>
      <c r="K186" t="s">
        <v>295</v>
      </c>
      <c r="L186">
        <v>1368</v>
      </c>
      <c r="N186">
        <v>1011</v>
      </c>
      <c r="O186" t="s">
        <v>291</v>
      </c>
      <c r="P186" t="s">
        <v>291</v>
      </c>
      <c r="Q186">
        <v>1</v>
      </c>
      <c r="W186">
        <v>0</v>
      </c>
      <c r="X186">
        <v>1498588441</v>
      </c>
      <c r="Y186">
        <f>(AT186*1.2)</f>
        <v>18.48</v>
      </c>
      <c r="AA186">
        <v>0</v>
      </c>
      <c r="AB186">
        <v>7.44</v>
      </c>
      <c r="AC186">
        <v>0</v>
      </c>
      <c r="AD186">
        <v>0</v>
      </c>
      <c r="AE186">
        <v>0</v>
      </c>
      <c r="AF186">
        <v>7.11</v>
      </c>
      <c r="AG186">
        <v>0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-2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15.4</v>
      </c>
      <c r="AU186" t="s">
        <v>57</v>
      </c>
      <c r="AV186">
        <v>0</v>
      </c>
      <c r="AW186">
        <v>2</v>
      </c>
      <c r="AX186">
        <v>55928168</v>
      </c>
      <c r="AY186">
        <v>1</v>
      </c>
      <c r="AZ186">
        <v>0</v>
      </c>
      <c r="BA186">
        <v>206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f>ROUND(Y186*Source!I250*DO186,9)</f>
        <v>0</v>
      </c>
      <c r="CX186">
        <f>ROUND(Y186*Source!I250,9)</f>
        <v>1.8480000000000001</v>
      </c>
      <c r="CY186">
        <f>AB186</f>
        <v>7.44</v>
      </c>
      <c r="CZ186">
        <f>AF186</f>
        <v>7.11</v>
      </c>
      <c r="DA186">
        <f>AJ186</f>
        <v>1</v>
      </c>
      <c r="DB186">
        <f>ROUND((ROUND(AT186*CZ186,2)*1.2),6)</f>
        <v>131.38800000000001</v>
      </c>
      <c r="DC186">
        <f>ROUND((ROUND(AT186*AG186,2)*1.2),6)</f>
        <v>0</v>
      </c>
      <c r="DD186" t="s">
        <v>3</v>
      </c>
      <c r="DE186" t="s">
        <v>3</v>
      </c>
      <c r="DF186">
        <f t="shared" si="65"/>
        <v>0</v>
      </c>
      <c r="DG186">
        <f t="shared" si="62"/>
        <v>13.14</v>
      </c>
      <c r="DH186">
        <f t="shared" si="63"/>
        <v>0</v>
      </c>
      <c r="DI186">
        <f t="shared" si="49"/>
        <v>0</v>
      </c>
      <c r="DJ186">
        <f>DG186</f>
        <v>13.14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ROW(Source!A250)</f>
        <v>250</v>
      </c>
      <c r="B187">
        <v>55919547</v>
      </c>
      <c r="C187">
        <v>55928166</v>
      </c>
      <c r="D187">
        <v>55490209</v>
      </c>
      <c r="E187">
        <v>1</v>
      </c>
      <c r="F187">
        <v>1</v>
      </c>
      <c r="G187">
        <v>1081</v>
      </c>
      <c r="H187">
        <v>2</v>
      </c>
      <c r="I187" t="s">
        <v>296</v>
      </c>
      <c r="J187" t="s">
        <v>297</v>
      </c>
      <c r="K187" t="s">
        <v>298</v>
      </c>
      <c r="L187">
        <v>1368</v>
      </c>
      <c r="N187">
        <v>1011</v>
      </c>
      <c r="O187" t="s">
        <v>291</v>
      </c>
      <c r="P187" t="s">
        <v>291</v>
      </c>
      <c r="Q187">
        <v>1</v>
      </c>
      <c r="W187">
        <v>0</v>
      </c>
      <c r="X187">
        <v>874612079</v>
      </c>
      <c r="Y187">
        <f>(AT187*1.2)</f>
        <v>0.24</v>
      </c>
      <c r="AA187">
        <v>0</v>
      </c>
      <c r="AB187">
        <v>87.01</v>
      </c>
      <c r="AC187">
        <v>13.21</v>
      </c>
      <c r="AD187">
        <v>0</v>
      </c>
      <c r="AE187">
        <v>0</v>
      </c>
      <c r="AF187">
        <v>83.1</v>
      </c>
      <c r="AG187">
        <v>12.62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0.2</v>
      </c>
      <c r="AU187" t="s">
        <v>57</v>
      </c>
      <c r="AV187">
        <v>0</v>
      </c>
      <c r="AW187">
        <v>2</v>
      </c>
      <c r="AX187">
        <v>55928169</v>
      </c>
      <c r="AY187">
        <v>1</v>
      </c>
      <c r="AZ187">
        <v>0</v>
      </c>
      <c r="BA187">
        <v>207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f>ROUND(Y187*Source!I250*DO187,9)</f>
        <v>0.30287999999999998</v>
      </c>
      <c r="CX187">
        <f>ROUND(Y187*Source!I250,9)</f>
        <v>2.4E-2</v>
      </c>
      <c r="CY187">
        <f>AB187</f>
        <v>87.01</v>
      </c>
      <c r="CZ187">
        <f>AF187</f>
        <v>83.1</v>
      </c>
      <c r="DA187">
        <f>AJ187</f>
        <v>1</v>
      </c>
      <c r="DB187">
        <f>ROUND((ROUND(AT187*CZ187,2)*1.2),6)</f>
        <v>19.943999999999999</v>
      </c>
      <c r="DC187">
        <f>ROUND((ROUND(AT187*AG187,2)*1.2),6)</f>
        <v>3.024</v>
      </c>
      <c r="DD187" t="s">
        <v>3</v>
      </c>
      <c r="DE187" t="s">
        <v>3</v>
      </c>
      <c r="DF187">
        <f t="shared" si="65"/>
        <v>0</v>
      </c>
      <c r="DG187">
        <f t="shared" si="62"/>
        <v>1.99</v>
      </c>
      <c r="DH187">
        <f t="shared" si="63"/>
        <v>0.3</v>
      </c>
      <c r="DI187">
        <f t="shared" si="49"/>
        <v>0</v>
      </c>
      <c r="DJ187">
        <f>DG187</f>
        <v>1.99</v>
      </c>
      <c r="DK187">
        <v>0</v>
      </c>
      <c r="DL187" t="s">
        <v>292</v>
      </c>
      <c r="DM187">
        <v>0</v>
      </c>
      <c r="DN187" t="s">
        <v>280</v>
      </c>
      <c r="DO187">
        <v>12.62</v>
      </c>
    </row>
    <row r="188" spans="1:119" x14ac:dyDescent="0.2">
      <c r="A188">
        <f>ROW(Source!A250)</f>
        <v>250</v>
      </c>
      <c r="B188">
        <v>55919547</v>
      </c>
      <c r="C188">
        <v>55928166</v>
      </c>
      <c r="D188">
        <v>55490263</v>
      </c>
      <c r="E188">
        <v>1</v>
      </c>
      <c r="F188">
        <v>1</v>
      </c>
      <c r="G188">
        <v>1081</v>
      </c>
      <c r="H188">
        <v>2</v>
      </c>
      <c r="I188" t="s">
        <v>310</v>
      </c>
      <c r="J188" t="s">
        <v>311</v>
      </c>
      <c r="K188" t="s">
        <v>312</v>
      </c>
      <c r="L188">
        <v>1368</v>
      </c>
      <c r="N188">
        <v>1011</v>
      </c>
      <c r="O188" t="s">
        <v>291</v>
      </c>
      <c r="P188" t="s">
        <v>291</v>
      </c>
      <c r="Q188">
        <v>1</v>
      </c>
      <c r="W188">
        <v>0</v>
      </c>
      <c r="X188">
        <v>-1895752648</v>
      </c>
      <c r="Y188">
        <f>(AT188*1.2)</f>
        <v>4.5960000000000001</v>
      </c>
      <c r="AA188">
        <v>0</v>
      </c>
      <c r="AB188">
        <v>0.81</v>
      </c>
      <c r="AC188">
        <v>0</v>
      </c>
      <c r="AD188">
        <v>0</v>
      </c>
      <c r="AE188">
        <v>0</v>
      </c>
      <c r="AF188">
        <v>0.77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-2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3.83</v>
      </c>
      <c r="AU188" t="s">
        <v>57</v>
      </c>
      <c r="AV188">
        <v>0</v>
      </c>
      <c r="AW188">
        <v>2</v>
      </c>
      <c r="AX188">
        <v>55928170</v>
      </c>
      <c r="AY188">
        <v>1</v>
      </c>
      <c r="AZ188">
        <v>0</v>
      </c>
      <c r="BA188">
        <v>208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f>ROUND(Y188*Source!I250*DO188,9)</f>
        <v>0</v>
      </c>
      <c r="CX188">
        <f>ROUND(Y188*Source!I250,9)</f>
        <v>0.45960000000000001</v>
      </c>
      <c r="CY188">
        <f>AB188</f>
        <v>0.81</v>
      </c>
      <c r="CZ188">
        <f>AF188</f>
        <v>0.77</v>
      </c>
      <c r="DA188">
        <f>AJ188</f>
        <v>1</v>
      </c>
      <c r="DB188">
        <f>ROUND((ROUND(AT188*CZ188,2)*1.2),6)</f>
        <v>3.54</v>
      </c>
      <c r="DC188">
        <f>ROUND((ROUND(AT188*AG188,2)*1.2),6)</f>
        <v>0</v>
      </c>
      <c r="DD188" t="s">
        <v>3</v>
      </c>
      <c r="DE188" t="s">
        <v>3</v>
      </c>
      <c r="DF188">
        <f t="shared" si="65"/>
        <v>0</v>
      </c>
      <c r="DG188">
        <f t="shared" si="62"/>
        <v>0.35</v>
      </c>
      <c r="DH188">
        <f t="shared" si="63"/>
        <v>0</v>
      </c>
      <c r="DI188">
        <f t="shared" si="49"/>
        <v>0</v>
      </c>
      <c r="DJ188">
        <f>DG188</f>
        <v>0.35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ROW(Source!A250)</f>
        <v>250</v>
      </c>
      <c r="B189">
        <v>55919547</v>
      </c>
      <c r="C189">
        <v>55928166</v>
      </c>
      <c r="D189">
        <v>55459907</v>
      </c>
      <c r="E189">
        <v>1</v>
      </c>
      <c r="F189">
        <v>1</v>
      </c>
      <c r="G189">
        <v>1081</v>
      </c>
      <c r="H189">
        <v>3</v>
      </c>
      <c r="I189" t="s">
        <v>313</v>
      </c>
      <c r="J189" t="s">
        <v>314</v>
      </c>
      <c r="K189" t="s">
        <v>315</v>
      </c>
      <c r="L189">
        <v>1348</v>
      </c>
      <c r="N189">
        <v>1009</v>
      </c>
      <c r="O189" t="s">
        <v>284</v>
      </c>
      <c r="P189" t="s">
        <v>284</v>
      </c>
      <c r="Q189">
        <v>1000</v>
      </c>
      <c r="W189">
        <v>0</v>
      </c>
      <c r="X189">
        <v>-921548447</v>
      </c>
      <c r="Y189">
        <f t="shared" ref="Y189:Y196" si="66">(AT189*1)</f>
        <v>5.1499999999999997E-2</v>
      </c>
      <c r="AA189">
        <v>7246.05</v>
      </c>
      <c r="AB189">
        <v>0</v>
      </c>
      <c r="AC189">
        <v>0</v>
      </c>
      <c r="AD189">
        <v>0</v>
      </c>
      <c r="AE189">
        <v>7246.05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5.1499999999999997E-2</v>
      </c>
      <c r="AU189" t="s">
        <v>56</v>
      </c>
      <c r="AV189">
        <v>0</v>
      </c>
      <c r="AW189">
        <v>2</v>
      </c>
      <c r="AX189">
        <v>55928171</v>
      </c>
      <c r="AY189">
        <v>1</v>
      </c>
      <c r="AZ189">
        <v>0</v>
      </c>
      <c r="BA189">
        <v>209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ROUND(Y189*Source!I250,9)</f>
        <v>5.1500000000000001E-3</v>
      </c>
      <c r="CY189">
        <f t="shared" ref="CY189:CY196" si="67">AA189</f>
        <v>7246.05</v>
      </c>
      <c r="CZ189">
        <f t="shared" ref="CZ189:CZ196" si="68">AE189</f>
        <v>7246.05</v>
      </c>
      <c r="DA189">
        <f t="shared" ref="DA189:DA196" si="69">AI189</f>
        <v>1</v>
      </c>
      <c r="DB189">
        <f t="shared" ref="DB189:DB196" si="70">ROUND((ROUND(AT189*CZ189,2)*1),6)</f>
        <v>373.17</v>
      </c>
      <c r="DC189">
        <f t="shared" ref="DC189:DC196" si="71">ROUND((ROUND(AT189*AG189,2)*1),6)</f>
        <v>0</v>
      </c>
      <c r="DD189" t="s">
        <v>3</v>
      </c>
      <c r="DE189" t="s">
        <v>3</v>
      </c>
      <c r="DF189">
        <f t="shared" si="65"/>
        <v>37.32</v>
      </c>
      <c r="DG189">
        <f t="shared" si="62"/>
        <v>0</v>
      </c>
      <c r="DH189">
        <f t="shared" si="63"/>
        <v>0</v>
      </c>
      <c r="DI189">
        <f t="shared" si="49"/>
        <v>0</v>
      </c>
      <c r="DJ189">
        <f t="shared" ref="DJ189:DJ196" si="72">DF189</f>
        <v>37.32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ROW(Source!A250)</f>
        <v>250</v>
      </c>
      <c r="B190">
        <v>55919547</v>
      </c>
      <c r="C190">
        <v>55928166</v>
      </c>
      <c r="D190">
        <v>55460380</v>
      </c>
      <c r="E190">
        <v>1</v>
      </c>
      <c r="F190">
        <v>1</v>
      </c>
      <c r="G190">
        <v>1081</v>
      </c>
      <c r="H190">
        <v>3</v>
      </c>
      <c r="I190" t="s">
        <v>305</v>
      </c>
      <c r="J190" t="s">
        <v>306</v>
      </c>
      <c r="K190" t="s">
        <v>307</v>
      </c>
      <c r="L190">
        <v>1348</v>
      </c>
      <c r="N190">
        <v>1009</v>
      </c>
      <c r="O190" t="s">
        <v>284</v>
      </c>
      <c r="P190" t="s">
        <v>284</v>
      </c>
      <c r="Q190">
        <v>1000</v>
      </c>
      <c r="W190">
        <v>0</v>
      </c>
      <c r="X190">
        <v>277309194</v>
      </c>
      <c r="Y190">
        <f t="shared" si="66"/>
        <v>1.0499999999999999E-3</v>
      </c>
      <c r="AA190">
        <v>8590.86</v>
      </c>
      <c r="AB190">
        <v>0</v>
      </c>
      <c r="AC190">
        <v>0</v>
      </c>
      <c r="AD190">
        <v>0</v>
      </c>
      <c r="AE190">
        <v>8590.86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-2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1.0499999999999999E-3</v>
      </c>
      <c r="AU190" t="s">
        <v>56</v>
      </c>
      <c r="AV190">
        <v>0</v>
      </c>
      <c r="AW190">
        <v>2</v>
      </c>
      <c r="AX190">
        <v>55928172</v>
      </c>
      <c r="AY190">
        <v>1</v>
      </c>
      <c r="AZ190">
        <v>0</v>
      </c>
      <c r="BA190">
        <v>210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ROUND(Y190*Source!I250,9)</f>
        <v>1.05E-4</v>
      </c>
      <c r="CY190">
        <f t="shared" si="67"/>
        <v>8590.86</v>
      </c>
      <c r="CZ190">
        <f t="shared" si="68"/>
        <v>8590.86</v>
      </c>
      <c r="DA190">
        <f t="shared" si="69"/>
        <v>1</v>
      </c>
      <c r="DB190">
        <f t="shared" si="70"/>
        <v>9.02</v>
      </c>
      <c r="DC190">
        <f t="shared" si="71"/>
        <v>0</v>
      </c>
      <c r="DD190" t="s">
        <v>3</v>
      </c>
      <c r="DE190" t="s">
        <v>3</v>
      </c>
      <c r="DF190">
        <f t="shared" si="65"/>
        <v>0.9</v>
      </c>
      <c r="DG190">
        <f t="shared" si="62"/>
        <v>0</v>
      </c>
      <c r="DH190">
        <f t="shared" si="63"/>
        <v>0</v>
      </c>
      <c r="DI190">
        <f t="shared" si="49"/>
        <v>0</v>
      </c>
      <c r="DJ190">
        <f t="shared" si="72"/>
        <v>0.9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">
      <c r="A191">
        <f>ROW(Source!A250)</f>
        <v>250</v>
      </c>
      <c r="B191">
        <v>55919547</v>
      </c>
      <c r="C191">
        <v>55928166</v>
      </c>
      <c r="D191">
        <v>55459339</v>
      </c>
      <c r="E191">
        <v>1</v>
      </c>
      <c r="F191">
        <v>1</v>
      </c>
      <c r="G191">
        <v>1081</v>
      </c>
      <c r="H191">
        <v>3</v>
      </c>
      <c r="I191" t="s">
        <v>316</v>
      </c>
      <c r="J191" t="s">
        <v>317</v>
      </c>
      <c r="K191" t="s">
        <v>318</v>
      </c>
      <c r="L191">
        <v>1354</v>
      </c>
      <c r="N191">
        <v>1010</v>
      </c>
      <c r="O191" t="s">
        <v>156</v>
      </c>
      <c r="P191" t="s">
        <v>156</v>
      </c>
      <c r="Q191">
        <v>1</v>
      </c>
      <c r="W191">
        <v>0</v>
      </c>
      <c r="X191">
        <v>1424298623</v>
      </c>
      <c r="Y191">
        <f t="shared" si="66"/>
        <v>218</v>
      </c>
      <c r="AA191">
        <v>3.86</v>
      </c>
      <c r="AB191">
        <v>0</v>
      </c>
      <c r="AC191">
        <v>0</v>
      </c>
      <c r="AD191">
        <v>0</v>
      </c>
      <c r="AE191">
        <v>3.86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218</v>
      </c>
      <c r="AU191" t="s">
        <v>56</v>
      </c>
      <c r="AV191">
        <v>0</v>
      </c>
      <c r="AW191">
        <v>2</v>
      </c>
      <c r="AX191">
        <v>55928173</v>
      </c>
      <c r="AY191">
        <v>1</v>
      </c>
      <c r="AZ191">
        <v>0</v>
      </c>
      <c r="BA191">
        <v>211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ROUND(Y191*Source!I250,9)</f>
        <v>21.8</v>
      </c>
      <c r="CY191">
        <f t="shared" si="67"/>
        <v>3.86</v>
      </c>
      <c r="CZ191">
        <f t="shared" si="68"/>
        <v>3.86</v>
      </c>
      <c r="DA191">
        <f t="shared" si="69"/>
        <v>1</v>
      </c>
      <c r="DB191">
        <f t="shared" si="70"/>
        <v>841.48</v>
      </c>
      <c r="DC191">
        <f t="shared" si="71"/>
        <v>0</v>
      </c>
      <c r="DD191" t="s">
        <v>3</v>
      </c>
      <c r="DE191" t="s">
        <v>3</v>
      </c>
      <c r="DF191">
        <f t="shared" si="65"/>
        <v>84.15</v>
      </c>
      <c r="DG191">
        <f t="shared" si="62"/>
        <v>0</v>
      </c>
      <c r="DH191">
        <f t="shared" si="63"/>
        <v>0</v>
      </c>
      <c r="DI191">
        <f t="shared" si="49"/>
        <v>0</v>
      </c>
      <c r="DJ191">
        <f t="shared" si="72"/>
        <v>84.15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ROW(Source!A250)</f>
        <v>250</v>
      </c>
      <c r="B192">
        <v>55919547</v>
      </c>
      <c r="C192">
        <v>55928166</v>
      </c>
      <c r="D192">
        <v>55460882</v>
      </c>
      <c r="E192">
        <v>1</v>
      </c>
      <c r="F192">
        <v>1</v>
      </c>
      <c r="G192">
        <v>1081</v>
      </c>
      <c r="H192">
        <v>3</v>
      </c>
      <c r="I192" t="s">
        <v>319</v>
      </c>
      <c r="J192" t="s">
        <v>320</v>
      </c>
      <c r="K192" t="s">
        <v>321</v>
      </c>
      <c r="L192">
        <v>1348</v>
      </c>
      <c r="N192">
        <v>1009</v>
      </c>
      <c r="O192" t="s">
        <v>284</v>
      </c>
      <c r="P192" t="s">
        <v>284</v>
      </c>
      <c r="Q192">
        <v>1000</v>
      </c>
      <c r="W192">
        <v>0</v>
      </c>
      <c r="X192">
        <v>-1448166212</v>
      </c>
      <c r="Y192">
        <f t="shared" si="66"/>
        <v>2.1800000000000001E-3</v>
      </c>
      <c r="AA192">
        <v>14327.51</v>
      </c>
      <c r="AB192">
        <v>0</v>
      </c>
      <c r="AC192">
        <v>0</v>
      </c>
      <c r="AD192">
        <v>0</v>
      </c>
      <c r="AE192">
        <v>14327.51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-2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2.1800000000000001E-3</v>
      </c>
      <c r="AU192" t="s">
        <v>56</v>
      </c>
      <c r="AV192">
        <v>0</v>
      </c>
      <c r="AW192">
        <v>2</v>
      </c>
      <c r="AX192">
        <v>55928174</v>
      </c>
      <c r="AY192">
        <v>1</v>
      </c>
      <c r="AZ192">
        <v>0</v>
      </c>
      <c r="BA192">
        <v>212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ROUND(Y192*Source!I250,9)</f>
        <v>2.1800000000000001E-4</v>
      </c>
      <c r="CY192">
        <f t="shared" si="67"/>
        <v>14327.51</v>
      </c>
      <c r="CZ192">
        <f t="shared" si="68"/>
        <v>14327.51</v>
      </c>
      <c r="DA192">
        <f t="shared" si="69"/>
        <v>1</v>
      </c>
      <c r="DB192">
        <f t="shared" si="70"/>
        <v>31.23</v>
      </c>
      <c r="DC192">
        <f t="shared" si="71"/>
        <v>0</v>
      </c>
      <c r="DD192" t="s">
        <v>3</v>
      </c>
      <c r="DE192" t="s">
        <v>3</v>
      </c>
      <c r="DF192">
        <f t="shared" si="65"/>
        <v>3.12</v>
      </c>
      <c r="DG192">
        <f t="shared" si="62"/>
        <v>0</v>
      </c>
      <c r="DH192">
        <f t="shared" si="63"/>
        <v>0</v>
      </c>
      <c r="DI192">
        <f t="shared" si="49"/>
        <v>0</v>
      </c>
      <c r="DJ192">
        <f t="shared" si="72"/>
        <v>3.12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ROW(Source!A250)</f>
        <v>250</v>
      </c>
      <c r="B193">
        <v>55919547</v>
      </c>
      <c r="C193">
        <v>55928166</v>
      </c>
      <c r="D193">
        <v>55459815</v>
      </c>
      <c r="E193">
        <v>1</v>
      </c>
      <c r="F193">
        <v>1</v>
      </c>
      <c r="G193">
        <v>1081</v>
      </c>
      <c r="H193">
        <v>3</v>
      </c>
      <c r="I193" t="s">
        <v>322</v>
      </c>
      <c r="J193" t="s">
        <v>323</v>
      </c>
      <c r="K193" t="s">
        <v>324</v>
      </c>
      <c r="L193">
        <v>1348</v>
      </c>
      <c r="N193">
        <v>1009</v>
      </c>
      <c r="O193" t="s">
        <v>284</v>
      </c>
      <c r="P193" t="s">
        <v>284</v>
      </c>
      <c r="Q193">
        <v>1000</v>
      </c>
      <c r="W193">
        <v>0</v>
      </c>
      <c r="X193">
        <v>-557692701</v>
      </c>
      <c r="Y193">
        <f t="shared" si="66"/>
        <v>3.0000000000000001E-3</v>
      </c>
      <c r="AA193">
        <v>7973.67</v>
      </c>
      <c r="AB193">
        <v>0</v>
      </c>
      <c r="AC193">
        <v>0</v>
      </c>
      <c r="AD193">
        <v>0</v>
      </c>
      <c r="AE193">
        <v>7973.67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3.0000000000000001E-3</v>
      </c>
      <c r="AU193" t="s">
        <v>56</v>
      </c>
      <c r="AV193">
        <v>0</v>
      </c>
      <c r="AW193">
        <v>2</v>
      </c>
      <c r="AX193">
        <v>55928175</v>
      </c>
      <c r="AY193">
        <v>1</v>
      </c>
      <c r="AZ193">
        <v>0</v>
      </c>
      <c r="BA193">
        <v>213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ROUND(Y193*Source!I250,9)</f>
        <v>2.9999999999999997E-4</v>
      </c>
      <c r="CY193">
        <f t="shared" si="67"/>
        <v>7973.67</v>
      </c>
      <c r="CZ193">
        <f t="shared" si="68"/>
        <v>7973.67</v>
      </c>
      <c r="DA193">
        <f t="shared" si="69"/>
        <v>1</v>
      </c>
      <c r="DB193">
        <f t="shared" si="70"/>
        <v>23.92</v>
      </c>
      <c r="DC193">
        <f t="shared" si="71"/>
        <v>0</v>
      </c>
      <c r="DD193" t="s">
        <v>3</v>
      </c>
      <c r="DE193" t="s">
        <v>3</v>
      </c>
      <c r="DF193">
        <f t="shared" si="65"/>
        <v>2.39</v>
      </c>
      <c r="DG193">
        <f t="shared" si="62"/>
        <v>0</v>
      </c>
      <c r="DH193">
        <f t="shared" si="63"/>
        <v>0</v>
      </c>
      <c r="DI193">
        <f t="shared" ref="DI193:DI208" si="73">ROUND(ROUND(AH193,2)*CX193,2)</f>
        <v>0</v>
      </c>
      <c r="DJ193">
        <f t="shared" si="72"/>
        <v>2.39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ROW(Source!A250)</f>
        <v>250</v>
      </c>
      <c r="B194">
        <v>55919547</v>
      </c>
      <c r="C194">
        <v>55928166</v>
      </c>
      <c r="D194">
        <v>55482617</v>
      </c>
      <c r="E194">
        <v>1</v>
      </c>
      <c r="F194">
        <v>1</v>
      </c>
      <c r="G194">
        <v>1081</v>
      </c>
      <c r="H194">
        <v>3</v>
      </c>
      <c r="I194" t="s">
        <v>325</v>
      </c>
      <c r="J194" t="s">
        <v>326</v>
      </c>
      <c r="K194" t="s">
        <v>327</v>
      </c>
      <c r="L194">
        <v>1354</v>
      </c>
      <c r="N194">
        <v>1010</v>
      </c>
      <c r="O194" t="s">
        <v>156</v>
      </c>
      <c r="P194" t="s">
        <v>156</v>
      </c>
      <c r="Q194">
        <v>1</v>
      </c>
      <c r="W194">
        <v>0</v>
      </c>
      <c r="X194">
        <v>-1189947653</v>
      </c>
      <c r="Y194">
        <f t="shared" si="66"/>
        <v>5</v>
      </c>
      <c r="AA194">
        <v>14.99</v>
      </c>
      <c r="AB194">
        <v>0</v>
      </c>
      <c r="AC194">
        <v>0</v>
      </c>
      <c r="AD194">
        <v>0</v>
      </c>
      <c r="AE194">
        <v>14.99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5</v>
      </c>
      <c r="AU194" t="s">
        <v>56</v>
      </c>
      <c r="AV194">
        <v>0</v>
      </c>
      <c r="AW194">
        <v>2</v>
      </c>
      <c r="AX194">
        <v>55928176</v>
      </c>
      <c r="AY194">
        <v>1</v>
      </c>
      <c r="AZ194">
        <v>0</v>
      </c>
      <c r="BA194">
        <v>214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ROUND(Y194*Source!I250,9)</f>
        <v>0.5</v>
      </c>
      <c r="CY194">
        <f t="shared" si="67"/>
        <v>14.99</v>
      </c>
      <c r="CZ194">
        <f t="shared" si="68"/>
        <v>14.99</v>
      </c>
      <c r="DA194">
        <f t="shared" si="69"/>
        <v>1</v>
      </c>
      <c r="DB194">
        <f t="shared" si="70"/>
        <v>74.95</v>
      </c>
      <c r="DC194">
        <f t="shared" si="71"/>
        <v>0</v>
      </c>
      <c r="DD194" t="s">
        <v>3</v>
      </c>
      <c r="DE194" t="s">
        <v>3</v>
      </c>
      <c r="DF194">
        <f t="shared" si="65"/>
        <v>7.5</v>
      </c>
      <c r="DG194">
        <f t="shared" si="62"/>
        <v>0</v>
      </c>
      <c r="DH194">
        <f t="shared" si="63"/>
        <v>0</v>
      </c>
      <c r="DI194">
        <f t="shared" si="73"/>
        <v>0</v>
      </c>
      <c r="DJ194">
        <f t="shared" si="72"/>
        <v>7.5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ROW(Source!A250)</f>
        <v>250</v>
      </c>
      <c r="B195">
        <v>55919547</v>
      </c>
      <c r="C195">
        <v>55928166</v>
      </c>
      <c r="D195">
        <v>55481638</v>
      </c>
      <c r="E195">
        <v>1</v>
      </c>
      <c r="F195">
        <v>1</v>
      </c>
      <c r="G195">
        <v>1081</v>
      </c>
      <c r="H195">
        <v>3</v>
      </c>
      <c r="I195" t="s">
        <v>257</v>
      </c>
      <c r="J195" t="s">
        <v>259</v>
      </c>
      <c r="K195" t="s">
        <v>258</v>
      </c>
      <c r="L195">
        <v>1301</v>
      </c>
      <c r="N195">
        <v>1003</v>
      </c>
      <c r="O195" t="s">
        <v>206</v>
      </c>
      <c r="P195" t="s">
        <v>206</v>
      </c>
      <c r="Q195">
        <v>1</v>
      </c>
      <c r="W195">
        <v>0</v>
      </c>
      <c r="X195">
        <v>357884200</v>
      </c>
      <c r="Y195">
        <f t="shared" si="66"/>
        <v>103</v>
      </c>
      <c r="AA195">
        <v>12.83</v>
      </c>
      <c r="AB195">
        <v>0</v>
      </c>
      <c r="AC195">
        <v>0</v>
      </c>
      <c r="AD195">
        <v>0</v>
      </c>
      <c r="AE195">
        <v>12.83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 t="s">
        <v>3</v>
      </c>
      <c r="AT195">
        <v>103</v>
      </c>
      <c r="AU195" t="s">
        <v>56</v>
      </c>
      <c r="AV195">
        <v>0</v>
      </c>
      <c r="AW195">
        <v>1</v>
      </c>
      <c r="AX195">
        <v>-1</v>
      </c>
      <c r="AY195">
        <v>0</v>
      </c>
      <c r="AZ195">
        <v>0</v>
      </c>
      <c r="BA195" t="s">
        <v>3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ROUND(Y195*Source!I250,9)</f>
        <v>10.3</v>
      </c>
      <c r="CY195">
        <f t="shared" si="67"/>
        <v>12.83</v>
      </c>
      <c r="CZ195">
        <f t="shared" si="68"/>
        <v>12.83</v>
      </c>
      <c r="DA195">
        <f t="shared" si="69"/>
        <v>1</v>
      </c>
      <c r="DB195">
        <f t="shared" si="70"/>
        <v>1321.49</v>
      </c>
      <c r="DC195">
        <f t="shared" si="71"/>
        <v>0</v>
      </c>
      <c r="DD195" t="s">
        <v>3</v>
      </c>
      <c r="DE195" t="s">
        <v>3</v>
      </c>
      <c r="DF195">
        <f t="shared" si="65"/>
        <v>132.15</v>
      </c>
      <c r="DG195">
        <f t="shared" si="62"/>
        <v>0</v>
      </c>
      <c r="DH195">
        <f t="shared" si="63"/>
        <v>0</v>
      </c>
      <c r="DI195">
        <f t="shared" si="73"/>
        <v>0</v>
      </c>
      <c r="DJ195">
        <f t="shared" si="72"/>
        <v>132.15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ROW(Source!A250)</f>
        <v>250</v>
      </c>
      <c r="B196">
        <v>55919547</v>
      </c>
      <c r="C196">
        <v>55928166</v>
      </c>
      <c r="D196">
        <v>55481933</v>
      </c>
      <c r="E196">
        <v>1</v>
      </c>
      <c r="F196">
        <v>1</v>
      </c>
      <c r="G196">
        <v>1081</v>
      </c>
      <c r="H196">
        <v>3</v>
      </c>
      <c r="I196" t="s">
        <v>328</v>
      </c>
      <c r="J196" t="s">
        <v>329</v>
      </c>
      <c r="K196" t="s">
        <v>330</v>
      </c>
      <c r="L196">
        <v>1356</v>
      </c>
      <c r="N196">
        <v>1010</v>
      </c>
      <c r="O196" t="s">
        <v>331</v>
      </c>
      <c r="P196" t="s">
        <v>331</v>
      </c>
      <c r="Q196">
        <v>1000</v>
      </c>
      <c r="W196">
        <v>0</v>
      </c>
      <c r="X196">
        <v>-2144806629</v>
      </c>
      <c r="Y196">
        <f t="shared" si="66"/>
        <v>0.25</v>
      </c>
      <c r="AA196">
        <v>1639.86</v>
      </c>
      <c r="AB196">
        <v>0</v>
      </c>
      <c r="AC196">
        <v>0</v>
      </c>
      <c r="AD196">
        <v>0</v>
      </c>
      <c r="AE196">
        <v>1639.86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-2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0.25</v>
      </c>
      <c r="AU196" t="s">
        <v>56</v>
      </c>
      <c r="AV196">
        <v>0</v>
      </c>
      <c r="AW196">
        <v>2</v>
      </c>
      <c r="AX196">
        <v>55928177</v>
      </c>
      <c r="AY196">
        <v>1</v>
      </c>
      <c r="AZ196">
        <v>0</v>
      </c>
      <c r="BA196">
        <v>215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ROUND(Y196*Source!I250,9)</f>
        <v>2.5000000000000001E-2</v>
      </c>
      <c r="CY196">
        <f t="shared" si="67"/>
        <v>1639.86</v>
      </c>
      <c r="CZ196">
        <f t="shared" si="68"/>
        <v>1639.86</v>
      </c>
      <c r="DA196">
        <f t="shared" si="69"/>
        <v>1</v>
      </c>
      <c r="DB196">
        <f t="shared" si="70"/>
        <v>409.97</v>
      </c>
      <c r="DC196">
        <f t="shared" si="71"/>
        <v>0</v>
      </c>
      <c r="DD196" t="s">
        <v>3</v>
      </c>
      <c r="DE196" t="s">
        <v>3</v>
      </c>
      <c r="DF196">
        <f t="shared" si="65"/>
        <v>41</v>
      </c>
      <c r="DG196">
        <f t="shared" si="62"/>
        <v>0</v>
      </c>
      <c r="DH196">
        <f t="shared" si="63"/>
        <v>0</v>
      </c>
      <c r="DI196">
        <f t="shared" si="73"/>
        <v>0</v>
      </c>
      <c r="DJ196">
        <f t="shared" si="72"/>
        <v>41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ROW(Source!A251)</f>
        <v>251</v>
      </c>
      <c r="B197">
        <v>55919549</v>
      </c>
      <c r="C197">
        <v>55928166</v>
      </c>
      <c r="D197">
        <v>55424304</v>
      </c>
      <c r="E197">
        <v>1081</v>
      </c>
      <c r="F197">
        <v>1</v>
      </c>
      <c r="G197">
        <v>1081</v>
      </c>
      <c r="H197">
        <v>1</v>
      </c>
      <c r="I197" t="s">
        <v>278</v>
      </c>
      <c r="J197" t="s">
        <v>3</v>
      </c>
      <c r="K197" t="s">
        <v>279</v>
      </c>
      <c r="L197">
        <v>1191</v>
      </c>
      <c r="N197">
        <v>1013</v>
      </c>
      <c r="O197" t="s">
        <v>280</v>
      </c>
      <c r="P197" t="s">
        <v>280</v>
      </c>
      <c r="Q197">
        <v>1</v>
      </c>
      <c r="W197">
        <v>0</v>
      </c>
      <c r="X197">
        <v>476480486</v>
      </c>
      <c r="Y197">
        <f>(AT197*1.2)</f>
        <v>35.879999999999995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5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29.9</v>
      </c>
      <c r="AU197" t="s">
        <v>57</v>
      </c>
      <c r="AV197">
        <v>1</v>
      </c>
      <c r="AW197">
        <v>2</v>
      </c>
      <c r="AX197">
        <v>55928167</v>
      </c>
      <c r="AY197">
        <v>1</v>
      </c>
      <c r="AZ197">
        <v>0</v>
      </c>
      <c r="BA197">
        <v>221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U197">
        <f>ROUND(AT197*Source!I251*AH197*AL197,2)</f>
        <v>0</v>
      </c>
      <c r="CV197">
        <f>ROUND(Y197*Source!I251,9)</f>
        <v>3.5880000000000001</v>
      </c>
      <c r="CW197">
        <v>0</v>
      </c>
      <c r="CX197">
        <f>ROUND(Y197*Source!I251,9)</f>
        <v>3.5880000000000001</v>
      </c>
      <c r="CY197">
        <f>AD197</f>
        <v>0</v>
      </c>
      <c r="CZ197">
        <f>AH197</f>
        <v>0</v>
      </c>
      <c r="DA197">
        <f>AL197</f>
        <v>1</v>
      </c>
      <c r="DB197">
        <f>ROUND((ROUND(AT197*CZ197,2)*1.2),6)</f>
        <v>0</v>
      </c>
      <c r="DC197">
        <f>ROUND((ROUND(AT197*AG197,2)*1.2),6)</f>
        <v>0</v>
      </c>
      <c r="DD197" t="s">
        <v>3</v>
      </c>
      <c r="DE197" t="s">
        <v>3</v>
      </c>
      <c r="DF197">
        <f t="shared" si="65"/>
        <v>0</v>
      </c>
      <c r="DG197">
        <f t="shared" si="62"/>
        <v>0</v>
      </c>
      <c r="DH197">
        <f t="shared" si="63"/>
        <v>0</v>
      </c>
      <c r="DI197">
        <f t="shared" si="73"/>
        <v>0</v>
      </c>
      <c r="DJ197">
        <f>DI197</f>
        <v>0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ROW(Source!A251)</f>
        <v>251</v>
      </c>
      <c r="B198">
        <v>55919549</v>
      </c>
      <c r="C198">
        <v>55928166</v>
      </c>
      <c r="D198">
        <v>55489910</v>
      </c>
      <c r="E198">
        <v>1</v>
      </c>
      <c r="F198">
        <v>1</v>
      </c>
      <c r="G198">
        <v>1081</v>
      </c>
      <c r="H198">
        <v>2</v>
      </c>
      <c r="I198" t="s">
        <v>293</v>
      </c>
      <c r="J198" t="s">
        <v>294</v>
      </c>
      <c r="K198" t="s">
        <v>295</v>
      </c>
      <c r="L198">
        <v>1368</v>
      </c>
      <c r="N198">
        <v>1011</v>
      </c>
      <c r="O198" t="s">
        <v>291</v>
      </c>
      <c r="P198" t="s">
        <v>291</v>
      </c>
      <c r="Q198">
        <v>1</v>
      </c>
      <c r="W198">
        <v>0</v>
      </c>
      <c r="X198">
        <v>1498588441</v>
      </c>
      <c r="Y198">
        <f>(AT198*1.2)</f>
        <v>18.48</v>
      </c>
      <c r="AA198">
        <v>0</v>
      </c>
      <c r="AB198">
        <v>100.2</v>
      </c>
      <c r="AC198">
        <v>0</v>
      </c>
      <c r="AD198">
        <v>0</v>
      </c>
      <c r="AE198">
        <v>0</v>
      </c>
      <c r="AF198">
        <v>7.11</v>
      </c>
      <c r="AG198">
        <v>0</v>
      </c>
      <c r="AH198">
        <v>0</v>
      </c>
      <c r="AI198">
        <v>1</v>
      </c>
      <c r="AJ198">
        <v>13.46</v>
      </c>
      <c r="AK198">
        <v>1</v>
      </c>
      <c r="AL198">
        <v>1</v>
      </c>
      <c r="AM198">
        <v>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15.4</v>
      </c>
      <c r="AU198" t="s">
        <v>57</v>
      </c>
      <c r="AV198">
        <v>0</v>
      </c>
      <c r="AW198">
        <v>2</v>
      </c>
      <c r="AX198">
        <v>55928168</v>
      </c>
      <c r="AY198">
        <v>1</v>
      </c>
      <c r="AZ198">
        <v>0</v>
      </c>
      <c r="BA198">
        <v>222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f>ROUND(Y198*Source!I251*DO198,9)</f>
        <v>0</v>
      </c>
      <c r="CX198">
        <f>ROUND(Y198*Source!I251,9)</f>
        <v>1.8480000000000001</v>
      </c>
      <c r="CY198">
        <f>AB198</f>
        <v>100.2</v>
      </c>
      <c r="CZ198">
        <f>AF198</f>
        <v>7.11</v>
      </c>
      <c r="DA198">
        <f>AJ198</f>
        <v>13.46</v>
      </c>
      <c r="DB198">
        <f>ROUND((ROUND(AT198*CZ198,2)*1.2),6)</f>
        <v>131.38800000000001</v>
      </c>
      <c r="DC198">
        <f>ROUND((ROUND(AT198*AG198,2)*1.2),6)</f>
        <v>0</v>
      </c>
      <c r="DD198" t="s">
        <v>3</v>
      </c>
      <c r="DE198" t="s">
        <v>3</v>
      </c>
      <c r="DF198">
        <f t="shared" si="65"/>
        <v>0</v>
      </c>
      <c r="DG198">
        <f>ROUND(ROUND(AF198*AJ198,2)*CX198,2)</f>
        <v>176.85</v>
      </c>
      <c r="DH198">
        <f t="shared" si="63"/>
        <v>0</v>
      </c>
      <c r="DI198">
        <f t="shared" si="73"/>
        <v>0</v>
      </c>
      <c r="DJ198">
        <f>DG198</f>
        <v>176.85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ROW(Source!A251)</f>
        <v>251</v>
      </c>
      <c r="B199">
        <v>55919549</v>
      </c>
      <c r="C199">
        <v>55928166</v>
      </c>
      <c r="D199">
        <v>55490209</v>
      </c>
      <c r="E199">
        <v>1</v>
      </c>
      <c r="F199">
        <v>1</v>
      </c>
      <c r="G199">
        <v>1081</v>
      </c>
      <c r="H199">
        <v>2</v>
      </c>
      <c r="I199" t="s">
        <v>296</v>
      </c>
      <c r="J199" t="s">
        <v>297</v>
      </c>
      <c r="K199" t="s">
        <v>298</v>
      </c>
      <c r="L199">
        <v>1368</v>
      </c>
      <c r="N199">
        <v>1011</v>
      </c>
      <c r="O199" t="s">
        <v>291</v>
      </c>
      <c r="P199" t="s">
        <v>291</v>
      </c>
      <c r="Q199">
        <v>1</v>
      </c>
      <c r="W199">
        <v>0</v>
      </c>
      <c r="X199">
        <v>874612079</v>
      </c>
      <c r="Y199">
        <f>(AT199*1.2)</f>
        <v>0.24</v>
      </c>
      <c r="AA199">
        <v>0</v>
      </c>
      <c r="AB199">
        <v>1485.19</v>
      </c>
      <c r="AC199">
        <v>744.56</v>
      </c>
      <c r="AD199">
        <v>0</v>
      </c>
      <c r="AE199">
        <v>0</v>
      </c>
      <c r="AF199">
        <v>83.1</v>
      </c>
      <c r="AG199">
        <v>12.62</v>
      </c>
      <c r="AH199">
        <v>0</v>
      </c>
      <c r="AI199">
        <v>1</v>
      </c>
      <c r="AJ199">
        <v>17.07</v>
      </c>
      <c r="AK199">
        <v>56.35</v>
      </c>
      <c r="AL199">
        <v>1</v>
      </c>
      <c r="AM199">
        <v>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0.2</v>
      </c>
      <c r="AU199" t="s">
        <v>57</v>
      </c>
      <c r="AV199">
        <v>0</v>
      </c>
      <c r="AW199">
        <v>2</v>
      </c>
      <c r="AX199">
        <v>55928169</v>
      </c>
      <c r="AY199">
        <v>1</v>
      </c>
      <c r="AZ199">
        <v>0</v>
      </c>
      <c r="BA199">
        <v>223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f>ROUND(Y199*Source!I251*DO199,9)</f>
        <v>0.30287999999999998</v>
      </c>
      <c r="CX199">
        <f>ROUND(Y199*Source!I251,9)</f>
        <v>2.4E-2</v>
      </c>
      <c r="CY199">
        <f>AB199</f>
        <v>1485.19</v>
      </c>
      <c r="CZ199">
        <f>AF199</f>
        <v>83.1</v>
      </c>
      <c r="DA199">
        <f>AJ199</f>
        <v>17.07</v>
      </c>
      <c r="DB199">
        <f>ROUND((ROUND(AT199*CZ199,2)*1.2),6)</f>
        <v>19.943999999999999</v>
      </c>
      <c r="DC199">
        <f>ROUND((ROUND(AT199*AG199,2)*1.2),6)</f>
        <v>3.024</v>
      </c>
      <c r="DD199" t="s">
        <v>3</v>
      </c>
      <c r="DE199" t="s">
        <v>3</v>
      </c>
      <c r="DF199">
        <f t="shared" si="65"/>
        <v>0</v>
      </c>
      <c r="DG199">
        <f>ROUND(ROUND(AF199*AJ199,2)*CX199,2)</f>
        <v>34.04</v>
      </c>
      <c r="DH199">
        <f>ROUND(ROUND(AG199*AK199,2)*CX199,2)</f>
        <v>17.07</v>
      </c>
      <c r="DI199">
        <f t="shared" si="73"/>
        <v>0</v>
      </c>
      <c r="DJ199">
        <f>DG199</f>
        <v>34.04</v>
      </c>
      <c r="DK199">
        <v>0</v>
      </c>
      <c r="DL199" t="s">
        <v>292</v>
      </c>
      <c r="DM199">
        <v>0</v>
      </c>
      <c r="DN199" t="s">
        <v>280</v>
      </c>
      <c r="DO199">
        <v>12.62</v>
      </c>
    </row>
    <row r="200" spans="1:119" x14ac:dyDescent="0.2">
      <c r="A200">
        <f>ROW(Source!A251)</f>
        <v>251</v>
      </c>
      <c r="B200">
        <v>55919549</v>
      </c>
      <c r="C200">
        <v>55928166</v>
      </c>
      <c r="D200">
        <v>55490263</v>
      </c>
      <c r="E200">
        <v>1</v>
      </c>
      <c r="F200">
        <v>1</v>
      </c>
      <c r="G200">
        <v>1081</v>
      </c>
      <c r="H200">
        <v>2</v>
      </c>
      <c r="I200" t="s">
        <v>310</v>
      </c>
      <c r="J200" t="s">
        <v>311</v>
      </c>
      <c r="K200" t="s">
        <v>312</v>
      </c>
      <c r="L200">
        <v>1368</v>
      </c>
      <c r="N200">
        <v>1011</v>
      </c>
      <c r="O200" t="s">
        <v>291</v>
      </c>
      <c r="P200" t="s">
        <v>291</v>
      </c>
      <c r="Q200">
        <v>1</v>
      </c>
      <c r="W200">
        <v>0</v>
      </c>
      <c r="X200">
        <v>-1895752648</v>
      </c>
      <c r="Y200">
        <f>(AT200*1.2)</f>
        <v>4.5960000000000001</v>
      </c>
      <c r="AA200">
        <v>0</v>
      </c>
      <c r="AB200">
        <v>7.71</v>
      </c>
      <c r="AC200">
        <v>0</v>
      </c>
      <c r="AD200">
        <v>0</v>
      </c>
      <c r="AE200">
        <v>0</v>
      </c>
      <c r="AF200">
        <v>0.77</v>
      </c>
      <c r="AG200">
        <v>0</v>
      </c>
      <c r="AH200">
        <v>0</v>
      </c>
      <c r="AI200">
        <v>1</v>
      </c>
      <c r="AJ200">
        <v>9.56</v>
      </c>
      <c r="AK200">
        <v>1</v>
      </c>
      <c r="AL200">
        <v>1</v>
      </c>
      <c r="AM200">
        <v>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3.83</v>
      </c>
      <c r="AU200" t="s">
        <v>57</v>
      </c>
      <c r="AV200">
        <v>0</v>
      </c>
      <c r="AW200">
        <v>2</v>
      </c>
      <c r="AX200">
        <v>55928170</v>
      </c>
      <c r="AY200">
        <v>1</v>
      </c>
      <c r="AZ200">
        <v>0</v>
      </c>
      <c r="BA200">
        <v>224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f>ROUND(Y200*Source!I251*DO200,9)</f>
        <v>0</v>
      </c>
      <c r="CX200">
        <f>ROUND(Y200*Source!I251,9)</f>
        <v>0.45960000000000001</v>
      </c>
      <c r="CY200">
        <f>AB200</f>
        <v>7.71</v>
      </c>
      <c r="CZ200">
        <f>AF200</f>
        <v>0.77</v>
      </c>
      <c r="DA200">
        <f>AJ200</f>
        <v>9.56</v>
      </c>
      <c r="DB200">
        <f>ROUND((ROUND(AT200*CZ200,2)*1.2),6)</f>
        <v>3.54</v>
      </c>
      <c r="DC200">
        <f>ROUND((ROUND(AT200*AG200,2)*1.2),6)</f>
        <v>0</v>
      </c>
      <c r="DD200" t="s">
        <v>3</v>
      </c>
      <c r="DE200" t="s">
        <v>3</v>
      </c>
      <c r="DF200">
        <f t="shared" si="65"/>
        <v>0</v>
      </c>
      <c r="DG200">
        <f>ROUND(ROUND(AF200*AJ200,2)*CX200,2)</f>
        <v>3.38</v>
      </c>
      <c r="DH200">
        <f t="shared" ref="DH200:DH208" si="74">ROUND(ROUND(AG200,2)*CX200,2)</f>
        <v>0</v>
      </c>
      <c r="DI200">
        <f t="shared" si="73"/>
        <v>0</v>
      </c>
      <c r="DJ200">
        <f>DG200</f>
        <v>3.38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">
      <c r="A201">
        <f>ROW(Source!A251)</f>
        <v>251</v>
      </c>
      <c r="B201">
        <v>55919549</v>
      </c>
      <c r="C201">
        <v>55928166</v>
      </c>
      <c r="D201">
        <v>55459907</v>
      </c>
      <c r="E201">
        <v>1</v>
      </c>
      <c r="F201">
        <v>1</v>
      </c>
      <c r="G201">
        <v>1081</v>
      </c>
      <c r="H201">
        <v>3</v>
      </c>
      <c r="I201" t="s">
        <v>313</v>
      </c>
      <c r="J201" t="s">
        <v>314</v>
      </c>
      <c r="K201" t="s">
        <v>315</v>
      </c>
      <c r="L201">
        <v>1348</v>
      </c>
      <c r="N201">
        <v>1009</v>
      </c>
      <c r="O201" t="s">
        <v>284</v>
      </c>
      <c r="P201" t="s">
        <v>284</v>
      </c>
      <c r="Q201">
        <v>1000</v>
      </c>
      <c r="W201">
        <v>0</v>
      </c>
      <c r="X201">
        <v>-921548447</v>
      </c>
      <c r="Y201">
        <f t="shared" ref="Y201:Y208" si="75">(AT201*1)</f>
        <v>5.1499999999999997E-2</v>
      </c>
      <c r="AA201">
        <v>60649.440000000002</v>
      </c>
      <c r="AB201">
        <v>0</v>
      </c>
      <c r="AC201">
        <v>0</v>
      </c>
      <c r="AD201">
        <v>0</v>
      </c>
      <c r="AE201">
        <v>7246.05</v>
      </c>
      <c r="AF201">
        <v>0</v>
      </c>
      <c r="AG201">
        <v>0</v>
      </c>
      <c r="AH201">
        <v>0</v>
      </c>
      <c r="AI201">
        <v>8.3699999999999992</v>
      </c>
      <c r="AJ201">
        <v>1</v>
      </c>
      <c r="AK201">
        <v>1</v>
      </c>
      <c r="AL201">
        <v>1</v>
      </c>
      <c r="AM201">
        <v>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5.1499999999999997E-2</v>
      </c>
      <c r="AU201" t="s">
        <v>56</v>
      </c>
      <c r="AV201">
        <v>0</v>
      </c>
      <c r="AW201">
        <v>2</v>
      </c>
      <c r="AX201">
        <v>55928171</v>
      </c>
      <c r="AY201">
        <v>1</v>
      </c>
      <c r="AZ201">
        <v>0</v>
      </c>
      <c r="BA201">
        <v>225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ROUND(Y201*Source!I251,9)</f>
        <v>5.1500000000000001E-3</v>
      </c>
      <c r="CY201">
        <f t="shared" ref="CY201:CY208" si="76">AA201</f>
        <v>60649.440000000002</v>
      </c>
      <c r="CZ201">
        <f t="shared" ref="CZ201:CZ208" si="77">AE201</f>
        <v>7246.05</v>
      </c>
      <c r="DA201">
        <f t="shared" ref="DA201:DA208" si="78">AI201</f>
        <v>8.3699999999999992</v>
      </c>
      <c r="DB201">
        <f t="shared" ref="DB201:DB208" si="79">ROUND((ROUND(AT201*CZ201,2)*1),6)</f>
        <v>373.17</v>
      </c>
      <c r="DC201">
        <f t="shared" ref="DC201:DC208" si="80">ROUND((ROUND(AT201*AG201,2)*1),6)</f>
        <v>0</v>
      </c>
      <c r="DD201" t="s">
        <v>3</v>
      </c>
      <c r="DE201" t="s">
        <v>3</v>
      </c>
      <c r="DF201">
        <f t="shared" ref="DF201:DF208" si="81">ROUND(ROUND(AE201*AI201,2)*CX201,2)</f>
        <v>312.33999999999997</v>
      </c>
      <c r="DG201">
        <f t="shared" ref="DG201:DG208" si="82">ROUND(ROUND(AF201,2)*CX201,2)</f>
        <v>0</v>
      </c>
      <c r="DH201">
        <f t="shared" si="74"/>
        <v>0</v>
      </c>
      <c r="DI201">
        <f t="shared" si="73"/>
        <v>0</v>
      </c>
      <c r="DJ201">
        <f t="shared" ref="DJ201:DJ208" si="83">DF201</f>
        <v>312.33999999999997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ROW(Source!A251)</f>
        <v>251</v>
      </c>
      <c r="B202">
        <v>55919549</v>
      </c>
      <c r="C202">
        <v>55928166</v>
      </c>
      <c r="D202">
        <v>55460380</v>
      </c>
      <c r="E202">
        <v>1</v>
      </c>
      <c r="F202">
        <v>1</v>
      </c>
      <c r="G202">
        <v>1081</v>
      </c>
      <c r="H202">
        <v>3</v>
      </c>
      <c r="I202" t="s">
        <v>305</v>
      </c>
      <c r="J202" t="s">
        <v>306</v>
      </c>
      <c r="K202" t="s">
        <v>307</v>
      </c>
      <c r="L202">
        <v>1348</v>
      </c>
      <c r="N202">
        <v>1009</v>
      </c>
      <c r="O202" t="s">
        <v>284</v>
      </c>
      <c r="P202" t="s">
        <v>284</v>
      </c>
      <c r="Q202">
        <v>1000</v>
      </c>
      <c r="W202">
        <v>0</v>
      </c>
      <c r="X202">
        <v>277309194</v>
      </c>
      <c r="Y202">
        <f t="shared" si="75"/>
        <v>1.0499999999999999E-3</v>
      </c>
      <c r="AA202">
        <v>141233.74</v>
      </c>
      <c r="AB202">
        <v>0</v>
      </c>
      <c r="AC202">
        <v>0</v>
      </c>
      <c r="AD202">
        <v>0</v>
      </c>
      <c r="AE202">
        <v>8590.86</v>
      </c>
      <c r="AF202">
        <v>0</v>
      </c>
      <c r="AG202">
        <v>0</v>
      </c>
      <c r="AH202">
        <v>0</v>
      </c>
      <c r="AI202">
        <v>16.440000000000001</v>
      </c>
      <c r="AJ202">
        <v>1</v>
      </c>
      <c r="AK202">
        <v>1</v>
      </c>
      <c r="AL202">
        <v>1</v>
      </c>
      <c r="AM202">
        <v>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1.0499999999999999E-3</v>
      </c>
      <c r="AU202" t="s">
        <v>56</v>
      </c>
      <c r="AV202">
        <v>0</v>
      </c>
      <c r="AW202">
        <v>2</v>
      </c>
      <c r="AX202">
        <v>55928172</v>
      </c>
      <c r="AY202">
        <v>1</v>
      </c>
      <c r="AZ202">
        <v>0</v>
      </c>
      <c r="BA202">
        <v>226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ROUND(Y202*Source!I251,9)</f>
        <v>1.05E-4</v>
      </c>
      <c r="CY202">
        <f t="shared" si="76"/>
        <v>141233.74</v>
      </c>
      <c r="CZ202">
        <f t="shared" si="77"/>
        <v>8590.86</v>
      </c>
      <c r="DA202">
        <f t="shared" si="78"/>
        <v>16.440000000000001</v>
      </c>
      <c r="DB202">
        <f t="shared" si="79"/>
        <v>9.02</v>
      </c>
      <c r="DC202">
        <f t="shared" si="80"/>
        <v>0</v>
      </c>
      <c r="DD202" t="s">
        <v>3</v>
      </c>
      <c r="DE202" t="s">
        <v>3</v>
      </c>
      <c r="DF202">
        <f t="shared" si="81"/>
        <v>14.83</v>
      </c>
      <c r="DG202">
        <f t="shared" si="82"/>
        <v>0</v>
      </c>
      <c r="DH202">
        <f t="shared" si="74"/>
        <v>0</v>
      </c>
      <c r="DI202">
        <f t="shared" si="73"/>
        <v>0</v>
      </c>
      <c r="DJ202">
        <f t="shared" si="83"/>
        <v>14.83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ROW(Source!A251)</f>
        <v>251</v>
      </c>
      <c r="B203">
        <v>55919549</v>
      </c>
      <c r="C203">
        <v>55928166</v>
      </c>
      <c r="D203">
        <v>55459339</v>
      </c>
      <c r="E203">
        <v>1</v>
      </c>
      <c r="F203">
        <v>1</v>
      </c>
      <c r="G203">
        <v>1081</v>
      </c>
      <c r="H203">
        <v>3</v>
      </c>
      <c r="I203" t="s">
        <v>316</v>
      </c>
      <c r="J203" t="s">
        <v>317</v>
      </c>
      <c r="K203" t="s">
        <v>318</v>
      </c>
      <c r="L203">
        <v>1354</v>
      </c>
      <c r="N203">
        <v>1010</v>
      </c>
      <c r="O203" t="s">
        <v>156</v>
      </c>
      <c r="P203" t="s">
        <v>156</v>
      </c>
      <c r="Q203">
        <v>1</v>
      </c>
      <c r="W203">
        <v>0</v>
      </c>
      <c r="X203">
        <v>1424298623</v>
      </c>
      <c r="Y203">
        <f t="shared" si="75"/>
        <v>218</v>
      </c>
      <c r="AA203">
        <v>7.57</v>
      </c>
      <c r="AB203">
        <v>0</v>
      </c>
      <c r="AC203">
        <v>0</v>
      </c>
      <c r="AD203">
        <v>0</v>
      </c>
      <c r="AE203">
        <v>3.86</v>
      </c>
      <c r="AF203">
        <v>0</v>
      </c>
      <c r="AG203">
        <v>0</v>
      </c>
      <c r="AH203">
        <v>0</v>
      </c>
      <c r="AI203">
        <v>1.96</v>
      </c>
      <c r="AJ203">
        <v>1</v>
      </c>
      <c r="AK203">
        <v>1</v>
      </c>
      <c r="AL203">
        <v>1</v>
      </c>
      <c r="AM203">
        <v>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218</v>
      </c>
      <c r="AU203" t="s">
        <v>56</v>
      </c>
      <c r="AV203">
        <v>0</v>
      </c>
      <c r="AW203">
        <v>2</v>
      </c>
      <c r="AX203">
        <v>55928173</v>
      </c>
      <c r="AY203">
        <v>1</v>
      </c>
      <c r="AZ203">
        <v>0</v>
      </c>
      <c r="BA203">
        <v>227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ROUND(Y203*Source!I251,9)</f>
        <v>21.8</v>
      </c>
      <c r="CY203">
        <f t="shared" si="76"/>
        <v>7.57</v>
      </c>
      <c r="CZ203">
        <f t="shared" si="77"/>
        <v>3.86</v>
      </c>
      <c r="DA203">
        <f t="shared" si="78"/>
        <v>1.96</v>
      </c>
      <c r="DB203">
        <f t="shared" si="79"/>
        <v>841.48</v>
      </c>
      <c r="DC203">
        <f t="shared" si="80"/>
        <v>0</v>
      </c>
      <c r="DD203" t="s">
        <v>3</v>
      </c>
      <c r="DE203" t="s">
        <v>3</v>
      </c>
      <c r="DF203">
        <f t="shared" si="81"/>
        <v>165.03</v>
      </c>
      <c r="DG203">
        <f t="shared" si="82"/>
        <v>0</v>
      </c>
      <c r="DH203">
        <f t="shared" si="74"/>
        <v>0</v>
      </c>
      <c r="DI203">
        <f t="shared" si="73"/>
        <v>0</v>
      </c>
      <c r="DJ203">
        <f t="shared" si="83"/>
        <v>165.03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">
      <c r="A204">
        <f>ROW(Source!A251)</f>
        <v>251</v>
      </c>
      <c r="B204">
        <v>55919549</v>
      </c>
      <c r="C204">
        <v>55928166</v>
      </c>
      <c r="D204">
        <v>55460882</v>
      </c>
      <c r="E204">
        <v>1</v>
      </c>
      <c r="F204">
        <v>1</v>
      </c>
      <c r="G204">
        <v>1081</v>
      </c>
      <c r="H204">
        <v>3</v>
      </c>
      <c r="I204" t="s">
        <v>319</v>
      </c>
      <c r="J204" t="s">
        <v>320</v>
      </c>
      <c r="K204" t="s">
        <v>321</v>
      </c>
      <c r="L204">
        <v>1348</v>
      </c>
      <c r="N204">
        <v>1009</v>
      </c>
      <c r="O204" t="s">
        <v>284</v>
      </c>
      <c r="P204" t="s">
        <v>284</v>
      </c>
      <c r="Q204">
        <v>1000</v>
      </c>
      <c r="W204">
        <v>0</v>
      </c>
      <c r="X204">
        <v>-1448166212</v>
      </c>
      <c r="Y204">
        <f t="shared" si="75"/>
        <v>2.1800000000000001E-3</v>
      </c>
      <c r="AA204">
        <v>109175.63</v>
      </c>
      <c r="AB204">
        <v>0</v>
      </c>
      <c r="AC204">
        <v>0</v>
      </c>
      <c r="AD204">
        <v>0</v>
      </c>
      <c r="AE204">
        <v>14327.51</v>
      </c>
      <c r="AF204">
        <v>0</v>
      </c>
      <c r="AG204">
        <v>0</v>
      </c>
      <c r="AH204">
        <v>0</v>
      </c>
      <c r="AI204">
        <v>7.62</v>
      </c>
      <c r="AJ204">
        <v>1</v>
      </c>
      <c r="AK204">
        <v>1</v>
      </c>
      <c r="AL204">
        <v>1</v>
      </c>
      <c r="AM204">
        <v>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2.1800000000000001E-3</v>
      </c>
      <c r="AU204" t="s">
        <v>56</v>
      </c>
      <c r="AV204">
        <v>0</v>
      </c>
      <c r="AW204">
        <v>2</v>
      </c>
      <c r="AX204">
        <v>55928174</v>
      </c>
      <c r="AY204">
        <v>1</v>
      </c>
      <c r="AZ204">
        <v>0</v>
      </c>
      <c r="BA204">
        <v>228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ROUND(Y204*Source!I251,9)</f>
        <v>2.1800000000000001E-4</v>
      </c>
      <c r="CY204">
        <f t="shared" si="76"/>
        <v>109175.63</v>
      </c>
      <c r="CZ204">
        <f t="shared" si="77"/>
        <v>14327.51</v>
      </c>
      <c r="DA204">
        <f t="shared" si="78"/>
        <v>7.62</v>
      </c>
      <c r="DB204">
        <f t="shared" si="79"/>
        <v>31.23</v>
      </c>
      <c r="DC204">
        <f t="shared" si="80"/>
        <v>0</v>
      </c>
      <c r="DD204" t="s">
        <v>3</v>
      </c>
      <c r="DE204" t="s">
        <v>3</v>
      </c>
      <c r="DF204">
        <f t="shared" si="81"/>
        <v>23.8</v>
      </c>
      <c r="DG204">
        <f t="shared" si="82"/>
        <v>0</v>
      </c>
      <c r="DH204">
        <f t="shared" si="74"/>
        <v>0</v>
      </c>
      <c r="DI204">
        <f t="shared" si="73"/>
        <v>0</v>
      </c>
      <c r="DJ204">
        <f t="shared" si="83"/>
        <v>23.8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">
      <c r="A205">
        <f>ROW(Source!A251)</f>
        <v>251</v>
      </c>
      <c r="B205">
        <v>55919549</v>
      </c>
      <c r="C205">
        <v>55928166</v>
      </c>
      <c r="D205">
        <v>55459815</v>
      </c>
      <c r="E205">
        <v>1</v>
      </c>
      <c r="F205">
        <v>1</v>
      </c>
      <c r="G205">
        <v>1081</v>
      </c>
      <c r="H205">
        <v>3</v>
      </c>
      <c r="I205" t="s">
        <v>322</v>
      </c>
      <c r="J205" t="s">
        <v>323</v>
      </c>
      <c r="K205" t="s">
        <v>324</v>
      </c>
      <c r="L205">
        <v>1348</v>
      </c>
      <c r="N205">
        <v>1009</v>
      </c>
      <c r="O205" t="s">
        <v>284</v>
      </c>
      <c r="P205" t="s">
        <v>284</v>
      </c>
      <c r="Q205">
        <v>1000</v>
      </c>
      <c r="W205">
        <v>0</v>
      </c>
      <c r="X205">
        <v>-557692701</v>
      </c>
      <c r="Y205">
        <f t="shared" si="75"/>
        <v>3.0000000000000001E-3</v>
      </c>
      <c r="AA205">
        <v>72799.61</v>
      </c>
      <c r="AB205">
        <v>0</v>
      </c>
      <c r="AC205">
        <v>0</v>
      </c>
      <c r="AD205">
        <v>0</v>
      </c>
      <c r="AE205">
        <v>7973.67</v>
      </c>
      <c r="AF205">
        <v>0</v>
      </c>
      <c r="AG205">
        <v>0</v>
      </c>
      <c r="AH205">
        <v>0</v>
      </c>
      <c r="AI205">
        <v>9.1300000000000008</v>
      </c>
      <c r="AJ205">
        <v>1</v>
      </c>
      <c r="AK205">
        <v>1</v>
      </c>
      <c r="AL205">
        <v>1</v>
      </c>
      <c r="AM205">
        <v>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3.0000000000000001E-3</v>
      </c>
      <c r="AU205" t="s">
        <v>56</v>
      </c>
      <c r="AV205">
        <v>0</v>
      </c>
      <c r="AW205">
        <v>2</v>
      </c>
      <c r="AX205">
        <v>55928175</v>
      </c>
      <c r="AY205">
        <v>1</v>
      </c>
      <c r="AZ205">
        <v>0</v>
      </c>
      <c r="BA205">
        <v>229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ROUND(Y205*Source!I251,9)</f>
        <v>2.9999999999999997E-4</v>
      </c>
      <c r="CY205">
        <f t="shared" si="76"/>
        <v>72799.61</v>
      </c>
      <c r="CZ205">
        <f t="shared" si="77"/>
        <v>7973.67</v>
      </c>
      <c r="DA205">
        <f t="shared" si="78"/>
        <v>9.1300000000000008</v>
      </c>
      <c r="DB205">
        <f t="shared" si="79"/>
        <v>23.92</v>
      </c>
      <c r="DC205">
        <f t="shared" si="80"/>
        <v>0</v>
      </c>
      <c r="DD205" t="s">
        <v>3</v>
      </c>
      <c r="DE205" t="s">
        <v>3</v>
      </c>
      <c r="DF205">
        <f t="shared" si="81"/>
        <v>21.84</v>
      </c>
      <c r="DG205">
        <f t="shared" si="82"/>
        <v>0</v>
      </c>
      <c r="DH205">
        <f t="shared" si="74"/>
        <v>0</v>
      </c>
      <c r="DI205">
        <f t="shared" si="73"/>
        <v>0</v>
      </c>
      <c r="DJ205">
        <f t="shared" si="83"/>
        <v>21.84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ROW(Source!A251)</f>
        <v>251</v>
      </c>
      <c r="B206">
        <v>55919549</v>
      </c>
      <c r="C206">
        <v>55928166</v>
      </c>
      <c r="D206">
        <v>55482617</v>
      </c>
      <c r="E206">
        <v>1</v>
      </c>
      <c r="F206">
        <v>1</v>
      </c>
      <c r="G206">
        <v>1081</v>
      </c>
      <c r="H206">
        <v>3</v>
      </c>
      <c r="I206" t="s">
        <v>325</v>
      </c>
      <c r="J206" t="s">
        <v>326</v>
      </c>
      <c r="K206" t="s">
        <v>327</v>
      </c>
      <c r="L206">
        <v>1354</v>
      </c>
      <c r="N206">
        <v>1010</v>
      </c>
      <c r="O206" t="s">
        <v>156</v>
      </c>
      <c r="P206" t="s">
        <v>156</v>
      </c>
      <c r="Q206">
        <v>1</v>
      </c>
      <c r="W206">
        <v>0</v>
      </c>
      <c r="X206">
        <v>-1189947653</v>
      </c>
      <c r="Y206">
        <f t="shared" si="75"/>
        <v>5</v>
      </c>
      <c r="AA206">
        <v>123.97</v>
      </c>
      <c r="AB206">
        <v>0</v>
      </c>
      <c r="AC206">
        <v>0</v>
      </c>
      <c r="AD206">
        <v>0</v>
      </c>
      <c r="AE206">
        <v>14.99</v>
      </c>
      <c r="AF206">
        <v>0</v>
      </c>
      <c r="AG206">
        <v>0</v>
      </c>
      <c r="AH206">
        <v>0</v>
      </c>
      <c r="AI206">
        <v>8.27</v>
      </c>
      <c r="AJ206">
        <v>1</v>
      </c>
      <c r="AK206">
        <v>1</v>
      </c>
      <c r="AL206">
        <v>1</v>
      </c>
      <c r="AM206">
        <v>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5</v>
      </c>
      <c r="AU206" t="s">
        <v>56</v>
      </c>
      <c r="AV206">
        <v>0</v>
      </c>
      <c r="AW206">
        <v>2</v>
      </c>
      <c r="AX206">
        <v>55928176</v>
      </c>
      <c r="AY206">
        <v>1</v>
      </c>
      <c r="AZ206">
        <v>0</v>
      </c>
      <c r="BA206">
        <v>230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ROUND(Y206*Source!I251,9)</f>
        <v>0.5</v>
      </c>
      <c r="CY206">
        <f t="shared" si="76"/>
        <v>123.97</v>
      </c>
      <c r="CZ206">
        <f t="shared" si="77"/>
        <v>14.99</v>
      </c>
      <c r="DA206">
        <f t="shared" si="78"/>
        <v>8.27</v>
      </c>
      <c r="DB206">
        <f t="shared" si="79"/>
        <v>74.95</v>
      </c>
      <c r="DC206">
        <f t="shared" si="80"/>
        <v>0</v>
      </c>
      <c r="DD206" t="s">
        <v>3</v>
      </c>
      <c r="DE206" t="s">
        <v>3</v>
      </c>
      <c r="DF206">
        <f t="shared" si="81"/>
        <v>61.99</v>
      </c>
      <c r="DG206">
        <f t="shared" si="82"/>
        <v>0</v>
      </c>
      <c r="DH206">
        <f t="shared" si="74"/>
        <v>0</v>
      </c>
      <c r="DI206">
        <f t="shared" si="73"/>
        <v>0</v>
      </c>
      <c r="DJ206">
        <f t="shared" si="83"/>
        <v>61.99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">
      <c r="A207">
        <f>ROW(Source!A251)</f>
        <v>251</v>
      </c>
      <c r="B207">
        <v>55919549</v>
      </c>
      <c r="C207">
        <v>55928166</v>
      </c>
      <c r="D207">
        <v>55481638</v>
      </c>
      <c r="E207">
        <v>1</v>
      </c>
      <c r="F207">
        <v>1</v>
      </c>
      <c r="G207">
        <v>1081</v>
      </c>
      <c r="H207">
        <v>3</v>
      </c>
      <c r="I207" t="s">
        <v>257</v>
      </c>
      <c r="J207" t="s">
        <v>259</v>
      </c>
      <c r="K207" t="s">
        <v>258</v>
      </c>
      <c r="L207">
        <v>1301</v>
      </c>
      <c r="N207">
        <v>1003</v>
      </c>
      <c r="O207" t="s">
        <v>206</v>
      </c>
      <c r="P207" t="s">
        <v>206</v>
      </c>
      <c r="Q207">
        <v>1</v>
      </c>
      <c r="W207">
        <v>0</v>
      </c>
      <c r="X207">
        <v>357884200</v>
      </c>
      <c r="Y207">
        <f t="shared" si="75"/>
        <v>103</v>
      </c>
      <c r="AA207">
        <v>47.09</v>
      </c>
      <c r="AB207">
        <v>0</v>
      </c>
      <c r="AC207">
        <v>0</v>
      </c>
      <c r="AD207">
        <v>0</v>
      </c>
      <c r="AE207">
        <v>12.83</v>
      </c>
      <c r="AF207">
        <v>0</v>
      </c>
      <c r="AG207">
        <v>0</v>
      </c>
      <c r="AH207">
        <v>0</v>
      </c>
      <c r="AI207">
        <v>3.67</v>
      </c>
      <c r="AJ207">
        <v>1</v>
      </c>
      <c r="AK207">
        <v>1</v>
      </c>
      <c r="AL207">
        <v>1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 t="s">
        <v>3</v>
      </c>
      <c r="AT207">
        <v>103</v>
      </c>
      <c r="AU207" t="s">
        <v>56</v>
      </c>
      <c r="AV207">
        <v>0</v>
      </c>
      <c r="AW207">
        <v>1</v>
      </c>
      <c r="AX207">
        <v>-1</v>
      </c>
      <c r="AY207">
        <v>0</v>
      </c>
      <c r="AZ207">
        <v>0</v>
      </c>
      <c r="BA207" t="s">
        <v>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ROUND(Y207*Source!I251,9)</f>
        <v>10.3</v>
      </c>
      <c r="CY207">
        <f t="shared" si="76"/>
        <v>47.09</v>
      </c>
      <c r="CZ207">
        <f t="shared" si="77"/>
        <v>12.83</v>
      </c>
      <c r="DA207">
        <f t="shared" si="78"/>
        <v>3.67</v>
      </c>
      <c r="DB207">
        <f t="shared" si="79"/>
        <v>1321.49</v>
      </c>
      <c r="DC207">
        <f t="shared" si="80"/>
        <v>0</v>
      </c>
      <c r="DD207" t="s">
        <v>3</v>
      </c>
      <c r="DE207" t="s">
        <v>3</v>
      </c>
      <c r="DF207">
        <f t="shared" si="81"/>
        <v>485.03</v>
      </c>
      <c r="DG207">
        <f t="shared" si="82"/>
        <v>0</v>
      </c>
      <c r="DH207">
        <f t="shared" si="74"/>
        <v>0</v>
      </c>
      <c r="DI207">
        <f t="shared" si="73"/>
        <v>0</v>
      </c>
      <c r="DJ207">
        <f t="shared" si="83"/>
        <v>485.03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">
      <c r="A208">
        <f>ROW(Source!A251)</f>
        <v>251</v>
      </c>
      <c r="B208">
        <v>55919549</v>
      </c>
      <c r="C208">
        <v>55928166</v>
      </c>
      <c r="D208">
        <v>55481933</v>
      </c>
      <c r="E208">
        <v>1</v>
      </c>
      <c r="F208">
        <v>1</v>
      </c>
      <c r="G208">
        <v>1081</v>
      </c>
      <c r="H208">
        <v>3</v>
      </c>
      <c r="I208" t="s">
        <v>328</v>
      </c>
      <c r="J208" t="s">
        <v>329</v>
      </c>
      <c r="K208" t="s">
        <v>330</v>
      </c>
      <c r="L208">
        <v>1356</v>
      </c>
      <c r="N208">
        <v>1010</v>
      </c>
      <c r="O208" t="s">
        <v>331</v>
      </c>
      <c r="P208" t="s">
        <v>331</v>
      </c>
      <c r="Q208">
        <v>1000</v>
      </c>
      <c r="W208">
        <v>0</v>
      </c>
      <c r="X208">
        <v>-2144806629</v>
      </c>
      <c r="Y208">
        <f t="shared" si="75"/>
        <v>0.25</v>
      </c>
      <c r="AA208">
        <v>4526.01</v>
      </c>
      <c r="AB208">
        <v>0</v>
      </c>
      <c r="AC208">
        <v>0</v>
      </c>
      <c r="AD208">
        <v>0</v>
      </c>
      <c r="AE208">
        <v>1639.86</v>
      </c>
      <c r="AF208">
        <v>0</v>
      </c>
      <c r="AG208">
        <v>0</v>
      </c>
      <c r="AH208">
        <v>0</v>
      </c>
      <c r="AI208">
        <v>2.76</v>
      </c>
      <c r="AJ208">
        <v>1</v>
      </c>
      <c r="AK208">
        <v>1</v>
      </c>
      <c r="AL208">
        <v>1</v>
      </c>
      <c r="AM208">
        <v>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0.25</v>
      </c>
      <c r="AU208" t="s">
        <v>56</v>
      </c>
      <c r="AV208">
        <v>0</v>
      </c>
      <c r="AW208">
        <v>2</v>
      </c>
      <c r="AX208">
        <v>55928177</v>
      </c>
      <c r="AY208">
        <v>1</v>
      </c>
      <c r="AZ208">
        <v>0</v>
      </c>
      <c r="BA208">
        <v>231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ROUND(Y208*Source!I251,9)</f>
        <v>2.5000000000000001E-2</v>
      </c>
      <c r="CY208">
        <f t="shared" si="76"/>
        <v>4526.01</v>
      </c>
      <c r="CZ208">
        <f t="shared" si="77"/>
        <v>1639.86</v>
      </c>
      <c r="DA208">
        <f t="shared" si="78"/>
        <v>2.76</v>
      </c>
      <c r="DB208">
        <f t="shared" si="79"/>
        <v>409.97</v>
      </c>
      <c r="DC208">
        <f t="shared" si="80"/>
        <v>0</v>
      </c>
      <c r="DD208" t="s">
        <v>3</v>
      </c>
      <c r="DE208" t="s">
        <v>3</v>
      </c>
      <c r="DF208">
        <f t="shared" si="81"/>
        <v>113.15</v>
      </c>
      <c r="DG208">
        <f t="shared" si="82"/>
        <v>0</v>
      </c>
      <c r="DH208">
        <f t="shared" si="74"/>
        <v>0</v>
      </c>
      <c r="DI208">
        <f t="shared" si="73"/>
        <v>0</v>
      </c>
      <c r="DJ208">
        <f t="shared" si="83"/>
        <v>113.15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23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55983534</v>
      </c>
      <c r="C1">
        <v>55983531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278</v>
      </c>
      <c r="J1" t="s">
        <v>3</v>
      </c>
      <c r="K1" t="s">
        <v>279</v>
      </c>
      <c r="L1">
        <v>1191</v>
      </c>
      <c r="N1">
        <v>1013</v>
      </c>
      <c r="O1" t="s">
        <v>280</v>
      </c>
      <c r="P1" t="s">
        <v>280</v>
      </c>
      <c r="Q1">
        <v>1</v>
      </c>
      <c r="X1">
        <v>5.37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25</v>
      </c>
      <c r="AG1">
        <v>1.9331999999999998</v>
      </c>
      <c r="AH1">
        <v>2</v>
      </c>
      <c r="AI1">
        <v>55983532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55983535</v>
      </c>
      <c r="C2">
        <v>55983531</v>
      </c>
      <c r="D2">
        <v>55459873</v>
      </c>
      <c r="E2">
        <v>1</v>
      </c>
      <c r="F2">
        <v>1</v>
      </c>
      <c r="G2">
        <v>1081</v>
      </c>
      <c r="H2">
        <v>3</v>
      </c>
      <c r="I2" t="s">
        <v>281</v>
      </c>
      <c r="J2" t="s">
        <v>282</v>
      </c>
      <c r="K2" t="s">
        <v>283</v>
      </c>
      <c r="L2">
        <v>1348</v>
      </c>
      <c r="N2">
        <v>1009</v>
      </c>
      <c r="O2" t="s">
        <v>284</v>
      </c>
      <c r="P2" t="s">
        <v>284</v>
      </c>
      <c r="Q2">
        <v>1000</v>
      </c>
      <c r="X2">
        <v>2.0000000000000002E-5</v>
      </c>
      <c r="Y2">
        <v>18495.41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24</v>
      </c>
      <c r="AG2">
        <v>0</v>
      </c>
      <c r="AH2">
        <v>2</v>
      </c>
      <c r="AI2">
        <v>55983533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ROW(Source!A29)</f>
        <v>29</v>
      </c>
      <c r="B3">
        <v>55983534</v>
      </c>
      <c r="C3">
        <v>55983531</v>
      </c>
      <c r="D3">
        <v>55424304</v>
      </c>
      <c r="E3">
        <v>1081</v>
      </c>
      <c r="F3">
        <v>1</v>
      </c>
      <c r="G3">
        <v>1081</v>
      </c>
      <c r="H3">
        <v>1</v>
      </c>
      <c r="I3" t="s">
        <v>278</v>
      </c>
      <c r="J3" t="s">
        <v>3</v>
      </c>
      <c r="K3" t="s">
        <v>279</v>
      </c>
      <c r="L3">
        <v>1191</v>
      </c>
      <c r="N3">
        <v>1013</v>
      </c>
      <c r="O3" t="s">
        <v>280</v>
      </c>
      <c r="P3" t="s">
        <v>280</v>
      </c>
      <c r="Q3">
        <v>1</v>
      </c>
      <c r="X3">
        <v>5.37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25</v>
      </c>
      <c r="AG3">
        <v>1.9331999999999998</v>
      </c>
      <c r="AH3">
        <v>2</v>
      </c>
      <c r="AI3">
        <v>55983532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ROW(Source!A29)</f>
        <v>29</v>
      </c>
      <c r="B4">
        <v>55983535</v>
      </c>
      <c r="C4">
        <v>55983531</v>
      </c>
      <c r="D4">
        <v>55459873</v>
      </c>
      <c r="E4">
        <v>1</v>
      </c>
      <c r="F4">
        <v>1</v>
      </c>
      <c r="G4">
        <v>1081</v>
      </c>
      <c r="H4">
        <v>3</v>
      </c>
      <c r="I4" t="s">
        <v>281</v>
      </c>
      <c r="J4" t="s">
        <v>282</v>
      </c>
      <c r="K4" t="s">
        <v>283</v>
      </c>
      <c r="L4">
        <v>1348</v>
      </c>
      <c r="N4">
        <v>1009</v>
      </c>
      <c r="O4" t="s">
        <v>284</v>
      </c>
      <c r="P4" t="s">
        <v>284</v>
      </c>
      <c r="Q4">
        <v>1000</v>
      </c>
      <c r="X4">
        <v>2.0000000000000002E-5</v>
      </c>
      <c r="Y4">
        <v>18495.41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24</v>
      </c>
      <c r="AG4">
        <v>0</v>
      </c>
      <c r="AH4">
        <v>2</v>
      </c>
      <c r="AI4">
        <v>55983533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ROW(Source!A30)</f>
        <v>30</v>
      </c>
      <c r="B5">
        <v>55983539</v>
      </c>
      <c r="C5">
        <v>55983536</v>
      </c>
      <c r="D5">
        <v>55424304</v>
      </c>
      <c r="E5">
        <v>1081</v>
      </c>
      <c r="F5">
        <v>1</v>
      </c>
      <c r="G5">
        <v>1081</v>
      </c>
      <c r="H5">
        <v>1</v>
      </c>
      <c r="I5" t="s">
        <v>278</v>
      </c>
      <c r="J5" t="s">
        <v>3</v>
      </c>
      <c r="K5" t="s">
        <v>279</v>
      </c>
      <c r="L5">
        <v>1191</v>
      </c>
      <c r="N5">
        <v>1013</v>
      </c>
      <c r="O5" t="s">
        <v>280</v>
      </c>
      <c r="P5" t="s">
        <v>280</v>
      </c>
      <c r="Q5">
        <v>1</v>
      </c>
      <c r="X5">
        <v>0.8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 t="s">
        <v>25</v>
      </c>
      <c r="AG5">
        <v>0.28799999999999998</v>
      </c>
      <c r="AH5">
        <v>2</v>
      </c>
      <c r="AI5">
        <v>55983537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ROW(Source!A30)</f>
        <v>30</v>
      </c>
      <c r="B6">
        <v>55983540</v>
      </c>
      <c r="C6">
        <v>55983536</v>
      </c>
      <c r="D6">
        <v>55460239</v>
      </c>
      <c r="E6">
        <v>1</v>
      </c>
      <c r="F6">
        <v>1</v>
      </c>
      <c r="G6">
        <v>1081</v>
      </c>
      <c r="H6">
        <v>3</v>
      </c>
      <c r="I6" t="s">
        <v>285</v>
      </c>
      <c r="J6" t="s">
        <v>286</v>
      </c>
      <c r="K6" t="s">
        <v>287</v>
      </c>
      <c r="L6">
        <v>1348</v>
      </c>
      <c r="N6">
        <v>1009</v>
      </c>
      <c r="O6" t="s">
        <v>284</v>
      </c>
      <c r="P6" t="s">
        <v>284</v>
      </c>
      <c r="Q6">
        <v>1000</v>
      </c>
      <c r="X6">
        <v>2.4000000000000001E-5</v>
      </c>
      <c r="Y6">
        <v>12416.13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24</v>
      </c>
      <c r="AG6">
        <v>0</v>
      </c>
      <c r="AH6">
        <v>2</v>
      </c>
      <c r="AI6">
        <v>55983538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ROW(Source!A31)</f>
        <v>31</v>
      </c>
      <c r="B7">
        <v>55983539</v>
      </c>
      <c r="C7">
        <v>55983536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278</v>
      </c>
      <c r="J7" t="s">
        <v>3</v>
      </c>
      <c r="K7" t="s">
        <v>279</v>
      </c>
      <c r="L7">
        <v>1191</v>
      </c>
      <c r="N7">
        <v>1013</v>
      </c>
      <c r="O7" t="s">
        <v>280</v>
      </c>
      <c r="P7" t="s">
        <v>280</v>
      </c>
      <c r="Q7">
        <v>1</v>
      </c>
      <c r="X7">
        <v>0.8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 t="s">
        <v>25</v>
      </c>
      <c r="AG7">
        <v>0.28799999999999998</v>
      </c>
      <c r="AH7">
        <v>2</v>
      </c>
      <c r="AI7">
        <v>55983537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ROW(Source!A31)</f>
        <v>31</v>
      </c>
      <c r="B8">
        <v>55983540</v>
      </c>
      <c r="C8">
        <v>55983536</v>
      </c>
      <c r="D8">
        <v>55460239</v>
      </c>
      <c r="E8">
        <v>1</v>
      </c>
      <c r="F8">
        <v>1</v>
      </c>
      <c r="G8">
        <v>1081</v>
      </c>
      <c r="H8">
        <v>3</v>
      </c>
      <c r="I8" t="s">
        <v>285</v>
      </c>
      <c r="J8" t="s">
        <v>286</v>
      </c>
      <c r="K8" t="s">
        <v>287</v>
      </c>
      <c r="L8">
        <v>1348</v>
      </c>
      <c r="N8">
        <v>1009</v>
      </c>
      <c r="O8" t="s">
        <v>284</v>
      </c>
      <c r="P8" t="s">
        <v>284</v>
      </c>
      <c r="Q8">
        <v>1000</v>
      </c>
      <c r="X8">
        <v>2.4000000000000001E-5</v>
      </c>
      <c r="Y8">
        <v>12416.13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24</v>
      </c>
      <c r="AG8">
        <v>0</v>
      </c>
      <c r="AH8">
        <v>2</v>
      </c>
      <c r="AI8">
        <v>55983538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ROW(Source!A32)</f>
        <v>32</v>
      </c>
      <c r="B9">
        <v>55983549</v>
      </c>
      <c r="C9">
        <v>55983541</v>
      </c>
      <c r="D9">
        <v>55424304</v>
      </c>
      <c r="E9">
        <v>1081</v>
      </c>
      <c r="F9">
        <v>1</v>
      </c>
      <c r="G9">
        <v>1081</v>
      </c>
      <c r="H9">
        <v>1</v>
      </c>
      <c r="I9" t="s">
        <v>278</v>
      </c>
      <c r="J9" t="s">
        <v>3</v>
      </c>
      <c r="K9" t="s">
        <v>279</v>
      </c>
      <c r="L9">
        <v>1191</v>
      </c>
      <c r="N9">
        <v>1013</v>
      </c>
      <c r="O9" t="s">
        <v>280</v>
      </c>
      <c r="P9" t="s">
        <v>280</v>
      </c>
      <c r="Q9">
        <v>1</v>
      </c>
      <c r="X9">
        <v>2.06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25</v>
      </c>
      <c r="AG9">
        <v>0.74159999999999993</v>
      </c>
      <c r="AH9">
        <v>2</v>
      </c>
      <c r="AI9">
        <v>55983542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ROW(Source!A32)</f>
        <v>32</v>
      </c>
      <c r="B10">
        <v>55983550</v>
      </c>
      <c r="C10">
        <v>55983541</v>
      </c>
      <c r="D10">
        <v>55489803</v>
      </c>
      <c r="E10">
        <v>1</v>
      </c>
      <c r="F10">
        <v>1</v>
      </c>
      <c r="G10">
        <v>1081</v>
      </c>
      <c r="H10">
        <v>2</v>
      </c>
      <c r="I10" t="s">
        <v>288</v>
      </c>
      <c r="J10" t="s">
        <v>289</v>
      </c>
      <c r="K10" t="s">
        <v>290</v>
      </c>
      <c r="L10">
        <v>1368</v>
      </c>
      <c r="N10">
        <v>1011</v>
      </c>
      <c r="O10" t="s">
        <v>291</v>
      </c>
      <c r="P10" t="s">
        <v>291</v>
      </c>
      <c r="Q10">
        <v>1</v>
      </c>
      <c r="X10">
        <v>0.19</v>
      </c>
      <c r="Y10">
        <v>0</v>
      </c>
      <c r="Z10">
        <v>41.45</v>
      </c>
      <c r="AA10">
        <v>12.62</v>
      </c>
      <c r="AB10">
        <v>0</v>
      </c>
      <c r="AC10">
        <v>0</v>
      </c>
      <c r="AD10">
        <v>1</v>
      </c>
      <c r="AE10">
        <v>0</v>
      </c>
      <c r="AF10" t="s">
        <v>25</v>
      </c>
      <c r="AG10">
        <v>6.8399999999999989E-2</v>
      </c>
      <c r="AH10">
        <v>2</v>
      </c>
      <c r="AI10">
        <v>55983543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ROW(Source!A32)</f>
        <v>32</v>
      </c>
      <c r="B11">
        <v>55983551</v>
      </c>
      <c r="C11">
        <v>55983541</v>
      </c>
      <c r="D11">
        <v>55489910</v>
      </c>
      <c r="E11">
        <v>1</v>
      </c>
      <c r="F11">
        <v>1</v>
      </c>
      <c r="G11">
        <v>1081</v>
      </c>
      <c r="H11">
        <v>2</v>
      </c>
      <c r="I11" t="s">
        <v>293</v>
      </c>
      <c r="J11" t="s">
        <v>294</v>
      </c>
      <c r="K11" t="s">
        <v>295</v>
      </c>
      <c r="L11">
        <v>1368</v>
      </c>
      <c r="N11">
        <v>1011</v>
      </c>
      <c r="O11" t="s">
        <v>291</v>
      </c>
      <c r="P11" t="s">
        <v>291</v>
      </c>
      <c r="Q11">
        <v>1</v>
      </c>
      <c r="X11">
        <v>0.61</v>
      </c>
      <c r="Y11">
        <v>0</v>
      </c>
      <c r="Z11">
        <v>7.11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25</v>
      </c>
      <c r="AG11">
        <v>0.21959999999999999</v>
      </c>
      <c r="AH11">
        <v>2</v>
      </c>
      <c r="AI11">
        <v>55983544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ROW(Source!A32)</f>
        <v>32</v>
      </c>
      <c r="B12">
        <v>55983552</v>
      </c>
      <c r="C12">
        <v>55983541</v>
      </c>
      <c r="D12">
        <v>55490209</v>
      </c>
      <c r="E12">
        <v>1</v>
      </c>
      <c r="F12">
        <v>1</v>
      </c>
      <c r="G12">
        <v>1081</v>
      </c>
      <c r="H12">
        <v>2</v>
      </c>
      <c r="I12" t="s">
        <v>296</v>
      </c>
      <c r="J12" t="s">
        <v>297</v>
      </c>
      <c r="K12" t="s">
        <v>298</v>
      </c>
      <c r="L12">
        <v>1368</v>
      </c>
      <c r="N12">
        <v>1011</v>
      </c>
      <c r="O12" t="s">
        <v>291</v>
      </c>
      <c r="P12" t="s">
        <v>291</v>
      </c>
      <c r="Q12">
        <v>1</v>
      </c>
      <c r="X12">
        <v>0.06</v>
      </c>
      <c r="Y12">
        <v>0</v>
      </c>
      <c r="Z12">
        <v>83.1</v>
      </c>
      <c r="AA12">
        <v>12.62</v>
      </c>
      <c r="AB12">
        <v>0</v>
      </c>
      <c r="AC12">
        <v>0</v>
      </c>
      <c r="AD12">
        <v>1</v>
      </c>
      <c r="AE12">
        <v>0</v>
      </c>
      <c r="AF12" t="s">
        <v>25</v>
      </c>
      <c r="AG12">
        <v>2.1599999999999998E-2</v>
      </c>
      <c r="AH12">
        <v>2</v>
      </c>
      <c r="AI12">
        <v>55983545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ROW(Source!A32)</f>
        <v>32</v>
      </c>
      <c r="B13">
        <v>55983553</v>
      </c>
      <c r="C13">
        <v>55983541</v>
      </c>
      <c r="D13">
        <v>55490260</v>
      </c>
      <c r="E13">
        <v>1</v>
      </c>
      <c r="F13">
        <v>1</v>
      </c>
      <c r="G13">
        <v>1081</v>
      </c>
      <c r="H13">
        <v>2</v>
      </c>
      <c r="I13" t="s">
        <v>299</v>
      </c>
      <c r="J13" t="s">
        <v>300</v>
      </c>
      <c r="K13" t="s">
        <v>301</v>
      </c>
      <c r="L13">
        <v>1368</v>
      </c>
      <c r="N13">
        <v>1011</v>
      </c>
      <c r="O13" t="s">
        <v>291</v>
      </c>
      <c r="P13" t="s">
        <v>291</v>
      </c>
      <c r="Q13">
        <v>1</v>
      </c>
      <c r="X13">
        <v>0.19</v>
      </c>
      <c r="Y13">
        <v>0</v>
      </c>
      <c r="Z13">
        <v>1.1499999999999999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25</v>
      </c>
      <c r="AG13">
        <v>6.8399999999999989E-2</v>
      </c>
      <c r="AH13">
        <v>2</v>
      </c>
      <c r="AI13">
        <v>55983546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ROW(Source!A32)</f>
        <v>32</v>
      </c>
      <c r="B14">
        <v>55983554</v>
      </c>
      <c r="C14">
        <v>55983541</v>
      </c>
      <c r="D14">
        <v>55460310</v>
      </c>
      <c r="E14">
        <v>1</v>
      </c>
      <c r="F14">
        <v>1</v>
      </c>
      <c r="G14">
        <v>1081</v>
      </c>
      <c r="H14">
        <v>3</v>
      </c>
      <c r="I14" t="s">
        <v>302</v>
      </c>
      <c r="J14" t="s">
        <v>303</v>
      </c>
      <c r="K14" t="s">
        <v>304</v>
      </c>
      <c r="L14">
        <v>1346</v>
      </c>
      <c r="N14">
        <v>1009</v>
      </c>
      <c r="O14" t="s">
        <v>151</v>
      </c>
      <c r="P14" t="s">
        <v>151</v>
      </c>
      <c r="Q14">
        <v>1</v>
      </c>
      <c r="X14">
        <v>0.02</v>
      </c>
      <c r="Y14">
        <v>29.89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24</v>
      </c>
      <c r="AG14">
        <v>0</v>
      </c>
      <c r="AH14">
        <v>2</v>
      </c>
      <c r="AI14">
        <v>55983547</v>
      </c>
      <c r="AJ14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ROW(Source!A32)</f>
        <v>32</v>
      </c>
      <c r="B15">
        <v>55983555</v>
      </c>
      <c r="C15">
        <v>55983541</v>
      </c>
      <c r="D15">
        <v>55460380</v>
      </c>
      <c r="E15">
        <v>1</v>
      </c>
      <c r="F15">
        <v>1</v>
      </c>
      <c r="G15">
        <v>1081</v>
      </c>
      <c r="H15">
        <v>3</v>
      </c>
      <c r="I15" t="s">
        <v>305</v>
      </c>
      <c r="J15" t="s">
        <v>306</v>
      </c>
      <c r="K15" t="s">
        <v>307</v>
      </c>
      <c r="L15">
        <v>1348</v>
      </c>
      <c r="N15">
        <v>1009</v>
      </c>
      <c r="O15" t="s">
        <v>284</v>
      </c>
      <c r="P15" t="s">
        <v>284</v>
      </c>
      <c r="Q15">
        <v>1000</v>
      </c>
      <c r="X15">
        <v>1E-4</v>
      </c>
      <c r="Y15">
        <v>8590.86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24</v>
      </c>
      <c r="AG15">
        <v>0</v>
      </c>
      <c r="AH15">
        <v>2</v>
      </c>
      <c r="AI15">
        <v>55983548</v>
      </c>
      <c r="AJ15">
        <v>15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ROW(Source!A32)</f>
        <v>32</v>
      </c>
      <c r="B16">
        <v>55983556</v>
      </c>
      <c r="C16">
        <v>55983541</v>
      </c>
      <c r="D16">
        <v>55416982</v>
      </c>
      <c r="E16">
        <v>1081</v>
      </c>
      <c r="F16">
        <v>1</v>
      </c>
      <c r="G16">
        <v>1081</v>
      </c>
      <c r="H16">
        <v>3</v>
      </c>
      <c r="I16" t="s">
        <v>382</v>
      </c>
      <c r="J16" t="s">
        <v>3</v>
      </c>
      <c r="K16" t="s">
        <v>383</v>
      </c>
      <c r="L16">
        <v>1346</v>
      </c>
      <c r="N16">
        <v>1009</v>
      </c>
      <c r="O16" t="s">
        <v>151</v>
      </c>
      <c r="P16" t="s">
        <v>151</v>
      </c>
      <c r="Q16">
        <v>1</v>
      </c>
      <c r="X16">
        <v>0.1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24</v>
      </c>
      <c r="AG16">
        <v>0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ROW(Source!A32)</f>
        <v>32</v>
      </c>
      <c r="B17">
        <v>55983557</v>
      </c>
      <c r="C17">
        <v>55983541</v>
      </c>
      <c r="D17">
        <v>55431448</v>
      </c>
      <c r="E17">
        <v>1081</v>
      </c>
      <c r="F17">
        <v>1</v>
      </c>
      <c r="G17">
        <v>1081</v>
      </c>
      <c r="H17">
        <v>3</v>
      </c>
      <c r="I17" t="s">
        <v>384</v>
      </c>
      <c r="J17" t="s">
        <v>3</v>
      </c>
      <c r="K17" t="s">
        <v>385</v>
      </c>
      <c r="L17">
        <v>1354</v>
      </c>
      <c r="N17">
        <v>1010</v>
      </c>
      <c r="O17" t="s">
        <v>156</v>
      </c>
      <c r="P17" t="s">
        <v>156</v>
      </c>
      <c r="Q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24</v>
      </c>
      <c r="AG17">
        <v>0</v>
      </c>
      <c r="AH17">
        <v>3</v>
      </c>
      <c r="AI17">
        <v>-1</v>
      </c>
      <c r="AJ17" t="s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ROW(Source!A33)</f>
        <v>33</v>
      </c>
      <c r="B18">
        <v>55983549</v>
      </c>
      <c r="C18">
        <v>55983541</v>
      </c>
      <c r="D18">
        <v>55424304</v>
      </c>
      <c r="E18">
        <v>1081</v>
      </c>
      <c r="F18">
        <v>1</v>
      </c>
      <c r="G18">
        <v>1081</v>
      </c>
      <c r="H18">
        <v>1</v>
      </c>
      <c r="I18" t="s">
        <v>278</v>
      </c>
      <c r="J18" t="s">
        <v>3</v>
      </c>
      <c r="K18" t="s">
        <v>279</v>
      </c>
      <c r="L18">
        <v>1191</v>
      </c>
      <c r="N18">
        <v>1013</v>
      </c>
      <c r="O18" t="s">
        <v>280</v>
      </c>
      <c r="P18" t="s">
        <v>280</v>
      </c>
      <c r="Q18">
        <v>1</v>
      </c>
      <c r="X18">
        <v>2.06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 t="s">
        <v>25</v>
      </c>
      <c r="AG18">
        <v>0.74159999999999993</v>
      </c>
      <c r="AH18">
        <v>2</v>
      </c>
      <c r="AI18">
        <v>55983542</v>
      </c>
      <c r="AJ18">
        <v>16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ROW(Source!A33)</f>
        <v>33</v>
      </c>
      <c r="B19">
        <v>55983550</v>
      </c>
      <c r="C19">
        <v>55983541</v>
      </c>
      <c r="D19">
        <v>55489803</v>
      </c>
      <c r="E19">
        <v>1</v>
      </c>
      <c r="F19">
        <v>1</v>
      </c>
      <c r="G19">
        <v>1081</v>
      </c>
      <c r="H19">
        <v>2</v>
      </c>
      <c r="I19" t="s">
        <v>288</v>
      </c>
      <c r="J19" t="s">
        <v>289</v>
      </c>
      <c r="K19" t="s">
        <v>290</v>
      </c>
      <c r="L19">
        <v>1368</v>
      </c>
      <c r="N19">
        <v>1011</v>
      </c>
      <c r="O19" t="s">
        <v>291</v>
      </c>
      <c r="P19" t="s">
        <v>291</v>
      </c>
      <c r="Q19">
        <v>1</v>
      </c>
      <c r="X19">
        <v>0.19</v>
      </c>
      <c r="Y19">
        <v>0</v>
      </c>
      <c r="Z19">
        <v>41.45</v>
      </c>
      <c r="AA19">
        <v>12.62</v>
      </c>
      <c r="AB19">
        <v>0</v>
      </c>
      <c r="AC19">
        <v>0</v>
      </c>
      <c r="AD19">
        <v>1</v>
      </c>
      <c r="AE19">
        <v>0</v>
      </c>
      <c r="AF19" t="s">
        <v>25</v>
      </c>
      <c r="AG19">
        <v>6.8399999999999989E-2</v>
      </c>
      <c r="AH19">
        <v>2</v>
      </c>
      <c r="AI19">
        <v>55983543</v>
      </c>
      <c r="AJ19">
        <v>17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ROW(Source!A33)</f>
        <v>33</v>
      </c>
      <c r="B20">
        <v>55983551</v>
      </c>
      <c r="C20">
        <v>55983541</v>
      </c>
      <c r="D20">
        <v>55489910</v>
      </c>
      <c r="E20">
        <v>1</v>
      </c>
      <c r="F20">
        <v>1</v>
      </c>
      <c r="G20">
        <v>1081</v>
      </c>
      <c r="H20">
        <v>2</v>
      </c>
      <c r="I20" t="s">
        <v>293</v>
      </c>
      <c r="J20" t="s">
        <v>294</v>
      </c>
      <c r="K20" t="s">
        <v>295</v>
      </c>
      <c r="L20">
        <v>1368</v>
      </c>
      <c r="N20">
        <v>1011</v>
      </c>
      <c r="O20" t="s">
        <v>291</v>
      </c>
      <c r="P20" t="s">
        <v>291</v>
      </c>
      <c r="Q20">
        <v>1</v>
      </c>
      <c r="X20">
        <v>0.61</v>
      </c>
      <c r="Y20">
        <v>0</v>
      </c>
      <c r="Z20">
        <v>7.11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25</v>
      </c>
      <c r="AG20">
        <v>0.21959999999999999</v>
      </c>
      <c r="AH20">
        <v>2</v>
      </c>
      <c r="AI20">
        <v>55983544</v>
      </c>
      <c r="AJ20">
        <v>18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ROW(Source!A33)</f>
        <v>33</v>
      </c>
      <c r="B21">
        <v>55983552</v>
      </c>
      <c r="C21">
        <v>55983541</v>
      </c>
      <c r="D21">
        <v>55490209</v>
      </c>
      <c r="E21">
        <v>1</v>
      </c>
      <c r="F21">
        <v>1</v>
      </c>
      <c r="G21">
        <v>1081</v>
      </c>
      <c r="H21">
        <v>2</v>
      </c>
      <c r="I21" t="s">
        <v>296</v>
      </c>
      <c r="J21" t="s">
        <v>297</v>
      </c>
      <c r="K21" t="s">
        <v>298</v>
      </c>
      <c r="L21">
        <v>1368</v>
      </c>
      <c r="N21">
        <v>1011</v>
      </c>
      <c r="O21" t="s">
        <v>291</v>
      </c>
      <c r="P21" t="s">
        <v>291</v>
      </c>
      <c r="Q21">
        <v>1</v>
      </c>
      <c r="X21">
        <v>0.06</v>
      </c>
      <c r="Y21">
        <v>0</v>
      </c>
      <c r="Z21">
        <v>83.1</v>
      </c>
      <c r="AA21">
        <v>12.62</v>
      </c>
      <c r="AB21">
        <v>0</v>
      </c>
      <c r="AC21">
        <v>0</v>
      </c>
      <c r="AD21">
        <v>1</v>
      </c>
      <c r="AE21">
        <v>0</v>
      </c>
      <c r="AF21" t="s">
        <v>25</v>
      </c>
      <c r="AG21">
        <v>2.1599999999999998E-2</v>
      </c>
      <c r="AH21">
        <v>2</v>
      </c>
      <c r="AI21">
        <v>55983545</v>
      </c>
      <c r="AJ21">
        <v>19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ROW(Source!A33)</f>
        <v>33</v>
      </c>
      <c r="B22">
        <v>55983553</v>
      </c>
      <c r="C22">
        <v>55983541</v>
      </c>
      <c r="D22">
        <v>55490260</v>
      </c>
      <c r="E22">
        <v>1</v>
      </c>
      <c r="F22">
        <v>1</v>
      </c>
      <c r="G22">
        <v>1081</v>
      </c>
      <c r="H22">
        <v>2</v>
      </c>
      <c r="I22" t="s">
        <v>299</v>
      </c>
      <c r="J22" t="s">
        <v>300</v>
      </c>
      <c r="K22" t="s">
        <v>301</v>
      </c>
      <c r="L22">
        <v>1368</v>
      </c>
      <c r="N22">
        <v>1011</v>
      </c>
      <c r="O22" t="s">
        <v>291</v>
      </c>
      <c r="P22" t="s">
        <v>291</v>
      </c>
      <c r="Q22">
        <v>1</v>
      </c>
      <c r="X22">
        <v>0.19</v>
      </c>
      <c r="Y22">
        <v>0</v>
      </c>
      <c r="Z22">
        <v>1.1499999999999999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25</v>
      </c>
      <c r="AG22">
        <v>6.8399999999999989E-2</v>
      </c>
      <c r="AH22">
        <v>2</v>
      </c>
      <c r="AI22">
        <v>55983546</v>
      </c>
      <c r="AJ22">
        <v>20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ROW(Source!A33)</f>
        <v>33</v>
      </c>
      <c r="B23">
        <v>55983554</v>
      </c>
      <c r="C23">
        <v>55983541</v>
      </c>
      <c r="D23">
        <v>55460310</v>
      </c>
      <c r="E23">
        <v>1</v>
      </c>
      <c r="F23">
        <v>1</v>
      </c>
      <c r="G23">
        <v>1081</v>
      </c>
      <c r="H23">
        <v>3</v>
      </c>
      <c r="I23" t="s">
        <v>302</v>
      </c>
      <c r="J23" t="s">
        <v>303</v>
      </c>
      <c r="K23" t="s">
        <v>304</v>
      </c>
      <c r="L23">
        <v>1346</v>
      </c>
      <c r="N23">
        <v>1009</v>
      </c>
      <c r="O23" t="s">
        <v>151</v>
      </c>
      <c r="P23" t="s">
        <v>151</v>
      </c>
      <c r="Q23">
        <v>1</v>
      </c>
      <c r="X23">
        <v>0.02</v>
      </c>
      <c r="Y23">
        <v>29.89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24</v>
      </c>
      <c r="AG23">
        <v>0</v>
      </c>
      <c r="AH23">
        <v>2</v>
      </c>
      <c r="AI23">
        <v>55983547</v>
      </c>
      <c r="AJ23">
        <v>21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ROW(Source!A33)</f>
        <v>33</v>
      </c>
      <c r="B24">
        <v>55983555</v>
      </c>
      <c r="C24">
        <v>55983541</v>
      </c>
      <c r="D24">
        <v>55460380</v>
      </c>
      <c r="E24">
        <v>1</v>
      </c>
      <c r="F24">
        <v>1</v>
      </c>
      <c r="G24">
        <v>1081</v>
      </c>
      <c r="H24">
        <v>3</v>
      </c>
      <c r="I24" t="s">
        <v>305</v>
      </c>
      <c r="J24" t="s">
        <v>306</v>
      </c>
      <c r="K24" t="s">
        <v>307</v>
      </c>
      <c r="L24">
        <v>1348</v>
      </c>
      <c r="N24">
        <v>1009</v>
      </c>
      <c r="O24" t="s">
        <v>284</v>
      </c>
      <c r="P24" t="s">
        <v>284</v>
      </c>
      <c r="Q24">
        <v>1000</v>
      </c>
      <c r="X24">
        <v>1E-4</v>
      </c>
      <c r="Y24">
        <v>8590.86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24</v>
      </c>
      <c r="AG24">
        <v>0</v>
      </c>
      <c r="AH24">
        <v>2</v>
      </c>
      <c r="AI24">
        <v>55983548</v>
      </c>
      <c r="AJ24">
        <v>22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ROW(Source!A33)</f>
        <v>33</v>
      </c>
      <c r="B25">
        <v>55983556</v>
      </c>
      <c r="C25">
        <v>55983541</v>
      </c>
      <c r="D25">
        <v>55416982</v>
      </c>
      <c r="E25">
        <v>1081</v>
      </c>
      <c r="F25">
        <v>1</v>
      </c>
      <c r="G25">
        <v>1081</v>
      </c>
      <c r="H25">
        <v>3</v>
      </c>
      <c r="I25" t="s">
        <v>382</v>
      </c>
      <c r="J25" t="s">
        <v>3</v>
      </c>
      <c r="K25" t="s">
        <v>383</v>
      </c>
      <c r="L25">
        <v>1346</v>
      </c>
      <c r="N25">
        <v>1009</v>
      </c>
      <c r="O25" t="s">
        <v>151</v>
      </c>
      <c r="P25" t="s">
        <v>151</v>
      </c>
      <c r="Q25">
        <v>1</v>
      </c>
      <c r="X25">
        <v>0.1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24</v>
      </c>
      <c r="AG25">
        <v>0</v>
      </c>
      <c r="AH25">
        <v>3</v>
      </c>
      <c r="AI25">
        <v>-1</v>
      </c>
      <c r="AJ25" t="s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ROW(Source!A33)</f>
        <v>33</v>
      </c>
      <c r="B26">
        <v>55983557</v>
      </c>
      <c r="C26">
        <v>55983541</v>
      </c>
      <c r="D26">
        <v>55431448</v>
      </c>
      <c r="E26">
        <v>1081</v>
      </c>
      <c r="F26">
        <v>1</v>
      </c>
      <c r="G26">
        <v>1081</v>
      </c>
      <c r="H26">
        <v>3</v>
      </c>
      <c r="I26" t="s">
        <v>384</v>
      </c>
      <c r="J26" t="s">
        <v>3</v>
      </c>
      <c r="K26" t="s">
        <v>385</v>
      </c>
      <c r="L26">
        <v>1354</v>
      </c>
      <c r="N26">
        <v>1010</v>
      </c>
      <c r="O26" t="s">
        <v>156</v>
      </c>
      <c r="P26" t="s">
        <v>156</v>
      </c>
      <c r="Q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24</v>
      </c>
      <c r="AG26">
        <v>0</v>
      </c>
      <c r="AH26">
        <v>3</v>
      </c>
      <c r="AI26">
        <v>-1</v>
      </c>
      <c r="AJ26" t="s">
        <v>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ROW(Source!A34)</f>
        <v>34</v>
      </c>
      <c r="B27">
        <v>55983561</v>
      </c>
      <c r="C27">
        <v>55983558</v>
      </c>
      <c r="D27">
        <v>55424304</v>
      </c>
      <c r="E27">
        <v>1081</v>
      </c>
      <c r="F27">
        <v>1</v>
      </c>
      <c r="G27">
        <v>1081</v>
      </c>
      <c r="H27">
        <v>1</v>
      </c>
      <c r="I27" t="s">
        <v>278</v>
      </c>
      <c r="J27" t="s">
        <v>3</v>
      </c>
      <c r="K27" t="s">
        <v>279</v>
      </c>
      <c r="L27">
        <v>1191</v>
      </c>
      <c r="N27">
        <v>1013</v>
      </c>
      <c r="O27" t="s">
        <v>280</v>
      </c>
      <c r="P27" t="s">
        <v>280</v>
      </c>
      <c r="Q27">
        <v>1</v>
      </c>
      <c r="X27">
        <v>1.9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 t="s">
        <v>25</v>
      </c>
      <c r="AG27">
        <v>0.68399999999999994</v>
      </c>
      <c r="AH27">
        <v>2</v>
      </c>
      <c r="AI27">
        <v>55983559</v>
      </c>
      <c r="AJ27">
        <v>23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ROW(Source!A34)</f>
        <v>34</v>
      </c>
      <c r="B28">
        <v>55983562</v>
      </c>
      <c r="C28">
        <v>55983558</v>
      </c>
      <c r="D28">
        <v>55459873</v>
      </c>
      <c r="E28">
        <v>1</v>
      </c>
      <c r="F28">
        <v>1</v>
      </c>
      <c r="G28">
        <v>1081</v>
      </c>
      <c r="H28">
        <v>3</v>
      </c>
      <c r="I28" t="s">
        <v>281</v>
      </c>
      <c r="J28" t="s">
        <v>282</v>
      </c>
      <c r="K28" t="s">
        <v>283</v>
      </c>
      <c r="L28">
        <v>1348</v>
      </c>
      <c r="N28">
        <v>1009</v>
      </c>
      <c r="O28" t="s">
        <v>284</v>
      </c>
      <c r="P28" t="s">
        <v>284</v>
      </c>
      <c r="Q28">
        <v>1000</v>
      </c>
      <c r="X28">
        <v>1.0000000000000001E-5</v>
      </c>
      <c r="Y28">
        <v>18495.41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24</v>
      </c>
      <c r="AG28">
        <v>0</v>
      </c>
      <c r="AH28">
        <v>2</v>
      </c>
      <c r="AI28">
        <v>55983560</v>
      </c>
      <c r="AJ28">
        <v>24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ROW(Source!A35)</f>
        <v>35</v>
      </c>
      <c r="B29">
        <v>55983561</v>
      </c>
      <c r="C29">
        <v>55983558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278</v>
      </c>
      <c r="J29" t="s">
        <v>3</v>
      </c>
      <c r="K29" t="s">
        <v>279</v>
      </c>
      <c r="L29">
        <v>1191</v>
      </c>
      <c r="N29">
        <v>1013</v>
      </c>
      <c r="O29" t="s">
        <v>280</v>
      </c>
      <c r="P29" t="s">
        <v>280</v>
      </c>
      <c r="Q29">
        <v>1</v>
      </c>
      <c r="X29">
        <v>1.9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 t="s">
        <v>25</v>
      </c>
      <c r="AG29">
        <v>0.68399999999999994</v>
      </c>
      <c r="AH29">
        <v>2</v>
      </c>
      <c r="AI29">
        <v>55983559</v>
      </c>
      <c r="AJ29">
        <v>25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ROW(Source!A35)</f>
        <v>35</v>
      </c>
      <c r="B30">
        <v>55983562</v>
      </c>
      <c r="C30">
        <v>55983558</v>
      </c>
      <c r="D30">
        <v>55459873</v>
      </c>
      <c r="E30">
        <v>1</v>
      </c>
      <c r="F30">
        <v>1</v>
      </c>
      <c r="G30">
        <v>1081</v>
      </c>
      <c r="H30">
        <v>3</v>
      </c>
      <c r="I30" t="s">
        <v>281</v>
      </c>
      <c r="J30" t="s">
        <v>282</v>
      </c>
      <c r="K30" t="s">
        <v>283</v>
      </c>
      <c r="L30">
        <v>1348</v>
      </c>
      <c r="N30">
        <v>1009</v>
      </c>
      <c r="O30" t="s">
        <v>284</v>
      </c>
      <c r="P30" t="s">
        <v>284</v>
      </c>
      <c r="Q30">
        <v>1000</v>
      </c>
      <c r="X30">
        <v>1.0000000000000001E-5</v>
      </c>
      <c r="Y30">
        <v>18495.41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24</v>
      </c>
      <c r="AG30">
        <v>0</v>
      </c>
      <c r="AH30">
        <v>2</v>
      </c>
      <c r="AI30">
        <v>55983560</v>
      </c>
      <c r="AJ30">
        <v>26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ROW(Source!A36)</f>
        <v>36</v>
      </c>
      <c r="B31">
        <v>55983566</v>
      </c>
      <c r="C31">
        <v>55983563</v>
      </c>
      <c r="D31">
        <v>55424304</v>
      </c>
      <c r="E31">
        <v>1081</v>
      </c>
      <c r="F31">
        <v>1</v>
      </c>
      <c r="G31">
        <v>1081</v>
      </c>
      <c r="H31">
        <v>1</v>
      </c>
      <c r="I31" t="s">
        <v>278</v>
      </c>
      <c r="J31" t="s">
        <v>3</v>
      </c>
      <c r="K31" t="s">
        <v>279</v>
      </c>
      <c r="L31">
        <v>1191</v>
      </c>
      <c r="N31">
        <v>1013</v>
      </c>
      <c r="O31" t="s">
        <v>280</v>
      </c>
      <c r="P31" t="s">
        <v>280</v>
      </c>
      <c r="Q31">
        <v>1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 t="s">
        <v>25</v>
      </c>
      <c r="AG31">
        <v>0.72</v>
      </c>
      <c r="AH31">
        <v>2</v>
      </c>
      <c r="AI31">
        <v>55983564</v>
      </c>
      <c r="AJ31">
        <v>27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ROW(Source!A36)</f>
        <v>36</v>
      </c>
      <c r="B32">
        <v>55983567</v>
      </c>
      <c r="C32">
        <v>55983563</v>
      </c>
      <c r="D32">
        <v>55460239</v>
      </c>
      <c r="E32">
        <v>1</v>
      </c>
      <c r="F32">
        <v>1</v>
      </c>
      <c r="G32">
        <v>1081</v>
      </c>
      <c r="H32">
        <v>3</v>
      </c>
      <c r="I32" t="s">
        <v>285</v>
      </c>
      <c r="J32" t="s">
        <v>286</v>
      </c>
      <c r="K32" t="s">
        <v>287</v>
      </c>
      <c r="L32">
        <v>1348</v>
      </c>
      <c r="N32">
        <v>1009</v>
      </c>
      <c r="O32" t="s">
        <v>284</v>
      </c>
      <c r="P32" t="s">
        <v>284</v>
      </c>
      <c r="Q32">
        <v>1000</v>
      </c>
      <c r="X32">
        <v>2.4000000000000001E-5</v>
      </c>
      <c r="Y32">
        <v>12416.13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24</v>
      </c>
      <c r="AG32">
        <v>0</v>
      </c>
      <c r="AH32">
        <v>2</v>
      </c>
      <c r="AI32">
        <v>55983565</v>
      </c>
      <c r="AJ32">
        <v>28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ROW(Source!A37)</f>
        <v>37</v>
      </c>
      <c r="B33">
        <v>55983566</v>
      </c>
      <c r="C33">
        <v>55983563</v>
      </c>
      <c r="D33">
        <v>55424304</v>
      </c>
      <c r="E33">
        <v>1081</v>
      </c>
      <c r="F33">
        <v>1</v>
      </c>
      <c r="G33">
        <v>1081</v>
      </c>
      <c r="H33">
        <v>1</v>
      </c>
      <c r="I33" t="s">
        <v>278</v>
      </c>
      <c r="J33" t="s">
        <v>3</v>
      </c>
      <c r="K33" t="s">
        <v>279</v>
      </c>
      <c r="L33">
        <v>1191</v>
      </c>
      <c r="N33">
        <v>1013</v>
      </c>
      <c r="O33" t="s">
        <v>280</v>
      </c>
      <c r="P33" t="s">
        <v>280</v>
      </c>
      <c r="Q33">
        <v>1</v>
      </c>
      <c r="X33">
        <v>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25</v>
      </c>
      <c r="AG33">
        <v>0.72</v>
      </c>
      <c r="AH33">
        <v>2</v>
      </c>
      <c r="AI33">
        <v>55983564</v>
      </c>
      <c r="AJ33">
        <v>29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ROW(Source!A37)</f>
        <v>37</v>
      </c>
      <c r="B34">
        <v>55983567</v>
      </c>
      <c r="C34">
        <v>55983563</v>
      </c>
      <c r="D34">
        <v>55460239</v>
      </c>
      <c r="E34">
        <v>1</v>
      </c>
      <c r="F34">
        <v>1</v>
      </c>
      <c r="G34">
        <v>1081</v>
      </c>
      <c r="H34">
        <v>3</v>
      </c>
      <c r="I34" t="s">
        <v>285</v>
      </c>
      <c r="J34" t="s">
        <v>286</v>
      </c>
      <c r="K34" t="s">
        <v>287</v>
      </c>
      <c r="L34">
        <v>1348</v>
      </c>
      <c r="N34">
        <v>1009</v>
      </c>
      <c r="O34" t="s">
        <v>284</v>
      </c>
      <c r="P34" t="s">
        <v>284</v>
      </c>
      <c r="Q34">
        <v>1000</v>
      </c>
      <c r="X34">
        <v>2.4000000000000001E-5</v>
      </c>
      <c r="Y34">
        <v>12416.13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24</v>
      </c>
      <c r="AG34">
        <v>0</v>
      </c>
      <c r="AH34">
        <v>2</v>
      </c>
      <c r="AI34">
        <v>55983565</v>
      </c>
      <c r="AJ34">
        <v>30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ROW(Source!A38)</f>
        <v>38</v>
      </c>
      <c r="B35">
        <v>55983571</v>
      </c>
      <c r="C35">
        <v>55983568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278</v>
      </c>
      <c r="J35" t="s">
        <v>3</v>
      </c>
      <c r="K35" t="s">
        <v>279</v>
      </c>
      <c r="L35">
        <v>1191</v>
      </c>
      <c r="N35">
        <v>1013</v>
      </c>
      <c r="O35" t="s">
        <v>280</v>
      </c>
      <c r="P35" t="s">
        <v>280</v>
      </c>
      <c r="Q35">
        <v>1</v>
      </c>
      <c r="X35">
        <v>0.8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 t="s">
        <v>25</v>
      </c>
      <c r="AG35">
        <v>0.28799999999999998</v>
      </c>
      <c r="AH35">
        <v>2</v>
      </c>
      <c r="AI35">
        <v>55983569</v>
      </c>
      <c r="AJ35">
        <v>31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ROW(Source!A38)</f>
        <v>38</v>
      </c>
      <c r="B36">
        <v>55983572</v>
      </c>
      <c r="C36">
        <v>55983568</v>
      </c>
      <c r="D36">
        <v>55460239</v>
      </c>
      <c r="E36">
        <v>1</v>
      </c>
      <c r="F36">
        <v>1</v>
      </c>
      <c r="G36">
        <v>1081</v>
      </c>
      <c r="H36">
        <v>3</v>
      </c>
      <c r="I36" t="s">
        <v>285</v>
      </c>
      <c r="J36" t="s">
        <v>286</v>
      </c>
      <c r="K36" t="s">
        <v>287</v>
      </c>
      <c r="L36">
        <v>1348</v>
      </c>
      <c r="N36">
        <v>1009</v>
      </c>
      <c r="O36" t="s">
        <v>284</v>
      </c>
      <c r="P36" t="s">
        <v>284</v>
      </c>
      <c r="Q36">
        <v>1000</v>
      </c>
      <c r="X36">
        <v>2.4000000000000001E-5</v>
      </c>
      <c r="Y36">
        <v>12416.13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24</v>
      </c>
      <c r="AG36">
        <v>0</v>
      </c>
      <c r="AH36">
        <v>2</v>
      </c>
      <c r="AI36">
        <v>55983570</v>
      </c>
      <c r="AJ36">
        <v>32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ROW(Source!A39)</f>
        <v>39</v>
      </c>
      <c r="B37">
        <v>55983571</v>
      </c>
      <c r="C37">
        <v>55983568</v>
      </c>
      <c r="D37">
        <v>55424304</v>
      </c>
      <c r="E37">
        <v>1081</v>
      </c>
      <c r="F37">
        <v>1</v>
      </c>
      <c r="G37">
        <v>1081</v>
      </c>
      <c r="H37">
        <v>1</v>
      </c>
      <c r="I37" t="s">
        <v>278</v>
      </c>
      <c r="J37" t="s">
        <v>3</v>
      </c>
      <c r="K37" t="s">
        <v>279</v>
      </c>
      <c r="L37">
        <v>1191</v>
      </c>
      <c r="N37">
        <v>1013</v>
      </c>
      <c r="O37" t="s">
        <v>280</v>
      </c>
      <c r="P37" t="s">
        <v>280</v>
      </c>
      <c r="Q37">
        <v>1</v>
      </c>
      <c r="X37">
        <v>0.8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 t="s">
        <v>25</v>
      </c>
      <c r="AG37">
        <v>0.28799999999999998</v>
      </c>
      <c r="AH37">
        <v>2</v>
      </c>
      <c r="AI37">
        <v>55983569</v>
      </c>
      <c r="AJ37">
        <v>33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ROW(Source!A39)</f>
        <v>39</v>
      </c>
      <c r="B38">
        <v>55983572</v>
      </c>
      <c r="C38">
        <v>55983568</v>
      </c>
      <c r="D38">
        <v>55460239</v>
      </c>
      <c r="E38">
        <v>1</v>
      </c>
      <c r="F38">
        <v>1</v>
      </c>
      <c r="G38">
        <v>1081</v>
      </c>
      <c r="H38">
        <v>3</v>
      </c>
      <c r="I38" t="s">
        <v>285</v>
      </c>
      <c r="J38" t="s">
        <v>286</v>
      </c>
      <c r="K38" t="s">
        <v>287</v>
      </c>
      <c r="L38">
        <v>1348</v>
      </c>
      <c r="N38">
        <v>1009</v>
      </c>
      <c r="O38" t="s">
        <v>284</v>
      </c>
      <c r="P38" t="s">
        <v>284</v>
      </c>
      <c r="Q38">
        <v>1000</v>
      </c>
      <c r="X38">
        <v>2.4000000000000001E-5</v>
      </c>
      <c r="Y38">
        <v>12416.13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24</v>
      </c>
      <c r="AG38">
        <v>0</v>
      </c>
      <c r="AH38">
        <v>2</v>
      </c>
      <c r="AI38">
        <v>55983570</v>
      </c>
      <c r="AJ38">
        <v>34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ROW(Source!A40)</f>
        <v>40</v>
      </c>
      <c r="B39">
        <v>55983575</v>
      </c>
      <c r="C39">
        <v>55983573</v>
      </c>
      <c r="D39">
        <v>55424304</v>
      </c>
      <c r="E39">
        <v>1081</v>
      </c>
      <c r="F39">
        <v>1</v>
      </c>
      <c r="G39">
        <v>1081</v>
      </c>
      <c r="H39">
        <v>1</v>
      </c>
      <c r="I39" t="s">
        <v>278</v>
      </c>
      <c r="J39" t="s">
        <v>3</v>
      </c>
      <c r="K39" t="s">
        <v>279</v>
      </c>
      <c r="L39">
        <v>1191</v>
      </c>
      <c r="N39">
        <v>1013</v>
      </c>
      <c r="O39" t="s">
        <v>280</v>
      </c>
      <c r="P39" t="s">
        <v>280</v>
      </c>
      <c r="Q39">
        <v>1</v>
      </c>
      <c r="X39">
        <v>5.84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 t="s">
        <v>57</v>
      </c>
      <c r="AG39">
        <v>7.008</v>
      </c>
      <c r="AH39">
        <v>2</v>
      </c>
      <c r="AI39">
        <v>55983574</v>
      </c>
      <c r="AJ39">
        <v>35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ROW(Source!A41)</f>
        <v>41</v>
      </c>
      <c r="B40">
        <v>55983575</v>
      </c>
      <c r="C40">
        <v>55983573</v>
      </c>
      <c r="D40">
        <v>55424304</v>
      </c>
      <c r="E40">
        <v>1081</v>
      </c>
      <c r="F40">
        <v>1</v>
      </c>
      <c r="G40">
        <v>1081</v>
      </c>
      <c r="H40">
        <v>1</v>
      </c>
      <c r="I40" t="s">
        <v>278</v>
      </c>
      <c r="J40" t="s">
        <v>3</v>
      </c>
      <c r="K40" t="s">
        <v>279</v>
      </c>
      <c r="L40">
        <v>1191</v>
      </c>
      <c r="N40">
        <v>1013</v>
      </c>
      <c r="O40" t="s">
        <v>280</v>
      </c>
      <c r="P40" t="s">
        <v>280</v>
      </c>
      <c r="Q40">
        <v>1</v>
      </c>
      <c r="X40">
        <v>5.84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 t="s">
        <v>57</v>
      </c>
      <c r="AG40">
        <v>7.008</v>
      </c>
      <c r="AH40">
        <v>2</v>
      </c>
      <c r="AI40">
        <v>55983574</v>
      </c>
      <c r="AJ40">
        <v>36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ROW(Source!A42)</f>
        <v>42</v>
      </c>
      <c r="B41">
        <v>55983578</v>
      </c>
      <c r="C41">
        <v>55983576</v>
      </c>
      <c r="D41">
        <v>55424304</v>
      </c>
      <c r="E41">
        <v>1081</v>
      </c>
      <c r="F41">
        <v>1</v>
      </c>
      <c r="G41">
        <v>1081</v>
      </c>
      <c r="H41">
        <v>1</v>
      </c>
      <c r="I41" t="s">
        <v>278</v>
      </c>
      <c r="J41" t="s">
        <v>3</v>
      </c>
      <c r="K41" t="s">
        <v>279</v>
      </c>
      <c r="L41">
        <v>1191</v>
      </c>
      <c r="N41">
        <v>1013</v>
      </c>
      <c r="O41" t="s">
        <v>280</v>
      </c>
      <c r="P41" t="s">
        <v>280</v>
      </c>
      <c r="Q41">
        <v>1</v>
      </c>
      <c r="X41">
        <v>9.64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 t="s">
        <v>57</v>
      </c>
      <c r="AG41">
        <v>11.568</v>
      </c>
      <c r="AH41">
        <v>2</v>
      </c>
      <c r="AI41">
        <v>55983577</v>
      </c>
      <c r="AJ41">
        <v>37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ROW(Source!A43)</f>
        <v>43</v>
      </c>
      <c r="B42">
        <v>55983578</v>
      </c>
      <c r="C42">
        <v>55983576</v>
      </c>
      <c r="D42">
        <v>55424304</v>
      </c>
      <c r="E42">
        <v>1081</v>
      </c>
      <c r="F42">
        <v>1</v>
      </c>
      <c r="G42">
        <v>1081</v>
      </c>
      <c r="H42">
        <v>1</v>
      </c>
      <c r="I42" t="s">
        <v>278</v>
      </c>
      <c r="J42" t="s">
        <v>3</v>
      </c>
      <c r="K42" t="s">
        <v>279</v>
      </c>
      <c r="L42">
        <v>1191</v>
      </c>
      <c r="N42">
        <v>1013</v>
      </c>
      <c r="O42" t="s">
        <v>280</v>
      </c>
      <c r="P42" t="s">
        <v>280</v>
      </c>
      <c r="Q42">
        <v>1</v>
      </c>
      <c r="X42">
        <v>9.64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 t="s">
        <v>57</v>
      </c>
      <c r="AG42">
        <v>11.568</v>
      </c>
      <c r="AH42">
        <v>2</v>
      </c>
      <c r="AI42">
        <v>55983577</v>
      </c>
      <c r="AJ42">
        <v>38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ROW(Source!A44)</f>
        <v>44</v>
      </c>
      <c r="B43">
        <v>55983582</v>
      </c>
      <c r="C43">
        <v>55983579</v>
      </c>
      <c r="D43">
        <v>55424304</v>
      </c>
      <c r="E43">
        <v>1081</v>
      </c>
      <c r="F43">
        <v>1</v>
      </c>
      <c r="G43">
        <v>1081</v>
      </c>
      <c r="H43">
        <v>1</v>
      </c>
      <c r="I43" t="s">
        <v>278</v>
      </c>
      <c r="J43" t="s">
        <v>3</v>
      </c>
      <c r="K43" t="s">
        <v>279</v>
      </c>
      <c r="L43">
        <v>1191</v>
      </c>
      <c r="N43">
        <v>1013</v>
      </c>
      <c r="O43" t="s">
        <v>280</v>
      </c>
      <c r="P43" t="s">
        <v>280</v>
      </c>
      <c r="Q43">
        <v>1</v>
      </c>
      <c r="X43">
        <v>30.44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 t="s">
        <v>57</v>
      </c>
      <c r="AG43">
        <v>36.527999999999999</v>
      </c>
      <c r="AH43">
        <v>2</v>
      </c>
      <c r="AI43">
        <v>55983580</v>
      </c>
      <c r="AJ43">
        <v>39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ROW(Source!A44)</f>
        <v>44</v>
      </c>
      <c r="B44">
        <v>55983583</v>
      </c>
      <c r="C44">
        <v>55983579</v>
      </c>
      <c r="D44">
        <v>55424288</v>
      </c>
      <c r="E44">
        <v>1081</v>
      </c>
      <c r="F44">
        <v>1</v>
      </c>
      <c r="G44">
        <v>1081</v>
      </c>
      <c r="H44">
        <v>3</v>
      </c>
      <c r="I44" t="s">
        <v>308</v>
      </c>
      <c r="J44" t="s">
        <v>3</v>
      </c>
      <c r="K44" t="s">
        <v>309</v>
      </c>
      <c r="L44">
        <v>1348</v>
      </c>
      <c r="N44">
        <v>1009</v>
      </c>
      <c r="O44" t="s">
        <v>284</v>
      </c>
      <c r="P44" t="s">
        <v>284</v>
      </c>
      <c r="Q44">
        <v>1000</v>
      </c>
      <c r="X44">
        <v>0.247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56</v>
      </c>
      <c r="AG44">
        <v>0.247</v>
      </c>
      <c r="AH44">
        <v>2</v>
      </c>
      <c r="AI44">
        <v>55983581</v>
      </c>
      <c r="AJ44">
        <v>40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ROW(Source!A45)</f>
        <v>45</v>
      </c>
      <c r="B45">
        <v>55983582</v>
      </c>
      <c r="C45">
        <v>55983579</v>
      </c>
      <c r="D45">
        <v>55424304</v>
      </c>
      <c r="E45">
        <v>1081</v>
      </c>
      <c r="F45">
        <v>1</v>
      </c>
      <c r="G45">
        <v>1081</v>
      </c>
      <c r="H45">
        <v>1</v>
      </c>
      <c r="I45" t="s">
        <v>278</v>
      </c>
      <c r="J45" t="s">
        <v>3</v>
      </c>
      <c r="K45" t="s">
        <v>279</v>
      </c>
      <c r="L45">
        <v>1191</v>
      </c>
      <c r="N45">
        <v>1013</v>
      </c>
      <c r="O45" t="s">
        <v>280</v>
      </c>
      <c r="P45" t="s">
        <v>280</v>
      </c>
      <c r="Q45">
        <v>1</v>
      </c>
      <c r="X45">
        <v>30.44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 t="s">
        <v>57</v>
      </c>
      <c r="AG45">
        <v>36.527999999999999</v>
      </c>
      <c r="AH45">
        <v>2</v>
      </c>
      <c r="AI45">
        <v>55983580</v>
      </c>
      <c r="AJ45">
        <v>41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ROW(Source!A45)</f>
        <v>45</v>
      </c>
      <c r="B46">
        <v>55983583</v>
      </c>
      <c r="C46">
        <v>55983579</v>
      </c>
      <c r="D46">
        <v>55424288</v>
      </c>
      <c r="E46">
        <v>1081</v>
      </c>
      <c r="F46">
        <v>1</v>
      </c>
      <c r="G46">
        <v>1081</v>
      </c>
      <c r="H46">
        <v>3</v>
      </c>
      <c r="I46" t="s">
        <v>308</v>
      </c>
      <c r="J46" t="s">
        <v>3</v>
      </c>
      <c r="K46" t="s">
        <v>309</v>
      </c>
      <c r="L46">
        <v>1348</v>
      </c>
      <c r="N46">
        <v>1009</v>
      </c>
      <c r="O46" t="s">
        <v>284</v>
      </c>
      <c r="P46" t="s">
        <v>284</v>
      </c>
      <c r="Q46">
        <v>1000</v>
      </c>
      <c r="X46">
        <v>0.247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56</v>
      </c>
      <c r="AG46">
        <v>0.247</v>
      </c>
      <c r="AH46">
        <v>2</v>
      </c>
      <c r="AI46">
        <v>55983581</v>
      </c>
      <c r="AJ46">
        <v>42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ROW(Source!A46)</f>
        <v>46</v>
      </c>
      <c r="B47">
        <v>55983596</v>
      </c>
      <c r="C47">
        <v>55983584</v>
      </c>
      <c r="D47">
        <v>55424304</v>
      </c>
      <c r="E47">
        <v>1081</v>
      </c>
      <c r="F47">
        <v>1</v>
      </c>
      <c r="G47">
        <v>1081</v>
      </c>
      <c r="H47">
        <v>1</v>
      </c>
      <c r="I47" t="s">
        <v>278</v>
      </c>
      <c r="J47" t="s">
        <v>3</v>
      </c>
      <c r="K47" t="s">
        <v>279</v>
      </c>
      <c r="L47">
        <v>1191</v>
      </c>
      <c r="N47">
        <v>1013</v>
      </c>
      <c r="O47" t="s">
        <v>280</v>
      </c>
      <c r="P47" t="s">
        <v>280</v>
      </c>
      <c r="Q47">
        <v>1</v>
      </c>
      <c r="X47">
        <v>29.9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25</v>
      </c>
      <c r="AG47">
        <v>10.763999999999998</v>
      </c>
      <c r="AH47">
        <v>2</v>
      </c>
      <c r="AI47">
        <v>55983585</v>
      </c>
      <c r="AJ47">
        <v>43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ROW(Source!A46)</f>
        <v>46</v>
      </c>
      <c r="B48">
        <v>55983597</v>
      </c>
      <c r="C48">
        <v>55983584</v>
      </c>
      <c r="D48">
        <v>55489910</v>
      </c>
      <c r="E48">
        <v>1</v>
      </c>
      <c r="F48">
        <v>1</v>
      </c>
      <c r="G48">
        <v>1081</v>
      </c>
      <c r="H48">
        <v>2</v>
      </c>
      <c r="I48" t="s">
        <v>293</v>
      </c>
      <c r="J48" t="s">
        <v>294</v>
      </c>
      <c r="K48" t="s">
        <v>295</v>
      </c>
      <c r="L48">
        <v>1368</v>
      </c>
      <c r="N48">
        <v>1011</v>
      </c>
      <c r="O48" t="s">
        <v>291</v>
      </c>
      <c r="P48" t="s">
        <v>291</v>
      </c>
      <c r="Q48">
        <v>1</v>
      </c>
      <c r="X48">
        <v>15.4</v>
      </c>
      <c r="Y48">
        <v>0</v>
      </c>
      <c r="Z48">
        <v>7.11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25</v>
      </c>
      <c r="AG48">
        <v>5.5439999999999996</v>
      </c>
      <c r="AH48">
        <v>2</v>
      </c>
      <c r="AI48">
        <v>55983586</v>
      </c>
      <c r="AJ48">
        <v>44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ROW(Source!A46)</f>
        <v>46</v>
      </c>
      <c r="B49">
        <v>55983598</v>
      </c>
      <c r="C49">
        <v>55983584</v>
      </c>
      <c r="D49">
        <v>55490209</v>
      </c>
      <c r="E49">
        <v>1</v>
      </c>
      <c r="F49">
        <v>1</v>
      </c>
      <c r="G49">
        <v>1081</v>
      </c>
      <c r="H49">
        <v>2</v>
      </c>
      <c r="I49" t="s">
        <v>296</v>
      </c>
      <c r="J49" t="s">
        <v>297</v>
      </c>
      <c r="K49" t="s">
        <v>298</v>
      </c>
      <c r="L49">
        <v>1368</v>
      </c>
      <c r="N49">
        <v>1011</v>
      </c>
      <c r="O49" t="s">
        <v>291</v>
      </c>
      <c r="P49" t="s">
        <v>291</v>
      </c>
      <c r="Q49">
        <v>1</v>
      </c>
      <c r="X49">
        <v>0.2</v>
      </c>
      <c r="Y49">
        <v>0</v>
      </c>
      <c r="Z49">
        <v>83.1</v>
      </c>
      <c r="AA49">
        <v>12.62</v>
      </c>
      <c r="AB49">
        <v>0</v>
      </c>
      <c r="AC49">
        <v>0</v>
      </c>
      <c r="AD49">
        <v>1</v>
      </c>
      <c r="AE49">
        <v>0</v>
      </c>
      <c r="AF49" t="s">
        <v>25</v>
      </c>
      <c r="AG49">
        <v>7.1999999999999995E-2</v>
      </c>
      <c r="AH49">
        <v>2</v>
      </c>
      <c r="AI49">
        <v>55983587</v>
      </c>
      <c r="AJ49">
        <v>45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ROW(Source!A46)</f>
        <v>46</v>
      </c>
      <c r="B50">
        <v>55983599</v>
      </c>
      <c r="C50">
        <v>55983584</v>
      </c>
      <c r="D50">
        <v>55490263</v>
      </c>
      <c r="E50">
        <v>1</v>
      </c>
      <c r="F50">
        <v>1</v>
      </c>
      <c r="G50">
        <v>1081</v>
      </c>
      <c r="H50">
        <v>2</v>
      </c>
      <c r="I50" t="s">
        <v>310</v>
      </c>
      <c r="J50" t="s">
        <v>311</v>
      </c>
      <c r="K50" t="s">
        <v>312</v>
      </c>
      <c r="L50">
        <v>1368</v>
      </c>
      <c r="N50">
        <v>1011</v>
      </c>
      <c r="O50" t="s">
        <v>291</v>
      </c>
      <c r="P50" t="s">
        <v>291</v>
      </c>
      <c r="Q50">
        <v>1</v>
      </c>
      <c r="X50">
        <v>3.83</v>
      </c>
      <c r="Y50">
        <v>0</v>
      </c>
      <c r="Z50">
        <v>0.77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25</v>
      </c>
      <c r="AG50">
        <v>1.3788</v>
      </c>
      <c r="AH50">
        <v>2</v>
      </c>
      <c r="AI50">
        <v>55983588</v>
      </c>
      <c r="AJ50">
        <v>46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ROW(Source!A46)</f>
        <v>46</v>
      </c>
      <c r="B51">
        <v>55983600</v>
      </c>
      <c r="C51">
        <v>55983584</v>
      </c>
      <c r="D51">
        <v>55459907</v>
      </c>
      <c r="E51">
        <v>1</v>
      </c>
      <c r="F51">
        <v>1</v>
      </c>
      <c r="G51">
        <v>1081</v>
      </c>
      <c r="H51">
        <v>3</v>
      </c>
      <c r="I51" t="s">
        <v>313</v>
      </c>
      <c r="J51" t="s">
        <v>314</v>
      </c>
      <c r="K51" t="s">
        <v>315</v>
      </c>
      <c r="L51">
        <v>1348</v>
      </c>
      <c r="N51">
        <v>1009</v>
      </c>
      <c r="O51" t="s">
        <v>284</v>
      </c>
      <c r="P51" t="s">
        <v>284</v>
      </c>
      <c r="Q51">
        <v>1000</v>
      </c>
      <c r="X51">
        <v>5.1499999999999997E-2</v>
      </c>
      <c r="Y51">
        <v>7246.05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24</v>
      </c>
      <c r="AG51">
        <v>0</v>
      </c>
      <c r="AH51">
        <v>2</v>
      </c>
      <c r="AI51">
        <v>55983589</v>
      </c>
      <c r="AJ51">
        <v>47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ROW(Source!A46)</f>
        <v>46</v>
      </c>
      <c r="B52">
        <v>55983601</v>
      </c>
      <c r="C52">
        <v>55983584</v>
      </c>
      <c r="D52">
        <v>55460380</v>
      </c>
      <c r="E52">
        <v>1</v>
      </c>
      <c r="F52">
        <v>1</v>
      </c>
      <c r="G52">
        <v>1081</v>
      </c>
      <c r="H52">
        <v>3</v>
      </c>
      <c r="I52" t="s">
        <v>305</v>
      </c>
      <c r="J52" t="s">
        <v>306</v>
      </c>
      <c r="K52" t="s">
        <v>307</v>
      </c>
      <c r="L52">
        <v>1348</v>
      </c>
      <c r="N52">
        <v>1009</v>
      </c>
      <c r="O52" t="s">
        <v>284</v>
      </c>
      <c r="P52" t="s">
        <v>284</v>
      </c>
      <c r="Q52">
        <v>1000</v>
      </c>
      <c r="X52">
        <v>1.0499999999999999E-3</v>
      </c>
      <c r="Y52">
        <v>8590.86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24</v>
      </c>
      <c r="AG52">
        <v>0</v>
      </c>
      <c r="AH52">
        <v>2</v>
      </c>
      <c r="AI52">
        <v>55983590</v>
      </c>
      <c r="AJ52">
        <v>48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ROW(Source!A46)</f>
        <v>46</v>
      </c>
      <c r="B53">
        <v>55983602</v>
      </c>
      <c r="C53">
        <v>55983584</v>
      </c>
      <c r="D53">
        <v>55459339</v>
      </c>
      <c r="E53">
        <v>1</v>
      </c>
      <c r="F53">
        <v>1</v>
      </c>
      <c r="G53">
        <v>1081</v>
      </c>
      <c r="H53">
        <v>3</v>
      </c>
      <c r="I53" t="s">
        <v>316</v>
      </c>
      <c r="J53" t="s">
        <v>317</v>
      </c>
      <c r="K53" t="s">
        <v>318</v>
      </c>
      <c r="L53">
        <v>1354</v>
      </c>
      <c r="N53">
        <v>1010</v>
      </c>
      <c r="O53" t="s">
        <v>156</v>
      </c>
      <c r="P53" t="s">
        <v>156</v>
      </c>
      <c r="Q53">
        <v>1</v>
      </c>
      <c r="X53">
        <v>218</v>
      </c>
      <c r="Y53">
        <v>3.86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24</v>
      </c>
      <c r="AG53">
        <v>0</v>
      </c>
      <c r="AH53">
        <v>2</v>
      </c>
      <c r="AI53">
        <v>55983591</v>
      </c>
      <c r="AJ53">
        <v>49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ROW(Source!A46)</f>
        <v>46</v>
      </c>
      <c r="B54">
        <v>55983603</v>
      </c>
      <c r="C54">
        <v>55983584</v>
      </c>
      <c r="D54">
        <v>55460882</v>
      </c>
      <c r="E54">
        <v>1</v>
      </c>
      <c r="F54">
        <v>1</v>
      </c>
      <c r="G54">
        <v>1081</v>
      </c>
      <c r="H54">
        <v>3</v>
      </c>
      <c r="I54" t="s">
        <v>319</v>
      </c>
      <c r="J54" t="s">
        <v>320</v>
      </c>
      <c r="K54" t="s">
        <v>321</v>
      </c>
      <c r="L54">
        <v>1348</v>
      </c>
      <c r="N54">
        <v>1009</v>
      </c>
      <c r="O54" t="s">
        <v>284</v>
      </c>
      <c r="P54" t="s">
        <v>284</v>
      </c>
      <c r="Q54">
        <v>1000</v>
      </c>
      <c r="X54">
        <v>2.1800000000000001E-3</v>
      </c>
      <c r="Y54">
        <v>14327.51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24</v>
      </c>
      <c r="AG54">
        <v>0</v>
      </c>
      <c r="AH54">
        <v>2</v>
      </c>
      <c r="AI54">
        <v>55983592</v>
      </c>
      <c r="AJ54">
        <v>50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ROW(Source!A46)</f>
        <v>46</v>
      </c>
      <c r="B55">
        <v>55983604</v>
      </c>
      <c r="C55">
        <v>55983584</v>
      </c>
      <c r="D55">
        <v>55459815</v>
      </c>
      <c r="E55">
        <v>1</v>
      </c>
      <c r="F55">
        <v>1</v>
      </c>
      <c r="G55">
        <v>1081</v>
      </c>
      <c r="H55">
        <v>3</v>
      </c>
      <c r="I55" t="s">
        <v>322</v>
      </c>
      <c r="J55" t="s">
        <v>323</v>
      </c>
      <c r="K55" t="s">
        <v>324</v>
      </c>
      <c r="L55">
        <v>1348</v>
      </c>
      <c r="N55">
        <v>1009</v>
      </c>
      <c r="O55" t="s">
        <v>284</v>
      </c>
      <c r="P55" t="s">
        <v>284</v>
      </c>
      <c r="Q55">
        <v>1000</v>
      </c>
      <c r="X55">
        <v>3.0000000000000001E-3</v>
      </c>
      <c r="Y55">
        <v>7973.67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24</v>
      </c>
      <c r="AG55">
        <v>0</v>
      </c>
      <c r="AH55">
        <v>2</v>
      </c>
      <c r="AI55">
        <v>55983593</v>
      </c>
      <c r="AJ55">
        <v>51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ROW(Source!A46)</f>
        <v>46</v>
      </c>
      <c r="B56">
        <v>55983605</v>
      </c>
      <c r="C56">
        <v>55983584</v>
      </c>
      <c r="D56">
        <v>55482617</v>
      </c>
      <c r="E56">
        <v>1</v>
      </c>
      <c r="F56">
        <v>1</v>
      </c>
      <c r="G56">
        <v>1081</v>
      </c>
      <c r="H56">
        <v>3</v>
      </c>
      <c r="I56" t="s">
        <v>325</v>
      </c>
      <c r="J56" t="s">
        <v>326</v>
      </c>
      <c r="K56" t="s">
        <v>327</v>
      </c>
      <c r="L56">
        <v>1354</v>
      </c>
      <c r="N56">
        <v>1010</v>
      </c>
      <c r="O56" t="s">
        <v>156</v>
      </c>
      <c r="P56" t="s">
        <v>156</v>
      </c>
      <c r="Q56">
        <v>1</v>
      </c>
      <c r="X56">
        <v>5</v>
      </c>
      <c r="Y56">
        <v>14.99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24</v>
      </c>
      <c r="AG56">
        <v>0</v>
      </c>
      <c r="AH56">
        <v>2</v>
      </c>
      <c r="AI56">
        <v>55983594</v>
      </c>
      <c r="AJ56">
        <v>52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ROW(Source!A46)</f>
        <v>46</v>
      </c>
      <c r="B57">
        <v>55983606</v>
      </c>
      <c r="C57">
        <v>55983584</v>
      </c>
      <c r="D57">
        <v>55481933</v>
      </c>
      <c r="E57">
        <v>1</v>
      </c>
      <c r="F57">
        <v>1</v>
      </c>
      <c r="G57">
        <v>1081</v>
      </c>
      <c r="H57">
        <v>3</v>
      </c>
      <c r="I57" t="s">
        <v>328</v>
      </c>
      <c r="J57" t="s">
        <v>329</v>
      </c>
      <c r="K57" t="s">
        <v>330</v>
      </c>
      <c r="L57">
        <v>1356</v>
      </c>
      <c r="N57">
        <v>1010</v>
      </c>
      <c r="O57" t="s">
        <v>331</v>
      </c>
      <c r="P57" t="s">
        <v>331</v>
      </c>
      <c r="Q57">
        <v>1000</v>
      </c>
      <c r="X57">
        <v>0.25</v>
      </c>
      <c r="Y57">
        <v>1639.86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24</v>
      </c>
      <c r="AG57">
        <v>0</v>
      </c>
      <c r="AH57">
        <v>2</v>
      </c>
      <c r="AI57">
        <v>55983595</v>
      </c>
      <c r="AJ57">
        <v>53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ROW(Source!A46)</f>
        <v>46</v>
      </c>
      <c r="B58">
        <v>55983607</v>
      </c>
      <c r="C58">
        <v>55983584</v>
      </c>
      <c r="D58">
        <v>55432089</v>
      </c>
      <c r="E58">
        <v>1081</v>
      </c>
      <c r="F58">
        <v>1</v>
      </c>
      <c r="G58">
        <v>1081</v>
      </c>
      <c r="H58">
        <v>3</v>
      </c>
      <c r="I58" t="s">
        <v>386</v>
      </c>
      <c r="J58" t="s">
        <v>3</v>
      </c>
      <c r="K58" t="s">
        <v>387</v>
      </c>
      <c r="L58">
        <v>1301</v>
      </c>
      <c r="N58">
        <v>1003</v>
      </c>
      <c r="O58" t="s">
        <v>206</v>
      </c>
      <c r="P58" t="s">
        <v>206</v>
      </c>
      <c r="Q58">
        <v>1</v>
      </c>
      <c r="X58">
        <v>103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24</v>
      </c>
      <c r="AG58">
        <v>0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ROW(Source!A46)</f>
        <v>46</v>
      </c>
      <c r="B59">
        <v>55983608</v>
      </c>
      <c r="C59">
        <v>55983584</v>
      </c>
      <c r="D59">
        <v>55432089</v>
      </c>
      <c r="E59">
        <v>1081</v>
      </c>
      <c r="F59">
        <v>1</v>
      </c>
      <c r="G59">
        <v>1081</v>
      </c>
      <c r="H59">
        <v>3</v>
      </c>
      <c r="I59" t="s">
        <v>386</v>
      </c>
      <c r="J59" t="s">
        <v>3</v>
      </c>
      <c r="K59" t="s">
        <v>388</v>
      </c>
      <c r="L59">
        <v>1354</v>
      </c>
      <c r="N59">
        <v>1010</v>
      </c>
      <c r="O59" t="s">
        <v>156</v>
      </c>
      <c r="P59" t="s">
        <v>156</v>
      </c>
      <c r="Q59">
        <v>1</v>
      </c>
      <c r="X59">
        <v>10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24</v>
      </c>
      <c r="AG59">
        <v>0</v>
      </c>
      <c r="AH59">
        <v>3</v>
      </c>
      <c r="AI59">
        <v>-1</v>
      </c>
      <c r="AJ59" t="s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ROW(Source!A46)</f>
        <v>46</v>
      </c>
      <c r="B60">
        <v>55983609</v>
      </c>
      <c r="C60">
        <v>55983584</v>
      </c>
      <c r="D60">
        <v>55432089</v>
      </c>
      <c r="E60">
        <v>1081</v>
      </c>
      <c r="F60">
        <v>1</v>
      </c>
      <c r="G60">
        <v>1081</v>
      </c>
      <c r="H60">
        <v>3</v>
      </c>
      <c r="I60" t="s">
        <v>386</v>
      </c>
      <c r="J60" t="s">
        <v>3</v>
      </c>
      <c r="K60" t="s">
        <v>389</v>
      </c>
      <c r="L60">
        <v>1354</v>
      </c>
      <c r="N60">
        <v>1010</v>
      </c>
      <c r="O60" t="s">
        <v>156</v>
      </c>
      <c r="P60" t="s">
        <v>156</v>
      </c>
      <c r="Q60">
        <v>1</v>
      </c>
      <c r="X60">
        <v>10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24</v>
      </c>
      <c r="AG60">
        <v>0</v>
      </c>
      <c r="AH60">
        <v>3</v>
      </c>
      <c r="AI60">
        <v>-1</v>
      </c>
      <c r="AJ60" t="s">
        <v>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ROW(Source!A46)</f>
        <v>46</v>
      </c>
      <c r="B61">
        <v>55983610</v>
      </c>
      <c r="C61">
        <v>55983584</v>
      </c>
      <c r="D61">
        <v>55432104</v>
      </c>
      <c r="E61">
        <v>1081</v>
      </c>
      <c r="F61">
        <v>1</v>
      </c>
      <c r="G61">
        <v>1081</v>
      </c>
      <c r="H61">
        <v>3</v>
      </c>
      <c r="I61" t="s">
        <v>390</v>
      </c>
      <c r="J61" t="s">
        <v>3</v>
      </c>
      <c r="K61" t="s">
        <v>391</v>
      </c>
      <c r="L61">
        <v>1356</v>
      </c>
      <c r="N61">
        <v>1010</v>
      </c>
      <c r="O61" t="s">
        <v>331</v>
      </c>
      <c r="P61" t="s">
        <v>331</v>
      </c>
      <c r="Q61">
        <v>1000</v>
      </c>
      <c r="X61">
        <v>0.01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24</v>
      </c>
      <c r="AG61">
        <v>0</v>
      </c>
      <c r="AH61">
        <v>3</v>
      </c>
      <c r="AI61">
        <v>-1</v>
      </c>
      <c r="AJ61" t="s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ROW(Source!A46)</f>
        <v>46</v>
      </c>
      <c r="B62">
        <v>55983611</v>
      </c>
      <c r="C62">
        <v>55983584</v>
      </c>
      <c r="D62">
        <v>55434259</v>
      </c>
      <c r="E62">
        <v>1081</v>
      </c>
      <c r="F62">
        <v>1</v>
      </c>
      <c r="G62">
        <v>1081</v>
      </c>
      <c r="H62">
        <v>3</v>
      </c>
      <c r="I62" t="s">
        <v>392</v>
      </c>
      <c r="J62" t="s">
        <v>3</v>
      </c>
      <c r="K62" t="s">
        <v>393</v>
      </c>
      <c r="L62">
        <v>1354</v>
      </c>
      <c r="N62">
        <v>1010</v>
      </c>
      <c r="O62" t="s">
        <v>156</v>
      </c>
      <c r="P62" t="s">
        <v>156</v>
      </c>
      <c r="Q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24</v>
      </c>
      <c r="AG62">
        <v>0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ROW(Source!A47)</f>
        <v>47</v>
      </c>
      <c r="B63">
        <v>55983596</v>
      </c>
      <c r="C63">
        <v>55983584</v>
      </c>
      <c r="D63">
        <v>55424304</v>
      </c>
      <c r="E63">
        <v>1081</v>
      </c>
      <c r="F63">
        <v>1</v>
      </c>
      <c r="G63">
        <v>1081</v>
      </c>
      <c r="H63">
        <v>1</v>
      </c>
      <c r="I63" t="s">
        <v>278</v>
      </c>
      <c r="J63" t="s">
        <v>3</v>
      </c>
      <c r="K63" t="s">
        <v>279</v>
      </c>
      <c r="L63">
        <v>1191</v>
      </c>
      <c r="N63">
        <v>1013</v>
      </c>
      <c r="O63" t="s">
        <v>280</v>
      </c>
      <c r="P63" t="s">
        <v>280</v>
      </c>
      <c r="Q63">
        <v>1</v>
      </c>
      <c r="X63">
        <v>29.9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1</v>
      </c>
      <c r="AF63" t="s">
        <v>25</v>
      </c>
      <c r="AG63">
        <v>10.763999999999998</v>
      </c>
      <c r="AH63">
        <v>2</v>
      </c>
      <c r="AI63">
        <v>55983585</v>
      </c>
      <c r="AJ63">
        <v>54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ROW(Source!A47)</f>
        <v>47</v>
      </c>
      <c r="B64">
        <v>55983597</v>
      </c>
      <c r="C64">
        <v>55983584</v>
      </c>
      <c r="D64">
        <v>55489910</v>
      </c>
      <c r="E64">
        <v>1</v>
      </c>
      <c r="F64">
        <v>1</v>
      </c>
      <c r="G64">
        <v>1081</v>
      </c>
      <c r="H64">
        <v>2</v>
      </c>
      <c r="I64" t="s">
        <v>293</v>
      </c>
      <c r="J64" t="s">
        <v>294</v>
      </c>
      <c r="K64" t="s">
        <v>295</v>
      </c>
      <c r="L64">
        <v>1368</v>
      </c>
      <c r="N64">
        <v>1011</v>
      </c>
      <c r="O64" t="s">
        <v>291</v>
      </c>
      <c r="P64" t="s">
        <v>291</v>
      </c>
      <c r="Q64">
        <v>1</v>
      </c>
      <c r="X64">
        <v>15.4</v>
      </c>
      <c r="Y64">
        <v>0</v>
      </c>
      <c r="Z64">
        <v>7.11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25</v>
      </c>
      <c r="AG64">
        <v>5.5439999999999996</v>
      </c>
      <c r="AH64">
        <v>2</v>
      </c>
      <c r="AI64">
        <v>55983586</v>
      </c>
      <c r="AJ64">
        <v>55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ROW(Source!A47)</f>
        <v>47</v>
      </c>
      <c r="B65">
        <v>55983598</v>
      </c>
      <c r="C65">
        <v>55983584</v>
      </c>
      <c r="D65">
        <v>55490209</v>
      </c>
      <c r="E65">
        <v>1</v>
      </c>
      <c r="F65">
        <v>1</v>
      </c>
      <c r="G65">
        <v>1081</v>
      </c>
      <c r="H65">
        <v>2</v>
      </c>
      <c r="I65" t="s">
        <v>296</v>
      </c>
      <c r="J65" t="s">
        <v>297</v>
      </c>
      <c r="K65" t="s">
        <v>298</v>
      </c>
      <c r="L65">
        <v>1368</v>
      </c>
      <c r="N65">
        <v>1011</v>
      </c>
      <c r="O65" t="s">
        <v>291</v>
      </c>
      <c r="P65" t="s">
        <v>291</v>
      </c>
      <c r="Q65">
        <v>1</v>
      </c>
      <c r="X65">
        <v>0.2</v>
      </c>
      <c r="Y65">
        <v>0</v>
      </c>
      <c r="Z65">
        <v>83.1</v>
      </c>
      <c r="AA65">
        <v>12.62</v>
      </c>
      <c r="AB65">
        <v>0</v>
      </c>
      <c r="AC65">
        <v>0</v>
      </c>
      <c r="AD65">
        <v>1</v>
      </c>
      <c r="AE65">
        <v>0</v>
      </c>
      <c r="AF65" t="s">
        <v>25</v>
      </c>
      <c r="AG65">
        <v>7.1999999999999995E-2</v>
      </c>
      <c r="AH65">
        <v>2</v>
      </c>
      <c r="AI65">
        <v>55983587</v>
      </c>
      <c r="AJ65">
        <v>56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ROW(Source!A47)</f>
        <v>47</v>
      </c>
      <c r="B66">
        <v>55983599</v>
      </c>
      <c r="C66">
        <v>55983584</v>
      </c>
      <c r="D66">
        <v>55490263</v>
      </c>
      <c r="E66">
        <v>1</v>
      </c>
      <c r="F66">
        <v>1</v>
      </c>
      <c r="G66">
        <v>1081</v>
      </c>
      <c r="H66">
        <v>2</v>
      </c>
      <c r="I66" t="s">
        <v>310</v>
      </c>
      <c r="J66" t="s">
        <v>311</v>
      </c>
      <c r="K66" t="s">
        <v>312</v>
      </c>
      <c r="L66">
        <v>1368</v>
      </c>
      <c r="N66">
        <v>1011</v>
      </c>
      <c r="O66" t="s">
        <v>291</v>
      </c>
      <c r="P66" t="s">
        <v>291</v>
      </c>
      <c r="Q66">
        <v>1</v>
      </c>
      <c r="X66">
        <v>3.83</v>
      </c>
      <c r="Y66">
        <v>0</v>
      </c>
      <c r="Z66">
        <v>0.77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25</v>
      </c>
      <c r="AG66">
        <v>1.3788</v>
      </c>
      <c r="AH66">
        <v>2</v>
      </c>
      <c r="AI66">
        <v>55983588</v>
      </c>
      <c r="AJ66">
        <v>57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ROW(Source!A47)</f>
        <v>47</v>
      </c>
      <c r="B67">
        <v>55983600</v>
      </c>
      <c r="C67">
        <v>55983584</v>
      </c>
      <c r="D67">
        <v>55459907</v>
      </c>
      <c r="E67">
        <v>1</v>
      </c>
      <c r="F67">
        <v>1</v>
      </c>
      <c r="G67">
        <v>1081</v>
      </c>
      <c r="H67">
        <v>3</v>
      </c>
      <c r="I67" t="s">
        <v>313</v>
      </c>
      <c r="J67" t="s">
        <v>314</v>
      </c>
      <c r="K67" t="s">
        <v>315</v>
      </c>
      <c r="L67">
        <v>1348</v>
      </c>
      <c r="N67">
        <v>1009</v>
      </c>
      <c r="O67" t="s">
        <v>284</v>
      </c>
      <c r="P67" t="s">
        <v>284</v>
      </c>
      <c r="Q67">
        <v>1000</v>
      </c>
      <c r="X67">
        <v>5.1499999999999997E-2</v>
      </c>
      <c r="Y67">
        <v>7246.05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24</v>
      </c>
      <c r="AG67">
        <v>0</v>
      </c>
      <c r="AH67">
        <v>2</v>
      </c>
      <c r="AI67">
        <v>55983589</v>
      </c>
      <c r="AJ67">
        <v>58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ROW(Source!A47)</f>
        <v>47</v>
      </c>
      <c r="B68">
        <v>55983601</v>
      </c>
      <c r="C68">
        <v>55983584</v>
      </c>
      <c r="D68">
        <v>55460380</v>
      </c>
      <c r="E68">
        <v>1</v>
      </c>
      <c r="F68">
        <v>1</v>
      </c>
      <c r="G68">
        <v>1081</v>
      </c>
      <c r="H68">
        <v>3</v>
      </c>
      <c r="I68" t="s">
        <v>305</v>
      </c>
      <c r="J68" t="s">
        <v>306</v>
      </c>
      <c r="K68" t="s">
        <v>307</v>
      </c>
      <c r="L68">
        <v>1348</v>
      </c>
      <c r="N68">
        <v>1009</v>
      </c>
      <c r="O68" t="s">
        <v>284</v>
      </c>
      <c r="P68" t="s">
        <v>284</v>
      </c>
      <c r="Q68">
        <v>1000</v>
      </c>
      <c r="X68">
        <v>1.0499999999999999E-3</v>
      </c>
      <c r="Y68">
        <v>8590.86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24</v>
      </c>
      <c r="AG68">
        <v>0</v>
      </c>
      <c r="AH68">
        <v>2</v>
      </c>
      <c r="AI68">
        <v>55983590</v>
      </c>
      <c r="AJ68">
        <v>59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ROW(Source!A47)</f>
        <v>47</v>
      </c>
      <c r="B69">
        <v>55983602</v>
      </c>
      <c r="C69">
        <v>55983584</v>
      </c>
      <c r="D69">
        <v>55459339</v>
      </c>
      <c r="E69">
        <v>1</v>
      </c>
      <c r="F69">
        <v>1</v>
      </c>
      <c r="G69">
        <v>1081</v>
      </c>
      <c r="H69">
        <v>3</v>
      </c>
      <c r="I69" t="s">
        <v>316</v>
      </c>
      <c r="J69" t="s">
        <v>317</v>
      </c>
      <c r="K69" t="s">
        <v>318</v>
      </c>
      <c r="L69">
        <v>1354</v>
      </c>
      <c r="N69">
        <v>1010</v>
      </c>
      <c r="O69" t="s">
        <v>156</v>
      </c>
      <c r="P69" t="s">
        <v>156</v>
      </c>
      <c r="Q69">
        <v>1</v>
      </c>
      <c r="X69">
        <v>218</v>
      </c>
      <c r="Y69">
        <v>3.86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24</v>
      </c>
      <c r="AG69">
        <v>0</v>
      </c>
      <c r="AH69">
        <v>2</v>
      </c>
      <c r="AI69">
        <v>55983591</v>
      </c>
      <c r="AJ69">
        <v>60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ROW(Source!A47)</f>
        <v>47</v>
      </c>
      <c r="B70">
        <v>55983603</v>
      </c>
      <c r="C70">
        <v>55983584</v>
      </c>
      <c r="D70">
        <v>55460882</v>
      </c>
      <c r="E70">
        <v>1</v>
      </c>
      <c r="F70">
        <v>1</v>
      </c>
      <c r="G70">
        <v>1081</v>
      </c>
      <c r="H70">
        <v>3</v>
      </c>
      <c r="I70" t="s">
        <v>319</v>
      </c>
      <c r="J70" t="s">
        <v>320</v>
      </c>
      <c r="K70" t="s">
        <v>321</v>
      </c>
      <c r="L70">
        <v>1348</v>
      </c>
      <c r="N70">
        <v>1009</v>
      </c>
      <c r="O70" t="s">
        <v>284</v>
      </c>
      <c r="P70" t="s">
        <v>284</v>
      </c>
      <c r="Q70">
        <v>1000</v>
      </c>
      <c r="X70">
        <v>2.1800000000000001E-3</v>
      </c>
      <c r="Y70">
        <v>14327.51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24</v>
      </c>
      <c r="AG70">
        <v>0</v>
      </c>
      <c r="AH70">
        <v>2</v>
      </c>
      <c r="AI70">
        <v>55983592</v>
      </c>
      <c r="AJ70">
        <v>61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ROW(Source!A47)</f>
        <v>47</v>
      </c>
      <c r="B71">
        <v>55983604</v>
      </c>
      <c r="C71">
        <v>55983584</v>
      </c>
      <c r="D71">
        <v>55459815</v>
      </c>
      <c r="E71">
        <v>1</v>
      </c>
      <c r="F71">
        <v>1</v>
      </c>
      <c r="G71">
        <v>1081</v>
      </c>
      <c r="H71">
        <v>3</v>
      </c>
      <c r="I71" t="s">
        <v>322</v>
      </c>
      <c r="J71" t="s">
        <v>323</v>
      </c>
      <c r="K71" t="s">
        <v>324</v>
      </c>
      <c r="L71">
        <v>1348</v>
      </c>
      <c r="N71">
        <v>1009</v>
      </c>
      <c r="O71" t="s">
        <v>284</v>
      </c>
      <c r="P71" t="s">
        <v>284</v>
      </c>
      <c r="Q71">
        <v>1000</v>
      </c>
      <c r="X71">
        <v>3.0000000000000001E-3</v>
      </c>
      <c r="Y71">
        <v>7973.67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24</v>
      </c>
      <c r="AG71">
        <v>0</v>
      </c>
      <c r="AH71">
        <v>2</v>
      </c>
      <c r="AI71">
        <v>55983593</v>
      </c>
      <c r="AJ71">
        <v>62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ROW(Source!A47)</f>
        <v>47</v>
      </c>
      <c r="B72">
        <v>55983605</v>
      </c>
      <c r="C72">
        <v>55983584</v>
      </c>
      <c r="D72">
        <v>55482617</v>
      </c>
      <c r="E72">
        <v>1</v>
      </c>
      <c r="F72">
        <v>1</v>
      </c>
      <c r="G72">
        <v>1081</v>
      </c>
      <c r="H72">
        <v>3</v>
      </c>
      <c r="I72" t="s">
        <v>325</v>
      </c>
      <c r="J72" t="s">
        <v>326</v>
      </c>
      <c r="K72" t="s">
        <v>327</v>
      </c>
      <c r="L72">
        <v>1354</v>
      </c>
      <c r="N72">
        <v>1010</v>
      </c>
      <c r="O72" t="s">
        <v>156</v>
      </c>
      <c r="P72" t="s">
        <v>156</v>
      </c>
      <c r="Q72">
        <v>1</v>
      </c>
      <c r="X72">
        <v>5</v>
      </c>
      <c r="Y72">
        <v>14.99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24</v>
      </c>
      <c r="AG72">
        <v>0</v>
      </c>
      <c r="AH72">
        <v>2</v>
      </c>
      <c r="AI72">
        <v>55983594</v>
      </c>
      <c r="AJ72">
        <v>63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ROW(Source!A47)</f>
        <v>47</v>
      </c>
      <c r="B73">
        <v>55983606</v>
      </c>
      <c r="C73">
        <v>55983584</v>
      </c>
      <c r="D73">
        <v>55481933</v>
      </c>
      <c r="E73">
        <v>1</v>
      </c>
      <c r="F73">
        <v>1</v>
      </c>
      <c r="G73">
        <v>1081</v>
      </c>
      <c r="H73">
        <v>3</v>
      </c>
      <c r="I73" t="s">
        <v>328</v>
      </c>
      <c r="J73" t="s">
        <v>329</v>
      </c>
      <c r="K73" t="s">
        <v>330</v>
      </c>
      <c r="L73">
        <v>1356</v>
      </c>
      <c r="N73">
        <v>1010</v>
      </c>
      <c r="O73" t="s">
        <v>331</v>
      </c>
      <c r="P73" t="s">
        <v>331</v>
      </c>
      <c r="Q73">
        <v>1000</v>
      </c>
      <c r="X73">
        <v>0.25</v>
      </c>
      <c r="Y73">
        <v>1639.86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24</v>
      </c>
      <c r="AG73">
        <v>0</v>
      </c>
      <c r="AH73">
        <v>2</v>
      </c>
      <c r="AI73">
        <v>55983595</v>
      </c>
      <c r="AJ73">
        <v>64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ROW(Source!A47)</f>
        <v>47</v>
      </c>
      <c r="B74">
        <v>55983607</v>
      </c>
      <c r="C74">
        <v>55983584</v>
      </c>
      <c r="D74">
        <v>55432089</v>
      </c>
      <c r="E74">
        <v>1081</v>
      </c>
      <c r="F74">
        <v>1</v>
      </c>
      <c r="G74">
        <v>1081</v>
      </c>
      <c r="H74">
        <v>3</v>
      </c>
      <c r="I74" t="s">
        <v>386</v>
      </c>
      <c r="J74" t="s">
        <v>3</v>
      </c>
      <c r="K74" t="s">
        <v>387</v>
      </c>
      <c r="L74">
        <v>1301</v>
      </c>
      <c r="N74">
        <v>1003</v>
      </c>
      <c r="O74" t="s">
        <v>206</v>
      </c>
      <c r="P74" t="s">
        <v>206</v>
      </c>
      <c r="Q74">
        <v>1</v>
      </c>
      <c r="X74">
        <v>103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24</v>
      </c>
      <c r="AG74">
        <v>0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ROW(Source!A47)</f>
        <v>47</v>
      </c>
      <c r="B75">
        <v>55983608</v>
      </c>
      <c r="C75">
        <v>55983584</v>
      </c>
      <c r="D75">
        <v>55432089</v>
      </c>
      <c r="E75">
        <v>1081</v>
      </c>
      <c r="F75">
        <v>1</v>
      </c>
      <c r="G75">
        <v>1081</v>
      </c>
      <c r="H75">
        <v>3</v>
      </c>
      <c r="I75" t="s">
        <v>386</v>
      </c>
      <c r="J75" t="s">
        <v>3</v>
      </c>
      <c r="K75" t="s">
        <v>388</v>
      </c>
      <c r="L75">
        <v>1354</v>
      </c>
      <c r="N75">
        <v>1010</v>
      </c>
      <c r="O75" t="s">
        <v>156</v>
      </c>
      <c r="P75" t="s">
        <v>156</v>
      </c>
      <c r="Q75">
        <v>1</v>
      </c>
      <c r="X75">
        <v>10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24</v>
      </c>
      <c r="AG75">
        <v>0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ROW(Source!A47)</f>
        <v>47</v>
      </c>
      <c r="B76">
        <v>55983609</v>
      </c>
      <c r="C76">
        <v>55983584</v>
      </c>
      <c r="D76">
        <v>55432089</v>
      </c>
      <c r="E76">
        <v>1081</v>
      </c>
      <c r="F76">
        <v>1</v>
      </c>
      <c r="G76">
        <v>1081</v>
      </c>
      <c r="H76">
        <v>3</v>
      </c>
      <c r="I76" t="s">
        <v>386</v>
      </c>
      <c r="J76" t="s">
        <v>3</v>
      </c>
      <c r="K76" t="s">
        <v>389</v>
      </c>
      <c r="L76">
        <v>1354</v>
      </c>
      <c r="N76">
        <v>1010</v>
      </c>
      <c r="O76" t="s">
        <v>156</v>
      </c>
      <c r="P76" t="s">
        <v>156</v>
      </c>
      <c r="Q76">
        <v>1</v>
      </c>
      <c r="X76">
        <v>10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24</v>
      </c>
      <c r="AG76">
        <v>0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ROW(Source!A47)</f>
        <v>47</v>
      </c>
      <c r="B77">
        <v>55983610</v>
      </c>
      <c r="C77">
        <v>55983584</v>
      </c>
      <c r="D77">
        <v>55432104</v>
      </c>
      <c r="E77">
        <v>1081</v>
      </c>
      <c r="F77">
        <v>1</v>
      </c>
      <c r="G77">
        <v>1081</v>
      </c>
      <c r="H77">
        <v>3</v>
      </c>
      <c r="I77" t="s">
        <v>390</v>
      </c>
      <c r="J77" t="s">
        <v>3</v>
      </c>
      <c r="K77" t="s">
        <v>391</v>
      </c>
      <c r="L77">
        <v>1356</v>
      </c>
      <c r="N77">
        <v>1010</v>
      </c>
      <c r="O77" t="s">
        <v>331</v>
      </c>
      <c r="P77" t="s">
        <v>331</v>
      </c>
      <c r="Q77">
        <v>1000</v>
      </c>
      <c r="X77">
        <v>0.01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24</v>
      </c>
      <c r="AG77">
        <v>0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ROW(Source!A47)</f>
        <v>47</v>
      </c>
      <c r="B78">
        <v>55983611</v>
      </c>
      <c r="C78">
        <v>55983584</v>
      </c>
      <c r="D78">
        <v>55434259</v>
      </c>
      <c r="E78">
        <v>1081</v>
      </c>
      <c r="F78">
        <v>1</v>
      </c>
      <c r="G78">
        <v>1081</v>
      </c>
      <c r="H78">
        <v>3</v>
      </c>
      <c r="I78" t="s">
        <v>392</v>
      </c>
      <c r="J78" t="s">
        <v>3</v>
      </c>
      <c r="K78" t="s">
        <v>393</v>
      </c>
      <c r="L78">
        <v>1354</v>
      </c>
      <c r="N78">
        <v>1010</v>
      </c>
      <c r="O78" t="s">
        <v>156</v>
      </c>
      <c r="P78" t="s">
        <v>156</v>
      </c>
      <c r="Q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24</v>
      </c>
      <c r="AG78">
        <v>0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ROW(Source!A83)</f>
        <v>83</v>
      </c>
      <c r="B79">
        <v>55919672</v>
      </c>
      <c r="C79">
        <v>55919671</v>
      </c>
      <c r="D79">
        <v>55424304</v>
      </c>
      <c r="E79">
        <v>1081</v>
      </c>
      <c r="F79">
        <v>1</v>
      </c>
      <c r="G79">
        <v>1081</v>
      </c>
      <c r="H79">
        <v>1</v>
      </c>
      <c r="I79" t="s">
        <v>278</v>
      </c>
      <c r="J79" t="s">
        <v>3</v>
      </c>
      <c r="K79" t="s">
        <v>279</v>
      </c>
      <c r="L79">
        <v>1191</v>
      </c>
      <c r="N79">
        <v>1013</v>
      </c>
      <c r="O79" t="s">
        <v>280</v>
      </c>
      <c r="P79" t="s">
        <v>280</v>
      </c>
      <c r="Q79">
        <v>1</v>
      </c>
      <c r="X79">
        <v>5.37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1</v>
      </c>
      <c r="AF79" t="s">
        <v>57</v>
      </c>
      <c r="AG79">
        <v>6.444</v>
      </c>
      <c r="AH79">
        <v>2</v>
      </c>
      <c r="AI79">
        <v>55919672</v>
      </c>
      <c r="AJ79">
        <v>65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ROW(Source!A83)</f>
        <v>83</v>
      </c>
      <c r="B80">
        <v>55919673</v>
      </c>
      <c r="C80">
        <v>55919671</v>
      </c>
      <c r="D80">
        <v>55459873</v>
      </c>
      <c r="E80">
        <v>1</v>
      </c>
      <c r="F80">
        <v>1</v>
      </c>
      <c r="G80">
        <v>1081</v>
      </c>
      <c r="H80">
        <v>3</v>
      </c>
      <c r="I80" t="s">
        <v>281</v>
      </c>
      <c r="J80" t="s">
        <v>282</v>
      </c>
      <c r="K80" t="s">
        <v>283</v>
      </c>
      <c r="L80">
        <v>1348</v>
      </c>
      <c r="N80">
        <v>1009</v>
      </c>
      <c r="O80" t="s">
        <v>284</v>
      </c>
      <c r="P80" t="s">
        <v>284</v>
      </c>
      <c r="Q80">
        <v>1000</v>
      </c>
      <c r="X80">
        <v>2.0000000000000002E-5</v>
      </c>
      <c r="Y80">
        <v>18495.41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56</v>
      </c>
      <c r="AG80">
        <v>2.0000000000000002E-5</v>
      </c>
      <c r="AH80">
        <v>2</v>
      </c>
      <c r="AI80">
        <v>55919673</v>
      </c>
      <c r="AJ80">
        <v>66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ROW(Source!A84)</f>
        <v>84</v>
      </c>
      <c r="B81">
        <v>55919672</v>
      </c>
      <c r="C81">
        <v>55919671</v>
      </c>
      <c r="D81">
        <v>55424304</v>
      </c>
      <c r="E81">
        <v>1081</v>
      </c>
      <c r="F81">
        <v>1</v>
      </c>
      <c r="G81">
        <v>1081</v>
      </c>
      <c r="H81">
        <v>1</v>
      </c>
      <c r="I81" t="s">
        <v>278</v>
      </c>
      <c r="J81" t="s">
        <v>3</v>
      </c>
      <c r="K81" t="s">
        <v>279</v>
      </c>
      <c r="L81">
        <v>1191</v>
      </c>
      <c r="N81">
        <v>1013</v>
      </c>
      <c r="O81" t="s">
        <v>280</v>
      </c>
      <c r="P81" t="s">
        <v>280</v>
      </c>
      <c r="Q81">
        <v>1</v>
      </c>
      <c r="X81">
        <v>5.37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 t="s">
        <v>57</v>
      </c>
      <c r="AG81">
        <v>6.444</v>
      </c>
      <c r="AH81">
        <v>2</v>
      </c>
      <c r="AI81">
        <v>55919672</v>
      </c>
      <c r="AJ81">
        <v>67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ROW(Source!A84)</f>
        <v>84</v>
      </c>
      <c r="B82">
        <v>55919673</v>
      </c>
      <c r="C82">
        <v>55919671</v>
      </c>
      <c r="D82">
        <v>55459873</v>
      </c>
      <c r="E82">
        <v>1</v>
      </c>
      <c r="F82">
        <v>1</v>
      </c>
      <c r="G82">
        <v>1081</v>
      </c>
      <c r="H82">
        <v>3</v>
      </c>
      <c r="I82" t="s">
        <v>281</v>
      </c>
      <c r="J82" t="s">
        <v>282</v>
      </c>
      <c r="K82" t="s">
        <v>283</v>
      </c>
      <c r="L82">
        <v>1348</v>
      </c>
      <c r="N82">
        <v>1009</v>
      </c>
      <c r="O82" t="s">
        <v>284</v>
      </c>
      <c r="P82" t="s">
        <v>284</v>
      </c>
      <c r="Q82">
        <v>1000</v>
      </c>
      <c r="X82">
        <v>2.0000000000000002E-5</v>
      </c>
      <c r="Y82">
        <v>18495.41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56</v>
      </c>
      <c r="AG82">
        <v>2.0000000000000002E-5</v>
      </c>
      <c r="AH82">
        <v>2</v>
      </c>
      <c r="AI82">
        <v>55919673</v>
      </c>
      <c r="AJ82">
        <v>68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ROW(Source!A87)</f>
        <v>87</v>
      </c>
      <c r="B83">
        <v>55919682</v>
      </c>
      <c r="C83">
        <v>55919681</v>
      </c>
      <c r="D83">
        <v>55424304</v>
      </c>
      <c r="E83">
        <v>1081</v>
      </c>
      <c r="F83">
        <v>1</v>
      </c>
      <c r="G83">
        <v>1081</v>
      </c>
      <c r="H83">
        <v>1</v>
      </c>
      <c r="I83" t="s">
        <v>278</v>
      </c>
      <c r="J83" t="s">
        <v>3</v>
      </c>
      <c r="K83" t="s">
        <v>279</v>
      </c>
      <c r="L83">
        <v>1191</v>
      </c>
      <c r="N83">
        <v>1013</v>
      </c>
      <c r="O83" t="s">
        <v>280</v>
      </c>
      <c r="P83" t="s">
        <v>280</v>
      </c>
      <c r="Q83">
        <v>1</v>
      </c>
      <c r="X83">
        <v>0.8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57</v>
      </c>
      <c r="AG83">
        <v>0.96</v>
      </c>
      <c r="AH83">
        <v>2</v>
      </c>
      <c r="AI83">
        <v>55919682</v>
      </c>
      <c r="AJ83">
        <v>69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ROW(Source!A87)</f>
        <v>87</v>
      </c>
      <c r="B84">
        <v>55919683</v>
      </c>
      <c r="C84">
        <v>55919681</v>
      </c>
      <c r="D84">
        <v>55460239</v>
      </c>
      <c r="E84">
        <v>1</v>
      </c>
      <c r="F84">
        <v>1</v>
      </c>
      <c r="G84">
        <v>1081</v>
      </c>
      <c r="H84">
        <v>3</v>
      </c>
      <c r="I84" t="s">
        <v>285</v>
      </c>
      <c r="J84" t="s">
        <v>286</v>
      </c>
      <c r="K84" t="s">
        <v>287</v>
      </c>
      <c r="L84">
        <v>1348</v>
      </c>
      <c r="N84">
        <v>1009</v>
      </c>
      <c r="O84" t="s">
        <v>284</v>
      </c>
      <c r="P84" t="s">
        <v>284</v>
      </c>
      <c r="Q84">
        <v>1000</v>
      </c>
      <c r="X84">
        <v>2.4000000000000001E-5</v>
      </c>
      <c r="Y84">
        <v>12416.13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56</v>
      </c>
      <c r="AG84">
        <v>2.4000000000000001E-5</v>
      </c>
      <c r="AH84">
        <v>2</v>
      </c>
      <c r="AI84">
        <v>55919683</v>
      </c>
      <c r="AJ84">
        <v>70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ROW(Source!A88)</f>
        <v>88</v>
      </c>
      <c r="B85">
        <v>55919682</v>
      </c>
      <c r="C85">
        <v>55919681</v>
      </c>
      <c r="D85">
        <v>55424304</v>
      </c>
      <c r="E85">
        <v>1081</v>
      </c>
      <c r="F85">
        <v>1</v>
      </c>
      <c r="G85">
        <v>1081</v>
      </c>
      <c r="H85">
        <v>1</v>
      </c>
      <c r="I85" t="s">
        <v>278</v>
      </c>
      <c r="J85" t="s">
        <v>3</v>
      </c>
      <c r="K85" t="s">
        <v>279</v>
      </c>
      <c r="L85">
        <v>1191</v>
      </c>
      <c r="N85">
        <v>1013</v>
      </c>
      <c r="O85" t="s">
        <v>280</v>
      </c>
      <c r="P85" t="s">
        <v>280</v>
      </c>
      <c r="Q85">
        <v>1</v>
      </c>
      <c r="X85">
        <v>0.8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57</v>
      </c>
      <c r="AG85">
        <v>0.96</v>
      </c>
      <c r="AH85">
        <v>2</v>
      </c>
      <c r="AI85">
        <v>55919682</v>
      </c>
      <c r="AJ85">
        <v>71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ROW(Source!A88)</f>
        <v>88</v>
      </c>
      <c r="B86">
        <v>55919683</v>
      </c>
      <c r="C86">
        <v>55919681</v>
      </c>
      <c r="D86">
        <v>55460239</v>
      </c>
      <c r="E86">
        <v>1</v>
      </c>
      <c r="F86">
        <v>1</v>
      </c>
      <c r="G86">
        <v>1081</v>
      </c>
      <c r="H86">
        <v>3</v>
      </c>
      <c r="I86" t="s">
        <v>285</v>
      </c>
      <c r="J86" t="s">
        <v>286</v>
      </c>
      <c r="K86" t="s">
        <v>287</v>
      </c>
      <c r="L86">
        <v>1348</v>
      </c>
      <c r="N86">
        <v>1009</v>
      </c>
      <c r="O86" t="s">
        <v>284</v>
      </c>
      <c r="P86" t="s">
        <v>284</v>
      </c>
      <c r="Q86">
        <v>1000</v>
      </c>
      <c r="X86">
        <v>2.4000000000000001E-5</v>
      </c>
      <c r="Y86">
        <v>12416.13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56</v>
      </c>
      <c r="AG86">
        <v>2.4000000000000001E-5</v>
      </c>
      <c r="AH86">
        <v>2</v>
      </c>
      <c r="AI86">
        <v>55919683</v>
      </c>
      <c r="AJ86">
        <v>72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ROW(Source!A91)</f>
        <v>91</v>
      </c>
      <c r="B87">
        <v>55919931</v>
      </c>
      <c r="C87">
        <v>55919910</v>
      </c>
      <c r="D87">
        <v>55424304</v>
      </c>
      <c r="E87">
        <v>1081</v>
      </c>
      <c r="F87">
        <v>1</v>
      </c>
      <c r="G87">
        <v>1081</v>
      </c>
      <c r="H87">
        <v>1</v>
      </c>
      <c r="I87" t="s">
        <v>278</v>
      </c>
      <c r="J87" t="s">
        <v>3</v>
      </c>
      <c r="K87" t="s">
        <v>279</v>
      </c>
      <c r="L87">
        <v>1191</v>
      </c>
      <c r="N87">
        <v>1013</v>
      </c>
      <c r="O87" t="s">
        <v>280</v>
      </c>
      <c r="P87" t="s">
        <v>280</v>
      </c>
      <c r="Q87">
        <v>1</v>
      </c>
      <c r="X87">
        <v>2.06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 t="s">
        <v>57</v>
      </c>
      <c r="AG87">
        <v>2.472</v>
      </c>
      <c r="AH87">
        <v>2</v>
      </c>
      <c r="AI87">
        <v>55919931</v>
      </c>
      <c r="AJ87">
        <v>73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ROW(Source!A91)</f>
        <v>91</v>
      </c>
      <c r="B88">
        <v>55919932</v>
      </c>
      <c r="C88">
        <v>55919910</v>
      </c>
      <c r="D88">
        <v>55489803</v>
      </c>
      <c r="E88">
        <v>1</v>
      </c>
      <c r="F88">
        <v>1</v>
      </c>
      <c r="G88">
        <v>1081</v>
      </c>
      <c r="H88">
        <v>2</v>
      </c>
      <c r="I88" t="s">
        <v>288</v>
      </c>
      <c r="J88" t="s">
        <v>289</v>
      </c>
      <c r="K88" t="s">
        <v>290</v>
      </c>
      <c r="L88">
        <v>1368</v>
      </c>
      <c r="N88">
        <v>1011</v>
      </c>
      <c r="O88" t="s">
        <v>291</v>
      </c>
      <c r="P88" t="s">
        <v>291</v>
      </c>
      <c r="Q88">
        <v>1</v>
      </c>
      <c r="X88">
        <v>0.19</v>
      </c>
      <c r="Y88">
        <v>0</v>
      </c>
      <c r="Z88">
        <v>41.45</v>
      </c>
      <c r="AA88">
        <v>12.62</v>
      </c>
      <c r="AB88">
        <v>0</v>
      </c>
      <c r="AC88">
        <v>0</v>
      </c>
      <c r="AD88">
        <v>1</v>
      </c>
      <c r="AE88">
        <v>0</v>
      </c>
      <c r="AF88" t="s">
        <v>57</v>
      </c>
      <c r="AG88">
        <v>0.22799999999999998</v>
      </c>
      <c r="AH88">
        <v>2</v>
      </c>
      <c r="AI88">
        <v>55919932</v>
      </c>
      <c r="AJ88">
        <v>74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ROW(Source!A91)</f>
        <v>91</v>
      </c>
      <c r="B89">
        <v>55919933</v>
      </c>
      <c r="C89">
        <v>55919910</v>
      </c>
      <c r="D89">
        <v>55489910</v>
      </c>
      <c r="E89">
        <v>1</v>
      </c>
      <c r="F89">
        <v>1</v>
      </c>
      <c r="G89">
        <v>1081</v>
      </c>
      <c r="H89">
        <v>2</v>
      </c>
      <c r="I89" t="s">
        <v>293</v>
      </c>
      <c r="J89" t="s">
        <v>294</v>
      </c>
      <c r="K89" t="s">
        <v>295</v>
      </c>
      <c r="L89">
        <v>1368</v>
      </c>
      <c r="N89">
        <v>1011</v>
      </c>
      <c r="O89" t="s">
        <v>291</v>
      </c>
      <c r="P89" t="s">
        <v>291</v>
      </c>
      <c r="Q89">
        <v>1</v>
      </c>
      <c r="X89">
        <v>0.61</v>
      </c>
      <c r="Y89">
        <v>0</v>
      </c>
      <c r="Z89">
        <v>7.11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57</v>
      </c>
      <c r="AG89">
        <v>0.73199999999999998</v>
      </c>
      <c r="AH89">
        <v>2</v>
      </c>
      <c r="AI89">
        <v>55919933</v>
      </c>
      <c r="AJ89">
        <v>75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ROW(Source!A91)</f>
        <v>91</v>
      </c>
      <c r="B90">
        <v>55919934</v>
      </c>
      <c r="C90">
        <v>55919910</v>
      </c>
      <c r="D90">
        <v>55490209</v>
      </c>
      <c r="E90">
        <v>1</v>
      </c>
      <c r="F90">
        <v>1</v>
      </c>
      <c r="G90">
        <v>1081</v>
      </c>
      <c r="H90">
        <v>2</v>
      </c>
      <c r="I90" t="s">
        <v>296</v>
      </c>
      <c r="J90" t="s">
        <v>297</v>
      </c>
      <c r="K90" t="s">
        <v>298</v>
      </c>
      <c r="L90">
        <v>1368</v>
      </c>
      <c r="N90">
        <v>1011</v>
      </c>
      <c r="O90" t="s">
        <v>291</v>
      </c>
      <c r="P90" t="s">
        <v>291</v>
      </c>
      <c r="Q90">
        <v>1</v>
      </c>
      <c r="X90">
        <v>0.06</v>
      </c>
      <c r="Y90">
        <v>0</v>
      </c>
      <c r="Z90">
        <v>83.1</v>
      </c>
      <c r="AA90">
        <v>12.62</v>
      </c>
      <c r="AB90">
        <v>0</v>
      </c>
      <c r="AC90">
        <v>0</v>
      </c>
      <c r="AD90">
        <v>1</v>
      </c>
      <c r="AE90">
        <v>0</v>
      </c>
      <c r="AF90" t="s">
        <v>57</v>
      </c>
      <c r="AG90">
        <v>7.1999999999999995E-2</v>
      </c>
      <c r="AH90">
        <v>2</v>
      </c>
      <c r="AI90">
        <v>55919934</v>
      </c>
      <c r="AJ90">
        <v>76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ROW(Source!A91)</f>
        <v>91</v>
      </c>
      <c r="B91">
        <v>55919935</v>
      </c>
      <c r="C91">
        <v>55919910</v>
      </c>
      <c r="D91">
        <v>55490260</v>
      </c>
      <c r="E91">
        <v>1</v>
      </c>
      <c r="F91">
        <v>1</v>
      </c>
      <c r="G91">
        <v>1081</v>
      </c>
      <c r="H91">
        <v>2</v>
      </c>
      <c r="I91" t="s">
        <v>299</v>
      </c>
      <c r="J91" t="s">
        <v>300</v>
      </c>
      <c r="K91" t="s">
        <v>301</v>
      </c>
      <c r="L91">
        <v>1368</v>
      </c>
      <c r="N91">
        <v>1011</v>
      </c>
      <c r="O91" t="s">
        <v>291</v>
      </c>
      <c r="P91" t="s">
        <v>291</v>
      </c>
      <c r="Q91">
        <v>1</v>
      </c>
      <c r="X91">
        <v>0.19</v>
      </c>
      <c r="Y91">
        <v>0</v>
      </c>
      <c r="Z91">
        <v>1.1499999999999999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57</v>
      </c>
      <c r="AG91">
        <v>0.22799999999999998</v>
      </c>
      <c r="AH91">
        <v>2</v>
      </c>
      <c r="AI91">
        <v>55919935</v>
      </c>
      <c r="AJ91">
        <v>77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ROW(Source!A91)</f>
        <v>91</v>
      </c>
      <c r="B92">
        <v>55919936</v>
      </c>
      <c r="C92">
        <v>55919910</v>
      </c>
      <c r="D92">
        <v>55460310</v>
      </c>
      <c r="E92">
        <v>1</v>
      </c>
      <c r="F92">
        <v>1</v>
      </c>
      <c r="G92">
        <v>1081</v>
      </c>
      <c r="H92">
        <v>3</v>
      </c>
      <c r="I92" t="s">
        <v>302</v>
      </c>
      <c r="J92" t="s">
        <v>303</v>
      </c>
      <c r="K92" t="s">
        <v>304</v>
      </c>
      <c r="L92">
        <v>1346</v>
      </c>
      <c r="N92">
        <v>1009</v>
      </c>
      <c r="O92" t="s">
        <v>151</v>
      </c>
      <c r="P92" t="s">
        <v>151</v>
      </c>
      <c r="Q92">
        <v>1</v>
      </c>
      <c r="X92">
        <v>0.02</v>
      </c>
      <c r="Y92">
        <v>29.89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56</v>
      </c>
      <c r="AG92">
        <v>0.02</v>
      </c>
      <c r="AH92">
        <v>2</v>
      </c>
      <c r="AI92">
        <v>55919936</v>
      </c>
      <c r="AJ92">
        <v>78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ROW(Source!A91)</f>
        <v>91</v>
      </c>
      <c r="B93">
        <v>55919937</v>
      </c>
      <c r="C93">
        <v>55919910</v>
      </c>
      <c r="D93">
        <v>55460380</v>
      </c>
      <c r="E93">
        <v>1</v>
      </c>
      <c r="F93">
        <v>1</v>
      </c>
      <c r="G93">
        <v>1081</v>
      </c>
      <c r="H93">
        <v>3</v>
      </c>
      <c r="I93" t="s">
        <v>305</v>
      </c>
      <c r="J93" t="s">
        <v>306</v>
      </c>
      <c r="K93" t="s">
        <v>307</v>
      </c>
      <c r="L93">
        <v>1348</v>
      </c>
      <c r="N93">
        <v>1009</v>
      </c>
      <c r="O93" t="s">
        <v>284</v>
      </c>
      <c r="P93" t="s">
        <v>284</v>
      </c>
      <c r="Q93">
        <v>1000</v>
      </c>
      <c r="X93">
        <v>1E-4</v>
      </c>
      <c r="Y93">
        <v>8590.86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56</v>
      </c>
      <c r="AG93">
        <v>1E-4</v>
      </c>
      <c r="AH93">
        <v>2</v>
      </c>
      <c r="AI93">
        <v>55919937</v>
      </c>
      <c r="AJ93">
        <v>79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ROW(Source!A91)</f>
        <v>91</v>
      </c>
      <c r="B94">
        <v>55919938</v>
      </c>
      <c r="C94">
        <v>55919910</v>
      </c>
      <c r="D94">
        <v>55417010</v>
      </c>
      <c r="E94">
        <v>1081</v>
      </c>
      <c r="F94">
        <v>1</v>
      </c>
      <c r="G94">
        <v>1081</v>
      </c>
      <c r="H94">
        <v>3</v>
      </c>
      <c r="I94" t="s">
        <v>382</v>
      </c>
      <c r="J94" t="s">
        <v>3</v>
      </c>
      <c r="K94" t="s">
        <v>383</v>
      </c>
      <c r="L94">
        <v>1346</v>
      </c>
      <c r="N94">
        <v>1009</v>
      </c>
      <c r="O94" t="s">
        <v>151</v>
      </c>
      <c r="P94" t="s">
        <v>151</v>
      </c>
      <c r="Q94">
        <v>1</v>
      </c>
      <c r="X94">
        <v>0.1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56</v>
      </c>
      <c r="AG94">
        <v>0.1</v>
      </c>
      <c r="AH94">
        <v>3</v>
      </c>
      <c r="AI94">
        <v>-1</v>
      </c>
      <c r="AJ94" t="s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ROW(Source!A91)</f>
        <v>91</v>
      </c>
      <c r="B95">
        <v>55919939</v>
      </c>
      <c r="C95">
        <v>55919910</v>
      </c>
      <c r="D95">
        <v>55431457</v>
      </c>
      <c r="E95">
        <v>1081</v>
      </c>
      <c r="F95">
        <v>1</v>
      </c>
      <c r="G95">
        <v>1081</v>
      </c>
      <c r="H95">
        <v>3</v>
      </c>
      <c r="I95" t="s">
        <v>384</v>
      </c>
      <c r="J95" t="s">
        <v>3</v>
      </c>
      <c r="K95" t="s">
        <v>385</v>
      </c>
      <c r="L95">
        <v>1354</v>
      </c>
      <c r="N95">
        <v>1010</v>
      </c>
      <c r="O95" t="s">
        <v>156</v>
      </c>
      <c r="P95" t="s">
        <v>156</v>
      </c>
      <c r="Q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56</v>
      </c>
      <c r="AG95">
        <v>1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ROW(Source!A92)</f>
        <v>92</v>
      </c>
      <c r="B96">
        <v>55919931</v>
      </c>
      <c r="C96">
        <v>55919910</v>
      </c>
      <c r="D96">
        <v>55424304</v>
      </c>
      <c r="E96">
        <v>1081</v>
      </c>
      <c r="F96">
        <v>1</v>
      </c>
      <c r="G96">
        <v>1081</v>
      </c>
      <c r="H96">
        <v>1</v>
      </c>
      <c r="I96" t="s">
        <v>278</v>
      </c>
      <c r="J96" t="s">
        <v>3</v>
      </c>
      <c r="K96" t="s">
        <v>279</v>
      </c>
      <c r="L96">
        <v>1191</v>
      </c>
      <c r="N96">
        <v>1013</v>
      </c>
      <c r="O96" t="s">
        <v>280</v>
      </c>
      <c r="P96" t="s">
        <v>280</v>
      </c>
      <c r="Q96">
        <v>1</v>
      </c>
      <c r="X96">
        <v>2.06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 t="s">
        <v>57</v>
      </c>
      <c r="AG96">
        <v>2.472</v>
      </c>
      <c r="AH96">
        <v>2</v>
      </c>
      <c r="AI96">
        <v>55919931</v>
      </c>
      <c r="AJ96">
        <v>82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ROW(Source!A92)</f>
        <v>92</v>
      </c>
      <c r="B97">
        <v>55919932</v>
      </c>
      <c r="C97">
        <v>55919910</v>
      </c>
      <c r="D97">
        <v>55489803</v>
      </c>
      <c r="E97">
        <v>1</v>
      </c>
      <c r="F97">
        <v>1</v>
      </c>
      <c r="G97">
        <v>1081</v>
      </c>
      <c r="H97">
        <v>2</v>
      </c>
      <c r="I97" t="s">
        <v>288</v>
      </c>
      <c r="J97" t="s">
        <v>289</v>
      </c>
      <c r="K97" t="s">
        <v>290</v>
      </c>
      <c r="L97">
        <v>1368</v>
      </c>
      <c r="N97">
        <v>1011</v>
      </c>
      <c r="O97" t="s">
        <v>291</v>
      </c>
      <c r="P97" t="s">
        <v>291</v>
      </c>
      <c r="Q97">
        <v>1</v>
      </c>
      <c r="X97">
        <v>0.19</v>
      </c>
      <c r="Y97">
        <v>0</v>
      </c>
      <c r="Z97">
        <v>41.45</v>
      </c>
      <c r="AA97">
        <v>12.62</v>
      </c>
      <c r="AB97">
        <v>0</v>
      </c>
      <c r="AC97">
        <v>0</v>
      </c>
      <c r="AD97">
        <v>1</v>
      </c>
      <c r="AE97">
        <v>0</v>
      </c>
      <c r="AF97" t="s">
        <v>57</v>
      </c>
      <c r="AG97">
        <v>0.22799999999999998</v>
      </c>
      <c r="AH97">
        <v>2</v>
      </c>
      <c r="AI97">
        <v>55919932</v>
      </c>
      <c r="AJ97">
        <v>83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ROW(Source!A92)</f>
        <v>92</v>
      </c>
      <c r="B98">
        <v>55919933</v>
      </c>
      <c r="C98">
        <v>55919910</v>
      </c>
      <c r="D98">
        <v>55489910</v>
      </c>
      <c r="E98">
        <v>1</v>
      </c>
      <c r="F98">
        <v>1</v>
      </c>
      <c r="G98">
        <v>1081</v>
      </c>
      <c r="H98">
        <v>2</v>
      </c>
      <c r="I98" t="s">
        <v>293</v>
      </c>
      <c r="J98" t="s">
        <v>294</v>
      </c>
      <c r="K98" t="s">
        <v>295</v>
      </c>
      <c r="L98">
        <v>1368</v>
      </c>
      <c r="N98">
        <v>1011</v>
      </c>
      <c r="O98" t="s">
        <v>291</v>
      </c>
      <c r="P98" t="s">
        <v>291</v>
      </c>
      <c r="Q98">
        <v>1</v>
      </c>
      <c r="X98">
        <v>0.61</v>
      </c>
      <c r="Y98">
        <v>0</v>
      </c>
      <c r="Z98">
        <v>7.11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57</v>
      </c>
      <c r="AG98">
        <v>0.73199999999999998</v>
      </c>
      <c r="AH98">
        <v>2</v>
      </c>
      <c r="AI98">
        <v>55919933</v>
      </c>
      <c r="AJ98">
        <v>84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ROW(Source!A92)</f>
        <v>92</v>
      </c>
      <c r="B99">
        <v>55919934</v>
      </c>
      <c r="C99">
        <v>55919910</v>
      </c>
      <c r="D99">
        <v>55490209</v>
      </c>
      <c r="E99">
        <v>1</v>
      </c>
      <c r="F99">
        <v>1</v>
      </c>
      <c r="G99">
        <v>1081</v>
      </c>
      <c r="H99">
        <v>2</v>
      </c>
      <c r="I99" t="s">
        <v>296</v>
      </c>
      <c r="J99" t="s">
        <v>297</v>
      </c>
      <c r="K99" t="s">
        <v>298</v>
      </c>
      <c r="L99">
        <v>1368</v>
      </c>
      <c r="N99">
        <v>1011</v>
      </c>
      <c r="O99" t="s">
        <v>291</v>
      </c>
      <c r="P99" t="s">
        <v>291</v>
      </c>
      <c r="Q99">
        <v>1</v>
      </c>
      <c r="X99">
        <v>0.06</v>
      </c>
      <c r="Y99">
        <v>0</v>
      </c>
      <c r="Z99">
        <v>83.1</v>
      </c>
      <c r="AA99">
        <v>12.62</v>
      </c>
      <c r="AB99">
        <v>0</v>
      </c>
      <c r="AC99">
        <v>0</v>
      </c>
      <c r="AD99">
        <v>1</v>
      </c>
      <c r="AE99">
        <v>0</v>
      </c>
      <c r="AF99" t="s">
        <v>57</v>
      </c>
      <c r="AG99">
        <v>7.1999999999999995E-2</v>
      </c>
      <c r="AH99">
        <v>2</v>
      </c>
      <c r="AI99">
        <v>55919934</v>
      </c>
      <c r="AJ99">
        <v>85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ROW(Source!A92)</f>
        <v>92</v>
      </c>
      <c r="B100">
        <v>55919935</v>
      </c>
      <c r="C100">
        <v>55919910</v>
      </c>
      <c r="D100">
        <v>55490260</v>
      </c>
      <c r="E100">
        <v>1</v>
      </c>
      <c r="F100">
        <v>1</v>
      </c>
      <c r="G100">
        <v>1081</v>
      </c>
      <c r="H100">
        <v>2</v>
      </c>
      <c r="I100" t="s">
        <v>299</v>
      </c>
      <c r="J100" t="s">
        <v>300</v>
      </c>
      <c r="K100" t="s">
        <v>301</v>
      </c>
      <c r="L100">
        <v>1368</v>
      </c>
      <c r="N100">
        <v>1011</v>
      </c>
      <c r="O100" t="s">
        <v>291</v>
      </c>
      <c r="P100" t="s">
        <v>291</v>
      </c>
      <c r="Q100">
        <v>1</v>
      </c>
      <c r="X100">
        <v>0.19</v>
      </c>
      <c r="Y100">
        <v>0</v>
      </c>
      <c r="Z100">
        <v>1.1499999999999999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57</v>
      </c>
      <c r="AG100">
        <v>0.22799999999999998</v>
      </c>
      <c r="AH100">
        <v>2</v>
      </c>
      <c r="AI100">
        <v>55919935</v>
      </c>
      <c r="AJ100">
        <v>86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ROW(Source!A92)</f>
        <v>92</v>
      </c>
      <c r="B101">
        <v>55919936</v>
      </c>
      <c r="C101">
        <v>55919910</v>
      </c>
      <c r="D101">
        <v>55460310</v>
      </c>
      <c r="E101">
        <v>1</v>
      </c>
      <c r="F101">
        <v>1</v>
      </c>
      <c r="G101">
        <v>1081</v>
      </c>
      <c r="H101">
        <v>3</v>
      </c>
      <c r="I101" t="s">
        <v>302</v>
      </c>
      <c r="J101" t="s">
        <v>303</v>
      </c>
      <c r="K101" t="s">
        <v>304</v>
      </c>
      <c r="L101">
        <v>1346</v>
      </c>
      <c r="N101">
        <v>1009</v>
      </c>
      <c r="O101" t="s">
        <v>151</v>
      </c>
      <c r="P101" t="s">
        <v>151</v>
      </c>
      <c r="Q101">
        <v>1</v>
      </c>
      <c r="X101">
        <v>0.02</v>
      </c>
      <c r="Y101">
        <v>29.89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56</v>
      </c>
      <c r="AG101">
        <v>0.02</v>
      </c>
      <c r="AH101">
        <v>2</v>
      </c>
      <c r="AI101">
        <v>55919936</v>
      </c>
      <c r="AJ101">
        <v>87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ROW(Source!A92)</f>
        <v>92</v>
      </c>
      <c r="B102">
        <v>55919937</v>
      </c>
      <c r="C102">
        <v>55919910</v>
      </c>
      <c r="D102">
        <v>55460380</v>
      </c>
      <c r="E102">
        <v>1</v>
      </c>
      <c r="F102">
        <v>1</v>
      </c>
      <c r="G102">
        <v>1081</v>
      </c>
      <c r="H102">
        <v>3</v>
      </c>
      <c r="I102" t="s">
        <v>305</v>
      </c>
      <c r="J102" t="s">
        <v>306</v>
      </c>
      <c r="K102" t="s">
        <v>307</v>
      </c>
      <c r="L102">
        <v>1348</v>
      </c>
      <c r="N102">
        <v>1009</v>
      </c>
      <c r="O102" t="s">
        <v>284</v>
      </c>
      <c r="P102" t="s">
        <v>284</v>
      </c>
      <c r="Q102">
        <v>1000</v>
      </c>
      <c r="X102">
        <v>1E-4</v>
      </c>
      <c r="Y102">
        <v>8590.86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56</v>
      </c>
      <c r="AG102">
        <v>1E-4</v>
      </c>
      <c r="AH102">
        <v>2</v>
      </c>
      <c r="AI102">
        <v>55919937</v>
      </c>
      <c r="AJ102">
        <v>88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ROW(Source!A92)</f>
        <v>92</v>
      </c>
      <c r="B103">
        <v>55919938</v>
      </c>
      <c r="C103">
        <v>55919910</v>
      </c>
      <c r="D103">
        <v>55417010</v>
      </c>
      <c r="E103">
        <v>1081</v>
      </c>
      <c r="F103">
        <v>1</v>
      </c>
      <c r="G103">
        <v>1081</v>
      </c>
      <c r="H103">
        <v>3</v>
      </c>
      <c r="I103" t="s">
        <v>382</v>
      </c>
      <c r="J103" t="s">
        <v>3</v>
      </c>
      <c r="K103" t="s">
        <v>383</v>
      </c>
      <c r="L103">
        <v>1346</v>
      </c>
      <c r="N103">
        <v>1009</v>
      </c>
      <c r="O103" t="s">
        <v>151</v>
      </c>
      <c r="P103" t="s">
        <v>151</v>
      </c>
      <c r="Q103">
        <v>1</v>
      </c>
      <c r="X103">
        <v>0.1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56</v>
      </c>
      <c r="AG103">
        <v>0.1</v>
      </c>
      <c r="AH103">
        <v>3</v>
      </c>
      <c r="AI103">
        <v>-1</v>
      </c>
      <c r="AJ103" t="s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ROW(Source!A92)</f>
        <v>92</v>
      </c>
      <c r="B104">
        <v>55919939</v>
      </c>
      <c r="C104">
        <v>55919910</v>
      </c>
      <c r="D104">
        <v>55431457</v>
      </c>
      <c r="E104">
        <v>1081</v>
      </c>
      <c r="F104">
        <v>1</v>
      </c>
      <c r="G104">
        <v>1081</v>
      </c>
      <c r="H104">
        <v>3</v>
      </c>
      <c r="I104" t="s">
        <v>384</v>
      </c>
      <c r="J104" t="s">
        <v>3</v>
      </c>
      <c r="K104" t="s">
        <v>385</v>
      </c>
      <c r="L104">
        <v>1354</v>
      </c>
      <c r="N104">
        <v>1010</v>
      </c>
      <c r="O104" t="s">
        <v>156</v>
      </c>
      <c r="P104" t="s">
        <v>156</v>
      </c>
      <c r="Q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56</v>
      </c>
      <c r="AG104">
        <v>1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ROW(Source!A97)</f>
        <v>97</v>
      </c>
      <c r="B105">
        <v>55919691</v>
      </c>
      <c r="C105">
        <v>55919690</v>
      </c>
      <c r="D105">
        <v>55424304</v>
      </c>
      <c r="E105">
        <v>1081</v>
      </c>
      <c r="F105">
        <v>1</v>
      </c>
      <c r="G105">
        <v>1081</v>
      </c>
      <c r="H105">
        <v>1</v>
      </c>
      <c r="I105" t="s">
        <v>278</v>
      </c>
      <c r="J105" t="s">
        <v>3</v>
      </c>
      <c r="K105" t="s">
        <v>279</v>
      </c>
      <c r="L105">
        <v>1191</v>
      </c>
      <c r="N105">
        <v>1013</v>
      </c>
      <c r="O105" t="s">
        <v>280</v>
      </c>
      <c r="P105" t="s">
        <v>280</v>
      </c>
      <c r="Q105">
        <v>1</v>
      </c>
      <c r="X105">
        <v>8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 t="s">
        <v>57</v>
      </c>
      <c r="AG105">
        <v>9.6</v>
      </c>
      <c r="AH105">
        <v>2</v>
      </c>
      <c r="AI105">
        <v>55919691</v>
      </c>
      <c r="AJ105">
        <v>91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ROW(Source!A97)</f>
        <v>97</v>
      </c>
      <c r="B106">
        <v>55919692</v>
      </c>
      <c r="C106">
        <v>55919690</v>
      </c>
      <c r="D106">
        <v>55460239</v>
      </c>
      <c r="E106">
        <v>1</v>
      </c>
      <c r="F106">
        <v>1</v>
      </c>
      <c r="G106">
        <v>1081</v>
      </c>
      <c r="H106">
        <v>3</v>
      </c>
      <c r="I106" t="s">
        <v>285</v>
      </c>
      <c r="J106" t="s">
        <v>286</v>
      </c>
      <c r="K106" t="s">
        <v>287</v>
      </c>
      <c r="L106">
        <v>1348</v>
      </c>
      <c r="N106">
        <v>1009</v>
      </c>
      <c r="O106" t="s">
        <v>284</v>
      </c>
      <c r="P106" t="s">
        <v>284</v>
      </c>
      <c r="Q106">
        <v>1000</v>
      </c>
      <c r="X106">
        <v>2.4000000000000001E-5</v>
      </c>
      <c r="Y106">
        <v>12416.13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56</v>
      </c>
      <c r="AG106">
        <v>2.4000000000000001E-5</v>
      </c>
      <c r="AH106">
        <v>2</v>
      </c>
      <c r="AI106">
        <v>55919692</v>
      </c>
      <c r="AJ106">
        <v>92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ROW(Source!A98)</f>
        <v>98</v>
      </c>
      <c r="B107">
        <v>55919691</v>
      </c>
      <c r="C107">
        <v>55919690</v>
      </c>
      <c r="D107">
        <v>55424304</v>
      </c>
      <c r="E107">
        <v>1081</v>
      </c>
      <c r="F107">
        <v>1</v>
      </c>
      <c r="G107">
        <v>1081</v>
      </c>
      <c r="H107">
        <v>1</v>
      </c>
      <c r="I107" t="s">
        <v>278</v>
      </c>
      <c r="J107" t="s">
        <v>3</v>
      </c>
      <c r="K107" t="s">
        <v>279</v>
      </c>
      <c r="L107">
        <v>1191</v>
      </c>
      <c r="N107">
        <v>1013</v>
      </c>
      <c r="O107" t="s">
        <v>280</v>
      </c>
      <c r="P107" t="s">
        <v>280</v>
      </c>
      <c r="Q107">
        <v>1</v>
      </c>
      <c r="X107">
        <v>8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 t="s">
        <v>57</v>
      </c>
      <c r="AG107">
        <v>9.6</v>
      </c>
      <c r="AH107">
        <v>2</v>
      </c>
      <c r="AI107">
        <v>55919691</v>
      </c>
      <c r="AJ107">
        <v>93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ROW(Source!A98)</f>
        <v>98</v>
      </c>
      <c r="B108">
        <v>55919692</v>
      </c>
      <c r="C108">
        <v>55919690</v>
      </c>
      <c r="D108">
        <v>55460239</v>
      </c>
      <c r="E108">
        <v>1</v>
      </c>
      <c r="F108">
        <v>1</v>
      </c>
      <c r="G108">
        <v>1081</v>
      </c>
      <c r="H108">
        <v>3</v>
      </c>
      <c r="I108" t="s">
        <v>285</v>
      </c>
      <c r="J108" t="s">
        <v>286</v>
      </c>
      <c r="K108" t="s">
        <v>287</v>
      </c>
      <c r="L108">
        <v>1348</v>
      </c>
      <c r="N108">
        <v>1009</v>
      </c>
      <c r="O108" t="s">
        <v>284</v>
      </c>
      <c r="P108" t="s">
        <v>284</v>
      </c>
      <c r="Q108">
        <v>1000</v>
      </c>
      <c r="X108">
        <v>2.4000000000000001E-5</v>
      </c>
      <c r="Y108">
        <v>12416.13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56</v>
      </c>
      <c r="AG108">
        <v>2.4000000000000001E-5</v>
      </c>
      <c r="AH108">
        <v>2</v>
      </c>
      <c r="AI108">
        <v>55919692</v>
      </c>
      <c r="AJ108">
        <v>94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ROW(Source!A101)</f>
        <v>101</v>
      </c>
      <c r="B109">
        <v>55919887</v>
      </c>
      <c r="C109">
        <v>55919886</v>
      </c>
      <c r="D109">
        <v>55424304</v>
      </c>
      <c r="E109">
        <v>1081</v>
      </c>
      <c r="F109">
        <v>1</v>
      </c>
      <c r="G109">
        <v>1081</v>
      </c>
      <c r="H109">
        <v>1</v>
      </c>
      <c r="I109" t="s">
        <v>278</v>
      </c>
      <c r="J109" t="s">
        <v>3</v>
      </c>
      <c r="K109" t="s">
        <v>279</v>
      </c>
      <c r="L109">
        <v>1191</v>
      </c>
      <c r="N109">
        <v>1013</v>
      </c>
      <c r="O109" t="s">
        <v>280</v>
      </c>
      <c r="P109" t="s">
        <v>280</v>
      </c>
      <c r="Q109">
        <v>1</v>
      </c>
      <c r="X109">
        <v>1.9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57</v>
      </c>
      <c r="AG109">
        <v>2.2799999999999998</v>
      </c>
      <c r="AH109">
        <v>2</v>
      </c>
      <c r="AI109">
        <v>55919887</v>
      </c>
      <c r="AJ109">
        <v>95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ROW(Source!A101)</f>
        <v>101</v>
      </c>
      <c r="B110">
        <v>55919888</v>
      </c>
      <c r="C110">
        <v>55919886</v>
      </c>
      <c r="D110">
        <v>55459873</v>
      </c>
      <c r="E110">
        <v>1</v>
      </c>
      <c r="F110">
        <v>1</v>
      </c>
      <c r="G110">
        <v>1081</v>
      </c>
      <c r="H110">
        <v>3</v>
      </c>
      <c r="I110" t="s">
        <v>281</v>
      </c>
      <c r="J110" t="s">
        <v>282</v>
      </c>
      <c r="K110" t="s">
        <v>283</v>
      </c>
      <c r="L110">
        <v>1348</v>
      </c>
      <c r="N110">
        <v>1009</v>
      </c>
      <c r="O110" t="s">
        <v>284</v>
      </c>
      <c r="P110" t="s">
        <v>284</v>
      </c>
      <c r="Q110">
        <v>1000</v>
      </c>
      <c r="X110">
        <v>1.0000000000000001E-5</v>
      </c>
      <c r="Y110">
        <v>18495.41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56</v>
      </c>
      <c r="AG110">
        <v>1.0000000000000001E-5</v>
      </c>
      <c r="AH110">
        <v>2</v>
      </c>
      <c r="AI110">
        <v>55919888</v>
      </c>
      <c r="AJ110">
        <v>96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ROW(Source!A102)</f>
        <v>102</v>
      </c>
      <c r="B111">
        <v>55919887</v>
      </c>
      <c r="C111">
        <v>55919886</v>
      </c>
      <c r="D111">
        <v>55424304</v>
      </c>
      <c r="E111">
        <v>1081</v>
      </c>
      <c r="F111">
        <v>1</v>
      </c>
      <c r="G111">
        <v>1081</v>
      </c>
      <c r="H111">
        <v>1</v>
      </c>
      <c r="I111" t="s">
        <v>278</v>
      </c>
      <c r="J111" t="s">
        <v>3</v>
      </c>
      <c r="K111" t="s">
        <v>279</v>
      </c>
      <c r="L111">
        <v>1191</v>
      </c>
      <c r="N111">
        <v>1013</v>
      </c>
      <c r="O111" t="s">
        <v>280</v>
      </c>
      <c r="P111" t="s">
        <v>280</v>
      </c>
      <c r="Q111">
        <v>1</v>
      </c>
      <c r="X111">
        <v>1.9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 t="s">
        <v>57</v>
      </c>
      <c r="AG111">
        <v>2.2799999999999998</v>
      </c>
      <c r="AH111">
        <v>2</v>
      </c>
      <c r="AI111">
        <v>55919887</v>
      </c>
      <c r="AJ111">
        <v>97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ROW(Source!A102)</f>
        <v>102</v>
      </c>
      <c r="B112">
        <v>55919888</v>
      </c>
      <c r="C112">
        <v>55919886</v>
      </c>
      <c r="D112">
        <v>55459873</v>
      </c>
      <c r="E112">
        <v>1</v>
      </c>
      <c r="F112">
        <v>1</v>
      </c>
      <c r="G112">
        <v>1081</v>
      </c>
      <c r="H112">
        <v>3</v>
      </c>
      <c r="I112" t="s">
        <v>281</v>
      </c>
      <c r="J112" t="s">
        <v>282</v>
      </c>
      <c r="K112" t="s">
        <v>283</v>
      </c>
      <c r="L112">
        <v>1348</v>
      </c>
      <c r="N112">
        <v>1009</v>
      </c>
      <c r="O112" t="s">
        <v>284</v>
      </c>
      <c r="P112" t="s">
        <v>284</v>
      </c>
      <c r="Q112">
        <v>1000</v>
      </c>
      <c r="X112">
        <v>1.0000000000000001E-5</v>
      </c>
      <c r="Y112">
        <v>18495.41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56</v>
      </c>
      <c r="AG112">
        <v>1.0000000000000001E-5</v>
      </c>
      <c r="AH112">
        <v>2</v>
      </c>
      <c r="AI112">
        <v>55919888</v>
      </c>
      <c r="AJ112">
        <v>98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ROW(Source!A105)</f>
        <v>105</v>
      </c>
      <c r="B113">
        <v>55919898</v>
      </c>
      <c r="C113">
        <v>55919897</v>
      </c>
      <c r="D113">
        <v>55424304</v>
      </c>
      <c r="E113">
        <v>1081</v>
      </c>
      <c r="F113">
        <v>1</v>
      </c>
      <c r="G113">
        <v>1081</v>
      </c>
      <c r="H113">
        <v>1</v>
      </c>
      <c r="I113" t="s">
        <v>278</v>
      </c>
      <c r="J113" t="s">
        <v>3</v>
      </c>
      <c r="K113" t="s">
        <v>279</v>
      </c>
      <c r="L113">
        <v>1191</v>
      </c>
      <c r="N113">
        <v>1013</v>
      </c>
      <c r="O113" t="s">
        <v>280</v>
      </c>
      <c r="P113" t="s">
        <v>280</v>
      </c>
      <c r="Q113">
        <v>1</v>
      </c>
      <c r="X113">
        <v>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57</v>
      </c>
      <c r="AG113">
        <v>2.4</v>
      </c>
      <c r="AH113">
        <v>2</v>
      </c>
      <c r="AI113">
        <v>55919898</v>
      </c>
      <c r="AJ113">
        <v>99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ROW(Source!A105)</f>
        <v>105</v>
      </c>
      <c r="B114">
        <v>55919899</v>
      </c>
      <c r="C114">
        <v>55919897</v>
      </c>
      <c r="D114">
        <v>55460239</v>
      </c>
      <c r="E114">
        <v>1</v>
      </c>
      <c r="F114">
        <v>1</v>
      </c>
      <c r="G114">
        <v>1081</v>
      </c>
      <c r="H114">
        <v>3</v>
      </c>
      <c r="I114" t="s">
        <v>285</v>
      </c>
      <c r="J114" t="s">
        <v>286</v>
      </c>
      <c r="K114" t="s">
        <v>287</v>
      </c>
      <c r="L114">
        <v>1348</v>
      </c>
      <c r="N114">
        <v>1009</v>
      </c>
      <c r="O114" t="s">
        <v>284</v>
      </c>
      <c r="P114" t="s">
        <v>284</v>
      </c>
      <c r="Q114">
        <v>1000</v>
      </c>
      <c r="X114">
        <v>2.4000000000000001E-5</v>
      </c>
      <c r="Y114">
        <v>12416.13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56</v>
      </c>
      <c r="AG114">
        <v>2.4000000000000001E-5</v>
      </c>
      <c r="AH114">
        <v>2</v>
      </c>
      <c r="AI114">
        <v>55919899</v>
      </c>
      <c r="AJ114">
        <v>100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ROW(Source!A106)</f>
        <v>106</v>
      </c>
      <c r="B115">
        <v>55919898</v>
      </c>
      <c r="C115">
        <v>55919897</v>
      </c>
      <c r="D115">
        <v>55424304</v>
      </c>
      <c r="E115">
        <v>1081</v>
      </c>
      <c r="F115">
        <v>1</v>
      </c>
      <c r="G115">
        <v>1081</v>
      </c>
      <c r="H115">
        <v>1</v>
      </c>
      <c r="I115" t="s">
        <v>278</v>
      </c>
      <c r="J115" t="s">
        <v>3</v>
      </c>
      <c r="K115" t="s">
        <v>279</v>
      </c>
      <c r="L115">
        <v>1191</v>
      </c>
      <c r="N115">
        <v>1013</v>
      </c>
      <c r="O115" t="s">
        <v>280</v>
      </c>
      <c r="P115" t="s">
        <v>280</v>
      </c>
      <c r="Q115">
        <v>1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1</v>
      </c>
      <c r="AF115" t="s">
        <v>57</v>
      </c>
      <c r="AG115">
        <v>2.4</v>
      </c>
      <c r="AH115">
        <v>2</v>
      </c>
      <c r="AI115">
        <v>55919898</v>
      </c>
      <c r="AJ115">
        <v>101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ROW(Source!A106)</f>
        <v>106</v>
      </c>
      <c r="B116">
        <v>55919899</v>
      </c>
      <c r="C116">
        <v>55919897</v>
      </c>
      <c r="D116">
        <v>55460239</v>
      </c>
      <c r="E116">
        <v>1</v>
      </c>
      <c r="F116">
        <v>1</v>
      </c>
      <c r="G116">
        <v>1081</v>
      </c>
      <c r="H116">
        <v>3</v>
      </c>
      <c r="I116" t="s">
        <v>285</v>
      </c>
      <c r="J116" t="s">
        <v>286</v>
      </c>
      <c r="K116" t="s">
        <v>287</v>
      </c>
      <c r="L116">
        <v>1348</v>
      </c>
      <c r="N116">
        <v>1009</v>
      </c>
      <c r="O116" t="s">
        <v>284</v>
      </c>
      <c r="P116" t="s">
        <v>284</v>
      </c>
      <c r="Q116">
        <v>1000</v>
      </c>
      <c r="X116">
        <v>2.4000000000000001E-5</v>
      </c>
      <c r="Y116">
        <v>12416.13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56</v>
      </c>
      <c r="AG116">
        <v>2.4000000000000001E-5</v>
      </c>
      <c r="AH116">
        <v>2</v>
      </c>
      <c r="AI116">
        <v>55919899</v>
      </c>
      <c r="AJ116">
        <v>102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ROW(Source!A144)</f>
        <v>144</v>
      </c>
      <c r="B117">
        <v>55919819</v>
      </c>
      <c r="C117">
        <v>55919818</v>
      </c>
      <c r="D117">
        <v>55424304</v>
      </c>
      <c r="E117">
        <v>1081</v>
      </c>
      <c r="F117">
        <v>1</v>
      </c>
      <c r="G117">
        <v>1081</v>
      </c>
      <c r="H117">
        <v>1</v>
      </c>
      <c r="I117" t="s">
        <v>278</v>
      </c>
      <c r="J117" t="s">
        <v>3</v>
      </c>
      <c r="K117" t="s">
        <v>279</v>
      </c>
      <c r="L117">
        <v>1191</v>
      </c>
      <c r="N117">
        <v>1013</v>
      </c>
      <c r="O117" t="s">
        <v>280</v>
      </c>
      <c r="P117" t="s">
        <v>280</v>
      </c>
      <c r="Q117">
        <v>1</v>
      </c>
      <c r="X117">
        <v>0.8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57</v>
      </c>
      <c r="AG117">
        <v>0.96</v>
      </c>
      <c r="AH117">
        <v>2</v>
      </c>
      <c r="AI117">
        <v>55919819</v>
      </c>
      <c r="AJ117">
        <v>103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ROW(Source!A144)</f>
        <v>144</v>
      </c>
      <c r="B118">
        <v>55919820</v>
      </c>
      <c r="C118">
        <v>55919818</v>
      </c>
      <c r="D118">
        <v>55460239</v>
      </c>
      <c r="E118">
        <v>1</v>
      </c>
      <c r="F118">
        <v>1</v>
      </c>
      <c r="G118">
        <v>1081</v>
      </c>
      <c r="H118">
        <v>3</v>
      </c>
      <c r="I118" t="s">
        <v>285</v>
      </c>
      <c r="J118" t="s">
        <v>286</v>
      </c>
      <c r="K118" t="s">
        <v>287</v>
      </c>
      <c r="L118">
        <v>1348</v>
      </c>
      <c r="N118">
        <v>1009</v>
      </c>
      <c r="O118" t="s">
        <v>284</v>
      </c>
      <c r="P118" t="s">
        <v>284</v>
      </c>
      <c r="Q118">
        <v>1000</v>
      </c>
      <c r="X118">
        <v>2.4000000000000001E-5</v>
      </c>
      <c r="Y118">
        <v>12416.13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56</v>
      </c>
      <c r="AG118">
        <v>2.4000000000000001E-5</v>
      </c>
      <c r="AH118">
        <v>2</v>
      </c>
      <c r="AI118">
        <v>55919820</v>
      </c>
      <c r="AJ118">
        <v>104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ROW(Source!A145)</f>
        <v>145</v>
      </c>
      <c r="B119">
        <v>55919819</v>
      </c>
      <c r="C119">
        <v>55919818</v>
      </c>
      <c r="D119">
        <v>55424304</v>
      </c>
      <c r="E119">
        <v>1081</v>
      </c>
      <c r="F119">
        <v>1</v>
      </c>
      <c r="G119">
        <v>1081</v>
      </c>
      <c r="H119">
        <v>1</v>
      </c>
      <c r="I119" t="s">
        <v>278</v>
      </c>
      <c r="J119" t="s">
        <v>3</v>
      </c>
      <c r="K119" t="s">
        <v>279</v>
      </c>
      <c r="L119">
        <v>1191</v>
      </c>
      <c r="N119">
        <v>1013</v>
      </c>
      <c r="O119" t="s">
        <v>280</v>
      </c>
      <c r="P119" t="s">
        <v>280</v>
      </c>
      <c r="Q119">
        <v>1</v>
      </c>
      <c r="X119">
        <v>0.8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1</v>
      </c>
      <c r="AF119" t="s">
        <v>57</v>
      </c>
      <c r="AG119">
        <v>0.96</v>
      </c>
      <c r="AH119">
        <v>2</v>
      </c>
      <c r="AI119">
        <v>55919819</v>
      </c>
      <c r="AJ119">
        <v>105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ROW(Source!A145)</f>
        <v>145</v>
      </c>
      <c r="B120">
        <v>55919820</v>
      </c>
      <c r="C120">
        <v>55919818</v>
      </c>
      <c r="D120">
        <v>55460239</v>
      </c>
      <c r="E120">
        <v>1</v>
      </c>
      <c r="F120">
        <v>1</v>
      </c>
      <c r="G120">
        <v>1081</v>
      </c>
      <c r="H120">
        <v>3</v>
      </c>
      <c r="I120" t="s">
        <v>285</v>
      </c>
      <c r="J120" t="s">
        <v>286</v>
      </c>
      <c r="K120" t="s">
        <v>287</v>
      </c>
      <c r="L120">
        <v>1348</v>
      </c>
      <c r="N120">
        <v>1009</v>
      </c>
      <c r="O120" t="s">
        <v>284</v>
      </c>
      <c r="P120" t="s">
        <v>284</v>
      </c>
      <c r="Q120">
        <v>1000</v>
      </c>
      <c r="X120">
        <v>2.4000000000000001E-5</v>
      </c>
      <c r="Y120">
        <v>12416.13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56</v>
      </c>
      <c r="AG120">
        <v>2.4000000000000001E-5</v>
      </c>
      <c r="AH120">
        <v>2</v>
      </c>
      <c r="AI120">
        <v>55919820</v>
      </c>
      <c r="AJ120">
        <v>106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ROW(Source!A148)</f>
        <v>148</v>
      </c>
      <c r="B121">
        <v>55919823</v>
      </c>
      <c r="C121">
        <v>55919822</v>
      </c>
      <c r="D121">
        <v>55424304</v>
      </c>
      <c r="E121">
        <v>1081</v>
      </c>
      <c r="F121">
        <v>1</v>
      </c>
      <c r="G121">
        <v>1081</v>
      </c>
      <c r="H121">
        <v>1</v>
      </c>
      <c r="I121" t="s">
        <v>278</v>
      </c>
      <c r="J121" t="s">
        <v>3</v>
      </c>
      <c r="K121" t="s">
        <v>279</v>
      </c>
      <c r="L121">
        <v>1191</v>
      </c>
      <c r="N121">
        <v>1013</v>
      </c>
      <c r="O121" t="s">
        <v>280</v>
      </c>
      <c r="P121" t="s">
        <v>280</v>
      </c>
      <c r="Q121">
        <v>1</v>
      </c>
      <c r="X121">
        <v>18.84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57</v>
      </c>
      <c r="AG121">
        <v>22.608000000000001</v>
      </c>
      <c r="AH121">
        <v>2</v>
      </c>
      <c r="AI121">
        <v>55919823</v>
      </c>
      <c r="AJ121">
        <v>107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ROW(Source!A148)</f>
        <v>148</v>
      </c>
      <c r="B122">
        <v>55919824</v>
      </c>
      <c r="C122">
        <v>55919822</v>
      </c>
      <c r="D122">
        <v>55490209</v>
      </c>
      <c r="E122">
        <v>1</v>
      </c>
      <c r="F122">
        <v>1</v>
      </c>
      <c r="G122">
        <v>1081</v>
      </c>
      <c r="H122">
        <v>2</v>
      </c>
      <c r="I122" t="s">
        <v>296</v>
      </c>
      <c r="J122" t="s">
        <v>297</v>
      </c>
      <c r="K122" t="s">
        <v>298</v>
      </c>
      <c r="L122">
        <v>1368</v>
      </c>
      <c r="N122">
        <v>1011</v>
      </c>
      <c r="O122" t="s">
        <v>291</v>
      </c>
      <c r="P122" t="s">
        <v>291</v>
      </c>
      <c r="Q122">
        <v>1</v>
      </c>
      <c r="X122">
        <v>0.01</v>
      </c>
      <c r="Y122">
        <v>0</v>
      </c>
      <c r="Z122">
        <v>83.1</v>
      </c>
      <c r="AA122">
        <v>12.62</v>
      </c>
      <c r="AB122">
        <v>0</v>
      </c>
      <c r="AC122">
        <v>0</v>
      </c>
      <c r="AD122">
        <v>1</v>
      </c>
      <c r="AE122">
        <v>0</v>
      </c>
      <c r="AF122" t="s">
        <v>57</v>
      </c>
      <c r="AG122">
        <v>1.2E-2</v>
      </c>
      <c r="AH122">
        <v>2</v>
      </c>
      <c r="AI122">
        <v>55919824</v>
      </c>
      <c r="AJ122">
        <v>108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ROW(Source!A148)</f>
        <v>148</v>
      </c>
      <c r="B123">
        <v>55919825</v>
      </c>
      <c r="C123">
        <v>55919822</v>
      </c>
      <c r="D123">
        <v>55434107</v>
      </c>
      <c r="E123">
        <v>1081</v>
      </c>
      <c r="F123">
        <v>1</v>
      </c>
      <c r="G123">
        <v>1081</v>
      </c>
      <c r="H123">
        <v>3</v>
      </c>
      <c r="I123" t="s">
        <v>394</v>
      </c>
      <c r="J123" t="s">
        <v>3</v>
      </c>
      <c r="K123" t="s">
        <v>395</v>
      </c>
      <c r="L123">
        <v>1354</v>
      </c>
      <c r="N123">
        <v>1010</v>
      </c>
      <c r="O123" t="s">
        <v>156</v>
      </c>
      <c r="P123" t="s">
        <v>156</v>
      </c>
      <c r="Q123">
        <v>1</v>
      </c>
      <c r="X123">
        <v>102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t="s">
        <v>56</v>
      </c>
      <c r="AG123">
        <v>102</v>
      </c>
      <c r="AH123">
        <v>3</v>
      </c>
      <c r="AI123">
        <v>-1</v>
      </c>
      <c r="AJ123" t="s">
        <v>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ROW(Source!A149)</f>
        <v>149</v>
      </c>
      <c r="B124">
        <v>55919823</v>
      </c>
      <c r="C124">
        <v>55919822</v>
      </c>
      <c r="D124">
        <v>55424304</v>
      </c>
      <c r="E124">
        <v>1081</v>
      </c>
      <c r="F124">
        <v>1</v>
      </c>
      <c r="G124">
        <v>1081</v>
      </c>
      <c r="H124">
        <v>1</v>
      </c>
      <c r="I124" t="s">
        <v>278</v>
      </c>
      <c r="J124" t="s">
        <v>3</v>
      </c>
      <c r="K124" t="s">
        <v>279</v>
      </c>
      <c r="L124">
        <v>1191</v>
      </c>
      <c r="N124">
        <v>1013</v>
      </c>
      <c r="O124" t="s">
        <v>280</v>
      </c>
      <c r="P124" t="s">
        <v>280</v>
      </c>
      <c r="Q124">
        <v>1</v>
      </c>
      <c r="X124">
        <v>18.84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 t="s">
        <v>57</v>
      </c>
      <c r="AG124">
        <v>22.608000000000001</v>
      </c>
      <c r="AH124">
        <v>2</v>
      </c>
      <c r="AI124">
        <v>55919823</v>
      </c>
      <c r="AJ124">
        <v>110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ROW(Source!A149)</f>
        <v>149</v>
      </c>
      <c r="B125">
        <v>55919824</v>
      </c>
      <c r="C125">
        <v>55919822</v>
      </c>
      <c r="D125">
        <v>55490209</v>
      </c>
      <c r="E125">
        <v>1</v>
      </c>
      <c r="F125">
        <v>1</v>
      </c>
      <c r="G125">
        <v>1081</v>
      </c>
      <c r="H125">
        <v>2</v>
      </c>
      <c r="I125" t="s">
        <v>296</v>
      </c>
      <c r="J125" t="s">
        <v>297</v>
      </c>
      <c r="K125" t="s">
        <v>298</v>
      </c>
      <c r="L125">
        <v>1368</v>
      </c>
      <c r="N125">
        <v>1011</v>
      </c>
      <c r="O125" t="s">
        <v>291</v>
      </c>
      <c r="P125" t="s">
        <v>291</v>
      </c>
      <c r="Q125">
        <v>1</v>
      </c>
      <c r="X125">
        <v>0.01</v>
      </c>
      <c r="Y125">
        <v>0</v>
      </c>
      <c r="Z125">
        <v>83.1</v>
      </c>
      <c r="AA125">
        <v>12.62</v>
      </c>
      <c r="AB125">
        <v>0</v>
      </c>
      <c r="AC125">
        <v>0</v>
      </c>
      <c r="AD125">
        <v>1</v>
      </c>
      <c r="AE125">
        <v>0</v>
      </c>
      <c r="AF125" t="s">
        <v>57</v>
      </c>
      <c r="AG125">
        <v>1.2E-2</v>
      </c>
      <c r="AH125">
        <v>2</v>
      </c>
      <c r="AI125">
        <v>55919824</v>
      </c>
      <c r="AJ125">
        <v>111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ROW(Source!A149)</f>
        <v>149</v>
      </c>
      <c r="B126">
        <v>55919825</v>
      </c>
      <c r="C126">
        <v>55919822</v>
      </c>
      <c r="D126">
        <v>55434107</v>
      </c>
      <c r="E126">
        <v>1081</v>
      </c>
      <c r="F126">
        <v>1</v>
      </c>
      <c r="G126">
        <v>1081</v>
      </c>
      <c r="H126">
        <v>3</v>
      </c>
      <c r="I126" t="s">
        <v>394</v>
      </c>
      <c r="J126" t="s">
        <v>3</v>
      </c>
      <c r="K126" t="s">
        <v>395</v>
      </c>
      <c r="L126">
        <v>1354</v>
      </c>
      <c r="N126">
        <v>1010</v>
      </c>
      <c r="O126" t="s">
        <v>156</v>
      </c>
      <c r="P126" t="s">
        <v>156</v>
      </c>
      <c r="Q126">
        <v>1</v>
      </c>
      <c r="X126">
        <v>102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56</v>
      </c>
      <c r="AG126">
        <v>102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ROW(Source!A189)</f>
        <v>189</v>
      </c>
      <c r="B127">
        <v>55927921</v>
      </c>
      <c r="C127">
        <v>55927910</v>
      </c>
      <c r="D127">
        <v>55424304</v>
      </c>
      <c r="E127">
        <v>1081</v>
      </c>
      <c r="F127">
        <v>1</v>
      </c>
      <c r="G127">
        <v>1081</v>
      </c>
      <c r="H127">
        <v>1</v>
      </c>
      <c r="I127" t="s">
        <v>278</v>
      </c>
      <c r="J127" t="s">
        <v>3</v>
      </c>
      <c r="K127" t="s">
        <v>279</v>
      </c>
      <c r="L127">
        <v>1191</v>
      </c>
      <c r="N127">
        <v>1013</v>
      </c>
      <c r="O127" t="s">
        <v>280</v>
      </c>
      <c r="P127" t="s">
        <v>280</v>
      </c>
      <c r="Q127">
        <v>1</v>
      </c>
      <c r="X127">
        <v>4.49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 t="s">
        <v>57</v>
      </c>
      <c r="AG127">
        <v>5.3879999999999999</v>
      </c>
      <c r="AH127">
        <v>2</v>
      </c>
      <c r="AI127">
        <v>55927911</v>
      </c>
      <c r="AJ127">
        <v>113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ROW(Source!A189)</f>
        <v>189</v>
      </c>
      <c r="B128">
        <v>55927922</v>
      </c>
      <c r="C128">
        <v>55927910</v>
      </c>
      <c r="D128">
        <v>55490209</v>
      </c>
      <c r="E128">
        <v>1</v>
      </c>
      <c r="F128">
        <v>1</v>
      </c>
      <c r="G128">
        <v>1081</v>
      </c>
      <c r="H128">
        <v>2</v>
      </c>
      <c r="I128" t="s">
        <v>296</v>
      </c>
      <c r="J128" t="s">
        <v>297</v>
      </c>
      <c r="K128" t="s">
        <v>298</v>
      </c>
      <c r="L128">
        <v>1368</v>
      </c>
      <c r="N128">
        <v>1011</v>
      </c>
      <c r="O128" t="s">
        <v>291</v>
      </c>
      <c r="P128" t="s">
        <v>291</v>
      </c>
      <c r="Q128">
        <v>1</v>
      </c>
      <c r="X128">
        <v>0.01</v>
      </c>
      <c r="Y128">
        <v>0</v>
      </c>
      <c r="Z128">
        <v>83.1</v>
      </c>
      <c r="AA128">
        <v>12.62</v>
      </c>
      <c r="AB128">
        <v>0</v>
      </c>
      <c r="AC128">
        <v>0</v>
      </c>
      <c r="AD128">
        <v>1</v>
      </c>
      <c r="AE128">
        <v>0</v>
      </c>
      <c r="AF128" t="s">
        <v>57</v>
      </c>
      <c r="AG128">
        <v>1.2E-2</v>
      </c>
      <c r="AH128">
        <v>2</v>
      </c>
      <c r="AI128">
        <v>55927912</v>
      </c>
      <c r="AJ128">
        <v>114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ROW(Source!A189)</f>
        <v>189</v>
      </c>
      <c r="B129">
        <v>55927923</v>
      </c>
      <c r="C129">
        <v>55927910</v>
      </c>
      <c r="D129">
        <v>55489443</v>
      </c>
      <c r="E129">
        <v>1</v>
      </c>
      <c r="F129">
        <v>1</v>
      </c>
      <c r="G129">
        <v>1081</v>
      </c>
      <c r="H129">
        <v>2</v>
      </c>
      <c r="I129" t="s">
        <v>332</v>
      </c>
      <c r="J129" t="s">
        <v>333</v>
      </c>
      <c r="K129" t="s">
        <v>334</v>
      </c>
      <c r="L129">
        <v>1368</v>
      </c>
      <c r="N129">
        <v>1011</v>
      </c>
      <c r="O129" t="s">
        <v>291</v>
      </c>
      <c r="P129" t="s">
        <v>291</v>
      </c>
      <c r="Q129">
        <v>1</v>
      </c>
      <c r="X129">
        <v>0.01</v>
      </c>
      <c r="Y129">
        <v>0</v>
      </c>
      <c r="Z129">
        <v>179.17</v>
      </c>
      <c r="AA129">
        <v>16.93</v>
      </c>
      <c r="AB129">
        <v>0</v>
      </c>
      <c r="AC129">
        <v>0</v>
      </c>
      <c r="AD129">
        <v>1</v>
      </c>
      <c r="AE129">
        <v>0</v>
      </c>
      <c r="AF129" t="s">
        <v>57</v>
      </c>
      <c r="AG129">
        <v>1.2E-2</v>
      </c>
      <c r="AH129">
        <v>2</v>
      </c>
      <c r="AI129">
        <v>55927913</v>
      </c>
      <c r="AJ129">
        <v>115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ROW(Source!A189)</f>
        <v>189</v>
      </c>
      <c r="B130">
        <v>55927924</v>
      </c>
      <c r="C130">
        <v>55927910</v>
      </c>
      <c r="D130">
        <v>55460033</v>
      </c>
      <c r="E130">
        <v>1</v>
      </c>
      <c r="F130">
        <v>1</v>
      </c>
      <c r="G130">
        <v>1081</v>
      </c>
      <c r="H130">
        <v>3</v>
      </c>
      <c r="I130" t="s">
        <v>335</v>
      </c>
      <c r="J130" t="s">
        <v>336</v>
      </c>
      <c r="K130" t="s">
        <v>337</v>
      </c>
      <c r="L130">
        <v>1346</v>
      </c>
      <c r="N130">
        <v>1009</v>
      </c>
      <c r="O130" t="s">
        <v>151</v>
      </c>
      <c r="P130" t="s">
        <v>151</v>
      </c>
      <c r="Q130">
        <v>1</v>
      </c>
      <c r="X130">
        <v>0.43</v>
      </c>
      <c r="Y130">
        <v>1.38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56</v>
      </c>
      <c r="AG130">
        <v>0.43</v>
      </c>
      <c r="AH130">
        <v>2</v>
      </c>
      <c r="AI130">
        <v>55927914</v>
      </c>
      <c r="AJ130">
        <v>116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ROW(Source!A189)</f>
        <v>189</v>
      </c>
      <c r="B131">
        <v>55927925</v>
      </c>
      <c r="C131">
        <v>55927910</v>
      </c>
      <c r="D131">
        <v>55460424</v>
      </c>
      <c r="E131">
        <v>1</v>
      </c>
      <c r="F131">
        <v>1</v>
      </c>
      <c r="G131">
        <v>1081</v>
      </c>
      <c r="H131">
        <v>3</v>
      </c>
      <c r="I131" t="s">
        <v>338</v>
      </c>
      <c r="J131" t="s">
        <v>339</v>
      </c>
      <c r="K131" t="s">
        <v>340</v>
      </c>
      <c r="L131">
        <v>1346</v>
      </c>
      <c r="N131">
        <v>1009</v>
      </c>
      <c r="O131" t="s">
        <v>151</v>
      </c>
      <c r="P131" t="s">
        <v>151</v>
      </c>
      <c r="Q131">
        <v>1</v>
      </c>
      <c r="X131">
        <v>0.16</v>
      </c>
      <c r="Y131">
        <v>159.06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56</v>
      </c>
      <c r="AG131">
        <v>0.16</v>
      </c>
      <c r="AH131">
        <v>2</v>
      </c>
      <c r="AI131">
        <v>55927915</v>
      </c>
      <c r="AJ131">
        <v>117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ROW(Source!A189)</f>
        <v>189</v>
      </c>
      <c r="B132">
        <v>55927926</v>
      </c>
      <c r="C132">
        <v>55927910</v>
      </c>
      <c r="D132">
        <v>55482505</v>
      </c>
      <c r="E132">
        <v>1</v>
      </c>
      <c r="F132">
        <v>1</v>
      </c>
      <c r="G132">
        <v>1081</v>
      </c>
      <c r="H132">
        <v>3</v>
      </c>
      <c r="I132" t="s">
        <v>341</v>
      </c>
      <c r="J132" t="s">
        <v>342</v>
      </c>
      <c r="K132" t="s">
        <v>343</v>
      </c>
      <c r="L132">
        <v>1355</v>
      </c>
      <c r="N132">
        <v>1010</v>
      </c>
      <c r="O132" t="s">
        <v>54</v>
      </c>
      <c r="P132" t="s">
        <v>54</v>
      </c>
      <c r="Q132">
        <v>100</v>
      </c>
      <c r="X132">
        <v>0.05</v>
      </c>
      <c r="Y132">
        <v>68.819999999999993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56</v>
      </c>
      <c r="AG132">
        <v>0.05</v>
      </c>
      <c r="AH132">
        <v>2</v>
      </c>
      <c r="AI132">
        <v>55927916</v>
      </c>
      <c r="AJ132">
        <v>118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ROW(Source!A189)</f>
        <v>189</v>
      </c>
      <c r="B133">
        <v>55927927</v>
      </c>
      <c r="C133">
        <v>55927910</v>
      </c>
      <c r="D133">
        <v>55482516</v>
      </c>
      <c r="E133">
        <v>1</v>
      </c>
      <c r="F133">
        <v>1</v>
      </c>
      <c r="G133">
        <v>1081</v>
      </c>
      <c r="H133">
        <v>3</v>
      </c>
      <c r="I133" t="s">
        <v>344</v>
      </c>
      <c r="J133" t="s">
        <v>345</v>
      </c>
      <c r="K133" t="s">
        <v>346</v>
      </c>
      <c r="L133">
        <v>1356</v>
      </c>
      <c r="N133">
        <v>1010</v>
      </c>
      <c r="O133" t="s">
        <v>331</v>
      </c>
      <c r="P133" t="s">
        <v>331</v>
      </c>
      <c r="Q133">
        <v>1000</v>
      </c>
      <c r="X133">
        <v>1.2200000000000001E-2</v>
      </c>
      <c r="Y133">
        <v>183.4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56</v>
      </c>
      <c r="AG133">
        <v>1.2200000000000001E-2</v>
      </c>
      <c r="AH133">
        <v>2</v>
      </c>
      <c r="AI133">
        <v>55927917</v>
      </c>
      <c r="AJ133">
        <v>119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ROW(Source!A189)</f>
        <v>189</v>
      </c>
      <c r="B134">
        <v>55927928</v>
      </c>
      <c r="C134">
        <v>55927910</v>
      </c>
      <c r="D134">
        <v>55481842</v>
      </c>
      <c r="E134">
        <v>1</v>
      </c>
      <c r="F134">
        <v>1</v>
      </c>
      <c r="G134">
        <v>1081</v>
      </c>
      <c r="H134">
        <v>3</v>
      </c>
      <c r="I134" t="s">
        <v>347</v>
      </c>
      <c r="J134" t="s">
        <v>348</v>
      </c>
      <c r="K134" t="s">
        <v>349</v>
      </c>
      <c r="L134">
        <v>1354</v>
      </c>
      <c r="N134">
        <v>1010</v>
      </c>
      <c r="O134" t="s">
        <v>156</v>
      </c>
      <c r="P134" t="s">
        <v>156</v>
      </c>
      <c r="Q134">
        <v>1</v>
      </c>
      <c r="X134">
        <v>3.1</v>
      </c>
      <c r="Y134">
        <v>6.94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56</v>
      </c>
      <c r="AG134">
        <v>3.1</v>
      </c>
      <c r="AH134">
        <v>2</v>
      </c>
      <c r="AI134">
        <v>55927918</v>
      </c>
      <c r="AJ134">
        <v>120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ROW(Source!A189)</f>
        <v>189</v>
      </c>
      <c r="B135">
        <v>55927929</v>
      </c>
      <c r="C135">
        <v>55927910</v>
      </c>
      <c r="D135">
        <v>55481849</v>
      </c>
      <c r="E135">
        <v>1</v>
      </c>
      <c r="F135">
        <v>1</v>
      </c>
      <c r="G135">
        <v>1081</v>
      </c>
      <c r="H135">
        <v>3</v>
      </c>
      <c r="I135" t="s">
        <v>350</v>
      </c>
      <c r="J135" t="s">
        <v>351</v>
      </c>
      <c r="K135" t="s">
        <v>352</v>
      </c>
      <c r="L135">
        <v>1356</v>
      </c>
      <c r="N135">
        <v>1010</v>
      </c>
      <c r="O135" t="s">
        <v>331</v>
      </c>
      <c r="P135" t="s">
        <v>331</v>
      </c>
      <c r="Q135">
        <v>1000</v>
      </c>
      <c r="X135">
        <v>8.0000000000000002E-3</v>
      </c>
      <c r="Y135">
        <v>614.09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56</v>
      </c>
      <c r="AG135">
        <v>8.0000000000000002E-3</v>
      </c>
      <c r="AH135">
        <v>2</v>
      </c>
      <c r="AI135">
        <v>55927919</v>
      </c>
      <c r="AJ135">
        <v>121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ROW(Source!A189)</f>
        <v>189</v>
      </c>
      <c r="B136">
        <v>55927930</v>
      </c>
      <c r="C136">
        <v>55927910</v>
      </c>
      <c r="D136">
        <v>55434495</v>
      </c>
      <c r="E136">
        <v>1081</v>
      </c>
      <c r="F136">
        <v>1</v>
      </c>
      <c r="G136">
        <v>1081</v>
      </c>
      <c r="H136">
        <v>3</v>
      </c>
      <c r="I136" t="s">
        <v>396</v>
      </c>
      <c r="J136" t="s">
        <v>3</v>
      </c>
      <c r="K136" t="s">
        <v>397</v>
      </c>
      <c r="L136">
        <v>1303</v>
      </c>
      <c r="N136">
        <v>1003</v>
      </c>
      <c r="O136" t="s">
        <v>398</v>
      </c>
      <c r="P136" t="s">
        <v>398</v>
      </c>
      <c r="Q136">
        <v>1000</v>
      </c>
      <c r="X136">
        <v>0.10299999999999999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56</v>
      </c>
      <c r="AG136">
        <v>0.10299999999999999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ROW(Source!A190)</f>
        <v>190</v>
      </c>
      <c r="B137">
        <v>55927921</v>
      </c>
      <c r="C137">
        <v>55927910</v>
      </c>
      <c r="D137">
        <v>55424304</v>
      </c>
      <c r="E137">
        <v>1081</v>
      </c>
      <c r="F137">
        <v>1</v>
      </c>
      <c r="G137">
        <v>1081</v>
      </c>
      <c r="H137">
        <v>1</v>
      </c>
      <c r="I137" t="s">
        <v>278</v>
      </c>
      <c r="J137" t="s">
        <v>3</v>
      </c>
      <c r="K137" t="s">
        <v>279</v>
      </c>
      <c r="L137">
        <v>1191</v>
      </c>
      <c r="N137">
        <v>1013</v>
      </c>
      <c r="O137" t="s">
        <v>280</v>
      </c>
      <c r="P137" t="s">
        <v>280</v>
      </c>
      <c r="Q137">
        <v>1</v>
      </c>
      <c r="X137">
        <v>4.49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 t="s">
        <v>57</v>
      </c>
      <c r="AG137">
        <v>5.3879999999999999</v>
      </c>
      <c r="AH137">
        <v>2</v>
      </c>
      <c r="AI137">
        <v>55927911</v>
      </c>
      <c r="AJ137">
        <v>122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ROW(Source!A190)</f>
        <v>190</v>
      </c>
      <c r="B138">
        <v>55927922</v>
      </c>
      <c r="C138">
        <v>55927910</v>
      </c>
      <c r="D138">
        <v>55490209</v>
      </c>
      <c r="E138">
        <v>1</v>
      </c>
      <c r="F138">
        <v>1</v>
      </c>
      <c r="G138">
        <v>1081</v>
      </c>
      <c r="H138">
        <v>2</v>
      </c>
      <c r="I138" t="s">
        <v>296</v>
      </c>
      <c r="J138" t="s">
        <v>297</v>
      </c>
      <c r="K138" t="s">
        <v>298</v>
      </c>
      <c r="L138">
        <v>1368</v>
      </c>
      <c r="N138">
        <v>1011</v>
      </c>
      <c r="O138" t="s">
        <v>291</v>
      </c>
      <c r="P138" t="s">
        <v>291</v>
      </c>
      <c r="Q138">
        <v>1</v>
      </c>
      <c r="X138">
        <v>0.01</v>
      </c>
      <c r="Y138">
        <v>0</v>
      </c>
      <c r="Z138">
        <v>83.1</v>
      </c>
      <c r="AA138">
        <v>12.62</v>
      </c>
      <c r="AB138">
        <v>0</v>
      </c>
      <c r="AC138">
        <v>0</v>
      </c>
      <c r="AD138">
        <v>1</v>
      </c>
      <c r="AE138">
        <v>0</v>
      </c>
      <c r="AF138" t="s">
        <v>57</v>
      </c>
      <c r="AG138">
        <v>1.2E-2</v>
      </c>
      <c r="AH138">
        <v>2</v>
      </c>
      <c r="AI138">
        <v>55927912</v>
      </c>
      <c r="AJ138">
        <v>123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ROW(Source!A190)</f>
        <v>190</v>
      </c>
      <c r="B139">
        <v>55927923</v>
      </c>
      <c r="C139">
        <v>55927910</v>
      </c>
      <c r="D139">
        <v>55489443</v>
      </c>
      <c r="E139">
        <v>1</v>
      </c>
      <c r="F139">
        <v>1</v>
      </c>
      <c r="G139">
        <v>1081</v>
      </c>
      <c r="H139">
        <v>2</v>
      </c>
      <c r="I139" t="s">
        <v>332</v>
      </c>
      <c r="J139" t="s">
        <v>333</v>
      </c>
      <c r="K139" t="s">
        <v>334</v>
      </c>
      <c r="L139">
        <v>1368</v>
      </c>
      <c r="N139">
        <v>1011</v>
      </c>
      <c r="O139" t="s">
        <v>291</v>
      </c>
      <c r="P139" t="s">
        <v>291</v>
      </c>
      <c r="Q139">
        <v>1</v>
      </c>
      <c r="X139">
        <v>0.01</v>
      </c>
      <c r="Y139">
        <v>0</v>
      </c>
      <c r="Z139">
        <v>179.17</v>
      </c>
      <c r="AA139">
        <v>16.93</v>
      </c>
      <c r="AB139">
        <v>0</v>
      </c>
      <c r="AC139">
        <v>0</v>
      </c>
      <c r="AD139">
        <v>1</v>
      </c>
      <c r="AE139">
        <v>0</v>
      </c>
      <c r="AF139" t="s">
        <v>57</v>
      </c>
      <c r="AG139">
        <v>1.2E-2</v>
      </c>
      <c r="AH139">
        <v>2</v>
      </c>
      <c r="AI139">
        <v>55927913</v>
      </c>
      <c r="AJ139">
        <v>124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ROW(Source!A190)</f>
        <v>190</v>
      </c>
      <c r="B140">
        <v>55927924</v>
      </c>
      <c r="C140">
        <v>55927910</v>
      </c>
      <c r="D140">
        <v>55460033</v>
      </c>
      <c r="E140">
        <v>1</v>
      </c>
      <c r="F140">
        <v>1</v>
      </c>
      <c r="G140">
        <v>1081</v>
      </c>
      <c r="H140">
        <v>3</v>
      </c>
      <c r="I140" t="s">
        <v>335</v>
      </c>
      <c r="J140" t="s">
        <v>336</v>
      </c>
      <c r="K140" t="s">
        <v>337</v>
      </c>
      <c r="L140">
        <v>1346</v>
      </c>
      <c r="N140">
        <v>1009</v>
      </c>
      <c r="O140" t="s">
        <v>151</v>
      </c>
      <c r="P140" t="s">
        <v>151</v>
      </c>
      <c r="Q140">
        <v>1</v>
      </c>
      <c r="X140">
        <v>0.43</v>
      </c>
      <c r="Y140">
        <v>1.38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56</v>
      </c>
      <c r="AG140">
        <v>0.43</v>
      </c>
      <c r="AH140">
        <v>2</v>
      </c>
      <c r="AI140">
        <v>55927914</v>
      </c>
      <c r="AJ140">
        <v>125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ROW(Source!A190)</f>
        <v>190</v>
      </c>
      <c r="B141">
        <v>55927925</v>
      </c>
      <c r="C141">
        <v>55927910</v>
      </c>
      <c r="D141">
        <v>55460424</v>
      </c>
      <c r="E141">
        <v>1</v>
      </c>
      <c r="F141">
        <v>1</v>
      </c>
      <c r="G141">
        <v>1081</v>
      </c>
      <c r="H141">
        <v>3</v>
      </c>
      <c r="I141" t="s">
        <v>338</v>
      </c>
      <c r="J141" t="s">
        <v>339</v>
      </c>
      <c r="K141" t="s">
        <v>340</v>
      </c>
      <c r="L141">
        <v>1346</v>
      </c>
      <c r="N141">
        <v>1009</v>
      </c>
      <c r="O141" t="s">
        <v>151</v>
      </c>
      <c r="P141" t="s">
        <v>151</v>
      </c>
      <c r="Q141">
        <v>1</v>
      </c>
      <c r="X141">
        <v>0.16</v>
      </c>
      <c r="Y141">
        <v>159.06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56</v>
      </c>
      <c r="AG141">
        <v>0.16</v>
      </c>
      <c r="AH141">
        <v>2</v>
      </c>
      <c r="AI141">
        <v>55927915</v>
      </c>
      <c r="AJ141">
        <v>126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ROW(Source!A190)</f>
        <v>190</v>
      </c>
      <c r="B142">
        <v>55927926</v>
      </c>
      <c r="C142">
        <v>55927910</v>
      </c>
      <c r="D142">
        <v>55482505</v>
      </c>
      <c r="E142">
        <v>1</v>
      </c>
      <c r="F142">
        <v>1</v>
      </c>
      <c r="G142">
        <v>1081</v>
      </c>
      <c r="H142">
        <v>3</v>
      </c>
      <c r="I142" t="s">
        <v>341</v>
      </c>
      <c r="J142" t="s">
        <v>342</v>
      </c>
      <c r="K142" t="s">
        <v>343</v>
      </c>
      <c r="L142">
        <v>1355</v>
      </c>
      <c r="N142">
        <v>1010</v>
      </c>
      <c r="O142" t="s">
        <v>54</v>
      </c>
      <c r="P142" t="s">
        <v>54</v>
      </c>
      <c r="Q142">
        <v>100</v>
      </c>
      <c r="X142">
        <v>0.05</v>
      </c>
      <c r="Y142">
        <v>68.819999999999993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56</v>
      </c>
      <c r="AG142">
        <v>0.05</v>
      </c>
      <c r="AH142">
        <v>2</v>
      </c>
      <c r="AI142">
        <v>55927916</v>
      </c>
      <c r="AJ142">
        <v>127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ROW(Source!A190)</f>
        <v>190</v>
      </c>
      <c r="B143">
        <v>55927927</v>
      </c>
      <c r="C143">
        <v>55927910</v>
      </c>
      <c r="D143">
        <v>55482516</v>
      </c>
      <c r="E143">
        <v>1</v>
      </c>
      <c r="F143">
        <v>1</v>
      </c>
      <c r="G143">
        <v>1081</v>
      </c>
      <c r="H143">
        <v>3</v>
      </c>
      <c r="I143" t="s">
        <v>344</v>
      </c>
      <c r="J143" t="s">
        <v>345</v>
      </c>
      <c r="K143" t="s">
        <v>346</v>
      </c>
      <c r="L143">
        <v>1356</v>
      </c>
      <c r="N143">
        <v>1010</v>
      </c>
      <c r="O143" t="s">
        <v>331</v>
      </c>
      <c r="P143" t="s">
        <v>331</v>
      </c>
      <c r="Q143">
        <v>1000</v>
      </c>
      <c r="X143">
        <v>1.2200000000000001E-2</v>
      </c>
      <c r="Y143">
        <v>183.4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56</v>
      </c>
      <c r="AG143">
        <v>1.2200000000000001E-2</v>
      </c>
      <c r="AH143">
        <v>2</v>
      </c>
      <c r="AI143">
        <v>55927917</v>
      </c>
      <c r="AJ143">
        <v>128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ROW(Source!A190)</f>
        <v>190</v>
      </c>
      <c r="B144">
        <v>55927928</v>
      </c>
      <c r="C144">
        <v>55927910</v>
      </c>
      <c r="D144">
        <v>55481842</v>
      </c>
      <c r="E144">
        <v>1</v>
      </c>
      <c r="F144">
        <v>1</v>
      </c>
      <c r="G144">
        <v>1081</v>
      </c>
      <c r="H144">
        <v>3</v>
      </c>
      <c r="I144" t="s">
        <v>347</v>
      </c>
      <c r="J144" t="s">
        <v>348</v>
      </c>
      <c r="K144" t="s">
        <v>349</v>
      </c>
      <c r="L144">
        <v>1354</v>
      </c>
      <c r="N144">
        <v>1010</v>
      </c>
      <c r="O144" t="s">
        <v>156</v>
      </c>
      <c r="P144" t="s">
        <v>156</v>
      </c>
      <c r="Q144">
        <v>1</v>
      </c>
      <c r="X144">
        <v>3.1</v>
      </c>
      <c r="Y144">
        <v>6.94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56</v>
      </c>
      <c r="AG144">
        <v>3.1</v>
      </c>
      <c r="AH144">
        <v>2</v>
      </c>
      <c r="AI144">
        <v>55927918</v>
      </c>
      <c r="AJ144">
        <v>129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ROW(Source!A190)</f>
        <v>190</v>
      </c>
      <c r="B145">
        <v>55927929</v>
      </c>
      <c r="C145">
        <v>55927910</v>
      </c>
      <c r="D145">
        <v>55481849</v>
      </c>
      <c r="E145">
        <v>1</v>
      </c>
      <c r="F145">
        <v>1</v>
      </c>
      <c r="G145">
        <v>1081</v>
      </c>
      <c r="H145">
        <v>3</v>
      </c>
      <c r="I145" t="s">
        <v>350</v>
      </c>
      <c r="J145" t="s">
        <v>351</v>
      </c>
      <c r="K145" t="s">
        <v>352</v>
      </c>
      <c r="L145">
        <v>1356</v>
      </c>
      <c r="N145">
        <v>1010</v>
      </c>
      <c r="O145" t="s">
        <v>331</v>
      </c>
      <c r="P145" t="s">
        <v>331</v>
      </c>
      <c r="Q145">
        <v>1000</v>
      </c>
      <c r="X145">
        <v>8.0000000000000002E-3</v>
      </c>
      <c r="Y145">
        <v>614.09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56</v>
      </c>
      <c r="AG145">
        <v>8.0000000000000002E-3</v>
      </c>
      <c r="AH145">
        <v>2</v>
      </c>
      <c r="AI145">
        <v>55927919</v>
      </c>
      <c r="AJ145">
        <v>130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ROW(Source!A190)</f>
        <v>190</v>
      </c>
      <c r="B146">
        <v>55927930</v>
      </c>
      <c r="C146">
        <v>55927910</v>
      </c>
      <c r="D146">
        <v>55434495</v>
      </c>
      <c r="E146">
        <v>1081</v>
      </c>
      <c r="F146">
        <v>1</v>
      </c>
      <c r="G146">
        <v>1081</v>
      </c>
      <c r="H146">
        <v>3</v>
      </c>
      <c r="I146" t="s">
        <v>396</v>
      </c>
      <c r="J146" t="s">
        <v>3</v>
      </c>
      <c r="K146" t="s">
        <v>397</v>
      </c>
      <c r="L146">
        <v>1303</v>
      </c>
      <c r="N146">
        <v>1003</v>
      </c>
      <c r="O146" t="s">
        <v>398</v>
      </c>
      <c r="P146" t="s">
        <v>398</v>
      </c>
      <c r="Q146">
        <v>1000</v>
      </c>
      <c r="X146">
        <v>0.10299999999999999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56</v>
      </c>
      <c r="AG146">
        <v>0.10299999999999999</v>
      </c>
      <c r="AH146">
        <v>3</v>
      </c>
      <c r="AI146">
        <v>-1</v>
      </c>
      <c r="AJ146" t="s">
        <v>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ROW(Source!A195)</f>
        <v>195</v>
      </c>
      <c r="B147">
        <v>55927751</v>
      </c>
      <c r="C147">
        <v>55927750</v>
      </c>
      <c r="D147">
        <v>55424304</v>
      </c>
      <c r="E147">
        <v>1081</v>
      </c>
      <c r="F147">
        <v>1</v>
      </c>
      <c r="G147">
        <v>1081</v>
      </c>
      <c r="H147">
        <v>1</v>
      </c>
      <c r="I147" t="s">
        <v>278</v>
      </c>
      <c r="J147" t="s">
        <v>3</v>
      </c>
      <c r="K147" t="s">
        <v>279</v>
      </c>
      <c r="L147">
        <v>1191</v>
      </c>
      <c r="N147">
        <v>1013</v>
      </c>
      <c r="O147" t="s">
        <v>280</v>
      </c>
      <c r="P147" t="s">
        <v>280</v>
      </c>
      <c r="Q147">
        <v>1</v>
      </c>
      <c r="X147">
        <v>33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1</v>
      </c>
      <c r="AF147" t="s">
        <v>57</v>
      </c>
      <c r="AG147">
        <v>39.6</v>
      </c>
      <c r="AH147">
        <v>2</v>
      </c>
      <c r="AI147">
        <v>55927751</v>
      </c>
      <c r="AJ147">
        <v>131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ROW(Source!A195)</f>
        <v>195</v>
      </c>
      <c r="B148">
        <v>55927752</v>
      </c>
      <c r="C148">
        <v>55927750</v>
      </c>
      <c r="D148">
        <v>55489910</v>
      </c>
      <c r="E148">
        <v>1</v>
      </c>
      <c r="F148">
        <v>1</v>
      </c>
      <c r="G148">
        <v>1081</v>
      </c>
      <c r="H148">
        <v>2</v>
      </c>
      <c r="I148" t="s">
        <v>293</v>
      </c>
      <c r="J148" t="s">
        <v>294</v>
      </c>
      <c r="K148" t="s">
        <v>295</v>
      </c>
      <c r="L148">
        <v>1368</v>
      </c>
      <c r="N148">
        <v>1011</v>
      </c>
      <c r="O148" t="s">
        <v>291</v>
      </c>
      <c r="P148" t="s">
        <v>291</v>
      </c>
      <c r="Q148">
        <v>1</v>
      </c>
      <c r="X148">
        <v>5.33</v>
      </c>
      <c r="Y148">
        <v>0</v>
      </c>
      <c r="Z148">
        <v>7.11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57</v>
      </c>
      <c r="AG148">
        <v>6.3959999999999999</v>
      </c>
      <c r="AH148">
        <v>2</v>
      </c>
      <c r="AI148">
        <v>55927752</v>
      </c>
      <c r="AJ148">
        <v>132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ROW(Source!A195)</f>
        <v>195</v>
      </c>
      <c r="B149">
        <v>55927753</v>
      </c>
      <c r="C149">
        <v>55927750</v>
      </c>
      <c r="D149">
        <v>55490209</v>
      </c>
      <c r="E149">
        <v>1</v>
      </c>
      <c r="F149">
        <v>1</v>
      </c>
      <c r="G149">
        <v>1081</v>
      </c>
      <c r="H149">
        <v>2</v>
      </c>
      <c r="I149" t="s">
        <v>296</v>
      </c>
      <c r="J149" t="s">
        <v>297</v>
      </c>
      <c r="K149" t="s">
        <v>298</v>
      </c>
      <c r="L149">
        <v>1368</v>
      </c>
      <c r="N149">
        <v>1011</v>
      </c>
      <c r="O149" t="s">
        <v>291</v>
      </c>
      <c r="P149" t="s">
        <v>291</v>
      </c>
      <c r="Q149">
        <v>1</v>
      </c>
      <c r="X149">
        <v>0.23</v>
      </c>
      <c r="Y149">
        <v>0</v>
      </c>
      <c r="Z149">
        <v>83.1</v>
      </c>
      <c r="AA149">
        <v>12.62</v>
      </c>
      <c r="AB149">
        <v>0</v>
      </c>
      <c r="AC149">
        <v>0</v>
      </c>
      <c r="AD149">
        <v>1</v>
      </c>
      <c r="AE149">
        <v>0</v>
      </c>
      <c r="AF149" t="s">
        <v>57</v>
      </c>
      <c r="AG149">
        <v>0.27600000000000002</v>
      </c>
      <c r="AH149">
        <v>2</v>
      </c>
      <c r="AI149">
        <v>55927753</v>
      </c>
      <c r="AJ149">
        <v>133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ROW(Source!A195)</f>
        <v>195</v>
      </c>
      <c r="B150">
        <v>55927754</v>
      </c>
      <c r="C150">
        <v>55927750</v>
      </c>
      <c r="D150">
        <v>55490330</v>
      </c>
      <c r="E150">
        <v>1</v>
      </c>
      <c r="F150">
        <v>1</v>
      </c>
      <c r="G150">
        <v>1081</v>
      </c>
      <c r="H150">
        <v>2</v>
      </c>
      <c r="I150" t="s">
        <v>353</v>
      </c>
      <c r="J150" t="s">
        <v>354</v>
      </c>
      <c r="K150" t="s">
        <v>355</v>
      </c>
      <c r="L150">
        <v>1368</v>
      </c>
      <c r="N150">
        <v>1011</v>
      </c>
      <c r="O150" t="s">
        <v>291</v>
      </c>
      <c r="P150" t="s">
        <v>291</v>
      </c>
      <c r="Q150">
        <v>1</v>
      </c>
      <c r="X150">
        <v>5.27</v>
      </c>
      <c r="Y150">
        <v>0</v>
      </c>
      <c r="Z150">
        <v>0.8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57</v>
      </c>
      <c r="AG150">
        <v>6.323999999999999</v>
      </c>
      <c r="AH150">
        <v>2</v>
      </c>
      <c r="AI150">
        <v>55927754</v>
      </c>
      <c r="AJ150">
        <v>134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ROW(Source!A195)</f>
        <v>195</v>
      </c>
      <c r="B151">
        <v>55927755</v>
      </c>
      <c r="C151">
        <v>55927750</v>
      </c>
      <c r="D151">
        <v>55460380</v>
      </c>
      <c r="E151">
        <v>1</v>
      </c>
      <c r="F151">
        <v>1</v>
      </c>
      <c r="G151">
        <v>1081</v>
      </c>
      <c r="H151">
        <v>3</v>
      </c>
      <c r="I151" t="s">
        <v>305</v>
      </c>
      <c r="J151" t="s">
        <v>306</v>
      </c>
      <c r="K151" t="s">
        <v>307</v>
      </c>
      <c r="L151">
        <v>1348</v>
      </c>
      <c r="N151">
        <v>1009</v>
      </c>
      <c r="O151" t="s">
        <v>284</v>
      </c>
      <c r="P151" t="s">
        <v>284</v>
      </c>
      <c r="Q151">
        <v>1000</v>
      </c>
      <c r="X151">
        <v>3.0000000000000001E-3</v>
      </c>
      <c r="Y151">
        <v>8590.86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56</v>
      </c>
      <c r="AG151">
        <v>3.0000000000000001E-3</v>
      </c>
      <c r="AH151">
        <v>2</v>
      </c>
      <c r="AI151">
        <v>55927755</v>
      </c>
      <c r="AJ151">
        <v>135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ROW(Source!A195)</f>
        <v>195</v>
      </c>
      <c r="B152">
        <v>55927756</v>
      </c>
      <c r="C152">
        <v>55927750</v>
      </c>
      <c r="D152">
        <v>55460882</v>
      </c>
      <c r="E152">
        <v>1</v>
      </c>
      <c r="F152">
        <v>1</v>
      </c>
      <c r="G152">
        <v>1081</v>
      </c>
      <c r="H152">
        <v>3</v>
      </c>
      <c r="I152" t="s">
        <v>319</v>
      </c>
      <c r="J152" t="s">
        <v>320</v>
      </c>
      <c r="K152" t="s">
        <v>321</v>
      </c>
      <c r="L152">
        <v>1348</v>
      </c>
      <c r="N152">
        <v>1009</v>
      </c>
      <c r="O152" t="s">
        <v>284</v>
      </c>
      <c r="P152" t="s">
        <v>284</v>
      </c>
      <c r="Q152">
        <v>1000</v>
      </c>
      <c r="X152">
        <v>5.8E-4</v>
      </c>
      <c r="Y152">
        <v>14327.51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56</v>
      </c>
      <c r="AG152">
        <v>5.8E-4</v>
      </c>
      <c r="AH152">
        <v>2</v>
      </c>
      <c r="AI152">
        <v>55927756</v>
      </c>
      <c r="AJ152">
        <v>136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ROW(Source!A195)</f>
        <v>195</v>
      </c>
      <c r="B153">
        <v>55927757</v>
      </c>
      <c r="C153">
        <v>55927750</v>
      </c>
      <c r="D153">
        <v>55459404</v>
      </c>
      <c r="E153">
        <v>1</v>
      </c>
      <c r="F153">
        <v>1</v>
      </c>
      <c r="G153">
        <v>1081</v>
      </c>
      <c r="H153">
        <v>3</v>
      </c>
      <c r="I153" t="s">
        <v>356</v>
      </c>
      <c r="J153" t="s">
        <v>357</v>
      </c>
      <c r="K153" t="s">
        <v>358</v>
      </c>
      <c r="L153">
        <v>1346</v>
      </c>
      <c r="N153">
        <v>1009</v>
      </c>
      <c r="O153" t="s">
        <v>151</v>
      </c>
      <c r="P153" t="s">
        <v>151</v>
      </c>
      <c r="Q153">
        <v>1</v>
      </c>
      <c r="X153">
        <v>0.55000000000000004</v>
      </c>
      <c r="Y153">
        <v>73.53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56</v>
      </c>
      <c r="AG153">
        <v>0.55000000000000004</v>
      </c>
      <c r="AH153">
        <v>2</v>
      </c>
      <c r="AI153">
        <v>55927757</v>
      </c>
      <c r="AJ153">
        <v>137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ROW(Source!A195)</f>
        <v>195</v>
      </c>
      <c r="B154">
        <v>55927758</v>
      </c>
      <c r="C154">
        <v>55927750</v>
      </c>
      <c r="D154">
        <v>55482614</v>
      </c>
      <c r="E154">
        <v>1</v>
      </c>
      <c r="F154">
        <v>1</v>
      </c>
      <c r="G154">
        <v>1081</v>
      </c>
      <c r="H154">
        <v>3</v>
      </c>
      <c r="I154" t="s">
        <v>359</v>
      </c>
      <c r="J154" t="s">
        <v>360</v>
      </c>
      <c r="K154" t="s">
        <v>361</v>
      </c>
      <c r="L154">
        <v>1355</v>
      </c>
      <c r="N154">
        <v>1010</v>
      </c>
      <c r="O154" t="s">
        <v>54</v>
      </c>
      <c r="P154" t="s">
        <v>54</v>
      </c>
      <c r="Q154">
        <v>100</v>
      </c>
      <c r="X154">
        <v>2.2000000000000002</v>
      </c>
      <c r="Y154">
        <v>323.76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56</v>
      </c>
      <c r="AG154">
        <v>2.2000000000000002</v>
      </c>
      <c r="AH154">
        <v>2</v>
      </c>
      <c r="AI154">
        <v>55927758</v>
      </c>
      <c r="AJ154">
        <v>139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ROW(Source!A195)</f>
        <v>195</v>
      </c>
      <c r="B155">
        <v>55927759</v>
      </c>
      <c r="C155">
        <v>55927750</v>
      </c>
      <c r="D155">
        <v>55433560</v>
      </c>
      <c r="E155">
        <v>1081</v>
      </c>
      <c r="F155">
        <v>1</v>
      </c>
      <c r="G155">
        <v>1081</v>
      </c>
      <c r="H155">
        <v>3</v>
      </c>
      <c r="I155" t="s">
        <v>399</v>
      </c>
      <c r="J155" t="s">
        <v>3</v>
      </c>
      <c r="K155" t="s">
        <v>400</v>
      </c>
      <c r="L155">
        <v>1356</v>
      </c>
      <c r="N155">
        <v>1010</v>
      </c>
      <c r="O155" t="s">
        <v>331</v>
      </c>
      <c r="P155" t="s">
        <v>331</v>
      </c>
      <c r="Q155">
        <v>1000</v>
      </c>
      <c r="X155">
        <v>0.22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t="s">
        <v>56</v>
      </c>
      <c r="AG155">
        <v>0.22</v>
      </c>
      <c r="AH155">
        <v>3</v>
      </c>
      <c r="AI155">
        <v>-1</v>
      </c>
      <c r="AJ155" t="s">
        <v>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ROW(Source!A195)</f>
        <v>195</v>
      </c>
      <c r="B156">
        <v>55927760</v>
      </c>
      <c r="C156">
        <v>55927750</v>
      </c>
      <c r="D156">
        <v>55434508</v>
      </c>
      <c r="E156">
        <v>1081</v>
      </c>
      <c r="F156">
        <v>1</v>
      </c>
      <c r="G156">
        <v>1081</v>
      </c>
      <c r="H156">
        <v>3</v>
      </c>
      <c r="I156" t="s">
        <v>396</v>
      </c>
      <c r="J156" t="s">
        <v>3</v>
      </c>
      <c r="K156" t="s">
        <v>397</v>
      </c>
      <c r="L156">
        <v>1303</v>
      </c>
      <c r="N156">
        <v>1003</v>
      </c>
      <c r="O156" t="s">
        <v>398</v>
      </c>
      <c r="P156" t="s">
        <v>398</v>
      </c>
      <c r="Q156">
        <v>1000</v>
      </c>
      <c r="X156">
        <v>0.10199999999999999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56</v>
      </c>
      <c r="AG156">
        <v>0.10199999999999999</v>
      </c>
      <c r="AH156">
        <v>3</v>
      </c>
      <c r="AI156">
        <v>-1</v>
      </c>
      <c r="AJ156" t="s">
        <v>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ROW(Source!A195)</f>
        <v>195</v>
      </c>
      <c r="B157">
        <v>55927761</v>
      </c>
      <c r="C157">
        <v>55927750</v>
      </c>
      <c r="D157">
        <v>55441156</v>
      </c>
      <c r="E157">
        <v>1081</v>
      </c>
      <c r="F157">
        <v>1</v>
      </c>
      <c r="G157">
        <v>1081</v>
      </c>
      <c r="H157">
        <v>3</v>
      </c>
      <c r="I157" t="s">
        <v>401</v>
      </c>
      <c r="J157" t="s">
        <v>3</v>
      </c>
      <c r="K157" t="s">
        <v>402</v>
      </c>
      <c r="L157">
        <v>1348</v>
      </c>
      <c r="N157">
        <v>1009</v>
      </c>
      <c r="O157" t="s">
        <v>284</v>
      </c>
      <c r="P157" t="s">
        <v>284</v>
      </c>
      <c r="Q157">
        <v>1000</v>
      </c>
      <c r="X157">
        <v>6.8999999999999997E-4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56</v>
      </c>
      <c r="AG157">
        <v>6.8999999999999997E-4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ROW(Source!A196)</f>
        <v>196</v>
      </c>
      <c r="B158">
        <v>55927751</v>
      </c>
      <c r="C158">
        <v>55927750</v>
      </c>
      <c r="D158">
        <v>55424304</v>
      </c>
      <c r="E158">
        <v>1081</v>
      </c>
      <c r="F158">
        <v>1</v>
      </c>
      <c r="G158">
        <v>1081</v>
      </c>
      <c r="H158">
        <v>1</v>
      </c>
      <c r="I158" t="s">
        <v>278</v>
      </c>
      <c r="J158" t="s">
        <v>3</v>
      </c>
      <c r="K158" t="s">
        <v>279</v>
      </c>
      <c r="L158">
        <v>1191</v>
      </c>
      <c r="N158">
        <v>1013</v>
      </c>
      <c r="O158" t="s">
        <v>280</v>
      </c>
      <c r="P158" t="s">
        <v>280</v>
      </c>
      <c r="Q158">
        <v>1</v>
      </c>
      <c r="X158">
        <v>33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 t="s">
        <v>57</v>
      </c>
      <c r="AG158">
        <v>39.6</v>
      </c>
      <c r="AH158">
        <v>2</v>
      </c>
      <c r="AI158">
        <v>55927751</v>
      </c>
      <c r="AJ158">
        <v>140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ROW(Source!A196)</f>
        <v>196</v>
      </c>
      <c r="B159">
        <v>55927752</v>
      </c>
      <c r="C159">
        <v>55927750</v>
      </c>
      <c r="D159">
        <v>55489910</v>
      </c>
      <c r="E159">
        <v>1</v>
      </c>
      <c r="F159">
        <v>1</v>
      </c>
      <c r="G159">
        <v>1081</v>
      </c>
      <c r="H159">
        <v>2</v>
      </c>
      <c r="I159" t="s">
        <v>293</v>
      </c>
      <c r="J159" t="s">
        <v>294</v>
      </c>
      <c r="K159" t="s">
        <v>295</v>
      </c>
      <c r="L159">
        <v>1368</v>
      </c>
      <c r="N159">
        <v>1011</v>
      </c>
      <c r="O159" t="s">
        <v>291</v>
      </c>
      <c r="P159" t="s">
        <v>291</v>
      </c>
      <c r="Q159">
        <v>1</v>
      </c>
      <c r="X159">
        <v>5.33</v>
      </c>
      <c r="Y159">
        <v>0</v>
      </c>
      <c r="Z159">
        <v>7.11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57</v>
      </c>
      <c r="AG159">
        <v>6.3959999999999999</v>
      </c>
      <c r="AH159">
        <v>2</v>
      </c>
      <c r="AI159">
        <v>55927752</v>
      </c>
      <c r="AJ159">
        <v>141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ROW(Source!A196)</f>
        <v>196</v>
      </c>
      <c r="B160">
        <v>55927753</v>
      </c>
      <c r="C160">
        <v>55927750</v>
      </c>
      <c r="D160">
        <v>55490209</v>
      </c>
      <c r="E160">
        <v>1</v>
      </c>
      <c r="F160">
        <v>1</v>
      </c>
      <c r="G160">
        <v>1081</v>
      </c>
      <c r="H160">
        <v>2</v>
      </c>
      <c r="I160" t="s">
        <v>296</v>
      </c>
      <c r="J160" t="s">
        <v>297</v>
      </c>
      <c r="K160" t="s">
        <v>298</v>
      </c>
      <c r="L160">
        <v>1368</v>
      </c>
      <c r="N160">
        <v>1011</v>
      </c>
      <c r="O160" t="s">
        <v>291</v>
      </c>
      <c r="P160" t="s">
        <v>291</v>
      </c>
      <c r="Q160">
        <v>1</v>
      </c>
      <c r="X160">
        <v>0.23</v>
      </c>
      <c r="Y160">
        <v>0</v>
      </c>
      <c r="Z160">
        <v>83.1</v>
      </c>
      <c r="AA160">
        <v>12.62</v>
      </c>
      <c r="AB160">
        <v>0</v>
      </c>
      <c r="AC160">
        <v>0</v>
      </c>
      <c r="AD160">
        <v>1</v>
      </c>
      <c r="AE160">
        <v>0</v>
      </c>
      <c r="AF160" t="s">
        <v>57</v>
      </c>
      <c r="AG160">
        <v>0.27600000000000002</v>
      </c>
      <c r="AH160">
        <v>2</v>
      </c>
      <c r="AI160">
        <v>55927753</v>
      </c>
      <c r="AJ160">
        <v>142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ROW(Source!A196)</f>
        <v>196</v>
      </c>
      <c r="B161">
        <v>55927754</v>
      </c>
      <c r="C161">
        <v>55927750</v>
      </c>
      <c r="D161">
        <v>55490330</v>
      </c>
      <c r="E161">
        <v>1</v>
      </c>
      <c r="F161">
        <v>1</v>
      </c>
      <c r="G161">
        <v>1081</v>
      </c>
      <c r="H161">
        <v>2</v>
      </c>
      <c r="I161" t="s">
        <v>353</v>
      </c>
      <c r="J161" t="s">
        <v>354</v>
      </c>
      <c r="K161" t="s">
        <v>355</v>
      </c>
      <c r="L161">
        <v>1368</v>
      </c>
      <c r="N161">
        <v>1011</v>
      </c>
      <c r="O161" t="s">
        <v>291</v>
      </c>
      <c r="P161" t="s">
        <v>291</v>
      </c>
      <c r="Q161">
        <v>1</v>
      </c>
      <c r="X161">
        <v>5.27</v>
      </c>
      <c r="Y161">
        <v>0</v>
      </c>
      <c r="Z161">
        <v>0.8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57</v>
      </c>
      <c r="AG161">
        <v>6.323999999999999</v>
      </c>
      <c r="AH161">
        <v>2</v>
      </c>
      <c r="AI161">
        <v>55927754</v>
      </c>
      <c r="AJ161">
        <v>143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ROW(Source!A196)</f>
        <v>196</v>
      </c>
      <c r="B162">
        <v>55927755</v>
      </c>
      <c r="C162">
        <v>55927750</v>
      </c>
      <c r="D162">
        <v>55460380</v>
      </c>
      <c r="E162">
        <v>1</v>
      </c>
      <c r="F162">
        <v>1</v>
      </c>
      <c r="G162">
        <v>1081</v>
      </c>
      <c r="H162">
        <v>3</v>
      </c>
      <c r="I162" t="s">
        <v>305</v>
      </c>
      <c r="J162" t="s">
        <v>306</v>
      </c>
      <c r="K162" t="s">
        <v>307</v>
      </c>
      <c r="L162">
        <v>1348</v>
      </c>
      <c r="N162">
        <v>1009</v>
      </c>
      <c r="O162" t="s">
        <v>284</v>
      </c>
      <c r="P162" t="s">
        <v>284</v>
      </c>
      <c r="Q162">
        <v>1000</v>
      </c>
      <c r="X162">
        <v>3.0000000000000001E-3</v>
      </c>
      <c r="Y162">
        <v>8590.86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56</v>
      </c>
      <c r="AG162">
        <v>3.0000000000000001E-3</v>
      </c>
      <c r="AH162">
        <v>2</v>
      </c>
      <c r="AI162">
        <v>55927755</v>
      </c>
      <c r="AJ162">
        <v>144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ROW(Source!A196)</f>
        <v>196</v>
      </c>
      <c r="B163">
        <v>55927756</v>
      </c>
      <c r="C163">
        <v>55927750</v>
      </c>
      <c r="D163">
        <v>55460882</v>
      </c>
      <c r="E163">
        <v>1</v>
      </c>
      <c r="F163">
        <v>1</v>
      </c>
      <c r="G163">
        <v>1081</v>
      </c>
      <c r="H163">
        <v>3</v>
      </c>
      <c r="I163" t="s">
        <v>319</v>
      </c>
      <c r="J163" t="s">
        <v>320</v>
      </c>
      <c r="K163" t="s">
        <v>321</v>
      </c>
      <c r="L163">
        <v>1348</v>
      </c>
      <c r="N163">
        <v>1009</v>
      </c>
      <c r="O163" t="s">
        <v>284</v>
      </c>
      <c r="P163" t="s">
        <v>284</v>
      </c>
      <c r="Q163">
        <v>1000</v>
      </c>
      <c r="X163">
        <v>5.8E-4</v>
      </c>
      <c r="Y163">
        <v>14327.51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56</v>
      </c>
      <c r="AG163">
        <v>5.8E-4</v>
      </c>
      <c r="AH163">
        <v>2</v>
      </c>
      <c r="AI163">
        <v>55927756</v>
      </c>
      <c r="AJ163">
        <v>145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ROW(Source!A196)</f>
        <v>196</v>
      </c>
      <c r="B164">
        <v>55927757</v>
      </c>
      <c r="C164">
        <v>55927750</v>
      </c>
      <c r="D164">
        <v>55459404</v>
      </c>
      <c r="E164">
        <v>1</v>
      </c>
      <c r="F164">
        <v>1</v>
      </c>
      <c r="G164">
        <v>1081</v>
      </c>
      <c r="H164">
        <v>3</v>
      </c>
      <c r="I164" t="s">
        <v>356</v>
      </c>
      <c r="J164" t="s">
        <v>357</v>
      </c>
      <c r="K164" t="s">
        <v>358</v>
      </c>
      <c r="L164">
        <v>1346</v>
      </c>
      <c r="N164">
        <v>1009</v>
      </c>
      <c r="O164" t="s">
        <v>151</v>
      </c>
      <c r="P164" t="s">
        <v>151</v>
      </c>
      <c r="Q164">
        <v>1</v>
      </c>
      <c r="X164">
        <v>0.55000000000000004</v>
      </c>
      <c r="Y164">
        <v>73.53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56</v>
      </c>
      <c r="AG164">
        <v>0.55000000000000004</v>
      </c>
      <c r="AH164">
        <v>2</v>
      </c>
      <c r="AI164">
        <v>55927757</v>
      </c>
      <c r="AJ164">
        <v>146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ROW(Source!A196)</f>
        <v>196</v>
      </c>
      <c r="B165">
        <v>55927758</v>
      </c>
      <c r="C165">
        <v>55927750</v>
      </c>
      <c r="D165">
        <v>55482614</v>
      </c>
      <c r="E165">
        <v>1</v>
      </c>
      <c r="F165">
        <v>1</v>
      </c>
      <c r="G165">
        <v>1081</v>
      </c>
      <c r="H165">
        <v>3</v>
      </c>
      <c r="I165" t="s">
        <v>359</v>
      </c>
      <c r="J165" t="s">
        <v>360</v>
      </c>
      <c r="K165" t="s">
        <v>361</v>
      </c>
      <c r="L165">
        <v>1355</v>
      </c>
      <c r="N165">
        <v>1010</v>
      </c>
      <c r="O165" t="s">
        <v>54</v>
      </c>
      <c r="P165" t="s">
        <v>54</v>
      </c>
      <c r="Q165">
        <v>100</v>
      </c>
      <c r="X165">
        <v>2.2000000000000002</v>
      </c>
      <c r="Y165">
        <v>323.76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56</v>
      </c>
      <c r="AG165">
        <v>2.2000000000000002</v>
      </c>
      <c r="AH165">
        <v>2</v>
      </c>
      <c r="AI165">
        <v>55927758</v>
      </c>
      <c r="AJ165">
        <v>148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ROW(Source!A196)</f>
        <v>196</v>
      </c>
      <c r="B166">
        <v>55927759</v>
      </c>
      <c r="C166">
        <v>55927750</v>
      </c>
      <c r="D166">
        <v>55433560</v>
      </c>
      <c r="E166">
        <v>1081</v>
      </c>
      <c r="F166">
        <v>1</v>
      </c>
      <c r="G166">
        <v>1081</v>
      </c>
      <c r="H166">
        <v>3</v>
      </c>
      <c r="I166" t="s">
        <v>399</v>
      </c>
      <c r="J166" t="s">
        <v>3</v>
      </c>
      <c r="K166" t="s">
        <v>400</v>
      </c>
      <c r="L166">
        <v>1356</v>
      </c>
      <c r="N166">
        <v>1010</v>
      </c>
      <c r="O166" t="s">
        <v>331</v>
      </c>
      <c r="P166" t="s">
        <v>331</v>
      </c>
      <c r="Q166">
        <v>1000</v>
      </c>
      <c r="X166">
        <v>0.22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56</v>
      </c>
      <c r="AG166">
        <v>0.22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ROW(Source!A196)</f>
        <v>196</v>
      </c>
      <c r="B167">
        <v>55927760</v>
      </c>
      <c r="C167">
        <v>55927750</v>
      </c>
      <c r="D167">
        <v>55434508</v>
      </c>
      <c r="E167">
        <v>1081</v>
      </c>
      <c r="F167">
        <v>1</v>
      </c>
      <c r="G167">
        <v>1081</v>
      </c>
      <c r="H167">
        <v>3</v>
      </c>
      <c r="I167" t="s">
        <v>396</v>
      </c>
      <c r="J167" t="s">
        <v>3</v>
      </c>
      <c r="K167" t="s">
        <v>397</v>
      </c>
      <c r="L167">
        <v>1303</v>
      </c>
      <c r="N167">
        <v>1003</v>
      </c>
      <c r="O167" t="s">
        <v>398</v>
      </c>
      <c r="P167" t="s">
        <v>398</v>
      </c>
      <c r="Q167">
        <v>1000</v>
      </c>
      <c r="X167">
        <v>0.10199999999999999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56</v>
      </c>
      <c r="AG167">
        <v>0.10199999999999999</v>
      </c>
      <c r="AH167">
        <v>3</v>
      </c>
      <c r="AI167">
        <v>-1</v>
      </c>
      <c r="AJ167" t="s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ROW(Source!A196)</f>
        <v>196</v>
      </c>
      <c r="B168">
        <v>55927761</v>
      </c>
      <c r="C168">
        <v>55927750</v>
      </c>
      <c r="D168">
        <v>55441156</v>
      </c>
      <c r="E168">
        <v>1081</v>
      </c>
      <c r="F168">
        <v>1</v>
      </c>
      <c r="G168">
        <v>1081</v>
      </c>
      <c r="H168">
        <v>3</v>
      </c>
      <c r="I168" t="s">
        <v>401</v>
      </c>
      <c r="J168" t="s">
        <v>3</v>
      </c>
      <c r="K168" t="s">
        <v>402</v>
      </c>
      <c r="L168">
        <v>1348</v>
      </c>
      <c r="N168">
        <v>1009</v>
      </c>
      <c r="O168" t="s">
        <v>284</v>
      </c>
      <c r="P168" t="s">
        <v>284</v>
      </c>
      <c r="Q168">
        <v>1000</v>
      </c>
      <c r="X168">
        <v>6.8999999999999997E-4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56</v>
      </c>
      <c r="AG168">
        <v>6.8999999999999997E-4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ROW(Source!A238)</f>
        <v>238</v>
      </c>
      <c r="B169">
        <v>55928143</v>
      </c>
      <c r="C169">
        <v>55928119</v>
      </c>
      <c r="D169">
        <v>55424304</v>
      </c>
      <c r="E169">
        <v>1081</v>
      </c>
      <c r="F169">
        <v>1</v>
      </c>
      <c r="G169">
        <v>1081</v>
      </c>
      <c r="H169">
        <v>1</v>
      </c>
      <c r="I169" t="s">
        <v>278</v>
      </c>
      <c r="J169" t="s">
        <v>3</v>
      </c>
      <c r="K169" t="s">
        <v>279</v>
      </c>
      <c r="L169">
        <v>1191</v>
      </c>
      <c r="N169">
        <v>1013</v>
      </c>
      <c r="O169" t="s">
        <v>280</v>
      </c>
      <c r="P169" t="s">
        <v>280</v>
      </c>
      <c r="Q169">
        <v>1</v>
      </c>
      <c r="X169">
        <v>26.8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1</v>
      </c>
      <c r="AF169" t="s">
        <v>57</v>
      </c>
      <c r="AG169">
        <v>32.159999999999997</v>
      </c>
      <c r="AH169">
        <v>2</v>
      </c>
      <c r="AI169">
        <v>55928143</v>
      </c>
      <c r="AJ169">
        <v>149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ROW(Source!A238)</f>
        <v>238</v>
      </c>
      <c r="B170">
        <v>55928144</v>
      </c>
      <c r="C170">
        <v>55928119</v>
      </c>
      <c r="D170">
        <v>55489910</v>
      </c>
      <c r="E170">
        <v>1</v>
      </c>
      <c r="F170">
        <v>1</v>
      </c>
      <c r="G170">
        <v>1081</v>
      </c>
      <c r="H170">
        <v>2</v>
      </c>
      <c r="I170" t="s">
        <v>293</v>
      </c>
      <c r="J170" t="s">
        <v>294</v>
      </c>
      <c r="K170" t="s">
        <v>295</v>
      </c>
      <c r="L170">
        <v>1368</v>
      </c>
      <c r="N170">
        <v>1011</v>
      </c>
      <c r="O170" t="s">
        <v>291</v>
      </c>
      <c r="P170" t="s">
        <v>291</v>
      </c>
      <c r="Q170">
        <v>1</v>
      </c>
      <c r="X170">
        <v>5.53</v>
      </c>
      <c r="Y170">
        <v>0</v>
      </c>
      <c r="Z170">
        <v>7.11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57</v>
      </c>
      <c r="AG170">
        <v>6.6360000000000001</v>
      </c>
      <c r="AH170">
        <v>2</v>
      </c>
      <c r="AI170">
        <v>55928144</v>
      </c>
      <c r="AJ170">
        <v>150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ROW(Source!A238)</f>
        <v>238</v>
      </c>
      <c r="B171">
        <v>55928145</v>
      </c>
      <c r="C171">
        <v>55928119</v>
      </c>
      <c r="D171">
        <v>55490209</v>
      </c>
      <c r="E171">
        <v>1</v>
      </c>
      <c r="F171">
        <v>1</v>
      </c>
      <c r="G171">
        <v>1081</v>
      </c>
      <c r="H171">
        <v>2</v>
      </c>
      <c r="I171" t="s">
        <v>296</v>
      </c>
      <c r="J171" t="s">
        <v>297</v>
      </c>
      <c r="K171" t="s">
        <v>298</v>
      </c>
      <c r="L171">
        <v>1368</v>
      </c>
      <c r="N171">
        <v>1011</v>
      </c>
      <c r="O171" t="s">
        <v>291</v>
      </c>
      <c r="P171" t="s">
        <v>291</v>
      </c>
      <c r="Q171">
        <v>1</v>
      </c>
      <c r="X171">
        <v>0.43</v>
      </c>
      <c r="Y171">
        <v>0</v>
      </c>
      <c r="Z171">
        <v>83.1</v>
      </c>
      <c r="AA171">
        <v>12.62</v>
      </c>
      <c r="AB171">
        <v>0</v>
      </c>
      <c r="AC171">
        <v>0</v>
      </c>
      <c r="AD171">
        <v>1</v>
      </c>
      <c r="AE171">
        <v>0</v>
      </c>
      <c r="AF171" t="s">
        <v>57</v>
      </c>
      <c r="AG171">
        <v>0.51600000000000001</v>
      </c>
      <c r="AH171">
        <v>2</v>
      </c>
      <c r="AI171">
        <v>55928145</v>
      </c>
      <c r="AJ171">
        <v>151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ROW(Source!A238)</f>
        <v>238</v>
      </c>
      <c r="B172">
        <v>55928146</v>
      </c>
      <c r="C172">
        <v>55928119</v>
      </c>
      <c r="D172">
        <v>55490263</v>
      </c>
      <c r="E172">
        <v>1</v>
      </c>
      <c r="F172">
        <v>1</v>
      </c>
      <c r="G172">
        <v>1081</v>
      </c>
      <c r="H172">
        <v>2</v>
      </c>
      <c r="I172" t="s">
        <v>310</v>
      </c>
      <c r="J172" t="s">
        <v>311</v>
      </c>
      <c r="K172" t="s">
        <v>312</v>
      </c>
      <c r="L172">
        <v>1368</v>
      </c>
      <c r="N172">
        <v>1011</v>
      </c>
      <c r="O172" t="s">
        <v>291</v>
      </c>
      <c r="P172" t="s">
        <v>291</v>
      </c>
      <c r="Q172">
        <v>1</v>
      </c>
      <c r="X172">
        <v>5.33</v>
      </c>
      <c r="Y172">
        <v>0</v>
      </c>
      <c r="Z172">
        <v>0.77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57</v>
      </c>
      <c r="AG172">
        <v>6.3959999999999999</v>
      </c>
      <c r="AH172">
        <v>2</v>
      </c>
      <c r="AI172">
        <v>55928146</v>
      </c>
      <c r="AJ172">
        <v>152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ROW(Source!A238)</f>
        <v>238</v>
      </c>
      <c r="B173">
        <v>55928147</v>
      </c>
      <c r="C173">
        <v>55928119</v>
      </c>
      <c r="D173">
        <v>55489583</v>
      </c>
      <c r="E173">
        <v>1</v>
      </c>
      <c r="F173">
        <v>1</v>
      </c>
      <c r="G173">
        <v>1081</v>
      </c>
      <c r="H173">
        <v>2</v>
      </c>
      <c r="I173" t="s">
        <v>362</v>
      </c>
      <c r="J173" t="s">
        <v>363</v>
      </c>
      <c r="K173" t="s">
        <v>364</v>
      </c>
      <c r="L173">
        <v>1368</v>
      </c>
      <c r="N173">
        <v>1011</v>
      </c>
      <c r="O173" t="s">
        <v>291</v>
      </c>
      <c r="P173" t="s">
        <v>291</v>
      </c>
      <c r="Q173">
        <v>1</v>
      </c>
      <c r="X173">
        <v>17.5</v>
      </c>
      <c r="Y173">
        <v>0</v>
      </c>
      <c r="Z173">
        <v>25.58</v>
      </c>
      <c r="AA173">
        <v>12.62</v>
      </c>
      <c r="AB173">
        <v>0</v>
      </c>
      <c r="AC173">
        <v>0</v>
      </c>
      <c r="AD173">
        <v>1</v>
      </c>
      <c r="AE173">
        <v>0</v>
      </c>
      <c r="AF173" t="s">
        <v>57</v>
      </c>
      <c r="AG173">
        <v>21</v>
      </c>
      <c r="AH173">
        <v>2</v>
      </c>
      <c r="AI173">
        <v>55928147</v>
      </c>
      <c r="AJ173">
        <v>153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ROW(Source!A238)</f>
        <v>238</v>
      </c>
      <c r="B174">
        <v>55928148</v>
      </c>
      <c r="C174">
        <v>55928119</v>
      </c>
      <c r="D174">
        <v>55460380</v>
      </c>
      <c r="E174">
        <v>1</v>
      </c>
      <c r="F174">
        <v>1</v>
      </c>
      <c r="G174">
        <v>1081</v>
      </c>
      <c r="H174">
        <v>3</v>
      </c>
      <c r="I174" t="s">
        <v>305</v>
      </c>
      <c r="J174" t="s">
        <v>306</v>
      </c>
      <c r="K174" t="s">
        <v>307</v>
      </c>
      <c r="L174">
        <v>1348</v>
      </c>
      <c r="N174">
        <v>1009</v>
      </c>
      <c r="O174" t="s">
        <v>284</v>
      </c>
      <c r="P174" t="s">
        <v>284</v>
      </c>
      <c r="Q174">
        <v>1000</v>
      </c>
      <c r="X174">
        <v>1.0499999999999999E-3</v>
      </c>
      <c r="Y174">
        <v>8590.86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56</v>
      </c>
      <c r="AG174">
        <v>1.0499999999999999E-3</v>
      </c>
      <c r="AH174">
        <v>2</v>
      </c>
      <c r="AI174">
        <v>55928148</v>
      </c>
      <c r="AJ174">
        <v>154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ROW(Source!A238)</f>
        <v>238</v>
      </c>
      <c r="B175">
        <v>55928149</v>
      </c>
      <c r="C175">
        <v>55928119</v>
      </c>
      <c r="D175">
        <v>55459340</v>
      </c>
      <c r="E175">
        <v>1</v>
      </c>
      <c r="F175">
        <v>1</v>
      </c>
      <c r="G175">
        <v>1081</v>
      </c>
      <c r="H175">
        <v>3</v>
      </c>
      <c r="I175" t="s">
        <v>365</v>
      </c>
      <c r="J175" t="s">
        <v>366</v>
      </c>
      <c r="K175" t="s">
        <v>367</v>
      </c>
      <c r="L175">
        <v>1354</v>
      </c>
      <c r="N175">
        <v>1010</v>
      </c>
      <c r="O175" t="s">
        <v>156</v>
      </c>
      <c r="P175" t="s">
        <v>156</v>
      </c>
      <c r="Q175">
        <v>1</v>
      </c>
      <c r="X175">
        <v>82</v>
      </c>
      <c r="Y175">
        <v>0.89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56</v>
      </c>
      <c r="AG175">
        <v>82</v>
      </c>
      <c r="AH175">
        <v>2</v>
      </c>
      <c r="AI175">
        <v>55928149</v>
      </c>
      <c r="AJ175">
        <v>155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ROW(Source!A238)</f>
        <v>238</v>
      </c>
      <c r="B176">
        <v>55928150</v>
      </c>
      <c r="C176">
        <v>55928119</v>
      </c>
      <c r="D176">
        <v>55461705</v>
      </c>
      <c r="E176">
        <v>1</v>
      </c>
      <c r="F176">
        <v>1</v>
      </c>
      <c r="G176">
        <v>1081</v>
      </c>
      <c r="H176">
        <v>3</v>
      </c>
      <c r="I176" t="s">
        <v>368</v>
      </c>
      <c r="J176" t="s">
        <v>369</v>
      </c>
      <c r="K176" t="s">
        <v>370</v>
      </c>
      <c r="L176">
        <v>1346</v>
      </c>
      <c r="N176">
        <v>1009</v>
      </c>
      <c r="O176" t="s">
        <v>151</v>
      </c>
      <c r="P176" t="s">
        <v>151</v>
      </c>
      <c r="Q176">
        <v>1</v>
      </c>
      <c r="X176">
        <v>0.03</v>
      </c>
      <c r="Y176">
        <v>520.51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56</v>
      </c>
      <c r="AG176">
        <v>0.03</v>
      </c>
      <c r="AH176">
        <v>2</v>
      </c>
      <c r="AI176">
        <v>55928150</v>
      </c>
      <c r="AJ176">
        <v>156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ROW(Source!A238)</f>
        <v>238</v>
      </c>
      <c r="B177">
        <v>55928151</v>
      </c>
      <c r="C177">
        <v>55928119</v>
      </c>
      <c r="D177">
        <v>55459516</v>
      </c>
      <c r="E177">
        <v>1</v>
      </c>
      <c r="F177">
        <v>1</v>
      </c>
      <c r="G177">
        <v>1081</v>
      </c>
      <c r="H177">
        <v>3</v>
      </c>
      <c r="I177" t="s">
        <v>371</v>
      </c>
      <c r="J177" t="s">
        <v>372</v>
      </c>
      <c r="K177" t="s">
        <v>373</v>
      </c>
      <c r="L177">
        <v>1348</v>
      </c>
      <c r="N177">
        <v>1009</v>
      </c>
      <c r="O177" t="s">
        <v>284</v>
      </c>
      <c r="P177" t="s">
        <v>284</v>
      </c>
      <c r="Q177">
        <v>1000</v>
      </c>
      <c r="X177">
        <v>6.8000000000000005E-4</v>
      </c>
      <c r="Y177">
        <v>16180.28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56</v>
      </c>
      <c r="AG177">
        <v>6.8000000000000005E-4</v>
      </c>
      <c r="AH177">
        <v>2</v>
      </c>
      <c r="AI177">
        <v>55928151</v>
      </c>
      <c r="AJ177">
        <v>157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ROW(Source!A238)</f>
        <v>238</v>
      </c>
      <c r="B178">
        <v>55928152</v>
      </c>
      <c r="C178">
        <v>55928119</v>
      </c>
      <c r="D178">
        <v>55459815</v>
      </c>
      <c r="E178">
        <v>1</v>
      </c>
      <c r="F178">
        <v>1</v>
      </c>
      <c r="G178">
        <v>1081</v>
      </c>
      <c r="H178">
        <v>3</v>
      </c>
      <c r="I178" t="s">
        <v>322</v>
      </c>
      <c r="J178" t="s">
        <v>323</v>
      </c>
      <c r="K178" t="s">
        <v>324</v>
      </c>
      <c r="L178">
        <v>1348</v>
      </c>
      <c r="N178">
        <v>1009</v>
      </c>
      <c r="O178" t="s">
        <v>284</v>
      </c>
      <c r="P178" t="s">
        <v>284</v>
      </c>
      <c r="Q178">
        <v>1000</v>
      </c>
      <c r="X178">
        <v>2.0999999999999999E-3</v>
      </c>
      <c r="Y178">
        <v>7973.67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56</v>
      </c>
      <c r="AG178">
        <v>2.0999999999999999E-3</v>
      </c>
      <c r="AH178">
        <v>2</v>
      </c>
      <c r="AI178">
        <v>55928152</v>
      </c>
      <c r="AJ178">
        <v>158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ROW(Source!A238)</f>
        <v>238</v>
      </c>
      <c r="B179">
        <v>55928153</v>
      </c>
      <c r="C179">
        <v>55928119</v>
      </c>
      <c r="D179">
        <v>55482523</v>
      </c>
      <c r="E179">
        <v>1</v>
      </c>
      <c r="F179">
        <v>1</v>
      </c>
      <c r="G179">
        <v>1081</v>
      </c>
      <c r="H179">
        <v>3</v>
      </c>
      <c r="I179" t="s">
        <v>374</v>
      </c>
      <c r="J179" t="s">
        <v>375</v>
      </c>
      <c r="K179" t="s">
        <v>376</v>
      </c>
      <c r="L179">
        <v>1358</v>
      </c>
      <c r="N179">
        <v>1010</v>
      </c>
      <c r="O179" t="s">
        <v>377</v>
      </c>
      <c r="P179" t="s">
        <v>377</v>
      </c>
      <c r="Q179">
        <v>10</v>
      </c>
      <c r="X179">
        <v>1.02</v>
      </c>
      <c r="Y179">
        <v>5.46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56</v>
      </c>
      <c r="AG179">
        <v>1.02</v>
      </c>
      <c r="AH179">
        <v>2</v>
      </c>
      <c r="AI179">
        <v>55928153</v>
      </c>
      <c r="AJ179">
        <v>163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ROW(Source!A238)</f>
        <v>238</v>
      </c>
      <c r="B180">
        <v>55928154</v>
      </c>
      <c r="C180">
        <v>55928119</v>
      </c>
      <c r="D180">
        <v>55482617</v>
      </c>
      <c r="E180">
        <v>1</v>
      </c>
      <c r="F180">
        <v>1</v>
      </c>
      <c r="G180">
        <v>1081</v>
      </c>
      <c r="H180">
        <v>3</v>
      </c>
      <c r="I180" t="s">
        <v>325</v>
      </c>
      <c r="J180" t="s">
        <v>326</v>
      </c>
      <c r="K180" t="s">
        <v>327</v>
      </c>
      <c r="L180">
        <v>1354</v>
      </c>
      <c r="N180">
        <v>1010</v>
      </c>
      <c r="O180" t="s">
        <v>156</v>
      </c>
      <c r="P180" t="s">
        <v>156</v>
      </c>
      <c r="Q180">
        <v>1</v>
      </c>
      <c r="X180">
        <v>8</v>
      </c>
      <c r="Y180">
        <v>14.99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56</v>
      </c>
      <c r="AG180">
        <v>8</v>
      </c>
      <c r="AH180">
        <v>2</v>
      </c>
      <c r="AI180">
        <v>55928154</v>
      </c>
      <c r="AJ180">
        <v>164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ROW(Source!A238)</f>
        <v>238</v>
      </c>
      <c r="B181">
        <v>55928155</v>
      </c>
      <c r="C181">
        <v>55928119</v>
      </c>
      <c r="D181">
        <v>55481932</v>
      </c>
      <c r="E181">
        <v>1</v>
      </c>
      <c r="F181">
        <v>1</v>
      </c>
      <c r="G181">
        <v>1081</v>
      </c>
      <c r="H181">
        <v>3</v>
      </c>
      <c r="I181" t="s">
        <v>378</v>
      </c>
      <c r="J181" t="s">
        <v>379</v>
      </c>
      <c r="K181" t="s">
        <v>380</v>
      </c>
      <c r="L181">
        <v>1356</v>
      </c>
      <c r="N181">
        <v>1010</v>
      </c>
      <c r="O181" t="s">
        <v>331</v>
      </c>
      <c r="P181" t="s">
        <v>331</v>
      </c>
      <c r="Q181">
        <v>1000</v>
      </c>
      <c r="X181">
        <v>4.1000000000000002E-2</v>
      </c>
      <c r="Y181">
        <v>919.92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56</v>
      </c>
      <c r="AG181">
        <v>4.1000000000000002E-2</v>
      </c>
      <c r="AH181">
        <v>2</v>
      </c>
      <c r="AI181">
        <v>55928155</v>
      </c>
      <c r="AJ181">
        <v>165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ROW(Source!A238)</f>
        <v>238</v>
      </c>
      <c r="B182">
        <v>55928156</v>
      </c>
      <c r="C182">
        <v>55928119</v>
      </c>
      <c r="D182">
        <v>55417165</v>
      </c>
      <c r="E182">
        <v>1081</v>
      </c>
      <c r="F182">
        <v>1</v>
      </c>
      <c r="G182">
        <v>1081</v>
      </c>
      <c r="H182">
        <v>3</v>
      </c>
      <c r="I182" t="s">
        <v>403</v>
      </c>
      <c r="J182" t="s">
        <v>3</v>
      </c>
      <c r="K182" t="s">
        <v>404</v>
      </c>
      <c r="L182">
        <v>1301</v>
      </c>
      <c r="N182">
        <v>1003</v>
      </c>
      <c r="O182" t="s">
        <v>206</v>
      </c>
      <c r="P182" t="s">
        <v>206</v>
      </c>
      <c r="Q182">
        <v>1</v>
      </c>
      <c r="X182">
        <v>103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56</v>
      </c>
      <c r="AG182">
        <v>103</v>
      </c>
      <c r="AH182">
        <v>3</v>
      </c>
      <c r="AI182">
        <v>-1</v>
      </c>
      <c r="AJ182" t="s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ROW(Source!A238)</f>
        <v>238</v>
      </c>
      <c r="B183">
        <v>55928157</v>
      </c>
      <c r="C183">
        <v>55928119</v>
      </c>
      <c r="D183">
        <v>55419803</v>
      </c>
      <c r="E183">
        <v>1081</v>
      </c>
      <c r="F183">
        <v>1</v>
      </c>
      <c r="G183">
        <v>1081</v>
      </c>
      <c r="H183">
        <v>3</v>
      </c>
      <c r="I183" t="s">
        <v>405</v>
      </c>
      <c r="J183" t="s">
        <v>3</v>
      </c>
      <c r="K183" t="s">
        <v>406</v>
      </c>
      <c r="L183">
        <v>1354</v>
      </c>
      <c r="N183">
        <v>1010</v>
      </c>
      <c r="O183" t="s">
        <v>156</v>
      </c>
      <c r="P183" t="s">
        <v>156</v>
      </c>
      <c r="Q183">
        <v>1</v>
      </c>
      <c r="X183">
        <v>17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56</v>
      </c>
      <c r="AG183">
        <v>17</v>
      </c>
      <c r="AH183">
        <v>3</v>
      </c>
      <c r="AI183">
        <v>-1</v>
      </c>
      <c r="AJ183" t="s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ROW(Source!A238)</f>
        <v>238</v>
      </c>
      <c r="B184">
        <v>55928158</v>
      </c>
      <c r="C184">
        <v>55928119</v>
      </c>
      <c r="D184">
        <v>55432114</v>
      </c>
      <c r="E184">
        <v>1081</v>
      </c>
      <c r="F184">
        <v>1</v>
      </c>
      <c r="G184">
        <v>1081</v>
      </c>
      <c r="H184">
        <v>3</v>
      </c>
      <c r="I184" t="s">
        <v>407</v>
      </c>
      <c r="J184" t="s">
        <v>3</v>
      </c>
      <c r="K184" t="s">
        <v>408</v>
      </c>
      <c r="L184">
        <v>1355</v>
      </c>
      <c r="N184">
        <v>1010</v>
      </c>
      <c r="O184" t="s">
        <v>54</v>
      </c>
      <c r="P184" t="s">
        <v>54</v>
      </c>
      <c r="Q184">
        <v>100</v>
      </c>
      <c r="X184">
        <v>0.65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56</v>
      </c>
      <c r="AG184">
        <v>0.65</v>
      </c>
      <c r="AH184">
        <v>3</v>
      </c>
      <c r="AI184">
        <v>-1</v>
      </c>
      <c r="AJ184" t="s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ROW(Source!A238)</f>
        <v>238</v>
      </c>
      <c r="B185">
        <v>55928159</v>
      </c>
      <c r="C185">
        <v>55928119</v>
      </c>
      <c r="D185">
        <v>55433466</v>
      </c>
      <c r="E185">
        <v>1081</v>
      </c>
      <c r="F185">
        <v>1</v>
      </c>
      <c r="G185">
        <v>1081</v>
      </c>
      <c r="H185">
        <v>3</v>
      </c>
      <c r="I185" t="s">
        <v>409</v>
      </c>
      <c r="J185" t="s">
        <v>3</v>
      </c>
      <c r="K185" t="s">
        <v>410</v>
      </c>
      <c r="L185">
        <v>1354</v>
      </c>
      <c r="N185">
        <v>1010</v>
      </c>
      <c r="O185" t="s">
        <v>156</v>
      </c>
      <c r="P185" t="s">
        <v>156</v>
      </c>
      <c r="Q185">
        <v>1</v>
      </c>
      <c r="X185">
        <v>8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56</v>
      </c>
      <c r="AG185">
        <v>8</v>
      </c>
      <c r="AH185">
        <v>3</v>
      </c>
      <c r="AI185">
        <v>-1</v>
      </c>
      <c r="AJ185" t="s">
        <v>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ROW(Source!A238)</f>
        <v>238</v>
      </c>
      <c r="B186">
        <v>55928160</v>
      </c>
      <c r="C186">
        <v>55928119</v>
      </c>
      <c r="D186">
        <v>55434262</v>
      </c>
      <c r="E186">
        <v>1081</v>
      </c>
      <c r="F186">
        <v>1</v>
      </c>
      <c r="G186">
        <v>1081</v>
      </c>
      <c r="H186">
        <v>3</v>
      </c>
      <c r="I186" t="s">
        <v>392</v>
      </c>
      <c r="J186" t="s">
        <v>3</v>
      </c>
      <c r="K186" t="s">
        <v>393</v>
      </c>
      <c r="L186">
        <v>1354</v>
      </c>
      <c r="N186">
        <v>1010</v>
      </c>
      <c r="O186" t="s">
        <v>156</v>
      </c>
      <c r="P186" t="s">
        <v>156</v>
      </c>
      <c r="Q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56</v>
      </c>
      <c r="AG186">
        <v>0</v>
      </c>
      <c r="AH186">
        <v>3</v>
      </c>
      <c r="AI186">
        <v>-1</v>
      </c>
      <c r="AJ186" t="s">
        <v>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ROW(Source!A239)</f>
        <v>239</v>
      </c>
      <c r="B187">
        <v>55928143</v>
      </c>
      <c r="C187">
        <v>55928119</v>
      </c>
      <c r="D187">
        <v>55424304</v>
      </c>
      <c r="E187">
        <v>1081</v>
      </c>
      <c r="F187">
        <v>1</v>
      </c>
      <c r="G187">
        <v>1081</v>
      </c>
      <c r="H187">
        <v>1</v>
      </c>
      <c r="I187" t="s">
        <v>278</v>
      </c>
      <c r="J187" t="s">
        <v>3</v>
      </c>
      <c r="K187" t="s">
        <v>279</v>
      </c>
      <c r="L187">
        <v>1191</v>
      </c>
      <c r="N187">
        <v>1013</v>
      </c>
      <c r="O187" t="s">
        <v>280</v>
      </c>
      <c r="P187" t="s">
        <v>280</v>
      </c>
      <c r="Q187">
        <v>1</v>
      </c>
      <c r="X187">
        <v>26.8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  <c r="AF187" t="s">
        <v>57</v>
      </c>
      <c r="AG187">
        <v>32.159999999999997</v>
      </c>
      <c r="AH187">
        <v>2</v>
      </c>
      <c r="AI187">
        <v>55928143</v>
      </c>
      <c r="AJ187">
        <v>167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ROW(Source!A239)</f>
        <v>239</v>
      </c>
      <c r="B188">
        <v>55928144</v>
      </c>
      <c r="C188">
        <v>55928119</v>
      </c>
      <c r="D188">
        <v>55489910</v>
      </c>
      <c r="E188">
        <v>1</v>
      </c>
      <c r="F188">
        <v>1</v>
      </c>
      <c r="G188">
        <v>1081</v>
      </c>
      <c r="H188">
        <v>2</v>
      </c>
      <c r="I188" t="s">
        <v>293</v>
      </c>
      <c r="J188" t="s">
        <v>294</v>
      </c>
      <c r="K188" t="s">
        <v>295</v>
      </c>
      <c r="L188">
        <v>1368</v>
      </c>
      <c r="N188">
        <v>1011</v>
      </c>
      <c r="O188" t="s">
        <v>291</v>
      </c>
      <c r="P188" t="s">
        <v>291</v>
      </c>
      <c r="Q188">
        <v>1</v>
      </c>
      <c r="X188">
        <v>5.53</v>
      </c>
      <c r="Y188">
        <v>0</v>
      </c>
      <c r="Z188">
        <v>7.11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57</v>
      </c>
      <c r="AG188">
        <v>6.6360000000000001</v>
      </c>
      <c r="AH188">
        <v>2</v>
      </c>
      <c r="AI188">
        <v>55928144</v>
      </c>
      <c r="AJ188">
        <v>168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ROW(Source!A239)</f>
        <v>239</v>
      </c>
      <c r="B189">
        <v>55928145</v>
      </c>
      <c r="C189">
        <v>55928119</v>
      </c>
      <c r="D189">
        <v>55490209</v>
      </c>
      <c r="E189">
        <v>1</v>
      </c>
      <c r="F189">
        <v>1</v>
      </c>
      <c r="G189">
        <v>1081</v>
      </c>
      <c r="H189">
        <v>2</v>
      </c>
      <c r="I189" t="s">
        <v>296</v>
      </c>
      <c r="J189" t="s">
        <v>297</v>
      </c>
      <c r="K189" t="s">
        <v>298</v>
      </c>
      <c r="L189">
        <v>1368</v>
      </c>
      <c r="N189">
        <v>1011</v>
      </c>
      <c r="O189" t="s">
        <v>291</v>
      </c>
      <c r="P189" t="s">
        <v>291</v>
      </c>
      <c r="Q189">
        <v>1</v>
      </c>
      <c r="X189">
        <v>0.43</v>
      </c>
      <c r="Y189">
        <v>0</v>
      </c>
      <c r="Z189">
        <v>83.1</v>
      </c>
      <c r="AA189">
        <v>12.62</v>
      </c>
      <c r="AB189">
        <v>0</v>
      </c>
      <c r="AC189">
        <v>0</v>
      </c>
      <c r="AD189">
        <v>1</v>
      </c>
      <c r="AE189">
        <v>0</v>
      </c>
      <c r="AF189" t="s">
        <v>57</v>
      </c>
      <c r="AG189">
        <v>0.51600000000000001</v>
      </c>
      <c r="AH189">
        <v>2</v>
      </c>
      <c r="AI189">
        <v>55928145</v>
      </c>
      <c r="AJ189">
        <v>169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ROW(Source!A239)</f>
        <v>239</v>
      </c>
      <c r="B190">
        <v>55928146</v>
      </c>
      <c r="C190">
        <v>55928119</v>
      </c>
      <c r="D190">
        <v>55490263</v>
      </c>
      <c r="E190">
        <v>1</v>
      </c>
      <c r="F190">
        <v>1</v>
      </c>
      <c r="G190">
        <v>1081</v>
      </c>
      <c r="H190">
        <v>2</v>
      </c>
      <c r="I190" t="s">
        <v>310</v>
      </c>
      <c r="J190" t="s">
        <v>311</v>
      </c>
      <c r="K190" t="s">
        <v>312</v>
      </c>
      <c r="L190">
        <v>1368</v>
      </c>
      <c r="N190">
        <v>1011</v>
      </c>
      <c r="O190" t="s">
        <v>291</v>
      </c>
      <c r="P190" t="s">
        <v>291</v>
      </c>
      <c r="Q190">
        <v>1</v>
      </c>
      <c r="X190">
        <v>5.33</v>
      </c>
      <c r="Y190">
        <v>0</v>
      </c>
      <c r="Z190">
        <v>0.77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57</v>
      </c>
      <c r="AG190">
        <v>6.3959999999999999</v>
      </c>
      <c r="AH190">
        <v>2</v>
      </c>
      <c r="AI190">
        <v>55928146</v>
      </c>
      <c r="AJ190">
        <v>170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ROW(Source!A239)</f>
        <v>239</v>
      </c>
      <c r="B191">
        <v>55928147</v>
      </c>
      <c r="C191">
        <v>55928119</v>
      </c>
      <c r="D191">
        <v>55489583</v>
      </c>
      <c r="E191">
        <v>1</v>
      </c>
      <c r="F191">
        <v>1</v>
      </c>
      <c r="G191">
        <v>1081</v>
      </c>
      <c r="H191">
        <v>2</v>
      </c>
      <c r="I191" t="s">
        <v>362</v>
      </c>
      <c r="J191" t="s">
        <v>363</v>
      </c>
      <c r="K191" t="s">
        <v>364</v>
      </c>
      <c r="L191">
        <v>1368</v>
      </c>
      <c r="N191">
        <v>1011</v>
      </c>
      <c r="O191" t="s">
        <v>291</v>
      </c>
      <c r="P191" t="s">
        <v>291</v>
      </c>
      <c r="Q191">
        <v>1</v>
      </c>
      <c r="X191">
        <v>17.5</v>
      </c>
      <c r="Y191">
        <v>0</v>
      </c>
      <c r="Z191">
        <v>25.58</v>
      </c>
      <c r="AA191">
        <v>12.62</v>
      </c>
      <c r="AB191">
        <v>0</v>
      </c>
      <c r="AC191">
        <v>0</v>
      </c>
      <c r="AD191">
        <v>1</v>
      </c>
      <c r="AE191">
        <v>0</v>
      </c>
      <c r="AF191" t="s">
        <v>57</v>
      </c>
      <c r="AG191">
        <v>21</v>
      </c>
      <c r="AH191">
        <v>2</v>
      </c>
      <c r="AI191">
        <v>55928147</v>
      </c>
      <c r="AJ191">
        <v>171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ROW(Source!A239)</f>
        <v>239</v>
      </c>
      <c r="B192">
        <v>55928148</v>
      </c>
      <c r="C192">
        <v>55928119</v>
      </c>
      <c r="D192">
        <v>55460380</v>
      </c>
      <c r="E192">
        <v>1</v>
      </c>
      <c r="F192">
        <v>1</v>
      </c>
      <c r="G192">
        <v>1081</v>
      </c>
      <c r="H192">
        <v>3</v>
      </c>
      <c r="I192" t="s">
        <v>305</v>
      </c>
      <c r="J192" t="s">
        <v>306</v>
      </c>
      <c r="K192" t="s">
        <v>307</v>
      </c>
      <c r="L192">
        <v>1348</v>
      </c>
      <c r="N192">
        <v>1009</v>
      </c>
      <c r="O192" t="s">
        <v>284</v>
      </c>
      <c r="P192" t="s">
        <v>284</v>
      </c>
      <c r="Q192">
        <v>1000</v>
      </c>
      <c r="X192">
        <v>1.0499999999999999E-3</v>
      </c>
      <c r="Y192">
        <v>8590.86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56</v>
      </c>
      <c r="AG192">
        <v>1.0499999999999999E-3</v>
      </c>
      <c r="AH192">
        <v>2</v>
      </c>
      <c r="AI192">
        <v>55928148</v>
      </c>
      <c r="AJ192">
        <v>172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ROW(Source!A239)</f>
        <v>239</v>
      </c>
      <c r="B193">
        <v>55928149</v>
      </c>
      <c r="C193">
        <v>55928119</v>
      </c>
      <c r="D193">
        <v>55459340</v>
      </c>
      <c r="E193">
        <v>1</v>
      </c>
      <c r="F193">
        <v>1</v>
      </c>
      <c r="G193">
        <v>1081</v>
      </c>
      <c r="H193">
        <v>3</v>
      </c>
      <c r="I193" t="s">
        <v>365</v>
      </c>
      <c r="J193" t="s">
        <v>366</v>
      </c>
      <c r="K193" t="s">
        <v>367</v>
      </c>
      <c r="L193">
        <v>1354</v>
      </c>
      <c r="N193">
        <v>1010</v>
      </c>
      <c r="O193" t="s">
        <v>156</v>
      </c>
      <c r="P193" t="s">
        <v>156</v>
      </c>
      <c r="Q193">
        <v>1</v>
      </c>
      <c r="X193">
        <v>82</v>
      </c>
      <c r="Y193">
        <v>0.89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56</v>
      </c>
      <c r="AG193">
        <v>82</v>
      </c>
      <c r="AH193">
        <v>2</v>
      </c>
      <c r="AI193">
        <v>55928149</v>
      </c>
      <c r="AJ193">
        <v>173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ROW(Source!A239)</f>
        <v>239</v>
      </c>
      <c r="B194">
        <v>55928150</v>
      </c>
      <c r="C194">
        <v>55928119</v>
      </c>
      <c r="D194">
        <v>55461705</v>
      </c>
      <c r="E194">
        <v>1</v>
      </c>
      <c r="F194">
        <v>1</v>
      </c>
      <c r="G194">
        <v>1081</v>
      </c>
      <c r="H194">
        <v>3</v>
      </c>
      <c r="I194" t="s">
        <v>368</v>
      </c>
      <c r="J194" t="s">
        <v>369</v>
      </c>
      <c r="K194" t="s">
        <v>370</v>
      </c>
      <c r="L194">
        <v>1346</v>
      </c>
      <c r="N194">
        <v>1009</v>
      </c>
      <c r="O194" t="s">
        <v>151</v>
      </c>
      <c r="P194" t="s">
        <v>151</v>
      </c>
      <c r="Q194">
        <v>1</v>
      </c>
      <c r="X194">
        <v>0.03</v>
      </c>
      <c r="Y194">
        <v>520.51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56</v>
      </c>
      <c r="AG194">
        <v>0.03</v>
      </c>
      <c r="AH194">
        <v>2</v>
      </c>
      <c r="AI194">
        <v>55928150</v>
      </c>
      <c r="AJ194">
        <v>174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ROW(Source!A239)</f>
        <v>239</v>
      </c>
      <c r="B195">
        <v>55928151</v>
      </c>
      <c r="C195">
        <v>55928119</v>
      </c>
      <c r="D195">
        <v>55459516</v>
      </c>
      <c r="E195">
        <v>1</v>
      </c>
      <c r="F195">
        <v>1</v>
      </c>
      <c r="G195">
        <v>1081</v>
      </c>
      <c r="H195">
        <v>3</v>
      </c>
      <c r="I195" t="s">
        <v>371</v>
      </c>
      <c r="J195" t="s">
        <v>372</v>
      </c>
      <c r="K195" t="s">
        <v>373</v>
      </c>
      <c r="L195">
        <v>1348</v>
      </c>
      <c r="N195">
        <v>1009</v>
      </c>
      <c r="O195" t="s">
        <v>284</v>
      </c>
      <c r="P195" t="s">
        <v>284</v>
      </c>
      <c r="Q195">
        <v>1000</v>
      </c>
      <c r="X195">
        <v>6.8000000000000005E-4</v>
      </c>
      <c r="Y195">
        <v>16180.28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56</v>
      </c>
      <c r="AG195">
        <v>6.8000000000000005E-4</v>
      </c>
      <c r="AH195">
        <v>2</v>
      </c>
      <c r="AI195">
        <v>55928151</v>
      </c>
      <c r="AJ195">
        <v>175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ROW(Source!A239)</f>
        <v>239</v>
      </c>
      <c r="B196">
        <v>55928152</v>
      </c>
      <c r="C196">
        <v>55928119</v>
      </c>
      <c r="D196">
        <v>55459815</v>
      </c>
      <c r="E196">
        <v>1</v>
      </c>
      <c r="F196">
        <v>1</v>
      </c>
      <c r="G196">
        <v>1081</v>
      </c>
      <c r="H196">
        <v>3</v>
      </c>
      <c r="I196" t="s">
        <v>322</v>
      </c>
      <c r="J196" t="s">
        <v>323</v>
      </c>
      <c r="K196" t="s">
        <v>324</v>
      </c>
      <c r="L196">
        <v>1348</v>
      </c>
      <c r="N196">
        <v>1009</v>
      </c>
      <c r="O196" t="s">
        <v>284</v>
      </c>
      <c r="P196" t="s">
        <v>284</v>
      </c>
      <c r="Q196">
        <v>1000</v>
      </c>
      <c r="X196">
        <v>2.0999999999999999E-3</v>
      </c>
      <c r="Y196">
        <v>7973.67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56</v>
      </c>
      <c r="AG196">
        <v>2.0999999999999999E-3</v>
      </c>
      <c r="AH196">
        <v>2</v>
      </c>
      <c r="AI196">
        <v>55928152</v>
      </c>
      <c r="AJ196">
        <v>176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ROW(Source!A239)</f>
        <v>239</v>
      </c>
      <c r="B197">
        <v>55928153</v>
      </c>
      <c r="C197">
        <v>55928119</v>
      </c>
      <c r="D197">
        <v>55482523</v>
      </c>
      <c r="E197">
        <v>1</v>
      </c>
      <c r="F197">
        <v>1</v>
      </c>
      <c r="G197">
        <v>1081</v>
      </c>
      <c r="H197">
        <v>3</v>
      </c>
      <c r="I197" t="s">
        <v>374</v>
      </c>
      <c r="J197" t="s">
        <v>375</v>
      </c>
      <c r="K197" t="s">
        <v>376</v>
      </c>
      <c r="L197">
        <v>1358</v>
      </c>
      <c r="N197">
        <v>1010</v>
      </c>
      <c r="O197" t="s">
        <v>377</v>
      </c>
      <c r="P197" t="s">
        <v>377</v>
      </c>
      <c r="Q197">
        <v>10</v>
      </c>
      <c r="X197">
        <v>1.02</v>
      </c>
      <c r="Y197">
        <v>5.46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56</v>
      </c>
      <c r="AG197">
        <v>1.02</v>
      </c>
      <c r="AH197">
        <v>2</v>
      </c>
      <c r="AI197">
        <v>55928153</v>
      </c>
      <c r="AJ197">
        <v>181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ROW(Source!A239)</f>
        <v>239</v>
      </c>
      <c r="B198">
        <v>55928154</v>
      </c>
      <c r="C198">
        <v>55928119</v>
      </c>
      <c r="D198">
        <v>55482617</v>
      </c>
      <c r="E198">
        <v>1</v>
      </c>
      <c r="F198">
        <v>1</v>
      </c>
      <c r="G198">
        <v>1081</v>
      </c>
      <c r="H198">
        <v>3</v>
      </c>
      <c r="I198" t="s">
        <v>325</v>
      </c>
      <c r="J198" t="s">
        <v>326</v>
      </c>
      <c r="K198" t="s">
        <v>327</v>
      </c>
      <c r="L198">
        <v>1354</v>
      </c>
      <c r="N198">
        <v>1010</v>
      </c>
      <c r="O198" t="s">
        <v>156</v>
      </c>
      <c r="P198" t="s">
        <v>156</v>
      </c>
      <c r="Q198">
        <v>1</v>
      </c>
      <c r="X198">
        <v>8</v>
      </c>
      <c r="Y198">
        <v>14.99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56</v>
      </c>
      <c r="AG198">
        <v>8</v>
      </c>
      <c r="AH198">
        <v>2</v>
      </c>
      <c r="AI198">
        <v>55928154</v>
      </c>
      <c r="AJ198">
        <v>182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ROW(Source!A239)</f>
        <v>239</v>
      </c>
      <c r="B199">
        <v>55928155</v>
      </c>
      <c r="C199">
        <v>55928119</v>
      </c>
      <c r="D199">
        <v>55481932</v>
      </c>
      <c r="E199">
        <v>1</v>
      </c>
      <c r="F199">
        <v>1</v>
      </c>
      <c r="G199">
        <v>1081</v>
      </c>
      <c r="H199">
        <v>3</v>
      </c>
      <c r="I199" t="s">
        <v>378</v>
      </c>
      <c r="J199" t="s">
        <v>379</v>
      </c>
      <c r="K199" t="s">
        <v>380</v>
      </c>
      <c r="L199">
        <v>1356</v>
      </c>
      <c r="N199">
        <v>1010</v>
      </c>
      <c r="O199" t="s">
        <v>331</v>
      </c>
      <c r="P199" t="s">
        <v>331</v>
      </c>
      <c r="Q199">
        <v>1000</v>
      </c>
      <c r="X199">
        <v>4.1000000000000002E-2</v>
      </c>
      <c r="Y199">
        <v>919.92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56</v>
      </c>
      <c r="AG199">
        <v>4.1000000000000002E-2</v>
      </c>
      <c r="AH199">
        <v>2</v>
      </c>
      <c r="AI199">
        <v>55928155</v>
      </c>
      <c r="AJ199">
        <v>183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ROW(Source!A239)</f>
        <v>239</v>
      </c>
      <c r="B200">
        <v>55928156</v>
      </c>
      <c r="C200">
        <v>55928119</v>
      </c>
      <c r="D200">
        <v>55417165</v>
      </c>
      <c r="E200">
        <v>1081</v>
      </c>
      <c r="F200">
        <v>1</v>
      </c>
      <c r="G200">
        <v>1081</v>
      </c>
      <c r="H200">
        <v>3</v>
      </c>
      <c r="I200" t="s">
        <v>403</v>
      </c>
      <c r="J200" t="s">
        <v>3</v>
      </c>
      <c r="K200" t="s">
        <v>404</v>
      </c>
      <c r="L200">
        <v>1301</v>
      </c>
      <c r="N200">
        <v>1003</v>
      </c>
      <c r="O200" t="s">
        <v>206</v>
      </c>
      <c r="P200" t="s">
        <v>206</v>
      </c>
      <c r="Q200">
        <v>1</v>
      </c>
      <c r="X200">
        <v>103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56</v>
      </c>
      <c r="AG200">
        <v>103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ROW(Source!A239)</f>
        <v>239</v>
      </c>
      <c r="B201">
        <v>55928157</v>
      </c>
      <c r="C201">
        <v>55928119</v>
      </c>
      <c r="D201">
        <v>55419803</v>
      </c>
      <c r="E201">
        <v>1081</v>
      </c>
      <c r="F201">
        <v>1</v>
      </c>
      <c r="G201">
        <v>1081</v>
      </c>
      <c r="H201">
        <v>3</v>
      </c>
      <c r="I201" t="s">
        <v>405</v>
      </c>
      <c r="J201" t="s">
        <v>3</v>
      </c>
      <c r="K201" t="s">
        <v>406</v>
      </c>
      <c r="L201">
        <v>1354</v>
      </c>
      <c r="N201">
        <v>1010</v>
      </c>
      <c r="O201" t="s">
        <v>156</v>
      </c>
      <c r="P201" t="s">
        <v>156</v>
      </c>
      <c r="Q201">
        <v>1</v>
      </c>
      <c r="X201">
        <v>17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56</v>
      </c>
      <c r="AG201">
        <v>17</v>
      </c>
      <c r="AH201">
        <v>3</v>
      </c>
      <c r="AI201">
        <v>-1</v>
      </c>
      <c r="AJ201" t="s">
        <v>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ROW(Source!A239)</f>
        <v>239</v>
      </c>
      <c r="B202">
        <v>55928158</v>
      </c>
      <c r="C202">
        <v>55928119</v>
      </c>
      <c r="D202">
        <v>55432114</v>
      </c>
      <c r="E202">
        <v>1081</v>
      </c>
      <c r="F202">
        <v>1</v>
      </c>
      <c r="G202">
        <v>1081</v>
      </c>
      <c r="H202">
        <v>3</v>
      </c>
      <c r="I202" t="s">
        <v>407</v>
      </c>
      <c r="J202" t="s">
        <v>3</v>
      </c>
      <c r="K202" t="s">
        <v>408</v>
      </c>
      <c r="L202">
        <v>1355</v>
      </c>
      <c r="N202">
        <v>1010</v>
      </c>
      <c r="O202" t="s">
        <v>54</v>
      </c>
      <c r="P202" t="s">
        <v>54</v>
      </c>
      <c r="Q202">
        <v>100</v>
      </c>
      <c r="X202">
        <v>0.65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 t="s">
        <v>56</v>
      </c>
      <c r="AG202">
        <v>0.65</v>
      </c>
      <c r="AH202">
        <v>3</v>
      </c>
      <c r="AI202">
        <v>-1</v>
      </c>
      <c r="AJ202" t="s">
        <v>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ROW(Source!A239)</f>
        <v>239</v>
      </c>
      <c r="B203">
        <v>55928159</v>
      </c>
      <c r="C203">
        <v>55928119</v>
      </c>
      <c r="D203">
        <v>55433466</v>
      </c>
      <c r="E203">
        <v>1081</v>
      </c>
      <c r="F203">
        <v>1</v>
      </c>
      <c r="G203">
        <v>1081</v>
      </c>
      <c r="H203">
        <v>3</v>
      </c>
      <c r="I203" t="s">
        <v>409</v>
      </c>
      <c r="J203" t="s">
        <v>3</v>
      </c>
      <c r="K203" t="s">
        <v>410</v>
      </c>
      <c r="L203">
        <v>1354</v>
      </c>
      <c r="N203">
        <v>1010</v>
      </c>
      <c r="O203" t="s">
        <v>156</v>
      </c>
      <c r="P203" t="s">
        <v>156</v>
      </c>
      <c r="Q203">
        <v>1</v>
      </c>
      <c r="X203">
        <v>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 t="s">
        <v>56</v>
      </c>
      <c r="AG203">
        <v>8</v>
      </c>
      <c r="AH203">
        <v>3</v>
      </c>
      <c r="AI203">
        <v>-1</v>
      </c>
      <c r="AJ203" t="s">
        <v>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ROW(Source!A239)</f>
        <v>239</v>
      </c>
      <c r="B204">
        <v>55928160</v>
      </c>
      <c r="C204">
        <v>55928119</v>
      </c>
      <c r="D204">
        <v>55434262</v>
      </c>
      <c r="E204">
        <v>1081</v>
      </c>
      <c r="F204">
        <v>1</v>
      </c>
      <c r="G204">
        <v>1081</v>
      </c>
      <c r="H204">
        <v>3</v>
      </c>
      <c r="I204" t="s">
        <v>392</v>
      </c>
      <c r="J204" t="s">
        <v>3</v>
      </c>
      <c r="K204" t="s">
        <v>393</v>
      </c>
      <c r="L204">
        <v>1354</v>
      </c>
      <c r="N204">
        <v>1010</v>
      </c>
      <c r="O204" t="s">
        <v>156</v>
      </c>
      <c r="P204" t="s">
        <v>156</v>
      </c>
      <c r="Q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 t="s">
        <v>56</v>
      </c>
      <c r="AG204">
        <v>0</v>
      </c>
      <c r="AH204">
        <v>3</v>
      </c>
      <c r="AI204">
        <v>-1</v>
      </c>
      <c r="AJ204" t="s">
        <v>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ROW(Source!A250)</f>
        <v>250</v>
      </c>
      <c r="B205">
        <v>55928167</v>
      </c>
      <c r="C205">
        <v>55928166</v>
      </c>
      <c r="D205">
        <v>55424304</v>
      </c>
      <c r="E205">
        <v>1081</v>
      </c>
      <c r="F205">
        <v>1</v>
      </c>
      <c r="G205">
        <v>1081</v>
      </c>
      <c r="H205">
        <v>1</v>
      </c>
      <c r="I205" t="s">
        <v>278</v>
      </c>
      <c r="J205" t="s">
        <v>3</v>
      </c>
      <c r="K205" t="s">
        <v>279</v>
      </c>
      <c r="L205">
        <v>1191</v>
      </c>
      <c r="N205">
        <v>1013</v>
      </c>
      <c r="O205" t="s">
        <v>280</v>
      </c>
      <c r="P205" t="s">
        <v>280</v>
      </c>
      <c r="Q205">
        <v>1</v>
      </c>
      <c r="X205">
        <v>29.9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1</v>
      </c>
      <c r="AF205" t="s">
        <v>57</v>
      </c>
      <c r="AG205">
        <v>35.879999999999995</v>
      </c>
      <c r="AH205">
        <v>2</v>
      </c>
      <c r="AI205">
        <v>55928167</v>
      </c>
      <c r="AJ205">
        <v>185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ROW(Source!A250)</f>
        <v>250</v>
      </c>
      <c r="B206">
        <v>55928168</v>
      </c>
      <c r="C206">
        <v>55928166</v>
      </c>
      <c r="D206">
        <v>55489910</v>
      </c>
      <c r="E206">
        <v>1</v>
      </c>
      <c r="F206">
        <v>1</v>
      </c>
      <c r="G206">
        <v>1081</v>
      </c>
      <c r="H206">
        <v>2</v>
      </c>
      <c r="I206" t="s">
        <v>293</v>
      </c>
      <c r="J206" t="s">
        <v>294</v>
      </c>
      <c r="K206" t="s">
        <v>295</v>
      </c>
      <c r="L206">
        <v>1368</v>
      </c>
      <c r="N206">
        <v>1011</v>
      </c>
      <c r="O206" t="s">
        <v>291</v>
      </c>
      <c r="P206" t="s">
        <v>291</v>
      </c>
      <c r="Q206">
        <v>1</v>
      </c>
      <c r="X206">
        <v>15.4</v>
      </c>
      <c r="Y206">
        <v>0</v>
      </c>
      <c r="Z206">
        <v>7.11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57</v>
      </c>
      <c r="AG206">
        <v>18.48</v>
      </c>
      <c r="AH206">
        <v>2</v>
      </c>
      <c r="AI206">
        <v>55928168</v>
      </c>
      <c r="AJ206">
        <v>186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ROW(Source!A250)</f>
        <v>250</v>
      </c>
      <c r="B207">
        <v>55928169</v>
      </c>
      <c r="C207">
        <v>55928166</v>
      </c>
      <c r="D207">
        <v>55490209</v>
      </c>
      <c r="E207">
        <v>1</v>
      </c>
      <c r="F207">
        <v>1</v>
      </c>
      <c r="G207">
        <v>1081</v>
      </c>
      <c r="H207">
        <v>2</v>
      </c>
      <c r="I207" t="s">
        <v>296</v>
      </c>
      <c r="J207" t="s">
        <v>297</v>
      </c>
      <c r="K207" t="s">
        <v>298</v>
      </c>
      <c r="L207">
        <v>1368</v>
      </c>
      <c r="N207">
        <v>1011</v>
      </c>
      <c r="O207" t="s">
        <v>291</v>
      </c>
      <c r="P207" t="s">
        <v>291</v>
      </c>
      <c r="Q207">
        <v>1</v>
      </c>
      <c r="X207">
        <v>0.2</v>
      </c>
      <c r="Y207">
        <v>0</v>
      </c>
      <c r="Z207">
        <v>83.1</v>
      </c>
      <c r="AA207">
        <v>12.62</v>
      </c>
      <c r="AB207">
        <v>0</v>
      </c>
      <c r="AC207">
        <v>0</v>
      </c>
      <c r="AD207">
        <v>1</v>
      </c>
      <c r="AE207">
        <v>0</v>
      </c>
      <c r="AF207" t="s">
        <v>57</v>
      </c>
      <c r="AG207">
        <v>0.24</v>
      </c>
      <c r="AH207">
        <v>2</v>
      </c>
      <c r="AI207">
        <v>55928169</v>
      </c>
      <c r="AJ207">
        <v>187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ROW(Source!A250)</f>
        <v>250</v>
      </c>
      <c r="B208">
        <v>55928170</v>
      </c>
      <c r="C208">
        <v>55928166</v>
      </c>
      <c r="D208">
        <v>55490263</v>
      </c>
      <c r="E208">
        <v>1</v>
      </c>
      <c r="F208">
        <v>1</v>
      </c>
      <c r="G208">
        <v>1081</v>
      </c>
      <c r="H208">
        <v>2</v>
      </c>
      <c r="I208" t="s">
        <v>310</v>
      </c>
      <c r="J208" t="s">
        <v>311</v>
      </c>
      <c r="K208" t="s">
        <v>312</v>
      </c>
      <c r="L208">
        <v>1368</v>
      </c>
      <c r="N208">
        <v>1011</v>
      </c>
      <c r="O208" t="s">
        <v>291</v>
      </c>
      <c r="P208" t="s">
        <v>291</v>
      </c>
      <c r="Q208">
        <v>1</v>
      </c>
      <c r="X208">
        <v>3.83</v>
      </c>
      <c r="Y208">
        <v>0</v>
      </c>
      <c r="Z208">
        <v>0.77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57</v>
      </c>
      <c r="AG208">
        <v>4.5960000000000001</v>
      </c>
      <c r="AH208">
        <v>2</v>
      </c>
      <c r="AI208">
        <v>55928170</v>
      </c>
      <c r="AJ208">
        <v>188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ROW(Source!A250)</f>
        <v>250</v>
      </c>
      <c r="B209">
        <v>55928171</v>
      </c>
      <c r="C209">
        <v>55928166</v>
      </c>
      <c r="D209">
        <v>55459907</v>
      </c>
      <c r="E209">
        <v>1</v>
      </c>
      <c r="F209">
        <v>1</v>
      </c>
      <c r="G209">
        <v>1081</v>
      </c>
      <c r="H209">
        <v>3</v>
      </c>
      <c r="I209" t="s">
        <v>313</v>
      </c>
      <c r="J209" t="s">
        <v>314</v>
      </c>
      <c r="K209" t="s">
        <v>315</v>
      </c>
      <c r="L209">
        <v>1348</v>
      </c>
      <c r="N209">
        <v>1009</v>
      </c>
      <c r="O209" t="s">
        <v>284</v>
      </c>
      <c r="P209" t="s">
        <v>284</v>
      </c>
      <c r="Q209">
        <v>1000</v>
      </c>
      <c r="X209">
        <v>5.1499999999999997E-2</v>
      </c>
      <c r="Y209">
        <v>7246.05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56</v>
      </c>
      <c r="AG209">
        <v>5.1499999999999997E-2</v>
      </c>
      <c r="AH209">
        <v>2</v>
      </c>
      <c r="AI209">
        <v>55928171</v>
      </c>
      <c r="AJ209">
        <v>189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ROW(Source!A250)</f>
        <v>250</v>
      </c>
      <c r="B210">
        <v>55928172</v>
      </c>
      <c r="C210">
        <v>55928166</v>
      </c>
      <c r="D210">
        <v>55460380</v>
      </c>
      <c r="E210">
        <v>1</v>
      </c>
      <c r="F210">
        <v>1</v>
      </c>
      <c r="G210">
        <v>1081</v>
      </c>
      <c r="H210">
        <v>3</v>
      </c>
      <c r="I210" t="s">
        <v>305</v>
      </c>
      <c r="J210" t="s">
        <v>306</v>
      </c>
      <c r="K210" t="s">
        <v>307</v>
      </c>
      <c r="L210">
        <v>1348</v>
      </c>
      <c r="N210">
        <v>1009</v>
      </c>
      <c r="O210" t="s">
        <v>284</v>
      </c>
      <c r="P210" t="s">
        <v>284</v>
      </c>
      <c r="Q210">
        <v>1000</v>
      </c>
      <c r="X210">
        <v>1.0499999999999999E-3</v>
      </c>
      <c r="Y210">
        <v>8590.86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56</v>
      </c>
      <c r="AG210">
        <v>1.0499999999999999E-3</v>
      </c>
      <c r="AH210">
        <v>2</v>
      </c>
      <c r="AI210">
        <v>55928172</v>
      </c>
      <c r="AJ210">
        <v>190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ROW(Source!A250)</f>
        <v>250</v>
      </c>
      <c r="B211">
        <v>55928173</v>
      </c>
      <c r="C211">
        <v>55928166</v>
      </c>
      <c r="D211">
        <v>55459339</v>
      </c>
      <c r="E211">
        <v>1</v>
      </c>
      <c r="F211">
        <v>1</v>
      </c>
      <c r="G211">
        <v>1081</v>
      </c>
      <c r="H211">
        <v>3</v>
      </c>
      <c r="I211" t="s">
        <v>316</v>
      </c>
      <c r="J211" t="s">
        <v>317</v>
      </c>
      <c r="K211" t="s">
        <v>318</v>
      </c>
      <c r="L211">
        <v>1354</v>
      </c>
      <c r="N211">
        <v>1010</v>
      </c>
      <c r="O211" t="s">
        <v>156</v>
      </c>
      <c r="P211" t="s">
        <v>156</v>
      </c>
      <c r="Q211">
        <v>1</v>
      </c>
      <c r="X211">
        <v>218</v>
      </c>
      <c r="Y211">
        <v>3.86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 t="s">
        <v>56</v>
      </c>
      <c r="AG211">
        <v>218</v>
      </c>
      <c r="AH211">
        <v>2</v>
      </c>
      <c r="AI211">
        <v>55928173</v>
      </c>
      <c r="AJ211">
        <v>191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ROW(Source!A250)</f>
        <v>250</v>
      </c>
      <c r="B212">
        <v>55928174</v>
      </c>
      <c r="C212">
        <v>55928166</v>
      </c>
      <c r="D212">
        <v>55460882</v>
      </c>
      <c r="E212">
        <v>1</v>
      </c>
      <c r="F212">
        <v>1</v>
      </c>
      <c r="G212">
        <v>1081</v>
      </c>
      <c r="H212">
        <v>3</v>
      </c>
      <c r="I212" t="s">
        <v>319</v>
      </c>
      <c r="J212" t="s">
        <v>320</v>
      </c>
      <c r="K212" t="s">
        <v>321</v>
      </c>
      <c r="L212">
        <v>1348</v>
      </c>
      <c r="N212">
        <v>1009</v>
      </c>
      <c r="O212" t="s">
        <v>284</v>
      </c>
      <c r="P212" t="s">
        <v>284</v>
      </c>
      <c r="Q212">
        <v>1000</v>
      </c>
      <c r="X212">
        <v>2.1800000000000001E-3</v>
      </c>
      <c r="Y212">
        <v>14327.51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56</v>
      </c>
      <c r="AG212">
        <v>2.1800000000000001E-3</v>
      </c>
      <c r="AH212">
        <v>2</v>
      </c>
      <c r="AI212">
        <v>55928174</v>
      </c>
      <c r="AJ212">
        <v>192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ROW(Source!A250)</f>
        <v>250</v>
      </c>
      <c r="B213">
        <v>55928175</v>
      </c>
      <c r="C213">
        <v>55928166</v>
      </c>
      <c r="D213">
        <v>55459815</v>
      </c>
      <c r="E213">
        <v>1</v>
      </c>
      <c r="F213">
        <v>1</v>
      </c>
      <c r="G213">
        <v>1081</v>
      </c>
      <c r="H213">
        <v>3</v>
      </c>
      <c r="I213" t="s">
        <v>322</v>
      </c>
      <c r="J213" t="s">
        <v>323</v>
      </c>
      <c r="K213" t="s">
        <v>324</v>
      </c>
      <c r="L213">
        <v>1348</v>
      </c>
      <c r="N213">
        <v>1009</v>
      </c>
      <c r="O213" t="s">
        <v>284</v>
      </c>
      <c r="P213" t="s">
        <v>284</v>
      </c>
      <c r="Q213">
        <v>1000</v>
      </c>
      <c r="X213">
        <v>3.0000000000000001E-3</v>
      </c>
      <c r="Y213">
        <v>7973.67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56</v>
      </c>
      <c r="AG213">
        <v>3.0000000000000001E-3</v>
      </c>
      <c r="AH213">
        <v>2</v>
      </c>
      <c r="AI213">
        <v>55928175</v>
      </c>
      <c r="AJ213">
        <v>193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ROW(Source!A250)</f>
        <v>250</v>
      </c>
      <c r="B214">
        <v>55928176</v>
      </c>
      <c r="C214">
        <v>55928166</v>
      </c>
      <c r="D214">
        <v>55482617</v>
      </c>
      <c r="E214">
        <v>1</v>
      </c>
      <c r="F214">
        <v>1</v>
      </c>
      <c r="G214">
        <v>1081</v>
      </c>
      <c r="H214">
        <v>3</v>
      </c>
      <c r="I214" t="s">
        <v>325</v>
      </c>
      <c r="J214" t="s">
        <v>326</v>
      </c>
      <c r="K214" t="s">
        <v>327</v>
      </c>
      <c r="L214">
        <v>1354</v>
      </c>
      <c r="N214">
        <v>1010</v>
      </c>
      <c r="O214" t="s">
        <v>156</v>
      </c>
      <c r="P214" t="s">
        <v>156</v>
      </c>
      <c r="Q214">
        <v>1</v>
      </c>
      <c r="X214">
        <v>5</v>
      </c>
      <c r="Y214">
        <v>14.99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56</v>
      </c>
      <c r="AG214">
        <v>5</v>
      </c>
      <c r="AH214">
        <v>2</v>
      </c>
      <c r="AI214">
        <v>55928176</v>
      </c>
      <c r="AJ214">
        <v>194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ROW(Source!A250)</f>
        <v>250</v>
      </c>
      <c r="B215">
        <v>55928177</v>
      </c>
      <c r="C215">
        <v>55928166</v>
      </c>
      <c r="D215">
        <v>55481933</v>
      </c>
      <c r="E215">
        <v>1</v>
      </c>
      <c r="F215">
        <v>1</v>
      </c>
      <c r="G215">
        <v>1081</v>
      </c>
      <c r="H215">
        <v>3</v>
      </c>
      <c r="I215" t="s">
        <v>328</v>
      </c>
      <c r="J215" t="s">
        <v>329</v>
      </c>
      <c r="K215" t="s">
        <v>330</v>
      </c>
      <c r="L215">
        <v>1356</v>
      </c>
      <c r="N215">
        <v>1010</v>
      </c>
      <c r="O215" t="s">
        <v>331</v>
      </c>
      <c r="P215" t="s">
        <v>331</v>
      </c>
      <c r="Q215">
        <v>1000</v>
      </c>
      <c r="X215">
        <v>0.25</v>
      </c>
      <c r="Y215">
        <v>1639.86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56</v>
      </c>
      <c r="AG215">
        <v>0.25</v>
      </c>
      <c r="AH215">
        <v>2</v>
      </c>
      <c r="AI215">
        <v>55928177</v>
      </c>
      <c r="AJ215">
        <v>196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ROW(Source!A250)</f>
        <v>250</v>
      </c>
      <c r="B216">
        <v>55928178</v>
      </c>
      <c r="C216">
        <v>55928166</v>
      </c>
      <c r="D216">
        <v>55432093</v>
      </c>
      <c r="E216">
        <v>1081</v>
      </c>
      <c r="F216">
        <v>1</v>
      </c>
      <c r="G216">
        <v>1081</v>
      </c>
      <c r="H216">
        <v>3</v>
      </c>
      <c r="I216" t="s">
        <v>386</v>
      </c>
      <c r="J216" t="s">
        <v>3</v>
      </c>
      <c r="K216" t="s">
        <v>387</v>
      </c>
      <c r="L216">
        <v>1301</v>
      </c>
      <c r="N216">
        <v>1003</v>
      </c>
      <c r="O216" t="s">
        <v>206</v>
      </c>
      <c r="P216" t="s">
        <v>206</v>
      </c>
      <c r="Q216">
        <v>1</v>
      </c>
      <c r="X216">
        <v>103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56</v>
      </c>
      <c r="AG216">
        <v>103</v>
      </c>
      <c r="AH216">
        <v>3</v>
      </c>
      <c r="AI216">
        <v>-1</v>
      </c>
      <c r="AJ216" t="s">
        <v>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ROW(Source!A250)</f>
        <v>250</v>
      </c>
      <c r="B217">
        <v>55928179</v>
      </c>
      <c r="C217">
        <v>55928166</v>
      </c>
      <c r="D217">
        <v>55432091</v>
      </c>
      <c r="E217">
        <v>1081</v>
      </c>
      <c r="F217">
        <v>1</v>
      </c>
      <c r="G217">
        <v>1081</v>
      </c>
      <c r="H217">
        <v>3</v>
      </c>
      <c r="I217" t="s">
        <v>386</v>
      </c>
      <c r="J217" t="s">
        <v>3</v>
      </c>
      <c r="K217" t="s">
        <v>388</v>
      </c>
      <c r="L217">
        <v>1354</v>
      </c>
      <c r="N217">
        <v>1010</v>
      </c>
      <c r="O217" t="s">
        <v>156</v>
      </c>
      <c r="P217" t="s">
        <v>156</v>
      </c>
      <c r="Q217">
        <v>1</v>
      </c>
      <c r="X217">
        <v>10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 t="s">
        <v>56</v>
      </c>
      <c r="AG217">
        <v>10</v>
      </c>
      <c r="AH217">
        <v>3</v>
      </c>
      <c r="AI217">
        <v>-1</v>
      </c>
      <c r="AJ217" t="s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ROW(Source!A250)</f>
        <v>250</v>
      </c>
      <c r="B218">
        <v>55928180</v>
      </c>
      <c r="C218">
        <v>55928166</v>
      </c>
      <c r="D218">
        <v>55432092</v>
      </c>
      <c r="E218">
        <v>1081</v>
      </c>
      <c r="F218">
        <v>1</v>
      </c>
      <c r="G218">
        <v>1081</v>
      </c>
      <c r="H218">
        <v>3</v>
      </c>
      <c r="I218" t="s">
        <v>386</v>
      </c>
      <c r="J218" t="s">
        <v>3</v>
      </c>
      <c r="K218" t="s">
        <v>389</v>
      </c>
      <c r="L218">
        <v>1354</v>
      </c>
      <c r="N218">
        <v>1010</v>
      </c>
      <c r="O218" t="s">
        <v>156</v>
      </c>
      <c r="P218" t="s">
        <v>156</v>
      </c>
      <c r="Q218">
        <v>1</v>
      </c>
      <c r="X218">
        <v>10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56</v>
      </c>
      <c r="AG218">
        <v>10</v>
      </c>
      <c r="AH218">
        <v>3</v>
      </c>
      <c r="AI218">
        <v>-1</v>
      </c>
      <c r="AJ218" t="s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ROW(Source!A250)</f>
        <v>250</v>
      </c>
      <c r="B219">
        <v>55928181</v>
      </c>
      <c r="C219">
        <v>55928166</v>
      </c>
      <c r="D219">
        <v>55432104</v>
      </c>
      <c r="E219">
        <v>1081</v>
      </c>
      <c r="F219">
        <v>1</v>
      </c>
      <c r="G219">
        <v>1081</v>
      </c>
      <c r="H219">
        <v>3</v>
      </c>
      <c r="I219" t="s">
        <v>390</v>
      </c>
      <c r="J219" t="s">
        <v>3</v>
      </c>
      <c r="K219" t="s">
        <v>391</v>
      </c>
      <c r="L219">
        <v>1356</v>
      </c>
      <c r="N219">
        <v>1010</v>
      </c>
      <c r="O219" t="s">
        <v>331</v>
      </c>
      <c r="P219" t="s">
        <v>331</v>
      </c>
      <c r="Q219">
        <v>1000</v>
      </c>
      <c r="X219">
        <v>0.01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56</v>
      </c>
      <c r="AG219">
        <v>0.01</v>
      </c>
      <c r="AH219">
        <v>3</v>
      </c>
      <c r="AI219">
        <v>-1</v>
      </c>
      <c r="AJ219" t="s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ROW(Source!A250)</f>
        <v>250</v>
      </c>
      <c r="B220">
        <v>55928182</v>
      </c>
      <c r="C220">
        <v>55928166</v>
      </c>
      <c r="D220">
        <v>55434262</v>
      </c>
      <c r="E220">
        <v>1081</v>
      </c>
      <c r="F220">
        <v>1</v>
      </c>
      <c r="G220">
        <v>1081</v>
      </c>
      <c r="H220">
        <v>3</v>
      </c>
      <c r="I220" t="s">
        <v>392</v>
      </c>
      <c r="J220" t="s">
        <v>3</v>
      </c>
      <c r="K220" t="s">
        <v>393</v>
      </c>
      <c r="L220">
        <v>1354</v>
      </c>
      <c r="N220">
        <v>1010</v>
      </c>
      <c r="O220" t="s">
        <v>156</v>
      </c>
      <c r="P220" t="s">
        <v>156</v>
      </c>
      <c r="Q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56</v>
      </c>
      <c r="AG220">
        <v>0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ROW(Source!A251)</f>
        <v>251</v>
      </c>
      <c r="B221">
        <v>55928167</v>
      </c>
      <c r="C221">
        <v>55928166</v>
      </c>
      <c r="D221">
        <v>55424304</v>
      </c>
      <c r="E221">
        <v>1081</v>
      </c>
      <c r="F221">
        <v>1</v>
      </c>
      <c r="G221">
        <v>1081</v>
      </c>
      <c r="H221">
        <v>1</v>
      </c>
      <c r="I221" t="s">
        <v>278</v>
      </c>
      <c r="J221" t="s">
        <v>3</v>
      </c>
      <c r="K221" t="s">
        <v>279</v>
      </c>
      <c r="L221">
        <v>1191</v>
      </c>
      <c r="N221">
        <v>1013</v>
      </c>
      <c r="O221" t="s">
        <v>280</v>
      </c>
      <c r="P221" t="s">
        <v>280</v>
      </c>
      <c r="Q221">
        <v>1</v>
      </c>
      <c r="X221">
        <v>29.9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 t="s">
        <v>57</v>
      </c>
      <c r="AG221">
        <v>35.879999999999995</v>
      </c>
      <c r="AH221">
        <v>2</v>
      </c>
      <c r="AI221">
        <v>55928167</v>
      </c>
      <c r="AJ221">
        <v>197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ROW(Source!A251)</f>
        <v>251</v>
      </c>
      <c r="B222">
        <v>55928168</v>
      </c>
      <c r="C222">
        <v>55928166</v>
      </c>
      <c r="D222">
        <v>55489910</v>
      </c>
      <c r="E222">
        <v>1</v>
      </c>
      <c r="F222">
        <v>1</v>
      </c>
      <c r="G222">
        <v>1081</v>
      </c>
      <c r="H222">
        <v>2</v>
      </c>
      <c r="I222" t="s">
        <v>293</v>
      </c>
      <c r="J222" t="s">
        <v>294</v>
      </c>
      <c r="K222" t="s">
        <v>295</v>
      </c>
      <c r="L222">
        <v>1368</v>
      </c>
      <c r="N222">
        <v>1011</v>
      </c>
      <c r="O222" t="s">
        <v>291</v>
      </c>
      <c r="P222" t="s">
        <v>291</v>
      </c>
      <c r="Q222">
        <v>1</v>
      </c>
      <c r="X222">
        <v>15.4</v>
      </c>
      <c r="Y222">
        <v>0</v>
      </c>
      <c r="Z222">
        <v>7.11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57</v>
      </c>
      <c r="AG222">
        <v>18.48</v>
      </c>
      <c r="AH222">
        <v>2</v>
      </c>
      <c r="AI222">
        <v>55928168</v>
      </c>
      <c r="AJ222">
        <v>198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ROW(Source!A251)</f>
        <v>251</v>
      </c>
      <c r="B223">
        <v>55928169</v>
      </c>
      <c r="C223">
        <v>55928166</v>
      </c>
      <c r="D223">
        <v>55490209</v>
      </c>
      <c r="E223">
        <v>1</v>
      </c>
      <c r="F223">
        <v>1</v>
      </c>
      <c r="G223">
        <v>1081</v>
      </c>
      <c r="H223">
        <v>2</v>
      </c>
      <c r="I223" t="s">
        <v>296</v>
      </c>
      <c r="J223" t="s">
        <v>297</v>
      </c>
      <c r="K223" t="s">
        <v>298</v>
      </c>
      <c r="L223">
        <v>1368</v>
      </c>
      <c r="N223">
        <v>1011</v>
      </c>
      <c r="O223" t="s">
        <v>291</v>
      </c>
      <c r="P223" t="s">
        <v>291</v>
      </c>
      <c r="Q223">
        <v>1</v>
      </c>
      <c r="X223">
        <v>0.2</v>
      </c>
      <c r="Y223">
        <v>0</v>
      </c>
      <c r="Z223">
        <v>83.1</v>
      </c>
      <c r="AA223">
        <v>12.62</v>
      </c>
      <c r="AB223">
        <v>0</v>
      </c>
      <c r="AC223">
        <v>0</v>
      </c>
      <c r="AD223">
        <v>1</v>
      </c>
      <c r="AE223">
        <v>0</v>
      </c>
      <c r="AF223" t="s">
        <v>57</v>
      </c>
      <c r="AG223">
        <v>0.24</v>
      </c>
      <c r="AH223">
        <v>2</v>
      </c>
      <c r="AI223">
        <v>55928169</v>
      </c>
      <c r="AJ223">
        <v>199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ROW(Source!A251)</f>
        <v>251</v>
      </c>
      <c r="B224">
        <v>55928170</v>
      </c>
      <c r="C224">
        <v>55928166</v>
      </c>
      <c r="D224">
        <v>55490263</v>
      </c>
      <c r="E224">
        <v>1</v>
      </c>
      <c r="F224">
        <v>1</v>
      </c>
      <c r="G224">
        <v>1081</v>
      </c>
      <c r="H224">
        <v>2</v>
      </c>
      <c r="I224" t="s">
        <v>310</v>
      </c>
      <c r="J224" t="s">
        <v>311</v>
      </c>
      <c r="K224" t="s">
        <v>312</v>
      </c>
      <c r="L224">
        <v>1368</v>
      </c>
      <c r="N224">
        <v>1011</v>
      </c>
      <c r="O224" t="s">
        <v>291</v>
      </c>
      <c r="P224" t="s">
        <v>291</v>
      </c>
      <c r="Q224">
        <v>1</v>
      </c>
      <c r="X224">
        <v>3.83</v>
      </c>
      <c r="Y224">
        <v>0</v>
      </c>
      <c r="Z224">
        <v>0.77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57</v>
      </c>
      <c r="AG224">
        <v>4.5960000000000001</v>
      </c>
      <c r="AH224">
        <v>2</v>
      </c>
      <c r="AI224">
        <v>55928170</v>
      </c>
      <c r="AJ224">
        <v>200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ROW(Source!A251)</f>
        <v>251</v>
      </c>
      <c r="B225">
        <v>55928171</v>
      </c>
      <c r="C225">
        <v>55928166</v>
      </c>
      <c r="D225">
        <v>55459907</v>
      </c>
      <c r="E225">
        <v>1</v>
      </c>
      <c r="F225">
        <v>1</v>
      </c>
      <c r="G225">
        <v>1081</v>
      </c>
      <c r="H225">
        <v>3</v>
      </c>
      <c r="I225" t="s">
        <v>313</v>
      </c>
      <c r="J225" t="s">
        <v>314</v>
      </c>
      <c r="K225" t="s">
        <v>315</v>
      </c>
      <c r="L225">
        <v>1348</v>
      </c>
      <c r="N225">
        <v>1009</v>
      </c>
      <c r="O225" t="s">
        <v>284</v>
      </c>
      <c r="P225" t="s">
        <v>284</v>
      </c>
      <c r="Q225">
        <v>1000</v>
      </c>
      <c r="X225">
        <v>5.1499999999999997E-2</v>
      </c>
      <c r="Y225">
        <v>7246.05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56</v>
      </c>
      <c r="AG225">
        <v>5.1499999999999997E-2</v>
      </c>
      <c r="AH225">
        <v>2</v>
      </c>
      <c r="AI225">
        <v>55928171</v>
      </c>
      <c r="AJ225">
        <v>201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ROW(Source!A251)</f>
        <v>251</v>
      </c>
      <c r="B226">
        <v>55928172</v>
      </c>
      <c r="C226">
        <v>55928166</v>
      </c>
      <c r="D226">
        <v>55460380</v>
      </c>
      <c r="E226">
        <v>1</v>
      </c>
      <c r="F226">
        <v>1</v>
      </c>
      <c r="G226">
        <v>1081</v>
      </c>
      <c r="H226">
        <v>3</v>
      </c>
      <c r="I226" t="s">
        <v>305</v>
      </c>
      <c r="J226" t="s">
        <v>306</v>
      </c>
      <c r="K226" t="s">
        <v>307</v>
      </c>
      <c r="L226">
        <v>1348</v>
      </c>
      <c r="N226">
        <v>1009</v>
      </c>
      <c r="O226" t="s">
        <v>284</v>
      </c>
      <c r="P226" t="s">
        <v>284</v>
      </c>
      <c r="Q226">
        <v>1000</v>
      </c>
      <c r="X226">
        <v>1.0499999999999999E-3</v>
      </c>
      <c r="Y226">
        <v>8590.86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56</v>
      </c>
      <c r="AG226">
        <v>1.0499999999999999E-3</v>
      </c>
      <c r="AH226">
        <v>2</v>
      </c>
      <c r="AI226">
        <v>55928172</v>
      </c>
      <c r="AJ226">
        <v>202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ROW(Source!A251)</f>
        <v>251</v>
      </c>
      <c r="B227">
        <v>55928173</v>
      </c>
      <c r="C227">
        <v>55928166</v>
      </c>
      <c r="D227">
        <v>55459339</v>
      </c>
      <c r="E227">
        <v>1</v>
      </c>
      <c r="F227">
        <v>1</v>
      </c>
      <c r="G227">
        <v>1081</v>
      </c>
      <c r="H227">
        <v>3</v>
      </c>
      <c r="I227" t="s">
        <v>316</v>
      </c>
      <c r="J227" t="s">
        <v>317</v>
      </c>
      <c r="K227" t="s">
        <v>318</v>
      </c>
      <c r="L227">
        <v>1354</v>
      </c>
      <c r="N227">
        <v>1010</v>
      </c>
      <c r="O227" t="s">
        <v>156</v>
      </c>
      <c r="P227" t="s">
        <v>156</v>
      </c>
      <c r="Q227">
        <v>1</v>
      </c>
      <c r="X227">
        <v>218</v>
      </c>
      <c r="Y227">
        <v>3.86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56</v>
      </c>
      <c r="AG227">
        <v>218</v>
      </c>
      <c r="AH227">
        <v>2</v>
      </c>
      <c r="AI227">
        <v>55928173</v>
      </c>
      <c r="AJ227">
        <v>203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ROW(Source!A251)</f>
        <v>251</v>
      </c>
      <c r="B228">
        <v>55928174</v>
      </c>
      <c r="C228">
        <v>55928166</v>
      </c>
      <c r="D228">
        <v>55460882</v>
      </c>
      <c r="E228">
        <v>1</v>
      </c>
      <c r="F228">
        <v>1</v>
      </c>
      <c r="G228">
        <v>1081</v>
      </c>
      <c r="H228">
        <v>3</v>
      </c>
      <c r="I228" t="s">
        <v>319</v>
      </c>
      <c r="J228" t="s">
        <v>320</v>
      </c>
      <c r="K228" t="s">
        <v>321</v>
      </c>
      <c r="L228">
        <v>1348</v>
      </c>
      <c r="N228">
        <v>1009</v>
      </c>
      <c r="O228" t="s">
        <v>284</v>
      </c>
      <c r="P228" t="s">
        <v>284</v>
      </c>
      <c r="Q228">
        <v>1000</v>
      </c>
      <c r="X228">
        <v>2.1800000000000001E-3</v>
      </c>
      <c r="Y228">
        <v>14327.51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56</v>
      </c>
      <c r="AG228">
        <v>2.1800000000000001E-3</v>
      </c>
      <c r="AH228">
        <v>2</v>
      </c>
      <c r="AI228">
        <v>55928174</v>
      </c>
      <c r="AJ228">
        <v>204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ROW(Source!A251)</f>
        <v>251</v>
      </c>
      <c r="B229">
        <v>55928175</v>
      </c>
      <c r="C229">
        <v>55928166</v>
      </c>
      <c r="D229">
        <v>55459815</v>
      </c>
      <c r="E229">
        <v>1</v>
      </c>
      <c r="F229">
        <v>1</v>
      </c>
      <c r="G229">
        <v>1081</v>
      </c>
      <c r="H229">
        <v>3</v>
      </c>
      <c r="I229" t="s">
        <v>322</v>
      </c>
      <c r="J229" t="s">
        <v>323</v>
      </c>
      <c r="K229" t="s">
        <v>324</v>
      </c>
      <c r="L229">
        <v>1348</v>
      </c>
      <c r="N229">
        <v>1009</v>
      </c>
      <c r="O229" t="s">
        <v>284</v>
      </c>
      <c r="P229" t="s">
        <v>284</v>
      </c>
      <c r="Q229">
        <v>1000</v>
      </c>
      <c r="X229">
        <v>3.0000000000000001E-3</v>
      </c>
      <c r="Y229">
        <v>7973.67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 t="s">
        <v>56</v>
      </c>
      <c r="AG229">
        <v>3.0000000000000001E-3</v>
      </c>
      <c r="AH229">
        <v>2</v>
      </c>
      <c r="AI229">
        <v>55928175</v>
      </c>
      <c r="AJ229">
        <v>205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ROW(Source!A251)</f>
        <v>251</v>
      </c>
      <c r="B230">
        <v>55928176</v>
      </c>
      <c r="C230">
        <v>55928166</v>
      </c>
      <c r="D230">
        <v>55482617</v>
      </c>
      <c r="E230">
        <v>1</v>
      </c>
      <c r="F230">
        <v>1</v>
      </c>
      <c r="G230">
        <v>1081</v>
      </c>
      <c r="H230">
        <v>3</v>
      </c>
      <c r="I230" t="s">
        <v>325</v>
      </c>
      <c r="J230" t="s">
        <v>326</v>
      </c>
      <c r="K230" t="s">
        <v>327</v>
      </c>
      <c r="L230">
        <v>1354</v>
      </c>
      <c r="N230">
        <v>1010</v>
      </c>
      <c r="O230" t="s">
        <v>156</v>
      </c>
      <c r="P230" t="s">
        <v>156</v>
      </c>
      <c r="Q230">
        <v>1</v>
      </c>
      <c r="X230">
        <v>5</v>
      </c>
      <c r="Y230">
        <v>14.99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56</v>
      </c>
      <c r="AG230">
        <v>5</v>
      </c>
      <c r="AH230">
        <v>2</v>
      </c>
      <c r="AI230">
        <v>55928176</v>
      </c>
      <c r="AJ230">
        <v>206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ROW(Source!A251)</f>
        <v>251</v>
      </c>
      <c r="B231">
        <v>55928177</v>
      </c>
      <c r="C231">
        <v>55928166</v>
      </c>
      <c r="D231">
        <v>55481933</v>
      </c>
      <c r="E231">
        <v>1</v>
      </c>
      <c r="F231">
        <v>1</v>
      </c>
      <c r="G231">
        <v>1081</v>
      </c>
      <c r="H231">
        <v>3</v>
      </c>
      <c r="I231" t="s">
        <v>328</v>
      </c>
      <c r="J231" t="s">
        <v>329</v>
      </c>
      <c r="K231" t="s">
        <v>330</v>
      </c>
      <c r="L231">
        <v>1356</v>
      </c>
      <c r="N231">
        <v>1010</v>
      </c>
      <c r="O231" t="s">
        <v>331</v>
      </c>
      <c r="P231" t="s">
        <v>331</v>
      </c>
      <c r="Q231">
        <v>1000</v>
      </c>
      <c r="X231">
        <v>0.25</v>
      </c>
      <c r="Y231">
        <v>1639.86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56</v>
      </c>
      <c r="AG231">
        <v>0.25</v>
      </c>
      <c r="AH231">
        <v>2</v>
      </c>
      <c r="AI231">
        <v>55928177</v>
      </c>
      <c r="AJ231">
        <v>208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ROW(Source!A251)</f>
        <v>251</v>
      </c>
      <c r="B232">
        <v>55928178</v>
      </c>
      <c r="C232">
        <v>55928166</v>
      </c>
      <c r="D232">
        <v>55432093</v>
      </c>
      <c r="E232">
        <v>1081</v>
      </c>
      <c r="F232">
        <v>1</v>
      </c>
      <c r="G232">
        <v>1081</v>
      </c>
      <c r="H232">
        <v>3</v>
      </c>
      <c r="I232" t="s">
        <v>386</v>
      </c>
      <c r="J232" t="s">
        <v>3</v>
      </c>
      <c r="K232" t="s">
        <v>387</v>
      </c>
      <c r="L232">
        <v>1301</v>
      </c>
      <c r="N232">
        <v>1003</v>
      </c>
      <c r="O232" t="s">
        <v>206</v>
      </c>
      <c r="P232" t="s">
        <v>206</v>
      </c>
      <c r="Q232">
        <v>1</v>
      </c>
      <c r="X232">
        <v>103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56</v>
      </c>
      <c r="AG232">
        <v>103</v>
      </c>
      <c r="AH232">
        <v>3</v>
      </c>
      <c r="AI232">
        <v>-1</v>
      </c>
      <c r="AJ232" t="s">
        <v>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ROW(Source!A251)</f>
        <v>251</v>
      </c>
      <c r="B233">
        <v>55928179</v>
      </c>
      <c r="C233">
        <v>55928166</v>
      </c>
      <c r="D233">
        <v>55432091</v>
      </c>
      <c r="E233">
        <v>1081</v>
      </c>
      <c r="F233">
        <v>1</v>
      </c>
      <c r="G233">
        <v>1081</v>
      </c>
      <c r="H233">
        <v>3</v>
      </c>
      <c r="I233" t="s">
        <v>386</v>
      </c>
      <c r="J233" t="s">
        <v>3</v>
      </c>
      <c r="K233" t="s">
        <v>388</v>
      </c>
      <c r="L233">
        <v>1354</v>
      </c>
      <c r="N233">
        <v>1010</v>
      </c>
      <c r="O233" t="s">
        <v>156</v>
      </c>
      <c r="P233" t="s">
        <v>156</v>
      </c>
      <c r="Q233">
        <v>1</v>
      </c>
      <c r="X233">
        <v>10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56</v>
      </c>
      <c r="AG233">
        <v>10</v>
      </c>
      <c r="AH233">
        <v>3</v>
      </c>
      <c r="AI233">
        <v>-1</v>
      </c>
      <c r="AJ233" t="s">
        <v>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ROW(Source!A251)</f>
        <v>251</v>
      </c>
      <c r="B234">
        <v>55928180</v>
      </c>
      <c r="C234">
        <v>55928166</v>
      </c>
      <c r="D234">
        <v>55432092</v>
      </c>
      <c r="E234">
        <v>1081</v>
      </c>
      <c r="F234">
        <v>1</v>
      </c>
      <c r="G234">
        <v>1081</v>
      </c>
      <c r="H234">
        <v>3</v>
      </c>
      <c r="I234" t="s">
        <v>386</v>
      </c>
      <c r="J234" t="s">
        <v>3</v>
      </c>
      <c r="K234" t="s">
        <v>389</v>
      </c>
      <c r="L234">
        <v>1354</v>
      </c>
      <c r="N234">
        <v>1010</v>
      </c>
      <c r="O234" t="s">
        <v>156</v>
      </c>
      <c r="P234" t="s">
        <v>156</v>
      </c>
      <c r="Q234">
        <v>1</v>
      </c>
      <c r="X234">
        <v>10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 t="s">
        <v>56</v>
      </c>
      <c r="AG234">
        <v>10</v>
      </c>
      <c r="AH234">
        <v>3</v>
      </c>
      <c r="AI234">
        <v>-1</v>
      </c>
      <c r="AJ234" t="s">
        <v>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ROW(Source!A251)</f>
        <v>251</v>
      </c>
      <c r="B235">
        <v>55928181</v>
      </c>
      <c r="C235">
        <v>55928166</v>
      </c>
      <c r="D235">
        <v>55432104</v>
      </c>
      <c r="E235">
        <v>1081</v>
      </c>
      <c r="F235">
        <v>1</v>
      </c>
      <c r="G235">
        <v>1081</v>
      </c>
      <c r="H235">
        <v>3</v>
      </c>
      <c r="I235" t="s">
        <v>390</v>
      </c>
      <c r="J235" t="s">
        <v>3</v>
      </c>
      <c r="K235" t="s">
        <v>391</v>
      </c>
      <c r="L235">
        <v>1356</v>
      </c>
      <c r="N235">
        <v>1010</v>
      </c>
      <c r="O235" t="s">
        <v>331</v>
      </c>
      <c r="P235" t="s">
        <v>331</v>
      </c>
      <c r="Q235">
        <v>1000</v>
      </c>
      <c r="X235">
        <v>0.01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56</v>
      </c>
      <c r="AG235">
        <v>0.01</v>
      </c>
      <c r="AH235">
        <v>3</v>
      </c>
      <c r="AI235">
        <v>-1</v>
      </c>
      <c r="AJ235" t="s">
        <v>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ROW(Source!A251)</f>
        <v>251</v>
      </c>
      <c r="B236">
        <v>55928182</v>
      </c>
      <c r="C236">
        <v>55928166</v>
      </c>
      <c r="D236">
        <v>55434262</v>
      </c>
      <c r="E236">
        <v>1081</v>
      </c>
      <c r="F236">
        <v>1</v>
      </c>
      <c r="G236">
        <v>1081</v>
      </c>
      <c r="H236">
        <v>3</v>
      </c>
      <c r="I236" t="s">
        <v>392</v>
      </c>
      <c r="J236" t="s">
        <v>3</v>
      </c>
      <c r="K236" t="s">
        <v>393</v>
      </c>
      <c r="L236">
        <v>1354</v>
      </c>
      <c r="N236">
        <v>1010</v>
      </c>
      <c r="O236" t="s">
        <v>156</v>
      </c>
      <c r="P236" t="s">
        <v>156</v>
      </c>
      <c r="Q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56</v>
      </c>
      <c r="AG236">
        <v>0</v>
      </c>
      <c r="AH236">
        <v>3</v>
      </c>
      <c r="AI236">
        <v>-1</v>
      </c>
      <c r="AJ236" t="s">
        <v>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56</v>
      </c>
      <c r="E1" t="s">
        <v>57</v>
      </c>
      <c r="F1" t="s">
        <v>57</v>
      </c>
      <c r="G1" t="s">
        <v>57</v>
      </c>
      <c r="H1" t="s">
        <v>3</v>
      </c>
      <c r="I1" t="s">
        <v>57</v>
      </c>
      <c r="J1" t="s">
        <v>57</v>
      </c>
      <c r="K1" t="s">
        <v>3</v>
      </c>
      <c r="L1" t="s">
        <v>3</v>
      </c>
      <c r="M1" t="s">
        <v>3</v>
      </c>
      <c r="N1" t="s">
        <v>56</v>
      </c>
      <c r="O1" t="s">
        <v>57</v>
      </c>
      <c r="P1" t="s">
        <v>3</v>
      </c>
      <c r="Q1" t="s">
        <v>3</v>
      </c>
      <c r="R1" t="s">
        <v>3</v>
      </c>
      <c r="S1" t="s">
        <v>411</v>
      </c>
      <c r="T1" t="s">
        <v>412</v>
      </c>
      <c r="U1" t="s">
        <v>413</v>
      </c>
    </row>
    <row r="2" spans="1:21" x14ac:dyDescent="0.2">
      <c r="A2">
        <v>28</v>
      </c>
      <c r="B2">
        <v>1</v>
      </c>
      <c r="C2" t="s">
        <v>3</v>
      </c>
      <c r="D2" t="s">
        <v>414</v>
      </c>
      <c r="E2" t="s">
        <v>415</v>
      </c>
      <c r="F2" t="s">
        <v>415</v>
      </c>
      <c r="G2" t="s">
        <v>415</v>
      </c>
      <c r="H2" t="s">
        <v>3</v>
      </c>
      <c r="I2" t="s">
        <v>415</v>
      </c>
      <c r="J2" t="s">
        <v>415</v>
      </c>
      <c r="K2" t="s">
        <v>3</v>
      </c>
      <c r="L2" t="s">
        <v>3</v>
      </c>
      <c r="M2" t="s">
        <v>3</v>
      </c>
      <c r="N2" t="s">
        <v>414</v>
      </c>
      <c r="O2" t="s">
        <v>415</v>
      </c>
      <c r="P2" t="s">
        <v>3</v>
      </c>
      <c r="Q2" t="s">
        <v>3</v>
      </c>
      <c r="R2" t="s">
        <v>3</v>
      </c>
      <c r="S2" t="s">
        <v>416</v>
      </c>
      <c r="T2" t="s">
        <v>417</v>
      </c>
      <c r="U2" t="s">
        <v>418</v>
      </c>
    </row>
    <row r="3" spans="1:21" x14ac:dyDescent="0.2">
      <c r="A3">
        <v>29</v>
      </c>
      <c r="B3">
        <v>1</v>
      </c>
      <c r="C3" t="s">
        <v>3</v>
      </c>
      <c r="D3" t="s">
        <v>56</v>
      </c>
      <c r="E3" t="s">
        <v>57</v>
      </c>
      <c r="F3" t="s">
        <v>57</v>
      </c>
      <c r="G3" t="s">
        <v>57</v>
      </c>
      <c r="H3" t="s">
        <v>3</v>
      </c>
      <c r="I3" t="s">
        <v>57</v>
      </c>
      <c r="J3" t="s">
        <v>57</v>
      </c>
      <c r="K3" t="s">
        <v>3</v>
      </c>
      <c r="L3" t="s">
        <v>3</v>
      </c>
      <c r="M3" t="s">
        <v>3</v>
      </c>
      <c r="N3" t="s">
        <v>56</v>
      </c>
      <c r="O3" t="s">
        <v>57</v>
      </c>
      <c r="P3" t="s">
        <v>3</v>
      </c>
      <c r="Q3" t="s">
        <v>3</v>
      </c>
      <c r="R3" t="s">
        <v>3</v>
      </c>
      <c r="S3" t="s">
        <v>411</v>
      </c>
      <c r="T3" t="s">
        <v>412</v>
      </c>
      <c r="U3" t="s">
        <v>413</v>
      </c>
    </row>
    <row r="4" spans="1:21" x14ac:dyDescent="0.2">
      <c r="A4">
        <v>29</v>
      </c>
      <c r="B4">
        <v>1</v>
      </c>
      <c r="C4" t="s">
        <v>3</v>
      </c>
      <c r="D4" t="s">
        <v>414</v>
      </c>
      <c r="E4" t="s">
        <v>415</v>
      </c>
      <c r="F4" t="s">
        <v>415</v>
      </c>
      <c r="G4" t="s">
        <v>415</v>
      </c>
      <c r="H4" t="s">
        <v>3</v>
      </c>
      <c r="I4" t="s">
        <v>415</v>
      </c>
      <c r="J4" t="s">
        <v>415</v>
      </c>
      <c r="K4" t="s">
        <v>3</v>
      </c>
      <c r="L4" t="s">
        <v>3</v>
      </c>
      <c r="M4" t="s">
        <v>3</v>
      </c>
      <c r="N4" t="s">
        <v>414</v>
      </c>
      <c r="O4" t="s">
        <v>415</v>
      </c>
      <c r="P4" t="s">
        <v>3</v>
      </c>
      <c r="Q4" t="s">
        <v>3</v>
      </c>
      <c r="R4" t="s">
        <v>3</v>
      </c>
      <c r="S4" t="s">
        <v>416</v>
      </c>
      <c r="T4" t="s">
        <v>417</v>
      </c>
      <c r="U4" t="s">
        <v>418</v>
      </c>
    </row>
    <row r="5" spans="1:21" x14ac:dyDescent="0.2">
      <c r="A5">
        <v>30</v>
      </c>
      <c r="B5">
        <v>1</v>
      </c>
      <c r="C5" t="s">
        <v>3</v>
      </c>
      <c r="D5" t="s">
        <v>56</v>
      </c>
      <c r="E5" t="s">
        <v>57</v>
      </c>
      <c r="F5" t="s">
        <v>57</v>
      </c>
      <c r="G5" t="s">
        <v>57</v>
      </c>
      <c r="H5" t="s">
        <v>3</v>
      </c>
      <c r="I5" t="s">
        <v>57</v>
      </c>
      <c r="J5" t="s">
        <v>57</v>
      </c>
      <c r="K5" t="s">
        <v>3</v>
      </c>
      <c r="L5" t="s">
        <v>3</v>
      </c>
      <c r="M5" t="s">
        <v>3</v>
      </c>
      <c r="N5" t="s">
        <v>56</v>
      </c>
      <c r="O5" t="s">
        <v>57</v>
      </c>
      <c r="P5" t="s">
        <v>3</v>
      </c>
      <c r="Q5" t="s">
        <v>3</v>
      </c>
      <c r="R5" t="s">
        <v>3</v>
      </c>
      <c r="S5" t="s">
        <v>411</v>
      </c>
      <c r="T5" t="s">
        <v>412</v>
      </c>
      <c r="U5" t="s">
        <v>413</v>
      </c>
    </row>
    <row r="6" spans="1:21" x14ac:dyDescent="0.2">
      <c r="A6">
        <v>30</v>
      </c>
      <c r="B6">
        <v>1</v>
      </c>
      <c r="C6" t="s">
        <v>3</v>
      </c>
      <c r="D6" t="s">
        <v>414</v>
      </c>
      <c r="E6" t="s">
        <v>415</v>
      </c>
      <c r="F6" t="s">
        <v>415</v>
      </c>
      <c r="G6" t="s">
        <v>415</v>
      </c>
      <c r="H6" t="s">
        <v>3</v>
      </c>
      <c r="I6" t="s">
        <v>415</v>
      </c>
      <c r="J6" t="s">
        <v>415</v>
      </c>
      <c r="K6" t="s">
        <v>3</v>
      </c>
      <c r="L6" t="s">
        <v>3</v>
      </c>
      <c r="M6" t="s">
        <v>3</v>
      </c>
      <c r="N6" t="s">
        <v>414</v>
      </c>
      <c r="O6" t="s">
        <v>415</v>
      </c>
      <c r="P6" t="s">
        <v>3</v>
      </c>
      <c r="Q6" t="s">
        <v>3</v>
      </c>
      <c r="R6" t="s">
        <v>3</v>
      </c>
      <c r="S6" t="s">
        <v>416</v>
      </c>
      <c r="T6" t="s">
        <v>417</v>
      </c>
      <c r="U6" t="s">
        <v>418</v>
      </c>
    </row>
    <row r="7" spans="1:21" x14ac:dyDescent="0.2">
      <c r="A7">
        <v>31</v>
      </c>
      <c r="B7">
        <v>1</v>
      </c>
      <c r="C7" t="s">
        <v>3</v>
      </c>
      <c r="D7" t="s">
        <v>56</v>
      </c>
      <c r="E7" t="s">
        <v>57</v>
      </c>
      <c r="F7" t="s">
        <v>57</v>
      </c>
      <c r="G7" t="s">
        <v>57</v>
      </c>
      <c r="H7" t="s">
        <v>3</v>
      </c>
      <c r="I7" t="s">
        <v>57</v>
      </c>
      <c r="J7" t="s">
        <v>57</v>
      </c>
      <c r="K7" t="s">
        <v>3</v>
      </c>
      <c r="L7" t="s">
        <v>3</v>
      </c>
      <c r="M7" t="s">
        <v>3</v>
      </c>
      <c r="N7" t="s">
        <v>56</v>
      </c>
      <c r="O7" t="s">
        <v>57</v>
      </c>
      <c r="P7" t="s">
        <v>3</v>
      </c>
      <c r="Q7" t="s">
        <v>3</v>
      </c>
      <c r="R7" t="s">
        <v>3</v>
      </c>
      <c r="S7" t="s">
        <v>411</v>
      </c>
      <c r="T7" t="s">
        <v>412</v>
      </c>
      <c r="U7" t="s">
        <v>413</v>
      </c>
    </row>
    <row r="8" spans="1:21" x14ac:dyDescent="0.2">
      <c r="A8">
        <v>31</v>
      </c>
      <c r="B8">
        <v>1</v>
      </c>
      <c r="C8" t="s">
        <v>3</v>
      </c>
      <c r="D8" t="s">
        <v>414</v>
      </c>
      <c r="E8" t="s">
        <v>415</v>
      </c>
      <c r="F8" t="s">
        <v>415</v>
      </c>
      <c r="G8" t="s">
        <v>415</v>
      </c>
      <c r="H8" t="s">
        <v>3</v>
      </c>
      <c r="I8" t="s">
        <v>415</v>
      </c>
      <c r="J8" t="s">
        <v>415</v>
      </c>
      <c r="K8" t="s">
        <v>3</v>
      </c>
      <c r="L8" t="s">
        <v>3</v>
      </c>
      <c r="M8" t="s">
        <v>3</v>
      </c>
      <c r="N8" t="s">
        <v>414</v>
      </c>
      <c r="O8" t="s">
        <v>415</v>
      </c>
      <c r="P8" t="s">
        <v>3</v>
      </c>
      <c r="Q8" t="s">
        <v>3</v>
      </c>
      <c r="R8" t="s">
        <v>3</v>
      </c>
      <c r="S8" t="s">
        <v>416</v>
      </c>
      <c r="T8" t="s">
        <v>417</v>
      </c>
      <c r="U8" t="s">
        <v>418</v>
      </c>
    </row>
    <row r="9" spans="1:21" x14ac:dyDescent="0.2">
      <c r="A9">
        <v>32</v>
      </c>
      <c r="B9">
        <v>1</v>
      </c>
      <c r="C9" t="s">
        <v>3</v>
      </c>
      <c r="D9" t="s">
        <v>56</v>
      </c>
      <c r="E9" t="s">
        <v>57</v>
      </c>
      <c r="F9" t="s">
        <v>57</v>
      </c>
      <c r="G9" t="s">
        <v>57</v>
      </c>
      <c r="H9" t="s">
        <v>3</v>
      </c>
      <c r="I9" t="s">
        <v>57</v>
      </c>
      <c r="J9" t="s">
        <v>57</v>
      </c>
      <c r="K9" t="s">
        <v>3</v>
      </c>
      <c r="L9" t="s">
        <v>3</v>
      </c>
      <c r="M9" t="s">
        <v>3</v>
      </c>
      <c r="N9" t="s">
        <v>56</v>
      </c>
      <c r="O9" t="s">
        <v>57</v>
      </c>
      <c r="P9" t="s">
        <v>3</v>
      </c>
      <c r="Q9" t="s">
        <v>3</v>
      </c>
      <c r="R9" t="s">
        <v>3</v>
      </c>
      <c r="S9" t="s">
        <v>411</v>
      </c>
      <c r="T9" t="s">
        <v>412</v>
      </c>
      <c r="U9" t="s">
        <v>413</v>
      </c>
    </row>
    <row r="10" spans="1:21" x14ac:dyDescent="0.2">
      <c r="A10">
        <v>32</v>
      </c>
      <c r="B10">
        <v>1</v>
      </c>
      <c r="C10" t="s">
        <v>3</v>
      </c>
      <c r="D10" t="s">
        <v>414</v>
      </c>
      <c r="E10" t="s">
        <v>415</v>
      </c>
      <c r="F10" t="s">
        <v>415</v>
      </c>
      <c r="G10" t="s">
        <v>415</v>
      </c>
      <c r="H10" t="s">
        <v>3</v>
      </c>
      <c r="I10" t="s">
        <v>415</v>
      </c>
      <c r="J10" t="s">
        <v>415</v>
      </c>
      <c r="K10" t="s">
        <v>3</v>
      </c>
      <c r="L10" t="s">
        <v>3</v>
      </c>
      <c r="M10" t="s">
        <v>3</v>
      </c>
      <c r="N10" t="s">
        <v>414</v>
      </c>
      <c r="O10" t="s">
        <v>415</v>
      </c>
      <c r="P10" t="s">
        <v>3</v>
      </c>
      <c r="Q10" t="s">
        <v>3</v>
      </c>
      <c r="R10" t="s">
        <v>3</v>
      </c>
      <c r="S10" t="s">
        <v>416</v>
      </c>
      <c r="T10" t="s">
        <v>417</v>
      </c>
      <c r="U10" t="s">
        <v>418</v>
      </c>
    </row>
    <row r="11" spans="1:21" x14ac:dyDescent="0.2">
      <c r="A11">
        <v>33</v>
      </c>
      <c r="B11">
        <v>1</v>
      </c>
      <c r="C11" t="s">
        <v>3</v>
      </c>
      <c r="D11" t="s">
        <v>56</v>
      </c>
      <c r="E11" t="s">
        <v>57</v>
      </c>
      <c r="F11" t="s">
        <v>57</v>
      </c>
      <c r="G11" t="s">
        <v>57</v>
      </c>
      <c r="H11" t="s">
        <v>3</v>
      </c>
      <c r="I11" t="s">
        <v>57</v>
      </c>
      <c r="J11" t="s">
        <v>57</v>
      </c>
      <c r="K11" t="s">
        <v>3</v>
      </c>
      <c r="L11" t="s">
        <v>3</v>
      </c>
      <c r="M11" t="s">
        <v>3</v>
      </c>
      <c r="N11" t="s">
        <v>56</v>
      </c>
      <c r="O11" t="s">
        <v>57</v>
      </c>
      <c r="P11" t="s">
        <v>3</v>
      </c>
      <c r="Q11" t="s">
        <v>3</v>
      </c>
      <c r="R11" t="s">
        <v>3</v>
      </c>
      <c r="S11" t="s">
        <v>411</v>
      </c>
      <c r="T11" t="s">
        <v>412</v>
      </c>
      <c r="U11" t="s">
        <v>413</v>
      </c>
    </row>
    <row r="12" spans="1:21" x14ac:dyDescent="0.2">
      <c r="A12">
        <v>33</v>
      </c>
      <c r="B12">
        <v>1</v>
      </c>
      <c r="C12" t="s">
        <v>3</v>
      </c>
      <c r="D12" t="s">
        <v>414</v>
      </c>
      <c r="E12" t="s">
        <v>415</v>
      </c>
      <c r="F12" t="s">
        <v>415</v>
      </c>
      <c r="G12" t="s">
        <v>415</v>
      </c>
      <c r="H12" t="s">
        <v>3</v>
      </c>
      <c r="I12" t="s">
        <v>415</v>
      </c>
      <c r="J12" t="s">
        <v>415</v>
      </c>
      <c r="K12" t="s">
        <v>3</v>
      </c>
      <c r="L12" t="s">
        <v>3</v>
      </c>
      <c r="M12" t="s">
        <v>3</v>
      </c>
      <c r="N12" t="s">
        <v>414</v>
      </c>
      <c r="O12" t="s">
        <v>415</v>
      </c>
      <c r="P12" t="s">
        <v>3</v>
      </c>
      <c r="Q12" t="s">
        <v>3</v>
      </c>
      <c r="R12" t="s">
        <v>3</v>
      </c>
      <c r="S12" t="s">
        <v>416</v>
      </c>
      <c r="T12" t="s">
        <v>417</v>
      </c>
      <c r="U12" t="s">
        <v>418</v>
      </c>
    </row>
    <row r="13" spans="1:21" x14ac:dyDescent="0.2">
      <c r="A13">
        <v>34</v>
      </c>
      <c r="B13">
        <v>1</v>
      </c>
      <c r="C13" t="s">
        <v>3</v>
      </c>
      <c r="D13" t="s">
        <v>56</v>
      </c>
      <c r="E13" t="s">
        <v>57</v>
      </c>
      <c r="F13" t="s">
        <v>57</v>
      </c>
      <c r="G13" t="s">
        <v>57</v>
      </c>
      <c r="H13" t="s">
        <v>3</v>
      </c>
      <c r="I13" t="s">
        <v>57</v>
      </c>
      <c r="J13" t="s">
        <v>57</v>
      </c>
      <c r="K13" t="s">
        <v>3</v>
      </c>
      <c r="L13" t="s">
        <v>3</v>
      </c>
      <c r="M13" t="s">
        <v>3</v>
      </c>
      <c r="N13" t="s">
        <v>56</v>
      </c>
      <c r="O13" t="s">
        <v>57</v>
      </c>
      <c r="P13" t="s">
        <v>3</v>
      </c>
      <c r="Q13" t="s">
        <v>3</v>
      </c>
      <c r="R13" t="s">
        <v>3</v>
      </c>
      <c r="S13" t="s">
        <v>411</v>
      </c>
      <c r="T13" t="s">
        <v>412</v>
      </c>
      <c r="U13" t="s">
        <v>413</v>
      </c>
    </row>
    <row r="14" spans="1:21" x14ac:dyDescent="0.2">
      <c r="A14">
        <v>34</v>
      </c>
      <c r="B14">
        <v>1</v>
      </c>
      <c r="C14" t="s">
        <v>3</v>
      </c>
      <c r="D14" t="s">
        <v>414</v>
      </c>
      <c r="E14" t="s">
        <v>415</v>
      </c>
      <c r="F14" t="s">
        <v>415</v>
      </c>
      <c r="G14" t="s">
        <v>415</v>
      </c>
      <c r="H14" t="s">
        <v>3</v>
      </c>
      <c r="I14" t="s">
        <v>415</v>
      </c>
      <c r="J14" t="s">
        <v>415</v>
      </c>
      <c r="K14" t="s">
        <v>3</v>
      </c>
      <c r="L14" t="s">
        <v>3</v>
      </c>
      <c r="M14" t="s">
        <v>3</v>
      </c>
      <c r="N14" t="s">
        <v>414</v>
      </c>
      <c r="O14" t="s">
        <v>415</v>
      </c>
      <c r="P14" t="s">
        <v>3</v>
      </c>
      <c r="Q14" t="s">
        <v>3</v>
      </c>
      <c r="R14" t="s">
        <v>3</v>
      </c>
      <c r="S14" t="s">
        <v>416</v>
      </c>
      <c r="T14" t="s">
        <v>417</v>
      </c>
      <c r="U14" t="s">
        <v>418</v>
      </c>
    </row>
    <row r="15" spans="1:21" x14ac:dyDescent="0.2">
      <c r="A15">
        <v>35</v>
      </c>
      <c r="B15">
        <v>1</v>
      </c>
      <c r="C15" t="s">
        <v>3</v>
      </c>
      <c r="D15" t="s">
        <v>56</v>
      </c>
      <c r="E15" t="s">
        <v>57</v>
      </c>
      <c r="F15" t="s">
        <v>57</v>
      </c>
      <c r="G15" t="s">
        <v>57</v>
      </c>
      <c r="H15" t="s">
        <v>3</v>
      </c>
      <c r="I15" t="s">
        <v>57</v>
      </c>
      <c r="J15" t="s">
        <v>57</v>
      </c>
      <c r="K15" t="s">
        <v>3</v>
      </c>
      <c r="L15" t="s">
        <v>3</v>
      </c>
      <c r="M15" t="s">
        <v>3</v>
      </c>
      <c r="N15" t="s">
        <v>56</v>
      </c>
      <c r="O15" t="s">
        <v>57</v>
      </c>
      <c r="P15" t="s">
        <v>3</v>
      </c>
      <c r="Q15" t="s">
        <v>3</v>
      </c>
      <c r="R15" t="s">
        <v>3</v>
      </c>
      <c r="S15" t="s">
        <v>411</v>
      </c>
      <c r="T15" t="s">
        <v>412</v>
      </c>
      <c r="U15" t="s">
        <v>413</v>
      </c>
    </row>
    <row r="16" spans="1:21" x14ac:dyDescent="0.2">
      <c r="A16">
        <v>35</v>
      </c>
      <c r="B16">
        <v>1</v>
      </c>
      <c r="C16" t="s">
        <v>3</v>
      </c>
      <c r="D16" t="s">
        <v>414</v>
      </c>
      <c r="E16" t="s">
        <v>415</v>
      </c>
      <c r="F16" t="s">
        <v>415</v>
      </c>
      <c r="G16" t="s">
        <v>415</v>
      </c>
      <c r="H16" t="s">
        <v>3</v>
      </c>
      <c r="I16" t="s">
        <v>415</v>
      </c>
      <c r="J16" t="s">
        <v>415</v>
      </c>
      <c r="K16" t="s">
        <v>3</v>
      </c>
      <c r="L16" t="s">
        <v>3</v>
      </c>
      <c r="M16" t="s">
        <v>3</v>
      </c>
      <c r="N16" t="s">
        <v>414</v>
      </c>
      <c r="O16" t="s">
        <v>415</v>
      </c>
      <c r="P16" t="s">
        <v>3</v>
      </c>
      <c r="Q16" t="s">
        <v>3</v>
      </c>
      <c r="R16" t="s">
        <v>3</v>
      </c>
      <c r="S16" t="s">
        <v>416</v>
      </c>
      <c r="T16" t="s">
        <v>417</v>
      </c>
      <c r="U16" t="s">
        <v>418</v>
      </c>
    </row>
    <row r="17" spans="1:21" x14ac:dyDescent="0.2">
      <c r="A17">
        <v>36</v>
      </c>
      <c r="B17">
        <v>1</v>
      </c>
      <c r="C17" t="s">
        <v>3</v>
      </c>
      <c r="D17" t="s">
        <v>56</v>
      </c>
      <c r="E17" t="s">
        <v>57</v>
      </c>
      <c r="F17" t="s">
        <v>57</v>
      </c>
      <c r="G17" t="s">
        <v>57</v>
      </c>
      <c r="H17" t="s">
        <v>3</v>
      </c>
      <c r="I17" t="s">
        <v>57</v>
      </c>
      <c r="J17" t="s">
        <v>57</v>
      </c>
      <c r="K17" t="s">
        <v>3</v>
      </c>
      <c r="L17" t="s">
        <v>3</v>
      </c>
      <c r="M17" t="s">
        <v>3</v>
      </c>
      <c r="N17" t="s">
        <v>56</v>
      </c>
      <c r="O17" t="s">
        <v>57</v>
      </c>
      <c r="P17" t="s">
        <v>3</v>
      </c>
      <c r="Q17" t="s">
        <v>3</v>
      </c>
      <c r="R17" t="s">
        <v>3</v>
      </c>
      <c r="S17" t="s">
        <v>411</v>
      </c>
      <c r="T17" t="s">
        <v>412</v>
      </c>
      <c r="U17" t="s">
        <v>413</v>
      </c>
    </row>
    <row r="18" spans="1:21" x14ac:dyDescent="0.2">
      <c r="A18">
        <v>36</v>
      </c>
      <c r="B18">
        <v>1</v>
      </c>
      <c r="C18" t="s">
        <v>3</v>
      </c>
      <c r="D18" t="s">
        <v>414</v>
      </c>
      <c r="E18" t="s">
        <v>415</v>
      </c>
      <c r="F18" t="s">
        <v>415</v>
      </c>
      <c r="G18" t="s">
        <v>415</v>
      </c>
      <c r="H18" t="s">
        <v>3</v>
      </c>
      <c r="I18" t="s">
        <v>415</v>
      </c>
      <c r="J18" t="s">
        <v>415</v>
      </c>
      <c r="K18" t="s">
        <v>3</v>
      </c>
      <c r="L18" t="s">
        <v>3</v>
      </c>
      <c r="M18" t="s">
        <v>3</v>
      </c>
      <c r="N18" t="s">
        <v>414</v>
      </c>
      <c r="O18" t="s">
        <v>415</v>
      </c>
      <c r="P18" t="s">
        <v>3</v>
      </c>
      <c r="Q18" t="s">
        <v>3</v>
      </c>
      <c r="R18" t="s">
        <v>3</v>
      </c>
      <c r="S18" t="s">
        <v>416</v>
      </c>
      <c r="T18" t="s">
        <v>417</v>
      </c>
      <c r="U18" t="s">
        <v>418</v>
      </c>
    </row>
    <row r="19" spans="1:21" x14ac:dyDescent="0.2">
      <c r="A19">
        <v>37</v>
      </c>
      <c r="B19">
        <v>1</v>
      </c>
      <c r="C19" t="s">
        <v>3</v>
      </c>
      <c r="D19" t="s">
        <v>56</v>
      </c>
      <c r="E19" t="s">
        <v>57</v>
      </c>
      <c r="F19" t="s">
        <v>57</v>
      </c>
      <c r="G19" t="s">
        <v>57</v>
      </c>
      <c r="H19" t="s">
        <v>3</v>
      </c>
      <c r="I19" t="s">
        <v>57</v>
      </c>
      <c r="J19" t="s">
        <v>57</v>
      </c>
      <c r="K19" t="s">
        <v>3</v>
      </c>
      <c r="L19" t="s">
        <v>3</v>
      </c>
      <c r="M19" t="s">
        <v>3</v>
      </c>
      <c r="N19" t="s">
        <v>56</v>
      </c>
      <c r="O19" t="s">
        <v>57</v>
      </c>
      <c r="P19" t="s">
        <v>3</v>
      </c>
      <c r="Q19" t="s">
        <v>3</v>
      </c>
      <c r="R19" t="s">
        <v>3</v>
      </c>
      <c r="S19" t="s">
        <v>411</v>
      </c>
      <c r="T19" t="s">
        <v>412</v>
      </c>
      <c r="U19" t="s">
        <v>413</v>
      </c>
    </row>
    <row r="20" spans="1:21" x14ac:dyDescent="0.2">
      <c r="A20">
        <v>37</v>
      </c>
      <c r="B20">
        <v>1</v>
      </c>
      <c r="C20" t="s">
        <v>3</v>
      </c>
      <c r="D20" t="s">
        <v>414</v>
      </c>
      <c r="E20" t="s">
        <v>415</v>
      </c>
      <c r="F20" t="s">
        <v>415</v>
      </c>
      <c r="G20" t="s">
        <v>415</v>
      </c>
      <c r="H20" t="s">
        <v>3</v>
      </c>
      <c r="I20" t="s">
        <v>415</v>
      </c>
      <c r="J20" t="s">
        <v>415</v>
      </c>
      <c r="K20" t="s">
        <v>3</v>
      </c>
      <c r="L20" t="s">
        <v>3</v>
      </c>
      <c r="M20" t="s">
        <v>3</v>
      </c>
      <c r="N20" t="s">
        <v>414</v>
      </c>
      <c r="O20" t="s">
        <v>415</v>
      </c>
      <c r="P20" t="s">
        <v>3</v>
      </c>
      <c r="Q20" t="s">
        <v>3</v>
      </c>
      <c r="R20" t="s">
        <v>3</v>
      </c>
      <c r="S20" t="s">
        <v>416</v>
      </c>
      <c r="T20" t="s">
        <v>417</v>
      </c>
      <c r="U20" t="s">
        <v>418</v>
      </c>
    </row>
    <row r="21" spans="1:21" x14ac:dyDescent="0.2">
      <c r="A21">
        <v>38</v>
      </c>
      <c r="B21">
        <v>1</v>
      </c>
      <c r="C21" t="s">
        <v>3</v>
      </c>
      <c r="D21" t="s">
        <v>56</v>
      </c>
      <c r="E21" t="s">
        <v>57</v>
      </c>
      <c r="F21" t="s">
        <v>57</v>
      </c>
      <c r="G21" t="s">
        <v>57</v>
      </c>
      <c r="H21" t="s">
        <v>3</v>
      </c>
      <c r="I21" t="s">
        <v>57</v>
      </c>
      <c r="J21" t="s">
        <v>57</v>
      </c>
      <c r="K21" t="s">
        <v>3</v>
      </c>
      <c r="L21" t="s">
        <v>3</v>
      </c>
      <c r="M21" t="s">
        <v>3</v>
      </c>
      <c r="N21" t="s">
        <v>56</v>
      </c>
      <c r="O21" t="s">
        <v>57</v>
      </c>
      <c r="P21" t="s">
        <v>3</v>
      </c>
      <c r="Q21" t="s">
        <v>3</v>
      </c>
      <c r="R21" t="s">
        <v>3</v>
      </c>
      <c r="S21" t="s">
        <v>411</v>
      </c>
      <c r="T21" t="s">
        <v>412</v>
      </c>
      <c r="U21" t="s">
        <v>413</v>
      </c>
    </row>
    <row r="22" spans="1:21" x14ac:dyDescent="0.2">
      <c r="A22">
        <v>38</v>
      </c>
      <c r="B22">
        <v>1</v>
      </c>
      <c r="C22" t="s">
        <v>3</v>
      </c>
      <c r="D22" t="s">
        <v>414</v>
      </c>
      <c r="E22" t="s">
        <v>415</v>
      </c>
      <c r="F22" t="s">
        <v>415</v>
      </c>
      <c r="G22" t="s">
        <v>415</v>
      </c>
      <c r="H22" t="s">
        <v>3</v>
      </c>
      <c r="I22" t="s">
        <v>415</v>
      </c>
      <c r="J22" t="s">
        <v>415</v>
      </c>
      <c r="K22" t="s">
        <v>3</v>
      </c>
      <c r="L22" t="s">
        <v>3</v>
      </c>
      <c r="M22" t="s">
        <v>3</v>
      </c>
      <c r="N22" t="s">
        <v>414</v>
      </c>
      <c r="O22" t="s">
        <v>415</v>
      </c>
      <c r="P22" t="s">
        <v>3</v>
      </c>
      <c r="Q22" t="s">
        <v>3</v>
      </c>
      <c r="R22" t="s">
        <v>3</v>
      </c>
      <c r="S22" t="s">
        <v>416</v>
      </c>
      <c r="T22" t="s">
        <v>417</v>
      </c>
      <c r="U22" t="s">
        <v>418</v>
      </c>
    </row>
    <row r="23" spans="1:21" x14ac:dyDescent="0.2">
      <c r="A23">
        <v>39</v>
      </c>
      <c r="B23">
        <v>1</v>
      </c>
      <c r="C23" t="s">
        <v>3</v>
      </c>
      <c r="D23" t="s">
        <v>56</v>
      </c>
      <c r="E23" t="s">
        <v>57</v>
      </c>
      <c r="F23" t="s">
        <v>57</v>
      </c>
      <c r="G23" t="s">
        <v>57</v>
      </c>
      <c r="H23" t="s">
        <v>3</v>
      </c>
      <c r="I23" t="s">
        <v>57</v>
      </c>
      <c r="J23" t="s">
        <v>57</v>
      </c>
      <c r="K23" t="s">
        <v>3</v>
      </c>
      <c r="L23" t="s">
        <v>3</v>
      </c>
      <c r="M23" t="s">
        <v>3</v>
      </c>
      <c r="N23" t="s">
        <v>56</v>
      </c>
      <c r="O23" t="s">
        <v>57</v>
      </c>
      <c r="P23" t="s">
        <v>3</v>
      </c>
      <c r="Q23" t="s">
        <v>3</v>
      </c>
      <c r="R23" t="s">
        <v>3</v>
      </c>
      <c r="S23" t="s">
        <v>411</v>
      </c>
      <c r="T23" t="s">
        <v>412</v>
      </c>
      <c r="U23" t="s">
        <v>413</v>
      </c>
    </row>
    <row r="24" spans="1:21" x14ac:dyDescent="0.2">
      <c r="A24">
        <v>39</v>
      </c>
      <c r="B24">
        <v>1</v>
      </c>
      <c r="C24" t="s">
        <v>3</v>
      </c>
      <c r="D24" t="s">
        <v>414</v>
      </c>
      <c r="E24" t="s">
        <v>415</v>
      </c>
      <c r="F24" t="s">
        <v>415</v>
      </c>
      <c r="G24" t="s">
        <v>415</v>
      </c>
      <c r="H24" t="s">
        <v>3</v>
      </c>
      <c r="I24" t="s">
        <v>415</v>
      </c>
      <c r="J24" t="s">
        <v>415</v>
      </c>
      <c r="K24" t="s">
        <v>3</v>
      </c>
      <c r="L24" t="s">
        <v>3</v>
      </c>
      <c r="M24" t="s">
        <v>3</v>
      </c>
      <c r="N24" t="s">
        <v>414</v>
      </c>
      <c r="O24" t="s">
        <v>415</v>
      </c>
      <c r="P24" t="s">
        <v>3</v>
      </c>
      <c r="Q24" t="s">
        <v>3</v>
      </c>
      <c r="R24" t="s">
        <v>3</v>
      </c>
      <c r="S24" t="s">
        <v>416</v>
      </c>
      <c r="T24" t="s">
        <v>417</v>
      </c>
      <c r="U24" t="s">
        <v>418</v>
      </c>
    </row>
    <row r="25" spans="1:21" x14ac:dyDescent="0.2">
      <c r="A25">
        <v>40</v>
      </c>
      <c r="B25">
        <v>1</v>
      </c>
      <c r="C25" t="s">
        <v>3</v>
      </c>
      <c r="D25" t="s">
        <v>56</v>
      </c>
      <c r="E25" t="s">
        <v>57</v>
      </c>
      <c r="F25" t="s">
        <v>57</v>
      </c>
      <c r="G25" t="s">
        <v>57</v>
      </c>
      <c r="H25" t="s">
        <v>3</v>
      </c>
      <c r="I25" t="s">
        <v>57</v>
      </c>
      <c r="J25" t="s">
        <v>57</v>
      </c>
      <c r="K25" t="s">
        <v>3</v>
      </c>
      <c r="L25" t="s">
        <v>3</v>
      </c>
      <c r="M25" t="s">
        <v>3</v>
      </c>
      <c r="N25" t="s">
        <v>56</v>
      </c>
      <c r="O25" t="s">
        <v>57</v>
      </c>
      <c r="P25" t="s">
        <v>3</v>
      </c>
      <c r="Q25" t="s">
        <v>3</v>
      </c>
      <c r="R25" t="s">
        <v>3</v>
      </c>
      <c r="S25" t="s">
        <v>411</v>
      </c>
      <c r="T25" t="s">
        <v>412</v>
      </c>
      <c r="U25" t="s">
        <v>413</v>
      </c>
    </row>
    <row r="26" spans="1:21" x14ac:dyDescent="0.2">
      <c r="A26">
        <v>41</v>
      </c>
      <c r="B26">
        <v>1</v>
      </c>
      <c r="C26" t="s">
        <v>3</v>
      </c>
      <c r="D26" t="s">
        <v>56</v>
      </c>
      <c r="E26" t="s">
        <v>57</v>
      </c>
      <c r="F26" t="s">
        <v>57</v>
      </c>
      <c r="G26" t="s">
        <v>57</v>
      </c>
      <c r="H26" t="s">
        <v>3</v>
      </c>
      <c r="I26" t="s">
        <v>57</v>
      </c>
      <c r="J26" t="s">
        <v>57</v>
      </c>
      <c r="K26" t="s">
        <v>3</v>
      </c>
      <c r="L26" t="s">
        <v>3</v>
      </c>
      <c r="M26" t="s">
        <v>3</v>
      </c>
      <c r="N26" t="s">
        <v>56</v>
      </c>
      <c r="O26" t="s">
        <v>57</v>
      </c>
      <c r="P26" t="s">
        <v>3</v>
      </c>
      <c r="Q26" t="s">
        <v>3</v>
      </c>
      <c r="R26" t="s">
        <v>3</v>
      </c>
      <c r="S26" t="s">
        <v>411</v>
      </c>
      <c r="T26" t="s">
        <v>412</v>
      </c>
      <c r="U26" t="s">
        <v>413</v>
      </c>
    </row>
    <row r="27" spans="1:21" x14ac:dyDescent="0.2">
      <c r="A27">
        <v>42</v>
      </c>
      <c r="B27">
        <v>1</v>
      </c>
      <c r="C27" t="s">
        <v>3</v>
      </c>
      <c r="D27" t="s">
        <v>56</v>
      </c>
      <c r="E27" t="s">
        <v>57</v>
      </c>
      <c r="F27" t="s">
        <v>57</v>
      </c>
      <c r="G27" t="s">
        <v>57</v>
      </c>
      <c r="H27" t="s">
        <v>3</v>
      </c>
      <c r="I27" t="s">
        <v>57</v>
      </c>
      <c r="J27" t="s">
        <v>57</v>
      </c>
      <c r="K27" t="s">
        <v>3</v>
      </c>
      <c r="L27" t="s">
        <v>3</v>
      </c>
      <c r="M27" t="s">
        <v>3</v>
      </c>
      <c r="N27" t="s">
        <v>56</v>
      </c>
      <c r="O27" t="s">
        <v>57</v>
      </c>
      <c r="P27" t="s">
        <v>3</v>
      </c>
      <c r="Q27" t="s">
        <v>3</v>
      </c>
      <c r="R27" t="s">
        <v>3</v>
      </c>
      <c r="S27" t="s">
        <v>411</v>
      </c>
      <c r="T27" t="s">
        <v>412</v>
      </c>
      <c r="U27" t="s">
        <v>413</v>
      </c>
    </row>
    <row r="28" spans="1:21" x14ac:dyDescent="0.2">
      <c r="A28">
        <v>43</v>
      </c>
      <c r="B28">
        <v>1</v>
      </c>
      <c r="C28" t="s">
        <v>3</v>
      </c>
      <c r="D28" t="s">
        <v>56</v>
      </c>
      <c r="E28" t="s">
        <v>57</v>
      </c>
      <c r="F28" t="s">
        <v>57</v>
      </c>
      <c r="G28" t="s">
        <v>57</v>
      </c>
      <c r="H28" t="s">
        <v>3</v>
      </c>
      <c r="I28" t="s">
        <v>57</v>
      </c>
      <c r="J28" t="s">
        <v>57</v>
      </c>
      <c r="K28" t="s">
        <v>3</v>
      </c>
      <c r="L28" t="s">
        <v>3</v>
      </c>
      <c r="M28" t="s">
        <v>3</v>
      </c>
      <c r="N28" t="s">
        <v>56</v>
      </c>
      <c r="O28" t="s">
        <v>57</v>
      </c>
      <c r="P28" t="s">
        <v>3</v>
      </c>
      <c r="Q28" t="s">
        <v>3</v>
      </c>
      <c r="R28" t="s">
        <v>3</v>
      </c>
      <c r="S28" t="s">
        <v>411</v>
      </c>
      <c r="T28" t="s">
        <v>412</v>
      </c>
      <c r="U28" t="s">
        <v>413</v>
      </c>
    </row>
    <row r="29" spans="1:21" x14ac:dyDescent="0.2">
      <c r="A29">
        <v>44</v>
      </c>
      <c r="B29">
        <v>1</v>
      </c>
      <c r="C29" t="s">
        <v>3</v>
      </c>
      <c r="D29" t="s">
        <v>56</v>
      </c>
      <c r="E29" t="s">
        <v>57</v>
      </c>
      <c r="F29" t="s">
        <v>57</v>
      </c>
      <c r="G29" t="s">
        <v>57</v>
      </c>
      <c r="H29" t="s">
        <v>3</v>
      </c>
      <c r="I29" t="s">
        <v>57</v>
      </c>
      <c r="J29" t="s">
        <v>57</v>
      </c>
      <c r="K29" t="s">
        <v>3</v>
      </c>
      <c r="L29" t="s">
        <v>3</v>
      </c>
      <c r="M29" t="s">
        <v>3</v>
      </c>
      <c r="N29" t="s">
        <v>56</v>
      </c>
      <c r="O29" t="s">
        <v>57</v>
      </c>
      <c r="P29" t="s">
        <v>3</v>
      </c>
      <c r="Q29" t="s">
        <v>3</v>
      </c>
      <c r="R29" t="s">
        <v>3</v>
      </c>
      <c r="S29" t="s">
        <v>411</v>
      </c>
      <c r="T29" t="s">
        <v>412</v>
      </c>
      <c r="U29" t="s">
        <v>413</v>
      </c>
    </row>
    <row r="30" spans="1:21" x14ac:dyDescent="0.2">
      <c r="A30">
        <v>45</v>
      </c>
      <c r="B30">
        <v>1</v>
      </c>
      <c r="C30" t="s">
        <v>3</v>
      </c>
      <c r="D30" t="s">
        <v>56</v>
      </c>
      <c r="E30" t="s">
        <v>57</v>
      </c>
      <c r="F30" t="s">
        <v>57</v>
      </c>
      <c r="G30" t="s">
        <v>57</v>
      </c>
      <c r="H30" t="s">
        <v>3</v>
      </c>
      <c r="I30" t="s">
        <v>57</v>
      </c>
      <c r="J30" t="s">
        <v>57</v>
      </c>
      <c r="K30" t="s">
        <v>3</v>
      </c>
      <c r="L30" t="s">
        <v>3</v>
      </c>
      <c r="M30" t="s">
        <v>3</v>
      </c>
      <c r="N30" t="s">
        <v>56</v>
      </c>
      <c r="O30" t="s">
        <v>57</v>
      </c>
      <c r="P30" t="s">
        <v>3</v>
      </c>
      <c r="Q30" t="s">
        <v>3</v>
      </c>
      <c r="R30" t="s">
        <v>3</v>
      </c>
      <c r="S30" t="s">
        <v>411</v>
      </c>
      <c r="T30" t="s">
        <v>412</v>
      </c>
      <c r="U30" t="s">
        <v>413</v>
      </c>
    </row>
    <row r="31" spans="1:21" x14ac:dyDescent="0.2">
      <c r="A31">
        <v>46</v>
      </c>
      <c r="B31">
        <v>1</v>
      </c>
      <c r="C31" t="s">
        <v>3</v>
      </c>
      <c r="D31" t="s">
        <v>56</v>
      </c>
      <c r="E31" t="s">
        <v>57</v>
      </c>
      <c r="F31" t="s">
        <v>57</v>
      </c>
      <c r="G31" t="s">
        <v>57</v>
      </c>
      <c r="H31" t="s">
        <v>3</v>
      </c>
      <c r="I31" t="s">
        <v>57</v>
      </c>
      <c r="J31" t="s">
        <v>57</v>
      </c>
      <c r="K31" t="s">
        <v>3</v>
      </c>
      <c r="L31" t="s">
        <v>3</v>
      </c>
      <c r="M31" t="s">
        <v>3</v>
      </c>
      <c r="N31" t="s">
        <v>56</v>
      </c>
      <c r="O31" t="s">
        <v>57</v>
      </c>
      <c r="P31" t="s">
        <v>3</v>
      </c>
      <c r="Q31" t="s">
        <v>3</v>
      </c>
      <c r="R31" t="s">
        <v>3</v>
      </c>
      <c r="S31" t="s">
        <v>411</v>
      </c>
      <c r="T31" t="s">
        <v>412</v>
      </c>
      <c r="U31" t="s">
        <v>413</v>
      </c>
    </row>
    <row r="32" spans="1:21" x14ac:dyDescent="0.2">
      <c r="A32">
        <v>46</v>
      </c>
      <c r="B32">
        <v>1</v>
      </c>
      <c r="C32" t="s">
        <v>3</v>
      </c>
      <c r="D32" t="s">
        <v>414</v>
      </c>
      <c r="E32" t="s">
        <v>415</v>
      </c>
      <c r="F32" t="s">
        <v>415</v>
      </c>
      <c r="G32" t="s">
        <v>415</v>
      </c>
      <c r="H32" t="s">
        <v>3</v>
      </c>
      <c r="I32" t="s">
        <v>415</v>
      </c>
      <c r="J32" t="s">
        <v>415</v>
      </c>
      <c r="K32" t="s">
        <v>3</v>
      </c>
      <c r="L32" t="s">
        <v>3</v>
      </c>
      <c r="M32" t="s">
        <v>3</v>
      </c>
      <c r="N32" t="s">
        <v>414</v>
      </c>
      <c r="O32" t="s">
        <v>415</v>
      </c>
      <c r="P32" t="s">
        <v>3</v>
      </c>
      <c r="Q32" t="s">
        <v>3</v>
      </c>
      <c r="R32" t="s">
        <v>3</v>
      </c>
      <c r="S32" t="s">
        <v>416</v>
      </c>
      <c r="T32" t="s">
        <v>417</v>
      </c>
      <c r="U32" t="s">
        <v>418</v>
      </c>
    </row>
    <row r="33" spans="1:21" x14ac:dyDescent="0.2">
      <c r="A33">
        <v>47</v>
      </c>
      <c r="B33">
        <v>1</v>
      </c>
      <c r="C33" t="s">
        <v>3</v>
      </c>
      <c r="D33" t="s">
        <v>56</v>
      </c>
      <c r="E33" t="s">
        <v>57</v>
      </c>
      <c r="F33" t="s">
        <v>57</v>
      </c>
      <c r="G33" t="s">
        <v>57</v>
      </c>
      <c r="H33" t="s">
        <v>3</v>
      </c>
      <c r="I33" t="s">
        <v>57</v>
      </c>
      <c r="J33" t="s">
        <v>57</v>
      </c>
      <c r="K33" t="s">
        <v>3</v>
      </c>
      <c r="L33" t="s">
        <v>3</v>
      </c>
      <c r="M33" t="s">
        <v>3</v>
      </c>
      <c r="N33" t="s">
        <v>56</v>
      </c>
      <c r="O33" t="s">
        <v>57</v>
      </c>
      <c r="P33" t="s">
        <v>3</v>
      </c>
      <c r="Q33" t="s">
        <v>3</v>
      </c>
      <c r="R33" t="s">
        <v>3</v>
      </c>
      <c r="S33" t="s">
        <v>411</v>
      </c>
      <c r="T33" t="s">
        <v>412</v>
      </c>
      <c r="U33" t="s">
        <v>413</v>
      </c>
    </row>
    <row r="34" spans="1:21" x14ac:dyDescent="0.2">
      <c r="A34">
        <v>47</v>
      </c>
      <c r="B34">
        <v>1</v>
      </c>
      <c r="C34" t="s">
        <v>3</v>
      </c>
      <c r="D34" t="s">
        <v>414</v>
      </c>
      <c r="E34" t="s">
        <v>415</v>
      </c>
      <c r="F34" t="s">
        <v>415</v>
      </c>
      <c r="G34" t="s">
        <v>415</v>
      </c>
      <c r="H34" t="s">
        <v>3</v>
      </c>
      <c r="I34" t="s">
        <v>415</v>
      </c>
      <c r="J34" t="s">
        <v>415</v>
      </c>
      <c r="K34" t="s">
        <v>3</v>
      </c>
      <c r="L34" t="s">
        <v>3</v>
      </c>
      <c r="M34" t="s">
        <v>3</v>
      </c>
      <c r="N34" t="s">
        <v>414</v>
      </c>
      <c r="O34" t="s">
        <v>415</v>
      </c>
      <c r="P34" t="s">
        <v>3</v>
      </c>
      <c r="Q34" t="s">
        <v>3</v>
      </c>
      <c r="R34" t="s">
        <v>3</v>
      </c>
      <c r="S34" t="s">
        <v>416</v>
      </c>
      <c r="T34" t="s">
        <v>417</v>
      </c>
      <c r="U34" t="s">
        <v>418</v>
      </c>
    </row>
    <row r="35" spans="1:21" x14ac:dyDescent="0.2">
      <c r="A35">
        <v>83</v>
      </c>
      <c r="B35">
        <v>1</v>
      </c>
      <c r="C35" t="s">
        <v>3</v>
      </c>
      <c r="D35" t="s">
        <v>56</v>
      </c>
      <c r="E35" t="s">
        <v>57</v>
      </c>
      <c r="F35" t="s">
        <v>57</v>
      </c>
      <c r="G35" t="s">
        <v>57</v>
      </c>
      <c r="H35" t="s">
        <v>3</v>
      </c>
      <c r="I35" t="s">
        <v>57</v>
      </c>
      <c r="J35" t="s">
        <v>57</v>
      </c>
      <c r="K35" t="s">
        <v>3</v>
      </c>
      <c r="L35" t="s">
        <v>3</v>
      </c>
      <c r="M35" t="s">
        <v>3</v>
      </c>
      <c r="N35" t="s">
        <v>56</v>
      </c>
      <c r="O35" t="s">
        <v>57</v>
      </c>
      <c r="P35" t="s">
        <v>3</v>
      </c>
      <c r="Q35" t="s">
        <v>3</v>
      </c>
      <c r="R35" t="s">
        <v>3</v>
      </c>
      <c r="S35" t="s">
        <v>411</v>
      </c>
      <c r="T35" t="s">
        <v>412</v>
      </c>
      <c r="U35" t="s">
        <v>413</v>
      </c>
    </row>
    <row r="36" spans="1:21" x14ac:dyDescent="0.2">
      <c r="A36">
        <v>84</v>
      </c>
      <c r="B36">
        <v>1</v>
      </c>
      <c r="C36" t="s">
        <v>3</v>
      </c>
      <c r="D36" t="s">
        <v>56</v>
      </c>
      <c r="E36" t="s">
        <v>57</v>
      </c>
      <c r="F36" t="s">
        <v>57</v>
      </c>
      <c r="G36" t="s">
        <v>57</v>
      </c>
      <c r="H36" t="s">
        <v>3</v>
      </c>
      <c r="I36" t="s">
        <v>57</v>
      </c>
      <c r="J36" t="s">
        <v>57</v>
      </c>
      <c r="K36" t="s">
        <v>3</v>
      </c>
      <c r="L36" t="s">
        <v>3</v>
      </c>
      <c r="M36" t="s">
        <v>3</v>
      </c>
      <c r="N36" t="s">
        <v>56</v>
      </c>
      <c r="O36" t="s">
        <v>57</v>
      </c>
      <c r="P36" t="s">
        <v>3</v>
      </c>
      <c r="Q36" t="s">
        <v>3</v>
      </c>
      <c r="R36" t="s">
        <v>3</v>
      </c>
      <c r="S36" t="s">
        <v>411</v>
      </c>
      <c r="T36" t="s">
        <v>412</v>
      </c>
      <c r="U36" t="s">
        <v>413</v>
      </c>
    </row>
    <row r="37" spans="1:21" x14ac:dyDescent="0.2">
      <c r="A37">
        <v>87</v>
      </c>
      <c r="B37">
        <v>1</v>
      </c>
      <c r="C37" t="s">
        <v>3</v>
      </c>
      <c r="D37" t="s">
        <v>56</v>
      </c>
      <c r="E37" t="s">
        <v>57</v>
      </c>
      <c r="F37" t="s">
        <v>57</v>
      </c>
      <c r="G37" t="s">
        <v>57</v>
      </c>
      <c r="H37" t="s">
        <v>3</v>
      </c>
      <c r="I37" t="s">
        <v>57</v>
      </c>
      <c r="J37" t="s">
        <v>57</v>
      </c>
      <c r="K37" t="s">
        <v>3</v>
      </c>
      <c r="L37" t="s">
        <v>3</v>
      </c>
      <c r="M37" t="s">
        <v>3</v>
      </c>
      <c r="N37" t="s">
        <v>56</v>
      </c>
      <c r="O37" t="s">
        <v>57</v>
      </c>
      <c r="P37" t="s">
        <v>3</v>
      </c>
      <c r="Q37" t="s">
        <v>3</v>
      </c>
      <c r="R37" t="s">
        <v>3</v>
      </c>
      <c r="S37" t="s">
        <v>411</v>
      </c>
      <c r="T37" t="s">
        <v>412</v>
      </c>
      <c r="U37" t="s">
        <v>413</v>
      </c>
    </row>
    <row r="38" spans="1:21" x14ac:dyDescent="0.2">
      <c r="A38">
        <v>88</v>
      </c>
      <c r="B38">
        <v>1</v>
      </c>
      <c r="C38" t="s">
        <v>3</v>
      </c>
      <c r="D38" t="s">
        <v>56</v>
      </c>
      <c r="E38" t="s">
        <v>57</v>
      </c>
      <c r="F38" t="s">
        <v>57</v>
      </c>
      <c r="G38" t="s">
        <v>57</v>
      </c>
      <c r="H38" t="s">
        <v>3</v>
      </c>
      <c r="I38" t="s">
        <v>57</v>
      </c>
      <c r="J38" t="s">
        <v>57</v>
      </c>
      <c r="K38" t="s">
        <v>3</v>
      </c>
      <c r="L38" t="s">
        <v>3</v>
      </c>
      <c r="M38" t="s">
        <v>3</v>
      </c>
      <c r="N38" t="s">
        <v>56</v>
      </c>
      <c r="O38" t="s">
        <v>57</v>
      </c>
      <c r="P38" t="s">
        <v>3</v>
      </c>
      <c r="Q38" t="s">
        <v>3</v>
      </c>
      <c r="R38" t="s">
        <v>3</v>
      </c>
      <c r="S38" t="s">
        <v>411</v>
      </c>
      <c r="T38" t="s">
        <v>412</v>
      </c>
      <c r="U38" t="s">
        <v>413</v>
      </c>
    </row>
    <row r="39" spans="1:21" x14ac:dyDescent="0.2">
      <c r="A39">
        <v>91</v>
      </c>
      <c r="B39">
        <v>1</v>
      </c>
      <c r="C39" t="s">
        <v>3</v>
      </c>
      <c r="D39" t="s">
        <v>56</v>
      </c>
      <c r="E39" t="s">
        <v>57</v>
      </c>
      <c r="F39" t="s">
        <v>57</v>
      </c>
      <c r="G39" t="s">
        <v>57</v>
      </c>
      <c r="H39" t="s">
        <v>3</v>
      </c>
      <c r="I39" t="s">
        <v>57</v>
      </c>
      <c r="J39" t="s">
        <v>57</v>
      </c>
      <c r="K39" t="s">
        <v>3</v>
      </c>
      <c r="L39" t="s">
        <v>3</v>
      </c>
      <c r="M39" t="s">
        <v>3</v>
      </c>
      <c r="N39" t="s">
        <v>56</v>
      </c>
      <c r="O39" t="s">
        <v>57</v>
      </c>
      <c r="P39" t="s">
        <v>3</v>
      </c>
      <c r="Q39" t="s">
        <v>3</v>
      </c>
      <c r="R39" t="s">
        <v>3</v>
      </c>
      <c r="S39" t="s">
        <v>411</v>
      </c>
      <c r="T39" t="s">
        <v>412</v>
      </c>
      <c r="U39" t="s">
        <v>413</v>
      </c>
    </row>
    <row r="40" spans="1:21" x14ac:dyDescent="0.2">
      <c r="A40">
        <v>92</v>
      </c>
      <c r="B40">
        <v>1</v>
      </c>
      <c r="C40" t="s">
        <v>3</v>
      </c>
      <c r="D40" t="s">
        <v>56</v>
      </c>
      <c r="E40" t="s">
        <v>57</v>
      </c>
      <c r="F40" t="s">
        <v>57</v>
      </c>
      <c r="G40" t="s">
        <v>57</v>
      </c>
      <c r="H40" t="s">
        <v>3</v>
      </c>
      <c r="I40" t="s">
        <v>57</v>
      </c>
      <c r="J40" t="s">
        <v>57</v>
      </c>
      <c r="K40" t="s">
        <v>3</v>
      </c>
      <c r="L40" t="s">
        <v>3</v>
      </c>
      <c r="M40" t="s">
        <v>3</v>
      </c>
      <c r="N40" t="s">
        <v>56</v>
      </c>
      <c r="O40" t="s">
        <v>57</v>
      </c>
      <c r="P40" t="s">
        <v>3</v>
      </c>
      <c r="Q40" t="s">
        <v>3</v>
      </c>
      <c r="R40" t="s">
        <v>3</v>
      </c>
      <c r="S40" t="s">
        <v>411</v>
      </c>
      <c r="T40" t="s">
        <v>412</v>
      </c>
      <c r="U40" t="s">
        <v>413</v>
      </c>
    </row>
    <row r="41" spans="1:21" x14ac:dyDescent="0.2">
      <c r="A41">
        <v>97</v>
      </c>
      <c r="B41">
        <v>1</v>
      </c>
      <c r="C41" t="s">
        <v>3</v>
      </c>
      <c r="D41" t="s">
        <v>56</v>
      </c>
      <c r="E41" t="s">
        <v>57</v>
      </c>
      <c r="F41" t="s">
        <v>57</v>
      </c>
      <c r="G41" t="s">
        <v>57</v>
      </c>
      <c r="H41" t="s">
        <v>3</v>
      </c>
      <c r="I41" t="s">
        <v>57</v>
      </c>
      <c r="J41" t="s">
        <v>57</v>
      </c>
      <c r="K41" t="s">
        <v>3</v>
      </c>
      <c r="L41" t="s">
        <v>3</v>
      </c>
      <c r="M41" t="s">
        <v>3</v>
      </c>
      <c r="N41" t="s">
        <v>56</v>
      </c>
      <c r="O41" t="s">
        <v>57</v>
      </c>
      <c r="P41" t="s">
        <v>3</v>
      </c>
      <c r="Q41" t="s">
        <v>3</v>
      </c>
      <c r="R41" t="s">
        <v>3</v>
      </c>
      <c r="S41" t="s">
        <v>411</v>
      </c>
      <c r="T41" t="s">
        <v>412</v>
      </c>
      <c r="U41" t="s">
        <v>413</v>
      </c>
    </row>
    <row r="42" spans="1:21" x14ac:dyDescent="0.2">
      <c r="A42">
        <v>98</v>
      </c>
      <c r="B42">
        <v>1</v>
      </c>
      <c r="C42" t="s">
        <v>3</v>
      </c>
      <c r="D42" t="s">
        <v>56</v>
      </c>
      <c r="E42" t="s">
        <v>57</v>
      </c>
      <c r="F42" t="s">
        <v>57</v>
      </c>
      <c r="G42" t="s">
        <v>57</v>
      </c>
      <c r="H42" t="s">
        <v>3</v>
      </c>
      <c r="I42" t="s">
        <v>57</v>
      </c>
      <c r="J42" t="s">
        <v>57</v>
      </c>
      <c r="K42" t="s">
        <v>3</v>
      </c>
      <c r="L42" t="s">
        <v>3</v>
      </c>
      <c r="M42" t="s">
        <v>3</v>
      </c>
      <c r="N42" t="s">
        <v>56</v>
      </c>
      <c r="O42" t="s">
        <v>57</v>
      </c>
      <c r="P42" t="s">
        <v>3</v>
      </c>
      <c r="Q42" t="s">
        <v>3</v>
      </c>
      <c r="R42" t="s">
        <v>3</v>
      </c>
      <c r="S42" t="s">
        <v>411</v>
      </c>
      <c r="T42" t="s">
        <v>412</v>
      </c>
      <c r="U42" t="s">
        <v>413</v>
      </c>
    </row>
    <row r="43" spans="1:21" x14ac:dyDescent="0.2">
      <c r="A43">
        <v>101</v>
      </c>
      <c r="B43">
        <v>1</v>
      </c>
      <c r="C43" t="s">
        <v>3</v>
      </c>
      <c r="D43" t="s">
        <v>56</v>
      </c>
      <c r="E43" t="s">
        <v>57</v>
      </c>
      <c r="F43" t="s">
        <v>57</v>
      </c>
      <c r="G43" t="s">
        <v>57</v>
      </c>
      <c r="H43" t="s">
        <v>3</v>
      </c>
      <c r="I43" t="s">
        <v>57</v>
      </c>
      <c r="J43" t="s">
        <v>57</v>
      </c>
      <c r="K43" t="s">
        <v>3</v>
      </c>
      <c r="L43" t="s">
        <v>3</v>
      </c>
      <c r="M43" t="s">
        <v>3</v>
      </c>
      <c r="N43" t="s">
        <v>56</v>
      </c>
      <c r="O43" t="s">
        <v>57</v>
      </c>
      <c r="P43" t="s">
        <v>3</v>
      </c>
      <c r="Q43" t="s">
        <v>3</v>
      </c>
      <c r="R43" t="s">
        <v>3</v>
      </c>
      <c r="S43" t="s">
        <v>411</v>
      </c>
      <c r="T43" t="s">
        <v>412</v>
      </c>
      <c r="U43" t="s">
        <v>413</v>
      </c>
    </row>
    <row r="44" spans="1:21" x14ac:dyDescent="0.2">
      <c r="A44">
        <v>102</v>
      </c>
      <c r="B44">
        <v>1</v>
      </c>
      <c r="C44" t="s">
        <v>3</v>
      </c>
      <c r="D44" t="s">
        <v>56</v>
      </c>
      <c r="E44" t="s">
        <v>57</v>
      </c>
      <c r="F44" t="s">
        <v>57</v>
      </c>
      <c r="G44" t="s">
        <v>57</v>
      </c>
      <c r="H44" t="s">
        <v>3</v>
      </c>
      <c r="I44" t="s">
        <v>57</v>
      </c>
      <c r="J44" t="s">
        <v>57</v>
      </c>
      <c r="K44" t="s">
        <v>3</v>
      </c>
      <c r="L44" t="s">
        <v>3</v>
      </c>
      <c r="M44" t="s">
        <v>3</v>
      </c>
      <c r="N44" t="s">
        <v>56</v>
      </c>
      <c r="O44" t="s">
        <v>57</v>
      </c>
      <c r="P44" t="s">
        <v>3</v>
      </c>
      <c r="Q44" t="s">
        <v>3</v>
      </c>
      <c r="R44" t="s">
        <v>3</v>
      </c>
      <c r="S44" t="s">
        <v>411</v>
      </c>
      <c r="T44" t="s">
        <v>412</v>
      </c>
      <c r="U44" t="s">
        <v>413</v>
      </c>
    </row>
    <row r="45" spans="1:21" x14ac:dyDescent="0.2">
      <c r="A45">
        <v>105</v>
      </c>
      <c r="B45">
        <v>1</v>
      </c>
      <c r="C45" t="s">
        <v>3</v>
      </c>
      <c r="D45" t="s">
        <v>56</v>
      </c>
      <c r="E45" t="s">
        <v>57</v>
      </c>
      <c r="F45" t="s">
        <v>57</v>
      </c>
      <c r="G45" t="s">
        <v>57</v>
      </c>
      <c r="H45" t="s">
        <v>3</v>
      </c>
      <c r="I45" t="s">
        <v>57</v>
      </c>
      <c r="J45" t="s">
        <v>57</v>
      </c>
      <c r="K45" t="s">
        <v>3</v>
      </c>
      <c r="L45" t="s">
        <v>3</v>
      </c>
      <c r="M45" t="s">
        <v>3</v>
      </c>
      <c r="N45" t="s">
        <v>56</v>
      </c>
      <c r="O45" t="s">
        <v>57</v>
      </c>
      <c r="P45" t="s">
        <v>3</v>
      </c>
      <c r="Q45" t="s">
        <v>3</v>
      </c>
      <c r="R45" t="s">
        <v>3</v>
      </c>
      <c r="S45" t="s">
        <v>411</v>
      </c>
      <c r="T45" t="s">
        <v>412</v>
      </c>
      <c r="U45" t="s">
        <v>413</v>
      </c>
    </row>
    <row r="46" spans="1:21" x14ac:dyDescent="0.2">
      <c r="A46">
        <v>106</v>
      </c>
      <c r="B46">
        <v>1</v>
      </c>
      <c r="C46" t="s">
        <v>3</v>
      </c>
      <c r="D46" t="s">
        <v>56</v>
      </c>
      <c r="E46" t="s">
        <v>57</v>
      </c>
      <c r="F46" t="s">
        <v>57</v>
      </c>
      <c r="G46" t="s">
        <v>57</v>
      </c>
      <c r="H46" t="s">
        <v>3</v>
      </c>
      <c r="I46" t="s">
        <v>57</v>
      </c>
      <c r="J46" t="s">
        <v>57</v>
      </c>
      <c r="K46" t="s">
        <v>3</v>
      </c>
      <c r="L46" t="s">
        <v>3</v>
      </c>
      <c r="M46" t="s">
        <v>3</v>
      </c>
      <c r="N46" t="s">
        <v>56</v>
      </c>
      <c r="O46" t="s">
        <v>57</v>
      </c>
      <c r="P46" t="s">
        <v>3</v>
      </c>
      <c r="Q46" t="s">
        <v>3</v>
      </c>
      <c r="R46" t="s">
        <v>3</v>
      </c>
      <c r="S46" t="s">
        <v>411</v>
      </c>
      <c r="T46" t="s">
        <v>412</v>
      </c>
      <c r="U46" t="s">
        <v>413</v>
      </c>
    </row>
    <row r="47" spans="1:21" x14ac:dyDescent="0.2">
      <c r="A47">
        <v>144</v>
      </c>
      <c r="B47">
        <v>1</v>
      </c>
      <c r="C47" t="s">
        <v>3</v>
      </c>
      <c r="D47" t="s">
        <v>56</v>
      </c>
      <c r="E47" t="s">
        <v>57</v>
      </c>
      <c r="F47" t="s">
        <v>57</v>
      </c>
      <c r="G47" t="s">
        <v>57</v>
      </c>
      <c r="H47" t="s">
        <v>3</v>
      </c>
      <c r="I47" t="s">
        <v>57</v>
      </c>
      <c r="J47" t="s">
        <v>57</v>
      </c>
      <c r="K47" t="s">
        <v>3</v>
      </c>
      <c r="L47" t="s">
        <v>3</v>
      </c>
      <c r="M47" t="s">
        <v>3</v>
      </c>
      <c r="N47" t="s">
        <v>56</v>
      </c>
      <c r="O47" t="s">
        <v>57</v>
      </c>
      <c r="P47" t="s">
        <v>3</v>
      </c>
      <c r="Q47" t="s">
        <v>3</v>
      </c>
      <c r="R47" t="s">
        <v>3</v>
      </c>
      <c r="S47" t="s">
        <v>411</v>
      </c>
      <c r="T47" t="s">
        <v>412</v>
      </c>
      <c r="U47" t="s">
        <v>413</v>
      </c>
    </row>
    <row r="48" spans="1:21" x14ac:dyDescent="0.2">
      <c r="A48">
        <v>145</v>
      </c>
      <c r="B48">
        <v>1</v>
      </c>
      <c r="C48" t="s">
        <v>3</v>
      </c>
      <c r="D48" t="s">
        <v>56</v>
      </c>
      <c r="E48" t="s">
        <v>57</v>
      </c>
      <c r="F48" t="s">
        <v>57</v>
      </c>
      <c r="G48" t="s">
        <v>57</v>
      </c>
      <c r="H48" t="s">
        <v>3</v>
      </c>
      <c r="I48" t="s">
        <v>57</v>
      </c>
      <c r="J48" t="s">
        <v>57</v>
      </c>
      <c r="K48" t="s">
        <v>3</v>
      </c>
      <c r="L48" t="s">
        <v>3</v>
      </c>
      <c r="M48" t="s">
        <v>3</v>
      </c>
      <c r="N48" t="s">
        <v>56</v>
      </c>
      <c r="O48" t="s">
        <v>57</v>
      </c>
      <c r="P48" t="s">
        <v>3</v>
      </c>
      <c r="Q48" t="s">
        <v>3</v>
      </c>
      <c r="R48" t="s">
        <v>3</v>
      </c>
      <c r="S48" t="s">
        <v>411</v>
      </c>
      <c r="T48" t="s">
        <v>412</v>
      </c>
      <c r="U48" t="s">
        <v>413</v>
      </c>
    </row>
    <row r="49" spans="1:21" x14ac:dyDescent="0.2">
      <c r="A49">
        <v>148</v>
      </c>
      <c r="B49">
        <v>1</v>
      </c>
      <c r="C49" t="s">
        <v>3</v>
      </c>
      <c r="D49" t="s">
        <v>56</v>
      </c>
      <c r="E49" t="s">
        <v>57</v>
      </c>
      <c r="F49" t="s">
        <v>57</v>
      </c>
      <c r="G49" t="s">
        <v>57</v>
      </c>
      <c r="H49" t="s">
        <v>3</v>
      </c>
      <c r="I49" t="s">
        <v>57</v>
      </c>
      <c r="J49" t="s">
        <v>57</v>
      </c>
      <c r="K49" t="s">
        <v>3</v>
      </c>
      <c r="L49" t="s">
        <v>3</v>
      </c>
      <c r="M49" t="s">
        <v>3</v>
      </c>
      <c r="N49" t="s">
        <v>56</v>
      </c>
      <c r="O49" t="s">
        <v>57</v>
      </c>
      <c r="P49" t="s">
        <v>3</v>
      </c>
      <c r="Q49" t="s">
        <v>3</v>
      </c>
      <c r="R49" t="s">
        <v>3</v>
      </c>
      <c r="S49" t="s">
        <v>411</v>
      </c>
      <c r="T49" t="s">
        <v>412</v>
      </c>
      <c r="U49" t="s">
        <v>413</v>
      </c>
    </row>
    <row r="50" spans="1:21" x14ac:dyDescent="0.2">
      <c r="A50">
        <v>149</v>
      </c>
      <c r="B50">
        <v>1</v>
      </c>
      <c r="C50" t="s">
        <v>3</v>
      </c>
      <c r="D50" t="s">
        <v>56</v>
      </c>
      <c r="E50" t="s">
        <v>57</v>
      </c>
      <c r="F50" t="s">
        <v>57</v>
      </c>
      <c r="G50" t="s">
        <v>57</v>
      </c>
      <c r="H50" t="s">
        <v>3</v>
      </c>
      <c r="I50" t="s">
        <v>57</v>
      </c>
      <c r="J50" t="s">
        <v>57</v>
      </c>
      <c r="K50" t="s">
        <v>3</v>
      </c>
      <c r="L50" t="s">
        <v>3</v>
      </c>
      <c r="M50" t="s">
        <v>3</v>
      </c>
      <c r="N50" t="s">
        <v>56</v>
      </c>
      <c r="O50" t="s">
        <v>57</v>
      </c>
      <c r="P50" t="s">
        <v>3</v>
      </c>
      <c r="Q50" t="s">
        <v>3</v>
      </c>
      <c r="R50" t="s">
        <v>3</v>
      </c>
      <c r="S50" t="s">
        <v>411</v>
      </c>
      <c r="T50" t="s">
        <v>412</v>
      </c>
      <c r="U50" t="s">
        <v>413</v>
      </c>
    </row>
    <row r="51" spans="1:21" x14ac:dyDescent="0.2">
      <c r="A51">
        <v>189</v>
      </c>
      <c r="B51">
        <v>1</v>
      </c>
      <c r="C51" t="s">
        <v>3</v>
      </c>
      <c r="D51" t="s">
        <v>56</v>
      </c>
      <c r="E51" t="s">
        <v>57</v>
      </c>
      <c r="F51" t="s">
        <v>57</v>
      </c>
      <c r="G51" t="s">
        <v>57</v>
      </c>
      <c r="H51" t="s">
        <v>3</v>
      </c>
      <c r="I51" t="s">
        <v>57</v>
      </c>
      <c r="J51" t="s">
        <v>57</v>
      </c>
      <c r="K51" t="s">
        <v>3</v>
      </c>
      <c r="L51" t="s">
        <v>3</v>
      </c>
      <c r="M51" t="s">
        <v>3</v>
      </c>
      <c r="N51" t="s">
        <v>56</v>
      </c>
      <c r="O51" t="s">
        <v>57</v>
      </c>
      <c r="P51" t="s">
        <v>3</v>
      </c>
      <c r="Q51" t="s">
        <v>3</v>
      </c>
      <c r="R51" t="s">
        <v>3</v>
      </c>
      <c r="S51" t="s">
        <v>411</v>
      </c>
      <c r="T51" t="s">
        <v>412</v>
      </c>
      <c r="U51" t="s">
        <v>413</v>
      </c>
    </row>
    <row r="52" spans="1:21" x14ac:dyDescent="0.2">
      <c r="A52">
        <v>190</v>
      </c>
      <c r="B52">
        <v>1</v>
      </c>
      <c r="C52" t="s">
        <v>3</v>
      </c>
      <c r="D52" t="s">
        <v>56</v>
      </c>
      <c r="E52" t="s">
        <v>57</v>
      </c>
      <c r="F52" t="s">
        <v>57</v>
      </c>
      <c r="G52" t="s">
        <v>57</v>
      </c>
      <c r="H52" t="s">
        <v>3</v>
      </c>
      <c r="I52" t="s">
        <v>57</v>
      </c>
      <c r="J52" t="s">
        <v>57</v>
      </c>
      <c r="K52" t="s">
        <v>3</v>
      </c>
      <c r="L52" t="s">
        <v>3</v>
      </c>
      <c r="M52" t="s">
        <v>3</v>
      </c>
      <c r="N52" t="s">
        <v>56</v>
      </c>
      <c r="O52" t="s">
        <v>57</v>
      </c>
      <c r="P52" t="s">
        <v>3</v>
      </c>
      <c r="Q52" t="s">
        <v>3</v>
      </c>
      <c r="R52" t="s">
        <v>3</v>
      </c>
      <c r="S52" t="s">
        <v>411</v>
      </c>
      <c r="T52" t="s">
        <v>412</v>
      </c>
      <c r="U52" t="s">
        <v>413</v>
      </c>
    </row>
    <row r="53" spans="1:21" x14ac:dyDescent="0.2">
      <c r="A53">
        <v>195</v>
      </c>
      <c r="B53">
        <v>1</v>
      </c>
      <c r="C53" t="s">
        <v>3</v>
      </c>
      <c r="D53" t="s">
        <v>56</v>
      </c>
      <c r="E53" t="s">
        <v>57</v>
      </c>
      <c r="F53" t="s">
        <v>57</v>
      </c>
      <c r="G53" t="s">
        <v>57</v>
      </c>
      <c r="H53" t="s">
        <v>3</v>
      </c>
      <c r="I53" t="s">
        <v>57</v>
      </c>
      <c r="J53" t="s">
        <v>57</v>
      </c>
      <c r="K53" t="s">
        <v>3</v>
      </c>
      <c r="L53" t="s">
        <v>3</v>
      </c>
      <c r="M53" t="s">
        <v>3</v>
      </c>
      <c r="N53" t="s">
        <v>56</v>
      </c>
      <c r="O53" t="s">
        <v>57</v>
      </c>
      <c r="P53" t="s">
        <v>3</v>
      </c>
      <c r="Q53" t="s">
        <v>3</v>
      </c>
      <c r="R53" t="s">
        <v>3</v>
      </c>
      <c r="S53" t="s">
        <v>411</v>
      </c>
      <c r="T53" t="s">
        <v>412</v>
      </c>
      <c r="U53" t="s">
        <v>413</v>
      </c>
    </row>
    <row r="54" spans="1:21" x14ac:dyDescent="0.2">
      <c r="A54">
        <v>196</v>
      </c>
      <c r="B54">
        <v>1</v>
      </c>
      <c r="C54" t="s">
        <v>3</v>
      </c>
      <c r="D54" t="s">
        <v>56</v>
      </c>
      <c r="E54" t="s">
        <v>57</v>
      </c>
      <c r="F54" t="s">
        <v>57</v>
      </c>
      <c r="G54" t="s">
        <v>57</v>
      </c>
      <c r="H54" t="s">
        <v>3</v>
      </c>
      <c r="I54" t="s">
        <v>57</v>
      </c>
      <c r="J54" t="s">
        <v>57</v>
      </c>
      <c r="K54" t="s">
        <v>3</v>
      </c>
      <c r="L54" t="s">
        <v>3</v>
      </c>
      <c r="M54" t="s">
        <v>3</v>
      </c>
      <c r="N54" t="s">
        <v>56</v>
      </c>
      <c r="O54" t="s">
        <v>57</v>
      </c>
      <c r="P54" t="s">
        <v>3</v>
      </c>
      <c r="Q54" t="s">
        <v>3</v>
      </c>
      <c r="R54" t="s">
        <v>3</v>
      </c>
      <c r="S54" t="s">
        <v>411</v>
      </c>
      <c r="T54" t="s">
        <v>412</v>
      </c>
      <c r="U54" t="s">
        <v>413</v>
      </c>
    </row>
    <row r="55" spans="1:21" x14ac:dyDescent="0.2">
      <c r="A55">
        <v>238</v>
      </c>
      <c r="B55">
        <v>1</v>
      </c>
      <c r="C55" t="s">
        <v>3</v>
      </c>
      <c r="D55" t="s">
        <v>56</v>
      </c>
      <c r="E55" t="s">
        <v>57</v>
      </c>
      <c r="F55" t="s">
        <v>57</v>
      </c>
      <c r="G55" t="s">
        <v>57</v>
      </c>
      <c r="H55" t="s">
        <v>3</v>
      </c>
      <c r="I55" t="s">
        <v>57</v>
      </c>
      <c r="J55" t="s">
        <v>57</v>
      </c>
      <c r="K55" t="s">
        <v>3</v>
      </c>
      <c r="L55" t="s">
        <v>3</v>
      </c>
      <c r="M55" t="s">
        <v>3</v>
      </c>
      <c r="N55" t="s">
        <v>56</v>
      </c>
      <c r="O55" t="s">
        <v>57</v>
      </c>
      <c r="P55" t="s">
        <v>3</v>
      </c>
      <c r="Q55" t="s">
        <v>3</v>
      </c>
      <c r="R55" t="s">
        <v>3</v>
      </c>
      <c r="S55" t="s">
        <v>411</v>
      </c>
      <c r="T55" t="s">
        <v>412</v>
      </c>
      <c r="U55" t="s">
        <v>413</v>
      </c>
    </row>
    <row r="56" spans="1:21" x14ac:dyDescent="0.2">
      <c r="A56">
        <v>239</v>
      </c>
      <c r="B56">
        <v>1</v>
      </c>
      <c r="C56" t="s">
        <v>3</v>
      </c>
      <c r="D56" t="s">
        <v>56</v>
      </c>
      <c r="E56" t="s">
        <v>57</v>
      </c>
      <c r="F56" t="s">
        <v>57</v>
      </c>
      <c r="G56" t="s">
        <v>57</v>
      </c>
      <c r="H56" t="s">
        <v>3</v>
      </c>
      <c r="I56" t="s">
        <v>57</v>
      </c>
      <c r="J56" t="s">
        <v>57</v>
      </c>
      <c r="K56" t="s">
        <v>3</v>
      </c>
      <c r="L56" t="s">
        <v>3</v>
      </c>
      <c r="M56" t="s">
        <v>3</v>
      </c>
      <c r="N56" t="s">
        <v>56</v>
      </c>
      <c r="O56" t="s">
        <v>57</v>
      </c>
      <c r="P56" t="s">
        <v>3</v>
      </c>
      <c r="Q56" t="s">
        <v>3</v>
      </c>
      <c r="R56" t="s">
        <v>3</v>
      </c>
      <c r="S56" t="s">
        <v>411</v>
      </c>
      <c r="T56" t="s">
        <v>412</v>
      </c>
      <c r="U56" t="s">
        <v>413</v>
      </c>
    </row>
    <row r="57" spans="1:21" x14ac:dyDescent="0.2">
      <c r="A57">
        <v>250</v>
      </c>
      <c r="B57">
        <v>1</v>
      </c>
      <c r="C57" t="s">
        <v>3</v>
      </c>
      <c r="D57" t="s">
        <v>56</v>
      </c>
      <c r="E57" t="s">
        <v>57</v>
      </c>
      <c r="F57" t="s">
        <v>57</v>
      </c>
      <c r="G57" t="s">
        <v>57</v>
      </c>
      <c r="H57" t="s">
        <v>3</v>
      </c>
      <c r="I57" t="s">
        <v>57</v>
      </c>
      <c r="J57" t="s">
        <v>57</v>
      </c>
      <c r="K57" t="s">
        <v>3</v>
      </c>
      <c r="L57" t="s">
        <v>3</v>
      </c>
      <c r="M57" t="s">
        <v>3</v>
      </c>
      <c r="N57" t="s">
        <v>56</v>
      </c>
      <c r="O57" t="s">
        <v>57</v>
      </c>
      <c r="P57" t="s">
        <v>3</v>
      </c>
      <c r="Q57" t="s">
        <v>3</v>
      </c>
      <c r="R57" t="s">
        <v>3</v>
      </c>
      <c r="S57" t="s">
        <v>411</v>
      </c>
      <c r="T57" t="s">
        <v>412</v>
      </c>
      <c r="U57" t="s">
        <v>413</v>
      </c>
    </row>
    <row r="58" spans="1:21" x14ac:dyDescent="0.2">
      <c r="A58">
        <v>251</v>
      </c>
      <c r="B58">
        <v>1</v>
      </c>
      <c r="C58" t="s">
        <v>3</v>
      </c>
      <c r="D58" t="s">
        <v>56</v>
      </c>
      <c r="E58" t="s">
        <v>57</v>
      </c>
      <c r="F58" t="s">
        <v>57</v>
      </c>
      <c r="G58" t="s">
        <v>57</v>
      </c>
      <c r="H58" t="s">
        <v>3</v>
      </c>
      <c r="I58" t="s">
        <v>57</v>
      </c>
      <c r="J58" t="s">
        <v>57</v>
      </c>
      <c r="K58" t="s">
        <v>3</v>
      </c>
      <c r="L58" t="s">
        <v>3</v>
      </c>
      <c r="M58" t="s">
        <v>3</v>
      </c>
      <c r="N58" t="s">
        <v>56</v>
      </c>
      <c r="O58" t="s">
        <v>57</v>
      </c>
      <c r="P58" t="s">
        <v>3</v>
      </c>
      <c r="Q58" t="s">
        <v>3</v>
      </c>
      <c r="R58" t="s">
        <v>3</v>
      </c>
      <c r="S58" t="s">
        <v>411</v>
      </c>
      <c r="T58" t="s">
        <v>412</v>
      </c>
      <c r="U58" t="s">
        <v>413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41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1</v>
      </c>
    </row>
    <row r="12" spans="1:103" x14ac:dyDescent="0.2">
      <c r="F12" t="str">
        <f>Source!F12</f>
        <v>02-01-12</v>
      </c>
      <c r="G12" t="str">
        <f>Source!G12</f>
        <v>02-01-12 СКТ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">
      <c r="D14" t="s">
        <v>5</v>
      </c>
      <c r="E14" t="s">
        <v>16</v>
      </c>
      <c r="AD14">
        <v>3</v>
      </c>
    </row>
    <row r="15" spans="1:103" x14ac:dyDescent="0.2">
      <c r="B15" t="s">
        <v>419</v>
      </c>
      <c r="C15">
        <v>1</v>
      </c>
      <c r="D15" t="s">
        <v>133</v>
      </c>
      <c r="E15" t="s">
        <v>3</v>
      </c>
      <c r="F15" t="s">
        <v>420</v>
      </c>
      <c r="G15" t="s">
        <v>3</v>
      </c>
      <c r="H15">
        <v>5500</v>
      </c>
      <c r="I15">
        <v>5500</v>
      </c>
      <c r="J15">
        <v>0</v>
      </c>
      <c r="K15">
        <v>5500</v>
      </c>
      <c r="L15">
        <v>0</v>
      </c>
      <c r="M15">
        <v>0</v>
      </c>
      <c r="N15">
        <v>0</v>
      </c>
      <c r="O15" t="s">
        <v>421</v>
      </c>
      <c r="P15" t="s">
        <v>3</v>
      </c>
      <c r="Q15" t="s">
        <v>422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5500</v>
      </c>
      <c r="AD15">
        <v>1</v>
      </c>
      <c r="AE15">
        <v>0</v>
      </c>
      <c r="AF15">
        <v>3</v>
      </c>
      <c r="AG15">
        <v>3</v>
      </c>
      <c r="AH15" t="s">
        <v>135</v>
      </c>
      <c r="AI15" t="s">
        <v>134</v>
      </c>
      <c r="AJ15">
        <v>46127.390543981484</v>
      </c>
      <c r="AK15">
        <v>55919674</v>
      </c>
      <c r="AL15">
        <v>0</v>
      </c>
      <c r="AM15">
        <v>0</v>
      </c>
      <c r="AN15">
        <v>0</v>
      </c>
      <c r="AO15">
        <v>46073</v>
      </c>
      <c r="AP15">
        <v>0</v>
      </c>
      <c r="AQ15">
        <v>1</v>
      </c>
      <c r="AR15">
        <v>0</v>
      </c>
      <c r="AS15" t="s">
        <v>423</v>
      </c>
      <c r="AT15">
        <v>1</v>
      </c>
      <c r="AU15">
        <v>1</v>
      </c>
    </row>
    <row r="16" spans="1:103" x14ac:dyDescent="0.2">
      <c r="B16" t="s">
        <v>424</v>
      </c>
      <c r="C16">
        <v>0</v>
      </c>
      <c r="D16" t="s">
        <v>133</v>
      </c>
      <c r="E16" t="s">
        <v>3</v>
      </c>
      <c r="F16" t="s">
        <v>420</v>
      </c>
      <c r="G16" t="s">
        <v>3</v>
      </c>
      <c r="H16">
        <v>6915</v>
      </c>
      <c r="I16">
        <v>6915</v>
      </c>
      <c r="J16">
        <v>0</v>
      </c>
      <c r="K16">
        <v>6915</v>
      </c>
      <c r="L16">
        <v>0</v>
      </c>
      <c r="M16">
        <v>0</v>
      </c>
      <c r="N16">
        <v>0</v>
      </c>
      <c r="O16" t="s">
        <v>425</v>
      </c>
      <c r="P16" t="s">
        <v>3</v>
      </c>
      <c r="Q16" t="s">
        <v>426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6915</v>
      </c>
      <c r="AD16">
        <v>1</v>
      </c>
      <c r="AE16">
        <v>0</v>
      </c>
      <c r="AF16">
        <v>3</v>
      </c>
      <c r="AG16">
        <v>3</v>
      </c>
      <c r="AH16" t="s">
        <v>135</v>
      </c>
      <c r="AI16" t="s">
        <v>134</v>
      </c>
      <c r="AJ16">
        <v>46127.390543981484</v>
      </c>
      <c r="AK16">
        <v>55919674</v>
      </c>
      <c r="AL16">
        <v>0</v>
      </c>
      <c r="AM16">
        <v>0</v>
      </c>
      <c r="AN16">
        <v>0</v>
      </c>
      <c r="AO16">
        <v>46073</v>
      </c>
      <c r="AP16">
        <v>0</v>
      </c>
      <c r="AQ16">
        <v>1</v>
      </c>
      <c r="AR16">
        <v>0</v>
      </c>
      <c r="AS16" t="s">
        <v>3</v>
      </c>
      <c r="AT16">
        <v>1</v>
      </c>
      <c r="AU16">
        <v>1</v>
      </c>
    </row>
    <row r="17" spans="2:47" x14ac:dyDescent="0.2">
      <c r="B17" t="s">
        <v>427</v>
      </c>
      <c r="C17">
        <v>0</v>
      </c>
      <c r="D17" t="s">
        <v>133</v>
      </c>
      <c r="E17" t="s">
        <v>3</v>
      </c>
      <c r="F17" t="s">
        <v>420</v>
      </c>
      <c r="G17" t="s">
        <v>3</v>
      </c>
      <c r="H17">
        <v>7244.86</v>
      </c>
      <c r="I17">
        <v>7244.86</v>
      </c>
      <c r="J17">
        <v>0</v>
      </c>
      <c r="K17">
        <v>7244.86</v>
      </c>
      <c r="L17">
        <v>0</v>
      </c>
      <c r="M17">
        <v>0</v>
      </c>
      <c r="N17">
        <v>0</v>
      </c>
      <c r="O17" t="s">
        <v>428</v>
      </c>
      <c r="P17" t="s">
        <v>3</v>
      </c>
      <c r="Q17" t="s">
        <v>429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7244.86</v>
      </c>
      <c r="AD17">
        <v>1</v>
      </c>
      <c r="AE17">
        <v>0</v>
      </c>
      <c r="AF17">
        <v>3</v>
      </c>
      <c r="AG17">
        <v>3</v>
      </c>
      <c r="AH17" t="s">
        <v>135</v>
      </c>
      <c r="AI17" t="s">
        <v>134</v>
      </c>
      <c r="AJ17">
        <v>46127.390543981484</v>
      </c>
      <c r="AK17">
        <v>55919674</v>
      </c>
      <c r="AL17">
        <v>0</v>
      </c>
      <c r="AM17">
        <v>0</v>
      </c>
      <c r="AN17">
        <v>0</v>
      </c>
      <c r="AO17">
        <v>46073</v>
      </c>
      <c r="AP17">
        <v>0</v>
      </c>
      <c r="AQ17">
        <v>1</v>
      </c>
      <c r="AR17">
        <v>0</v>
      </c>
      <c r="AS17" t="s">
        <v>3</v>
      </c>
      <c r="AT17">
        <v>1</v>
      </c>
      <c r="AU17">
        <v>1</v>
      </c>
    </row>
    <row r="18" spans="2:47" x14ac:dyDescent="0.2">
      <c r="B18" t="s">
        <v>430</v>
      </c>
      <c r="C18">
        <v>0</v>
      </c>
      <c r="D18" t="s">
        <v>143</v>
      </c>
      <c r="E18" t="s">
        <v>3</v>
      </c>
      <c r="F18" t="s">
        <v>420</v>
      </c>
      <c r="G18" t="s">
        <v>3</v>
      </c>
      <c r="H18">
        <v>7500</v>
      </c>
      <c r="I18">
        <v>7500</v>
      </c>
      <c r="J18">
        <v>0</v>
      </c>
      <c r="K18">
        <v>7500</v>
      </c>
      <c r="L18">
        <v>0</v>
      </c>
      <c r="M18">
        <v>0</v>
      </c>
      <c r="N18">
        <v>0</v>
      </c>
      <c r="O18" t="s">
        <v>431</v>
      </c>
      <c r="P18" t="s">
        <v>3</v>
      </c>
      <c r="Q18" t="s">
        <v>432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7500</v>
      </c>
      <c r="AD18">
        <v>1</v>
      </c>
      <c r="AE18">
        <v>0</v>
      </c>
      <c r="AF18">
        <v>3</v>
      </c>
      <c r="AG18">
        <v>3</v>
      </c>
      <c r="AH18" t="s">
        <v>135</v>
      </c>
      <c r="AI18" t="s">
        <v>144</v>
      </c>
      <c r="AJ18">
        <v>46127.3905787037</v>
      </c>
      <c r="AK18">
        <v>55919684</v>
      </c>
      <c r="AL18">
        <v>0</v>
      </c>
      <c r="AM18">
        <v>0</v>
      </c>
      <c r="AN18">
        <v>0</v>
      </c>
      <c r="AO18">
        <v>46073</v>
      </c>
      <c r="AP18">
        <v>0</v>
      </c>
      <c r="AQ18">
        <v>1</v>
      </c>
      <c r="AR18">
        <v>0</v>
      </c>
      <c r="AS18" t="s">
        <v>423</v>
      </c>
      <c r="AT18">
        <v>1</v>
      </c>
      <c r="AU18">
        <v>1</v>
      </c>
    </row>
    <row r="19" spans="2:47" x14ac:dyDescent="0.2">
      <c r="B19" t="s">
        <v>433</v>
      </c>
      <c r="C19">
        <v>0</v>
      </c>
      <c r="D19" t="s">
        <v>143</v>
      </c>
      <c r="E19" t="s">
        <v>3</v>
      </c>
      <c r="F19" t="s">
        <v>420</v>
      </c>
      <c r="G19" t="s">
        <v>3</v>
      </c>
      <c r="H19">
        <v>6780</v>
      </c>
      <c r="I19">
        <v>6780</v>
      </c>
      <c r="J19">
        <v>0</v>
      </c>
      <c r="K19">
        <v>6780</v>
      </c>
      <c r="L19">
        <v>0</v>
      </c>
      <c r="M19">
        <v>0</v>
      </c>
      <c r="N19">
        <v>0</v>
      </c>
      <c r="O19" t="s">
        <v>425</v>
      </c>
      <c r="P19" t="s">
        <v>3</v>
      </c>
      <c r="Q19" t="s">
        <v>426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6780</v>
      </c>
      <c r="AD19">
        <v>1</v>
      </c>
      <c r="AE19">
        <v>0</v>
      </c>
      <c r="AF19">
        <v>3</v>
      </c>
      <c r="AG19">
        <v>3</v>
      </c>
      <c r="AH19" t="s">
        <v>135</v>
      </c>
      <c r="AI19" t="s">
        <v>144</v>
      </c>
      <c r="AJ19">
        <v>46127.3905787037</v>
      </c>
      <c r="AK19">
        <v>55919684</v>
      </c>
      <c r="AL19">
        <v>0</v>
      </c>
      <c r="AM19">
        <v>0</v>
      </c>
      <c r="AN19">
        <v>0</v>
      </c>
      <c r="AO19">
        <v>46073</v>
      </c>
      <c r="AP19">
        <v>0</v>
      </c>
      <c r="AQ19">
        <v>1</v>
      </c>
      <c r="AR19">
        <v>0</v>
      </c>
      <c r="AS19" t="s">
        <v>3</v>
      </c>
      <c r="AT19">
        <v>1</v>
      </c>
      <c r="AU19">
        <v>1</v>
      </c>
    </row>
    <row r="20" spans="2:47" x14ac:dyDescent="0.2">
      <c r="B20" t="s">
        <v>434</v>
      </c>
      <c r="C20">
        <v>1</v>
      </c>
      <c r="D20" t="s">
        <v>143</v>
      </c>
      <c r="E20" t="s">
        <v>3</v>
      </c>
      <c r="F20" t="s">
        <v>420</v>
      </c>
      <c r="G20" t="s">
        <v>3</v>
      </c>
      <c r="H20">
        <v>6071.03</v>
      </c>
      <c r="I20">
        <v>6071.03</v>
      </c>
      <c r="J20">
        <v>0</v>
      </c>
      <c r="K20">
        <v>6071.03</v>
      </c>
      <c r="L20">
        <v>0</v>
      </c>
      <c r="M20">
        <v>0</v>
      </c>
      <c r="N20">
        <v>0</v>
      </c>
      <c r="O20" t="s">
        <v>435</v>
      </c>
      <c r="P20" t="s">
        <v>3</v>
      </c>
      <c r="Q20" t="s">
        <v>436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6071.03</v>
      </c>
      <c r="AD20">
        <v>1</v>
      </c>
      <c r="AE20">
        <v>0</v>
      </c>
      <c r="AF20">
        <v>3</v>
      </c>
      <c r="AG20">
        <v>3</v>
      </c>
      <c r="AH20" t="s">
        <v>135</v>
      </c>
      <c r="AI20" t="s">
        <v>144</v>
      </c>
      <c r="AJ20">
        <v>46127.3905787037</v>
      </c>
      <c r="AK20">
        <v>55919684</v>
      </c>
      <c r="AL20">
        <v>0</v>
      </c>
      <c r="AM20">
        <v>0</v>
      </c>
      <c r="AN20">
        <v>0</v>
      </c>
      <c r="AO20">
        <v>46073</v>
      </c>
      <c r="AP20">
        <v>0</v>
      </c>
      <c r="AQ20">
        <v>1</v>
      </c>
      <c r="AR20">
        <v>0</v>
      </c>
      <c r="AS20" t="s">
        <v>3</v>
      </c>
      <c r="AT20">
        <v>1</v>
      </c>
      <c r="AU20">
        <v>1</v>
      </c>
    </row>
    <row r="21" spans="2:47" x14ac:dyDescent="0.2">
      <c r="B21" t="s">
        <v>437</v>
      </c>
      <c r="C21">
        <v>0</v>
      </c>
      <c r="D21" t="s">
        <v>163</v>
      </c>
      <c r="E21" t="s">
        <v>3</v>
      </c>
      <c r="F21" t="s">
        <v>420</v>
      </c>
      <c r="G21" t="s">
        <v>3</v>
      </c>
      <c r="H21">
        <v>83100</v>
      </c>
      <c r="I21">
        <v>83100</v>
      </c>
      <c r="J21">
        <v>0</v>
      </c>
      <c r="K21">
        <v>83100</v>
      </c>
      <c r="L21">
        <v>0</v>
      </c>
      <c r="M21">
        <v>0</v>
      </c>
      <c r="N21">
        <v>0</v>
      </c>
      <c r="O21" t="s">
        <v>421</v>
      </c>
      <c r="P21" t="s">
        <v>3</v>
      </c>
      <c r="Q21" t="s">
        <v>422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83100</v>
      </c>
      <c r="AD21">
        <v>1</v>
      </c>
      <c r="AE21">
        <v>0</v>
      </c>
      <c r="AF21">
        <v>3</v>
      </c>
      <c r="AG21">
        <v>3</v>
      </c>
      <c r="AH21" t="s">
        <v>135</v>
      </c>
      <c r="AI21" t="s">
        <v>164</v>
      </c>
      <c r="AJ21">
        <v>46127.390601851854</v>
      </c>
      <c r="AK21">
        <v>55919695</v>
      </c>
      <c r="AL21">
        <v>0</v>
      </c>
      <c r="AM21">
        <v>0</v>
      </c>
      <c r="AN21">
        <v>0</v>
      </c>
      <c r="AO21">
        <v>46073</v>
      </c>
      <c r="AP21">
        <v>0</v>
      </c>
      <c r="AQ21">
        <v>1</v>
      </c>
      <c r="AR21">
        <v>0</v>
      </c>
      <c r="AS21" t="s">
        <v>423</v>
      </c>
      <c r="AT21">
        <v>1</v>
      </c>
      <c r="AU21">
        <v>1</v>
      </c>
    </row>
    <row r="22" spans="2:47" x14ac:dyDescent="0.2">
      <c r="B22" t="s">
        <v>438</v>
      </c>
      <c r="C22">
        <v>1</v>
      </c>
      <c r="D22" t="s">
        <v>163</v>
      </c>
      <c r="E22" t="s">
        <v>3</v>
      </c>
      <c r="F22" t="s">
        <v>420</v>
      </c>
      <c r="G22" t="s">
        <v>3</v>
      </c>
      <c r="H22">
        <v>82923.38</v>
      </c>
      <c r="I22">
        <v>82923.38</v>
      </c>
      <c r="J22">
        <v>0</v>
      </c>
      <c r="K22">
        <v>82923.38</v>
      </c>
      <c r="L22">
        <v>0</v>
      </c>
      <c r="M22">
        <v>0</v>
      </c>
      <c r="N22">
        <v>0</v>
      </c>
      <c r="O22" t="s">
        <v>439</v>
      </c>
      <c r="P22" t="s">
        <v>3</v>
      </c>
      <c r="Q22" t="s">
        <v>440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82923.38</v>
      </c>
      <c r="AD22">
        <v>1</v>
      </c>
      <c r="AE22">
        <v>0</v>
      </c>
      <c r="AF22">
        <v>3</v>
      </c>
      <c r="AG22">
        <v>3</v>
      </c>
      <c r="AH22" t="s">
        <v>135</v>
      </c>
      <c r="AI22" t="s">
        <v>164</v>
      </c>
      <c r="AJ22">
        <v>46127.390601851854</v>
      </c>
      <c r="AK22">
        <v>55919695</v>
      </c>
      <c r="AL22">
        <v>0</v>
      </c>
      <c r="AM22">
        <v>0</v>
      </c>
      <c r="AN22">
        <v>0</v>
      </c>
      <c r="AO22">
        <v>46073</v>
      </c>
      <c r="AP22">
        <v>0</v>
      </c>
      <c r="AQ22">
        <v>1</v>
      </c>
      <c r="AR22">
        <v>0</v>
      </c>
      <c r="AS22" t="s">
        <v>3</v>
      </c>
      <c r="AT22">
        <v>1</v>
      </c>
      <c r="AU22">
        <v>1</v>
      </c>
    </row>
    <row r="23" spans="2:47" x14ac:dyDescent="0.2">
      <c r="B23" t="s">
        <v>441</v>
      </c>
      <c r="C23">
        <v>0</v>
      </c>
      <c r="D23" t="s">
        <v>163</v>
      </c>
      <c r="E23" t="s">
        <v>3</v>
      </c>
      <c r="F23" t="s">
        <v>420</v>
      </c>
      <c r="G23" t="s">
        <v>3</v>
      </c>
      <c r="H23">
        <v>147500</v>
      </c>
      <c r="I23">
        <v>147500</v>
      </c>
      <c r="J23">
        <v>0</v>
      </c>
      <c r="K23">
        <v>147500</v>
      </c>
      <c r="L23">
        <v>0</v>
      </c>
      <c r="M23">
        <v>0</v>
      </c>
      <c r="N23">
        <v>0</v>
      </c>
      <c r="O23" t="s">
        <v>431</v>
      </c>
      <c r="P23" t="s">
        <v>3</v>
      </c>
      <c r="Q23" t="s">
        <v>432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147500</v>
      </c>
      <c r="AD23">
        <v>1</v>
      </c>
      <c r="AE23">
        <v>0</v>
      </c>
      <c r="AF23">
        <v>3</v>
      </c>
      <c r="AG23">
        <v>3</v>
      </c>
      <c r="AH23" t="s">
        <v>135</v>
      </c>
      <c r="AI23" t="s">
        <v>164</v>
      </c>
      <c r="AJ23">
        <v>46127.390601851854</v>
      </c>
      <c r="AK23">
        <v>55919695</v>
      </c>
      <c r="AL23">
        <v>0</v>
      </c>
      <c r="AM23">
        <v>0</v>
      </c>
      <c r="AN23">
        <v>0</v>
      </c>
      <c r="AO23">
        <v>46073</v>
      </c>
      <c r="AP23">
        <v>0</v>
      </c>
      <c r="AQ23">
        <v>1</v>
      </c>
      <c r="AR23">
        <v>0</v>
      </c>
      <c r="AS23" t="s">
        <v>3</v>
      </c>
      <c r="AT23">
        <v>1</v>
      </c>
      <c r="AU23">
        <v>1</v>
      </c>
    </row>
    <row r="24" spans="2:47" x14ac:dyDescent="0.2">
      <c r="B24" t="s">
        <v>442</v>
      </c>
      <c r="C24">
        <v>1</v>
      </c>
      <c r="D24" t="s">
        <v>169</v>
      </c>
      <c r="E24" t="s">
        <v>3</v>
      </c>
      <c r="F24" t="s">
        <v>420</v>
      </c>
      <c r="G24" t="s">
        <v>3</v>
      </c>
      <c r="H24">
        <v>1390</v>
      </c>
      <c r="I24">
        <v>1390</v>
      </c>
      <c r="J24">
        <v>0</v>
      </c>
      <c r="K24">
        <v>1390</v>
      </c>
      <c r="L24">
        <v>0</v>
      </c>
      <c r="M24">
        <v>0</v>
      </c>
      <c r="N24">
        <v>0</v>
      </c>
      <c r="O24" t="s">
        <v>443</v>
      </c>
      <c r="P24" t="s">
        <v>3</v>
      </c>
      <c r="Q24" t="s">
        <v>444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1390</v>
      </c>
      <c r="AD24">
        <v>1</v>
      </c>
      <c r="AE24">
        <v>0</v>
      </c>
      <c r="AF24">
        <v>3</v>
      </c>
      <c r="AG24">
        <v>3</v>
      </c>
      <c r="AH24" t="s">
        <v>135</v>
      </c>
      <c r="AI24" t="s">
        <v>170</v>
      </c>
      <c r="AJ24">
        <v>46127.390625</v>
      </c>
      <c r="AK24">
        <v>55919889</v>
      </c>
      <c r="AL24">
        <v>0</v>
      </c>
      <c r="AM24">
        <v>0</v>
      </c>
      <c r="AN24">
        <v>0</v>
      </c>
      <c r="AO24">
        <v>46073</v>
      </c>
      <c r="AP24">
        <v>0</v>
      </c>
      <c r="AQ24">
        <v>1</v>
      </c>
      <c r="AR24">
        <v>0</v>
      </c>
      <c r="AS24" t="s">
        <v>423</v>
      </c>
      <c r="AT24">
        <v>1</v>
      </c>
      <c r="AU24">
        <v>1</v>
      </c>
    </row>
    <row r="25" spans="2:47" x14ac:dyDescent="0.2">
      <c r="B25" t="s">
        <v>445</v>
      </c>
      <c r="C25">
        <v>0</v>
      </c>
      <c r="D25" t="s">
        <v>169</v>
      </c>
      <c r="E25" t="s">
        <v>3</v>
      </c>
      <c r="F25" t="s">
        <v>420</v>
      </c>
      <c r="G25" t="s">
        <v>3</v>
      </c>
      <c r="H25">
        <v>1870</v>
      </c>
      <c r="I25">
        <v>1870</v>
      </c>
      <c r="J25">
        <v>0</v>
      </c>
      <c r="K25">
        <v>1870</v>
      </c>
      <c r="L25">
        <v>0</v>
      </c>
      <c r="M25">
        <v>0</v>
      </c>
      <c r="N25">
        <v>0</v>
      </c>
      <c r="O25" t="s">
        <v>446</v>
      </c>
      <c r="P25" t="s">
        <v>3</v>
      </c>
      <c r="Q25" t="s">
        <v>447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1870</v>
      </c>
      <c r="AD25">
        <v>1</v>
      </c>
      <c r="AE25">
        <v>0</v>
      </c>
      <c r="AF25">
        <v>3</v>
      </c>
      <c r="AG25">
        <v>3</v>
      </c>
      <c r="AH25" t="s">
        <v>135</v>
      </c>
      <c r="AI25" t="s">
        <v>170</v>
      </c>
      <c r="AJ25">
        <v>46127.390625</v>
      </c>
      <c r="AK25">
        <v>55919889</v>
      </c>
      <c r="AL25">
        <v>0</v>
      </c>
      <c r="AM25">
        <v>0</v>
      </c>
      <c r="AN25">
        <v>0</v>
      </c>
      <c r="AO25">
        <v>46073</v>
      </c>
      <c r="AP25">
        <v>0</v>
      </c>
      <c r="AQ25">
        <v>1</v>
      </c>
      <c r="AR25">
        <v>0</v>
      </c>
      <c r="AS25" t="s">
        <v>3</v>
      </c>
      <c r="AT25">
        <v>1</v>
      </c>
      <c r="AU25">
        <v>1</v>
      </c>
    </row>
    <row r="26" spans="2:47" x14ac:dyDescent="0.2">
      <c r="B26" t="s">
        <v>448</v>
      </c>
      <c r="C26">
        <v>0</v>
      </c>
      <c r="D26" t="s">
        <v>169</v>
      </c>
      <c r="E26" t="s">
        <v>3</v>
      </c>
      <c r="F26" t="s">
        <v>420</v>
      </c>
      <c r="G26" t="s">
        <v>3</v>
      </c>
      <c r="H26">
        <v>1591</v>
      </c>
      <c r="I26">
        <v>1591</v>
      </c>
      <c r="J26">
        <v>0</v>
      </c>
      <c r="K26">
        <v>1591</v>
      </c>
      <c r="L26">
        <v>0</v>
      </c>
      <c r="M26">
        <v>0</v>
      </c>
      <c r="N26">
        <v>0</v>
      </c>
      <c r="O26" t="s">
        <v>449</v>
      </c>
      <c r="P26" t="s">
        <v>3</v>
      </c>
      <c r="Q26" t="s">
        <v>450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1591</v>
      </c>
      <c r="AD26">
        <v>1</v>
      </c>
      <c r="AE26">
        <v>0</v>
      </c>
      <c r="AF26">
        <v>3</v>
      </c>
      <c r="AG26">
        <v>3</v>
      </c>
      <c r="AH26" t="s">
        <v>135</v>
      </c>
      <c r="AI26" t="s">
        <v>170</v>
      </c>
      <c r="AJ26">
        <v>46127.390625</v>
      </c>
      <c r="AK26">
        <v>55919889</v>
      </c>
      <c r="AL26">
        <v>0</v>
      </c>
      <c r="AM26">
        <v>0</v>
      </c>
      <c r="AN26">
        <v>0</v>
      </c>
      <c r="AO26">
        <v>46073</v>
      </c>
      <c r="AP26">
        <v>0</v>
      </c>
      <c r="AQ26">
        <v>1</v>
      </c>
      <c r="AR26">
        <v>0</v>
      </c>
      <c r="AS26" t="s">
        <v>3</v>
      </c>
      <c r="AT26">
        <v>1</v>
      </c>
      <c r="AU26">
        <v>1</v>
      </c>
    </row>
    <row r="27" spans="2:47" x14ac:dyDescent="0.2">
      <c r="B27" t="s">
        <v>451</v>
      </c>
      <c r="C27">
        <v>1</v>
      </c>
      <c r="D27" t="s">
        <v>175</v>
      </c>
      <c r="E27" t="s">
        <v>3</v>
      </c>
      <c r="F27" t="s">
        <v>420</v>
      </c>
      <c r="G27" t="s">
        <v>3</v>
      </c>
      <c r="H27">
        <v>1800</v>
      </c>
      <c r="I27">
        <v>1800</v>
      </c>
      <c r="J27">
        <v>0</v>
      </c>
      <c r="K27">
        <v>1800</v>
      </c>
      <c r="L27">
        <v>0</v>
      </c>
      <c r="M27">
        <v>0</v>
      </c>
      <c r="N27">
        <v>0</v>
      </c>
      <c r="O27" t="s">
        <v>452</v>
      </c>
      <c r="P27" t="s">
        <v>3</v>
      </c>
      <c r="Q27" t="s">
        <v>453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1800</v>
      </c>
      <c r="AD27">
        <v>1</v>
      </c>
      <c r="AE27">
        <v>0</v>
      </c>
      <c r="AF27">
        <v>3</v>
      </c>
      <c r="AG27">
        <v>3</v>
      </c>
      <c r="AH27" t="s">
        <v>135</v>
      </c>
      <c r="AI27" t="s">
        <v>176</v>
      </c>
      <c r="AJ27">
        <v>46127.390648148146</v>
      </c>
      <c r="AK27">
        <v>55919902</v>
      </c>
      <c r="AL27">
        <v>0</v>
      </c>
      <c r="AM27">
        <v>0</v>
      </c>
      <c r="AN27">
        <v>0</v>
      </c>
      <c r="AO27">
        <v>46073</v>
      </c>
      <c r="AP27">
        <v>0</v>
      </c>
      <c r="AQ27">
        <v>1</v>
      </c>
      <c r="AR27">
        <v>0</v>
      </c>
      <c r="AS27" t="s">
        <v>423</v>
      </c>
      <c r="AT27">
        <v>1</v>
      </c>
      <c r="AU27">
        <v>1</v>
      </c>
    </row>
    <row r="28" spans="2:47" x14ac:dyDescent="0.2">
      <c r="B28" t="s">
        <v>454</v>
      </c>
      <c r="C28">
        <v>0</v>
      </c>
      <c r="D28" t="s">
        <v>175</v>
      </c>
      <c r="E28" t="s">
        <v>3</v>
      </c>
      <c r="F28" t="s">
        <v>420</v>
      </c>
      <c r="G28" t="s">
        <v>3</v>
      </c>
      <c r="H28">
        <v>2860</v>
      </c>
      <c r="I28">
        <v>2860</v>
      </c>
      <c r="J28">
        <v>0</v>
      </c>
      <c r="K28">
        <v>2860</v>
      </c>
      <c r="L28">
        <v>0</v>
      </c>
      <c r="M28">
        <v>0</v>
      </c>
      <c r="N28">
        <v>0</v>
      </c>
      <c r="O28" t="s">
        <v>455</v>
      </c>
      <c r="P28" t="s">
        <v>3</v>
      </c>
      <c r="Q28" t="s">
        <v>456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2860</v>
      </c>
      <c r="AD28">
        <v>1</v>
      </c>
      <c r="AE28">
        <v>0</v>
      </c>
      <c r="AF28">
        <v>3</v>
      </c>
      <c r="AG28">
        <v>3</v>
      </c>
      <c r="AH28" t="s">
        <v>135</v>
      </c>
      <c r="AI28" t="s">
        <v>176</v>
      </c>
      <c r="AJ28">
        <v>46127.390648148146</v>
      </c>
      <c r="AK28">
        <v>55919902</v>
      </c>
      <c r="AL28">
        <v>0</v>
      </c>
      <c r="AM28">
        <v>0</v>
      </c>
      <c r="AN28">
        <v>0</v>
      </c>
      <c r="AO28">
        <v>46073</v>
      </c>
      <c r="AP28">
        <v>0</v>
      </c>
      <c r="AQ28">
        <v>1</v>
      </c>
      <c r="AR28">
        <v>0</v>
      </c>
      <c r="AS28" t="s">
        <v>3</v>
      </c>
      <c r="AT28">
        <v>1</v>
      </c>
      <c r="AU28">
        <v>1</v>
      </c>
    </row>
    <row r="29" spans="2:47" x14ac:dyDescent="0.2">
      <c r="B29" t="s">
        <v>457</v>
      </c>
      <c r="C29">
        <v>0</v>
      </c>
      <c r="D29" t="s">
        <v>175</v>
      </c>
      <c r="E29" t="s">
        <v>3</v>
      </c>
      <c r="F29" t="s">
        <v>420</v>
      </c>
      <c r="G29" t="s">
        <v>3</v>
      </c>
      <c r="H29">
        <v>3000</v>
      </c>
      <c r="I29">
        <v>3000</v>
      </c>
      <c r="J29">
        <v>0</v>
      </c>
      <c r="K29">
        <v>3000</v>
      </c>
      <c r="L29">
        <v>0</v>
      </c>
      <c r="M29">
        <v>0</v>
      </c>
      <c r="N29">
        <v>0</v>
      </c>
      <c r="O29" t="s">
        <v>458</v>
      </c>
      <c r="P29" t="s">
        <v>3</v>
      </c>
      <c r="Q29" t="s">
        <v>459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3000</v>
      </c>
      <c r="AD29">
        <v>1</v>
      </c>
      <c r="AE29">
        <v>0</v>
      </c>
      <c r="AF29">
        <v>3</v>
      </c>
      <c r="AG29">
        <v>3</v>
      </c>
      <c r="AH29" t="s">
        <v>135</v>
      </c>
      <c r="AI29" t="s">
        <v>176</v>
      </c>
      <c r="AJ29">
        <v>46127.390648148146</v>
      </c>
      <c r="AK29">
        <v>55919902</v>
      </c>
      <c r="AL29">
        <v>0</v>
      </c>
      <c r="AM29">
        <v>0</v>
      </c>
      <c r="AN29">
        <v>0</v>
      </c>
      <c r="AO29">
        <v>46073</v>
      </c>
      <c r="AP29">
        <v>0</v>
      </c>
      <c r="AQ29">
        <v>1</v>
      </c>
      <c r="AR29">
        <v>0</v>
      </c>
      <c r="AS29" t="s">
        <v>3</v>
      </c>
      <c r="AT29">
        <v>1</v>
      </c>
      <c r="AU29">
        <v>1</v>
      </c>
    </row>
    <row r="30" spans="2:47" x14ac:dyDescent="0.2">
      <c r="B30" t="s">
        <v>460</v>
      </c>
      <c r="C30">
        <v>1</v>
      </c>
      <c r="D30" t="s">
        <v>204</v>
      </c>
      <c r="E30" t="s">
        <v>3</v>
      </c>
      <c r="F30" t="s">
        <v>420</v>
      </c>
      <c r="G30" t="s">
        <v>3</v>
      </c>
      <c r="H30">
        <v>172.99</v>
      </c>
      <c r="I30">
        <v>172.99</v>
      </c>
      <c r="J30">
        <v>0</v>
      </c>
      <c r="K30">
        <v>172.99</v>
      </c>
      <c r="L30">
        <v>0</v>
      </c>
      <c r="M30">
        <v>0</v>
      </c>
      <c r="N30">
        <v>0</v>
      </c>
      <c r="O30" t="s">
        <v>461</v>
      </c>
      <c r="P30" t="s">
        <v>3</v>
      </c>
      <c r="Q30" t="s">
        <v>462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172.99</v>
      </c>
      <c r="AD30">
        <v>1</v>
      </c>
      <c r="AE30">
        <v>0</v>
      </c>
      <c r="AF30">
        <v>1</v>
      </c>
      <c r="AG30">
        <v>3</v>
      </c>
      <c r="AH30" t="s">
        <v>206</v>
      </c>
      <c r="AI30" t="s">
        <v>205</v>
      </c>
      <c r="AJ30">
        <v>46127.3906712963</v>
      </c>
      <c r="AK30">
        <v>55927946</v>
      </c>
      <c r="AL30">
        <v>0</v>
      </c>
      <c r="AM30">
        <v>0</v>
      </c>
      <c r="AN30">
        <v>0</v>
      </c>
      <c r="AO30">
        <v>46073</v>
      </c>
      <c r="AP30">
        <v>0</v>
      </c>
      <c r="AQ30">
        <v>1</v>
      </c>
      <c r="AR30">
        <v>0</v>
      </c>
      <c r="AS30" t="s">
        <v>423</v>
      </c>
      <c r="AT30">
        <v>2</v>
      </c>
      <c r="AU30">
        <v>308</v>
      </c>
    </row>
    <row r="31" spans="2:47" x14ac:dyDescent="0.2">
      <c r="B31" t="s">
        <v>463</v>
      </c>
      <c r="C31">
        <v>0</v>
      </c>
      <c r="D31" t="s">
        <v>204</v>
      </c>
      <c r="E31" t="s">
        <v>3</v>
      </c>
      <c r="F31" t="s">
        <v>420</v>
      </c>
      <c r="G31" t="s">
        <v>3</v>
      </c>
      <c r="H31">
        <v>180.6</v>
      </c>
      <c r="I31">
        <v>180.6</v>
      </c>
      <c r="J31">
        <v>0</v>
      </c>
      <c r="K31">
        <v>180.6</v>
      </c>
      <c r="L31">
        <v>0</v>
      </c>
      <c r="M31">
        <v>0</v>
      </c>
      <c r="N31">
        <v>0</v>
      </c>
      <c r="O31" t="s">
        <v>464</v>
      </c>
      <c r="P31" t="s">
        <v>3</v>
      </c>
      <c r="Q31" t="s">
        <v>465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180.6</v>
      </c>
      <c r="AD31">
        <v>1</v>
      </c>
      <c r="AE31">
        <v>0</v>
      </c>
      <c r="AF31">
        <v>1</v>
      </c>
      <c r="AG31">
        <v>3</v>
      </c>
      <c r="AH31" t="s">
        <v>206</v>
      </c>
      <c r="AI31" t="s">
        <v>205</v>
      </c>
      <c r="AJ31">
        <v>46127.3906712963</v>
      </c>
      <c r="AK31">
        <v>55927946</v>
      </c>
      <c r="AL31">
        <v>0</v>
      </c>
      <c r="AM31">
        <v>0</v>
      </c>
      <c r="AN31">
        <v>0</v>
      </c>
      <c r="AO31">
        <v>46073</v>
      </c>
      <c r="AP31">
        <v>0</v>
      </c>
      <c r="AQ31">
        <v>1</v>
      </c>
      <c r="AR31">
        <v>0</v>
      </c>
      <c r="AS31" t="s">
        <v>3</v>
      </c>
      <c r="AT31">
        <v>2</v>
      </c>
      <c r="AU31">
        <v>308</v>
      </c>
    </row>
    <row r="32" spans="2:47" x14ac:dyDescent="0.2">
      <c r="B32" t="s">
        <v>466</v>
      </c>
      <c r="C32">
        <v>0</v>
      </c>
      <c r="D32" t="s">
        <v>204</v>
      </c>
      <c r="E32" t="s">
        <v>3</v>
      </c>
      <c r="F32" t="s">
        <v>420</v>
      </c>
      <c r="G32" t="s">
        <v>3</v>
      </c>
      <c r="H32">
        <v>180.6</v>
      </c>
      <c r="I32">
        <v>180.6</v>
      </c>
      <c r="J32">
        <v>0</v>
      </c>
      <c r="K32">
        <v>180.6</v>
      </c>
      <c r="L32">
        <v>0</v>
      </c>
      <c r="M32">
        <v>0</v>
      </c>
      <c r="N32">
        <v>0</v>
      </c>
      <c r="O32" t="s">
        <v>467</v>
      </c>
      <c r="P32" t="s">
        <v>3</v>
      </c>
      <c r="Q32" t="s">
        <v>468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180.6</v>
      </c>
      <c r="AD32">
        <v>1</v>
      </c>
      <c r="AE32">
        <v>0</v>
      </c>
      <c r="AF32">
        <v>1</v>
      </c>
      <c r="AG32">
        <v>3</v>
      </c>
      <c r="AH32" t="s">
        <v>206</v>
      </c>
      <c r="AI32" t="s">
        <v>205</v>
      </c>
      <c r="AJ32">
        <v>46127.3906712963</v>
      </c>
      <c r="AK32">
        <v>55927946</v>
      </c>
      <c r="AL32">
        <v>0</v>
      </c>
      <c r="AM32">
        <v>0</v>
      </c>
      <c r="AN32">
        <v>0</v>
      </c>
      <c r="AO32">
        <v>46073</v>
      </c>
      <c r="AP32">
        <v>0</v>
      </c>
      <c r="AQ32">
        <v>1</v>
      </c>
      <c r="AR32">
        <v>0</v>
      </c>
      <c r="AS32" t="s">
        <v>3</v>
      </c>
      <c r="AT32">
        <v>2</v>
      </c>
      <c r="AU32">
        <v>308</v>
      </c>
    </row>
    <row r="33" spans="2:47" x14ac:dyDescent="0.2">
      <c r="B33" t="s">
        <v>469</v>
      </c>
      <c r="C33">
        <v>1</v>
      </c>
      <c r="D33" t="s">
        <v>212</v>
      </c>
      <c r="E33" t="s">
        <v>3</v>
      </c>
      <c r="F33" t="s">
        <v>420</v>
      </c>
      <c r="G33" t="s">
        <v>3</v>
      </c>
      <c r="H33">
        <v>98.45</v>
      </c>
      <c r="I33">
        <v>98.45</v>
      </c>
      <c r="J33">
        <v>0</v>
      </c>
      <c r="K33">
        <v>98.45</v>
      </c>
      <c r="L33">
        <v>0</v>
      </c>
      <c r="M33">
        <v>0</v>
      </c>
      <c r="N33">
        <v>0</v>
      </c>
      <c r="O33" t="s">
        <v>470</v>
      </c>
      <c r="P33" t="s">
        <v>3</v>
      </c>
      <c r="Q33" t="s">
        <v>471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98.45</v>
      </c>
      <c r="AD33">
        <v>1</v>
      </c>
      <c r="AE33">
        <v>0</v>
      </c>
      <c r="AF33">
        <v>1</v>
      </c>
      <c r="AG33">
        <v>3</v>
      </c>
      <c r="AH33" t="s">
        <v>206</v>
      </c>
      <c r="AI33" t="s">
        <v>213</v>
      </c>
      <c r="AJ33">
        <v>46127.390740740739</v>
      </c>
      <c r="AK33">
        <v>55927958</v>
      </c>
      <c r="AL33">
        <v>0</v>
      </c>
      <c r="AM33">
        <v>0</v>
      </c>
      <c r="AN33">
        <v>0</v>
      </c>
      <c r="AO33">
        <v>46073</v>
      </c>
      <c r="AP33">
        <v>0</v>
      </c>
      <c r="AQ33">
        <v>1</v>
      </c>
      <c r="AR33">
        <v>0</v>
      </c>
      <c r="AS33" t="s">
        <v>423</v>
      </c>
      <c r="AT33">
        <v>1</v>
      </c>
      <c r="AU33">
        <v>10.3</v>
      </c>
    </row>
    <row r="34" spans="2:47" x14ac:dyDescent="0.2">
      <c r="B34" t="s">
        <v>472</v>
      </c>
      <c r="C34">
        <v>0</v>
      </c>
      <c r="D34" t="s">
        <v>212</v>
      </c>
      <c r="E34" t="s">
        <v>3</v>
      </c>
      <c r="F34" t="s">
        <v>420</v>
      </c>
      <c r="G34" t="s">
        <v>3</v>
      </c>
      <c r="H34">
        <v>112.84</v>
      </c>
      <c r="I34">
        <v>112.84</v>
      </c>
      <c r="J34">
        <v>0</v>
      </c>
      <c r="K34">
        <v>112.84</v>
      </c>
      <c r="L34">
        <v>0</v>
      </c>
      <c r="M34">
        <v>0</v>
      </c>
      <c r="N34">
        <v>0</v>
      </c>
      <c r="O34" t="s">
        <v>473</v>
      </c>
      <c r="P34" t="s">
        <v>3</v>
      </c>
      <c r="Q34" t="s">
        <v>474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112.84</v>
      </c>
      <c r="AD34">
        <v>1</v>
      </c>
      <c r="AE34">
        <v>0</v>
      </c>
      <c r="AF34">
        <v>1</v>
      </c>
      <c r="AG34">
        <v>3</v>
      </c>
      <c r="AH34" t="s">
        <v>206</v>
      </c>
      <c r="AI34" t="s">
        <v>213</v>
      </c>
      <c r="AJ34">
        <v>46127.390740740739</v>
      </c>
      <c r="AK34">
        <v>55927958</v>
      </c>
      <c r="AL34">
        <v>0</v>
      </c>
      <c r="AM34">
        <v>0</v>
      </c>
      <c r="AN34">
        <v>0</v>
      </c>
      <c r="AO34">
        <v>46073</v>
      </c>
      <c r="AP34">
        <v>0</v>
      </c>
      <c r="AQ34">
        <v>1</v>
      </c>
      <c r="AR34">
        <v>0</v>
      </c>
      <c r="AS34" t="s">
        <v>3</v>
      </c>
      <c r="AT34">
        <v>1</v>
      </c>
      <c r="AU34">
        <v>10.3</v>
      </c>
    </row>
    <row r="35" spans="2:47" x14ac:dyDescent="0.2">
      <c r="B35" t="s">
        <v>475</v>
      </c>
      <c r="C35">
        <v>0</v>
      </c>
      <c r="D35" t="s">
        <v>212</v>
      </c>
      <c r="E35" t="s">
        <v>3</v>
      </c>
      <c r="F35" t="s">
        <v>420</v>
      </c>
      <c r="G35" t="s">
        <v>3</v>
      </c>
      <c r="H35">
        <v>112.84</v>
      </c>
      <c r="I35">
        <v>112.84</v>
      </c>
      <c r="J35">
        <v>0</v>
      </c>
      <c r="K35">
        <v>112.84</v>
      </c>
      <c r="L35">
        <v>0</v>
      </c>
      <c r="M35">
        <v>0</v>
      </c>
      <c r="N35">
        <v>0</v>
      </c>
      <c r="O35" t="s">
        <v>476</v>
      </c>
      <c r="P35" t="s">
        <v>3</v>
      </c>
      <c r="Q35" t="s">
        <v>477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112.84</v>
      </c>
      <c r="AD35">
        <v>1</v>
      </c>
      <c r="AE35">
        <v>0</v>
      </c>
      <c r="AF35">
        <v>1</v>
      </c>
      <c r="AG35">
        <v>3</v>
      </c>
      <c r="AH35" t="s">
        <v>206</v>
      </c>
      <c r="AI35" t="s">
        <v>213</v>
      </c>
      <c r="AJ35">
        <v>46127.390740740739</v>
      </c>
      <c r="AK35">
        <v>55927958</v>
      </c>
      <c r="AL35">
        <v>0</v>
      </c>
      <c r="AM35">
        <v>0</v>
      </c>
      <c r="AN35">
        <v>0</v>
      </c>
      <c r="AO35">
        <v>46073</v>
      </c>
      <c r="AP35">
        <v>0</v>
      </c>
      <c r="AQ35">
        <v>1</v>
      </c>
      <c r="AR35">
        <v>0</v>
      </c>
      <c r="AS35" t="s">
        <v>3</v>
      </c>
      <c r="AT35">
        <v>1</v>
      </c>
      <c r="AU35">
        <v>10.3</v>
      </c>
    </row>
    <row r="36" spans="2:47" x14ac:dyDescent="0.2">
      <c r="B36" t="s">
        <v>478</v>
      </c>
      <c r="C36">
        <v>1</v>
      </c>
      <c r="D36" t="s">
        <v>226</v>
      </c>
      <c r="E36" t="s">
        <v>3</v>
      </c>
      <c r="F36" t="s">
        <v>420</v>
      </c>
      <c r="G36" t="s">
        <v>3</v>
      </c>
      <c r="H36">
        <v>279.01</v>
      </c>
      <c r="I36">
        <v>279.01</v>
      </c>
      <c r="J36">
        <v>0</v>
      </c>
      <c r="K36">
        <v>279.01</v>
      </c>
      <c r="L36">
        <v>0</v>
      </c>
      <c r="M36">
        <v>0</v>
      </c>
      <c r="N36">
        <v>0</v>
      </c>
      <c r="O36" t="s">
        <v>461</v>
      </c>
      <c r="P36" t="s">
        <v>3</v>
      </c>
      <c r="Q36" t="s">
        <v>462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279.01</v>
      </c>
      <c r="AD36">
        <v>1</v>
      </c>
      <c r="AE36">
        <v>0</v>
      </c>
      <c r="AF36">
        <v>1</v>
      </c>
      <c r="AG36">
        <v>3</v>
      </c>
      <c r="AH36" t="s">
        <v>206</v>
      </c>
      <c r="AI36" t="s">
        <v>227</v>
      </c>
      <c r="AJ36">
        <v>46127.390763888892</v>
      </c>
      <c r="AK36">
        <v>55927952</v>
      </c>
      <c r="AL36">
        <v>0</v>
      </c>
      <c r="AM36">
        <v>0</v>
      </c>
      <c r="AN36">
        <v>0</v>
      </c>
      <c r="AO36">
        <v>46073</v>
      </c>
      <c r="AP36">
        <v>0</v>
      </c>
      <c r="AQ36">
        <v>1</v>
      </c>
      <c r="AR36">
        <v>0</v>
      </c>
      <c r="AS36" t="s">
        <v>423</v>
      </c>
      <c r="AT36">
        <v>1</v>
      </c>
      <c r="AU36">
        <v>81.599999999999994</v>
      </c>
    </row>
    <row r="37" spans="2:47" x14ac:dyDescent="0.2">
      <c r="B37" t="s">
        <v>479</v>
      </c>
      <c r="C37">
        <v>0</v>
      </c>
      <c r="D37" t="s">
        <v>226</v>
      </c>
      <c r="E37" t="s">
        <v>3</v>
      </c>
      <c r="F37" t="s">
        <v>420</v>
      </c>
      <c r="G37" t="s">
        <v>3</v>
      </c>
      <c r="H37">
        <v>291.3</v>
      </c>
      <c r="I37">
        <v>291.3</v>
      </c>
      <c r="J37">
        <v>0</v>
      </c>
      <c r="K37">
        <v>291.3</v>
      </c>
      <c r="L37">
        <v>0</v>
      </c>
      <c r="M37">
        <v>0</v>
      </c>
      <c r="N37">
        <v>0</v>
      </c>
      <c r="O37" t="s">
        <v>464</v>
      </c>
      <c r="P37" t="s">
        <v>3</v>
      </c>
      <c r="Q37" t="s">
        <v>465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291.3</v>
      </c>
      <c r="AD37">
        <v>1</v>
      </c>
      <c r="AE37">
        <v>0</v>
      </c>
      <c r="AF37">
        <v>1</v>
      </c>
      <c r="AG37">
        <v>3</v>
      </c>
      <c r="AH37" t="s">
        <v>206</v>
      </c>
      <c r="AI37" t="s">
        <v>227</v>
      </c>
      <c r="AJ37">
        <v>46127.390763888892</v>
      </c>
      <c r="AK37">
        <v>55927952</v>
      </c>
      <c r="AL37">
        <v>0</v>
      </c>
      <c r="AM37">
        <v>0</v>
      </c>
      <c r="AN37">
        <v>0</v>
      </c>
      <c r="AO37">
        <v>46073</v>
      </c>
      <c r="AP37">
        <v>0</v>
      </c>
      <c r="AQ37">
        <v>1</v>
      </c>
      <c r="AR37">
        <v>0</v>
      </c>
      <c r="AS37" t="s">
        <v>3</v>
      </c>
      <c r="AT37">
        <v>1</v>
      </c>
      <c r="AU37">
        <v>81.599999999999994</v>
      </c>
    </row>
    <row r="38" spans="2:47" x14ac:dyDescent="0.2">
      <c r="B38" t="s">
        <v>480</v>
      </c>
      <c r="C38">
        <v>0</v>
      </c>
      <c r="D38" t="s">
        <v>226</v>
      </c>
      <c r="E38" t="s">
        <v>3</v>
      </c>
      <c r="F38" t="s">
        <v>420</v>
      </c>
      <c r="G38" t="s">
        <v>3</v>
      </c>
      <c r="H38">
        <v>291.3</v>
      </c>
      <c r="I38">
        <v>291.3</v>
      </c>
      <c r="J38">
        <v>0</v>
      </c>
      <c r="K38">
        <v>291.3</v>
      </c>
      <c r="L38">
        <v>0</v>
      </c>
      <c r="M38">
        <v>0</v>
      </c>
      <c r="N38">
        <v>0</v>
      </c>
      <c r="O38" t="s">
        <v>467</v>
      </c>
      <c r="P38" t="s">
        <v>3</v>
      </c>
      <c r="Q38" t="s">
        <v>468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291.3</v>
      </c>
      <c r="AD38">
        <v>1</v>
      </c>
      <c r="AE38">
        <v>0</v>
      </c>
      <c r="AF38">
        <v>1</v>
      </c>
      <c r="AG38">
        <v>3</v>
      </c>
      <c r="AH38" t="s">
        <v>206</v>
      </c>
      <c r="AI38" t="s">
        <v>227</v>
      </c>
      <c r="AJ38">
        <v>46127.390763888892</v>
      </c>
      <c r="AK38">
        <v>55927952</v>
      </c>
      <c r="AL38">
        <v>0</v>
      </c>
      <c r="AM38">
        <v>0</v>
      </c>
      <c r="AN38">
        <v>0</v>
      </c>
      <c r="AO38">
        <v>46073</v>
      </c>
      <c r="AP38">
        <v>0</v>
      </c>
      <c r="AQ38">
        <v>1</v>
      </c>
      <c r="AR38">
        <v>0</v>
      </c>
      <c r="AS38" t="s">
        <v>3</v>
      </c>
      <c r="AT38">
        <v>1</v>
      </c>
      <c r="AU38">
        <v>81.599999999999994</v>
      </c>
    </row>
    <row r="39" spans="2:47" x14ac:dyDescent="0.2">
      <c r="B39" t="s">
        <v>481</v>
      </c>
      <c r="C39">
        <v>0</v>
      </c>
      <c r="D39" t="s">
        <v>235</v>
      </c>
      <c r="E39" t="s">
        <v>3</v>
      </c>
      <c r="F39" t="s">
        <v>420</v>
      </c>
      <c r="G39" t="s">
        <v>3</v>
      </c>
      <c r="H39">
        <v>160</v>
      </c>
      <c r="I39">
        <v>160</v>
      </c>
      <c r="J39">
        <v>0</v>
      </c>
      <c r="K39">
        <v>160</v>
      </c>
      <c r="L39">
        <v>0</v>
      </c>
      <c r="M39">
        <v>0</v>
      </c>
      <c r="N39">
        <v>0</v>
      </c>
      <c r="O39" t="s">
        <v>482</v>
      </c>
      <c r="P39" t="s">
        <v>3</v>
      </c>
      <c r="Q39" t="s">
        <v>483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160</v>
      </c>
      <c r="AD39">
        <v>1</v>
      </c>
      <c r="AE39">
        <v>0</v>
      </c>
      <c r="AF39">
        <v>1</v>
      </c>
      <c r="AG39">
        <v>3</v>
      </c>
      <c r="AH39" t="s">
        <v>206</v>
      </c>
      <c r="AI39" t="s">
        <v>236</v>
      </c>
      <c r="AJ39">
        <v>46127.390775462962</v>
      </c>
      <c r="AK39">
        <v>55927788</v>
      </c>
      <c r="AL39">
        <v>0</v>
      </c>
      <c r="AM39">
        <v>0</v>
      </c>
      <c r="AN39">
        <v>0</v>
      </c>
      <c r="AO39">
        <v>46073</v>
      </c>
      <c r="AP39">
        <v>0</v>
      </c>
      <c r="AQ39">
        <v>1</v>
      </c>
      <c r="AR39">
        <v>0</v>
      </c>
      <c r="AS39" t="s">
        <v>423</v>
      </c>
      <c r="AT39">
        <v>1</v>
      </c>
      <c r="AU39">
        <v>206</v>
      </c>
    </row>
    <row r="40" spans="2:47" x14ac:dyDescent="0.2">
      <c r="B40" t="s">
        <v>484</v>
      </c>
      <c r="C40">
        <v>0</v>
      </c>
      <c r="D40" t="s">
        <v>235</v>
      </c>
      <c r="E40" t="s">
        <v>3</v>
      </c>
      <c r="F40" t="s">
        <v>420</v>
      </c>
      <c r="G40" t="s">
        <v>3</v>
      </c>
      <c r="H40">
        <v>140.35</v>
      </c>
      <c r="I40">
        <v>140.35</v>
      </c>
      <c r="J40">
        <v>0</v>
      </c>
      <c r="K40">
        <v>140.35</v>
      </c>
      <c r="L40">
        <v>0</v>
      </c>
      <c r="M40">
        <v>0</v>
      </c>
      <c r="N40">
        <v>0</v>
      </c>
      <c r="O40" t="s">
        <v>485</v>
      </c>
      <c r="P40" t="s">
        <v>3</v>
      </c>
      <c r="Q40" t="s">
        <v>486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140.35</v>
      </c>
      <c r="AD40">
        <v>1</v>
      </c>
      <c r="AE40">
        <v>0</v>
      </c>
      <c r="AF40">
        <v>1</v>
      </c>
      <c r="AG40">
        <v>3</v>
      </c>
      <c r="AH40" t="s">
        <v>206</v>
      </c>
      <c r="AI40" t="s">
        <v>236</v>
      </c>
      <c r="AJ40">
        <v>46127.390775462962</v>
      </c>
      <c r="AK40">
        <v>55927788</v>
      </c>
      <c r="AL40">
        <v>0</v>
      </c>
      <c r="AM40">
        <v>0</v>
      </c>
      <c r="AN40">
        <v>0</v>
      </c>
      <c r="AO40">
        <v>46073</v>
      </c>
      <c r="AP40">
        <v>0</v>
      </c>
      <c r="AQ40">
        <v>1</v>
      </c>
      <c r="AR40">
        <v>0</v>
      </c>
      <c r="AS40" t="s">
        <v>3</v>
      </c>
      <c r="AT40">
        <v>1</v>
      </c>
      <c r="AU40">
        <v>206</v>
      </c>
    </row>
    <row r="41" spans="2:47" x14ac:dyDescent="0.2">
      <c r="B41" t="s">
        <v>487</v>
      </c>
      <c r="C41">
        <v>1</v>
      </c>
      <c r="D41" t="s">
        <v>235</v>
      </c>
      <c r="E41" t="s">
        <v>3</v>
      </c>
      <c r="F41" t="s">
        <v>420</v>
      </c>
      <c r="G41" t="s">
        <v>3</v>
      </c>
      <c r="H41">
        <v>133.33000000000001</v>
      </c>
      <c r="I41">
        <v>133.33000000000001</v>
      </c>
      <c r="J41">
        <v>0</v>
      </c>
      <c r="K41">
        <v>133.33000000000001</v>
      </c>
      <c r="L41">
        <v>0</v>
      </c>
      <c r="M41">
        <v>0</v>
      </c>
      <c r="N41">
        <v>0</v>
      </c>
      <c r="O41" t="s">
        <v>488</v>
      </c>
      <c r="P41" t="s">
        <v>3</v>
      </c>
      <c r="Q41" t="s">
        <v>489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133.33000000000001</v>
      </c>
      <c r="AD41">
        <v>1</v>
      </c>
      <c r="AE41">
        <v>0</v>
      </c>
      <c r="AF41">
        <v>1</v>
      </c>
      <c r="AG41">
        <v>3</v>
      </c>
      <c r="AH41" t="s">
        <v>206</v>
      </c>
      <c r="AI41" t="s">
        <v>236</v>
      </c>
      <c r="AJ41">
        <v>46127.390775462962</v>
      </c>
      <c r="AK41">
        <v>55927788</v>
      </c>
      <c r="AL41">
        <v>0</v>
      </c>
      <c r="AM41">
        <v>0</v>
      </c>
      <c r="AN41">
        <v>0</v>
      </c>
      <c r="AO41">
        <v>46073</v>
      </c>
      <c r="AP41">
        <v>0</v>
      </c>
      <c r="AQ41">
        <v>1</v>
      </c>
      <c r="AR41">
        <v>0</v>
      </c>
      <c r="AS41" t="s">
        <v>3</v>
      </c>
      <c r="AT41">
        <v>1</v>
      </c>
      <c r="AU41">
        <v>206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Борисова Людмила Александровна</cp:lastModifiedBy>
  <dcterms:created xsi:type="dcterms:W3CDTF">2026-05-07T12:07:23Z</dcterms:created>
  <dcterms:modified xsi:type="dcterms:W3CDTF">2026-07-02T16:44:59Z</dcterms:modified>
</cp:coreProperties>
</file>