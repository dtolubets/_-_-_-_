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ЭКСПЕРТИЗА\Школы-IT\2026 год\57945-1-9 Кап рем школы 1574 Старопименовский пер д.5\00_Заявлено\"/>
    </mc:Choice>
  </mc:AlternateContent>
  <xr:revisionPtr revIDLastSave="0" documentId="13_ncr:1_{6BFB1DE9-2F2E-4C2B-8D44-0AC8C959F25B}" xr6:coauthVersionLast="36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_FilterDatabase" localSheetId="0" hidden="1">'Смета по ТСН-2001(с доп.67'!$A$1:$AV$542</definedName>
    <definedName name="_xlnm.Print_Titles" localSheetId="0">'Смета по ТСН-2001(с доп.67'!$34:$34</definedName>
    <definedName name="_xlnm.Print_Area" localSheetId="0">'Смета по ТСН-2001(с доп.67'!$A$1:$K$543</definedName>
  </definedNames>
  <calcPr calcId="191029" calcOnSave="0"/>
</workbook>
</file>

<file path=xl/calcChain.xml><?xml version="1.0" encoding="utf-8"?>
<calcChain xmlns="http://schemas.openxmlformats.org/spreadsheetml/2006/main">
  <c r="A15" i="7" l="1"/>
  <c r="H541" i="7"/>
  <c r="H538" i="7"/>
  <c r="C541" i="7"/>
  <c r="C538" i="7"/>
  <c r="J29" i="7"/>
  <c r="J26" i="7"/>
  <c r="J25" i="7"/>
  <c r="J24" i="7"/>
  <c r="J23" i="7"/>
  <c r="J22" i="7"/>
  <c r="J21" i="7"/>
  <c r="I29" i="7"/>
  <c r="I27" i="7"/>
  <c r="I26" i="7"/>
  <c r="I25" i="7"/>
  <c r="I24" i="7"/>
  <c r="I23" i="7"/>
  <c r="I22" i="7"/>
  <c r="I535" i="7"/>
  <c r="J535" i="7"/>
  <c r="I534" i="7"/>
  <c r="J534" i="7"/>
  <c r="A533" i="7"/>
  <c r="I531" i="7"/>
  <c r="J531" i="7"/>
  <c r="I530" i="7"/>
  <c r="J530" i="7"/>
  <c r="A529" i="7"/>
  <c r="I527" i="7"/>
  <c r="J527" i="7"/>
  <c r="I526" i="7"/>
  <c r="J526" i="7"/>
  <c r="A525" i="7"/>
  <c r="K521" i="7"/>
  <c r="Q522" i="7" s="1"/>
  <c r="J521" i="7"/>
  <c r="I521" i="7"/>
  <c r="P522" i="7" s="1"/>
  <c r="H521" i="7"/>
  <c r="F521" i="7"/>
  <c r="W521" i="7"/>
  <c r="U521" i="7"/>
  <c r="S521" i="7"/>
  <c r="V521" i="7"/>
  <c r="T521" i="7"/>
  <c r="R521" i="7"/>
  <c r="E521" i="7"/>
  <c r="D521" i="7"/>
  <c r="B521" i="7"/>
  <c r="H518" i="7"/>
  <c r="J518" i="7"/>
  <c r="I516" i="7"/>
  <c r="H516" i="7"/>
  <c r="E516" i="7"/>
  <c r="J515" i="7"/>
  <c r="I515" i="7"/>
  <c r="E515" i="7"/>
  <c r="J514" i="7"/>
  <c r="E514" i="7"/>
  <c r="K513" i="7"/>
  <c r="J513" i="7"/>
  <c r="H513" i="7"/>
  <c r="I513" i="7"/>
  <c r="F513" i="7"/>
  <c r="W513" i="7"/>
  <c r="U513" i="7"/>
  <c r="S513" i="7"/>
  <c r="V513" i="7"/>
  <c r="T513" i="7"/>
  <c r="R513" i="7"/>
  <c r="E513" i="7"/>
  <c r="D513" i="7"/>
  <c r="B513" i="7"/>
  <c r="K512" i="7"/>
  <c r="J512" i="7"/>
  <c r="I512" i="7"/>
  <c r="H512" i="7"/>
  <c r="F512" i="7"/>
  <c r="K511" i="7"/>
  <c r="J511" i="7"/>
  <c r="I511" i="7"/>
  <c r="H511" i="7"/>
  <c r="F511" i="7"/>
  <c r="W510" i="7"/>
  <c r="U510" i="7"/>
  <c r="S510" i="7"/>
  <c r="V510" i="7"/>
  <c r="T510" i="7"/>
  <c r="R510" i="7"/>
  <c r="I514" i="7" s="1"/>
  <c r="E510" i="7"/>
  <c r="D510" i="7"/>
  <c r="B510" i="7"/>
  <c r="A509" i="7"/>
  <c r="I507" i="7"/>
  <c r="J507" i="7"/>
  <c r="I506" i="7"/>
  <c r="J506" i="7"/>
  <c r="A505" i="7"/>
  <c r="P502" i="7"/>
  <c r="J502" i="7"/>
  <c r="K501" i="7"/>
  <c r="Q502" i="7" s="1"/>
  <c r="J501" i="7"/>
  <c r="I501" i="7"/>
  <c r="H502" i="7" s="1"/>
  <c r="H501" i="7"/>
  <c r="F501" i="7"/>
  <c r="W501" i="7"/>
  <c r="U501" i="7"/>
  <c r="S501" i="7"/>
  <c r="V501" i="7"/>
  <c r="T501" i="7"/>
  <c r="R501" i="7"/>
  <c r="E501" i="7"/>
  <c r="D501" i="7"/>
  <c r="B501" i="7"/>
  <c r="C498" i="7"/>
  <c r="K497" i="7"/>
  <c r="Q499" i="7" s="1"/>
  <c r="J497" i="7"/>
  <c r="I497" i="7"/>
  <c r="H499" i="7" s="1"/>
  <c r="H497" i="7"/>
  <c r="F497" i="7"/>
  <c r="W497" i="7"/>
  <c r="U497" i="7"/>
  <c r="S497" i="7"/>
  <c r="V497" i="7"/>
  <c r="T497" i="7"/>
  <c r="R497" i="7"/>
  <c r="E497" i="7"/>
  <c r="D497" i="7"/>
  <c r="B497" i="7"/>
  <c r="H494" i="7"/>
  <c r="J494" i="7"/>
  <c r="I492" i="7"/>
  <c r="H492" i="7"/>
  <c r="E492" i="7"/>
  <c r="K491" i="7"/>
  <c r="J491" i="7"/>
  <c r="E491" i="7"/>
  <c r="J490" i="7"/>
  <c r="E490" i="7"/>
  <c r="K489" i="7"/>
  <c r="J489" i="7"/>
  <c r="I489" i="7"/>
  <c r="H489" i="7"/>
  <c r="F489" i="7"/>
  <c r="K488" i="7"/>
  <c r="J488" i="7"/>
  <c r="I488" i="7"/>
  <c r="H488" i="7"/>
  <c r="F488" i="7"/>
  <c r="C487" i="7"/>
  <c r="W486" i="7"/>
  <c r="U486" i="7"/>
  <c r="S486" i="7"/>
  <c r="K490" i="7" s="1"/>
  <c r="V486" i="7"/>
  <c r="T486" i="7"/>
  <c r="I491" i="7" s="1"/>
  <c r="R486" i="7"/>
  <c r="I490" i="7" s="1"/>
  <c r="E486" i="7"/>
  <c r="D486" i="7"/>
  <c r="B486" i="7"/>
  <c r="Q484" i="7"/>
  <c r="J484" i="7"/>
  <c r="K483" i="7"/>
  <c r="J483" i="7"/>
  <c r="I483" i="7"/>
  <c r="P484" i="7" s="1"/>
  <c r="H483" i="7"/>
  <c r="F483" i="7"/>
  <c r="W483" i="7"/>
  <c r="U483" i="7"/>
  <c r="S483" i="7"/>
  <c r="V483" i="7"/>
  <c r="T483" i="7"/>
  <c r="R483" i="7"/>
  <c r="E483" i="7"/>
  <c r="D483" i="7"/>
  <c r="B483" i="7"/>
  <c r="H480" i="7"/>
  <c r="J480" i="7"/>
  <c r="I478" i="7"/>
  <c r="H478" i="7"/>
  <c r="E478" i="7"/>
  <c r="J477" i="7"/>
  <c r="E477" i="7"/>
  <c r="J476" i="7"/>
  <c r="E476" i="7"/>
  <c r="K475" i="7"/>
  <c r="J475" i="7"/>
  <c r="I475" i="7"/>
  <c r="H475" i="7"/>
  <c r="F475" i="7"/>
  <c r="K474" i="7"/>
  <c r="J474" i="7"/>
  <c r="I474" i="7"/>
  <c r="H474" i="7"/>
  <c r="F474" i="7"/>
  <c r="K473" i="7"/>
  <c r="J473" i="7"/>
  <c r="I473" i="7"/>
  <c r="H473" i="7"/>
  <c r="F473" i="7"/>
  <c r="K472" i="7"/>
  <c r="J472" i="7"/>
  <c r="I472" i="7"/>
  <c r="H472" i="7"/>
  <c r="F472" i="7"/>
  <c r="W471" i="7"/>
  <c r="U471" i="7"/>
  <c r="K477" i="7" s="1"/>
  <c r="S471" i="7"/>
  <c r="K476" i="7" s="1"/>
  <c r="V471" i="7"/>
  <c r="T471" i="7"/>
  <c r="I477" i="7" s="1"/>
  <c r="R471" i="7"/>
  <c r="I476" i="7" s="1"/>
  <c r="E471" i="7"/>
  <c r="D471" i="7"/>
  <c r="B471" i="7"/>
  <c r="A470" i="7"/>
  <c r="I468" i="7"/>
  <c r="J468" i="7"/>
  <c r="I467" i="7"/>
  <c r="J467" i="7"/>
  <c r="A466" i="7"/>
  <c r="K462" i="7"/>
  <c r="Q463" i="7" s="1"/>
  <c r="J462" i="7"/>
  <c r="I462" i="7"/>
  <c r="P463" i="7" s="1"/>
  <c r="H462" i="7"/>
  <c r="F462" i="7"/>
  <c r="W462" i="7"/>
  <c r="U462" i="7"/>
  <c r="S462" i="7"/>
  <c r="V462" i="7"/>
  <c r="T462" i="7"/>
  <c r="R462" i="7"/>
  <c r="E462" i="7"/>
  <c r="D462" i="7"/>
  <c r="B462" i="7"/>
  <c r="P460" i="7"/>
  <c r="Q460" i="7"/>
  <c r="J460" i="7"/>
  <c r="K459" i="7"/>
  <c r="J459" i="7"/>
  <c r="I459" i="7"/>
  <c r="H460" i="7" s="1"/>
  <c r="H459" i="7"/>
  <c r="F459" i="7"/>
  <c r="W459" i="7"/>
  <c r="U459" i="7"/>
  <c r="S459" i="7"/>
  <c r="V459" i="7"/>
  <c r="T459" i="7"/>
  <c r="R459" i="7"/>
  <c r="E459" i="7"/>
  <c r="D459" i="7"/>
  <c r="B459" i="7"/>
  <c r="K456" i="7"/>
  <c r="Q457" i="7" s="1"/>
  <c r="J456" i="7"/>
  <c r="I456" i="7"/>
  <c r="P457" i="7" s="1"/>
  <c r="H456" i="7"/>
  <c r="F456" i="7"/>
  <c r="W456" i="7"/>
  <c r="U456" i="7"/>
  <c r="S456" i="7"/>
  <c r="V456" i="7"/>
  <c r="T456" i="7"/>
  <c r="R456" i="7"/>
  <c r="E456" i="7"/>
  <c r="D456" i="7"/>
  <c r="B456" i="7"/>
  <c r="I451" i="7"/>
  <c r="H451" i="7"/>
  <c r="E451" i="7"/>
  <c r="J450" i="7"/>
  <c r="E450" i="7"/>
  <c r="J449" i="7"/>
  <c r="E449" i="7"/>
  <c r="K448" i="7"/>
  <c r="J448" i="7"/>
  <c r="H448" i="7"/>
  <c r="I448" i="7"/>
  <c r="F448" i="7"/>
  <c r="W448" i="7"/>
  <c r="U448" i="7"/>
  <c r="S448" i="7"/>
  <c r="V448" i="7"/>
  <c r="T448" i="7"/>
  <c r="R448" i="7"/>
  <c r="E448" i="7"/>
  <c r="D448" i="7"/>
  <c r="B448" i="7"/>
  <c r="K447" i="7"/>
  <c r="J453" i="7" s="1"/>
  <c r="J447" i="7"/>
  <c r="H447" i="7"/>
  <c r="I447" i="7"/>
  <c r="H453" i="7" s="1"/>
  <c r="F447" i="7"/>
  <c r="W447" i="7"/>
  <c r="U447" i="7"/>
  <c r="S447" i="7"/>
  <c r="V447" i="7"/>
  <c r="T447" i="7"/>
  <c r="R447" i="7"/>
  <c r="E447" i="7"/>
  <c r="D447" i="7"/>
  <c r="B447" i="7"/>
  <c r="K446" i="7"/>
  <c r="J446" i="7"/>
  <c r="I446" i="7"/>
  <c r="H446" i="7"/>
  <c r="F446" i="7"/>
  <c r="K445" i="7"/>
  <c r="J445" i="7"/>
  <c r="I445" i="7"/>
  <c r="H445" i="7"/>
  <c r="F445" i="7"/>
  <c r="W444" i="7"/>
  <c r="U444" i="7"/>
  <c r="S444" i="7"/>
  <c r="V444" i="7"/>
  <c r="T444" i="7"/>
  <c r="R444" i="7"/>
  <c r="E444" i="7"/>
  <c r="D444" i="7"/>
  <c r="B444" i="7"/>
  <c r="A443" i="7"/>
  <c r="I441" i="7"/>
  <c r="J441" i="7"/>
  <c r="I440" i="7"/>
  <c r="J440" i="7"/>
  <c r="A439" i="7"/>
  <c r="H436" i="7"/>
  <c r="C435" i="7"/>
  <c r="K434" i="7"/>
  <c r="Q436" i="7" s="1"/>
  <c r="J434" i="7"/>
  <c r="I434" i="7"/>
  <c r="P436" i="7" s="1"/>
  <c r="H434" i="7"/>
  <c r="F434" i="7"/>
  <c r="W434" i="7"/>
  <c r="U434" i="7"/>
  <c r="S434" i="7"/>
  <c r="V434" i="7"/>
  <c r="T434" i="7"/>
  <c r="R434" i="7"/>
  <c r="E434" i="7"/>
  <c r="D434" i="7"/>
  <c r="B434" i="7"/>
  <c r="C431" i="7"/>
  <c r="K430" i="7"/>
  <c r="J432" i="7" s="1"/>
  <c r="J430" i="7"/>
  <c r="I430" i="7"/>
  <c r="P432" i="7" s="1"/>
  <c r="H430" i="7"/>
  <c r="F430" i="7"/>
  <c r="W430" i="7"/>
  <c r="U430" i="7"/>
  <c r="S430" i="7"/>
  <c r="V430" i="7"/>
  <c r="T430" i="7"/>
  <c r="R430" i="7"/>
  <c r="E430" i="7"/>
  <c r="D430" i="7"/>
  <c r="B430" i="7"/>
  <c r="H427" i="7"/>
  <c r="J427" i="7"/>
  <c r="I425" i="7"/>
  <c r="H425" i="7"/>
  <c r="E425" i="7"/>
  <c r="J424" i="7"/>
  <c r="E424" i="7"/>
  <c r="J423" i="7"/>
  <c r="E423" i="7"/>
  <c r="K422" i="7"/>
  <c r="J422" i="7"/>
  <c r="I422" i="7"/>
  <c r="H422" i="7"/>
  <c r="F422" i="7"/>
  <c r="K421" i="7"/>
  <c r="J421" i="7"/>
  <c r="I421" i="7"/>
  <c r="H421" i="7"/>
  <c r="F421" i="7"/>
  <c r="K420" i="7"/>
  <c r="J420" i="7"/>
  <c r="I420" i="7"/>
  <c r="H420" i="7"/>
  <c r="F420" i="7"/>
  <c r="K419" i="7"/>
  <c r="J419" i="7"/>
  <c r="I419" i="7"/>
  <c r="H419" i="7"/>
  <c r="F419" i="7"/>
  <c r="C418" i="7"/>
  <c r="W417" i="7"/>
  <c r="U417" i="7"/>
  <c r="K424" i="7" s="1"/>
  <c r="S417" i="7"/>
  <c r="K423" i="7" s="1"/>
  <c r="V417" i="7"/>
  <c r="T417" i="7"/>
  <c r="I424" i="7" s="1"/>
  <c r="R417" i="7"/>
  <c r="I423" i="7" s="1"/>
  <c r="E417" i="7"/>
  <c r="D417" i="7"/>
  <c r="B417" i="7"/>
  <c r="C414" i="7"/>
  <c r="K413" i="7"/>
  <c r="Q415" i="7" s="1"/>
  <c r="J413" i="7"/>
  <c r="I413" i="7"/>
  <c r="P415" i="7" s="1"/>
  <c r="H413" i="7"/>
  <c r="F413" i="7"/>
  <c r="W413" i="7"/>
  <c r="U413" i="7"/>
  <c r="S413" i="7"/>
  <c r="V413" i="7"/>
  <c r="T413" i="7"/>
  <c r="R413" i="7"/>
  <c r="E413" i="7"/>
  <c r="D413" i="7"/>
  <c r="B413" i="7"/>
  <c r="H410" i="7"/>
  <c r="J410" i="7"/>
  <c r="I408" i="7"/>
  <c r="H408" i="7"/>
  <c r="E408" i="7"/>
  <c r="J407" i="7"/>
  <c r="E407" i="7"/>
  <c r="J406" i="7"/>
  <c r="E406" i="7"/>
  <c r="K405" i="7"/>
  <c r="J405" i="7"/>
  <c r="H405" i="7"/>
  <c r="I405" i="7"/>
  <c r="F405" i="7"/>
  <c r="W405" i="7"/>
  <c r="U405" i="7"/>
  <c r="S405" i="7"/>
  <c r="V405" i="7"/>
  <c r="T405" i="7"/>
  <c r="R405" i="7"/>
  <c r="E405" i="7"/>
  <c r="D405" i="7"/>
  <c r="B405" i="7"/>
  <c r="K404" i="7"/>
  <c r="J404" i="7"/>
  <c r="H404" i="7"/>
  <c r="I404" i="7"/>
  <c r="F404" i="7"/>
  <c r="W404" i="7"/>
  <c r="U404" i="7"/>
  <c r="S404" i="7"/>
  <c r="V404" i="7"/>
  <c r="T404" i="7"/>
  <c r="R404" i="7"/>
  <c r="E404" i="7"/>
  <c r="D404" i="7"/>
  <c r="B404" i="7"/>
  <c r="K403" i="7"/>
  <c r="J403" i="7"/>
  <c r="I403" i="7"/>
  <c r="H403" i="7"/>
  <c r="F403" i="7"/>
  <c r="K402" i="7"/>
  <c r="J402" i="7"/>
  <c r="I402" i="7"/>
  <c r="H402" i="7"/>
  <c r="F402" i="7"/>
  <c r="K401" i="7"/>
  <c r="J401" i="7"/>
  <c r="I401" i="7"/>
  <c r="H401" i="7"/>
  <c r="F401" i="7"/>
  <c r="C400" i="7"/>
  <c r="W399" i="7"/>
  <c r="U399" i="7"/>
  <c r="K407" i="7" s="1"/>
  <c r="S399" i="7"/>
  <c r="V399" i="7"/>
  <c r="T399" i="7"/>
  <c r="R399" i="7"/>
  <c r="E399" i="7"/>
  <c r="D399" i="7"/>
  <c r="B399" i="7"/>
  <c r="A398" i="7"/>
  <c r="I396" i="7"/>
  <c r="J396" i="7"/>
  <c r="I395" i="7"/>
  <c r="J395" i="7"/>
  <c r="A394" i="7"/>
  <c r="K390" i="7"/>
  <c r="Q391" i="7" s="1"/>
  <c r="J390" i="7"/>
  <c r="I390" i="7"/>
  <c r="P391" i="7" s="1"/>
  <c r="H390" i="7"/>
  <c r="F390" i="7"/>
  <c r="W390" i="7"/>
  <c r="U390" i="7"/>
  <c r="S390" i="7"/>
  <c r="V390" i="7"/>
  <c r="T390" i="7"/>
  <c r="R390" i="7"/>
  <c r="E390" i="7"/>
  <c r="D390" i="7"/>
  <c r="B390" i="7"/>
  <c r="P388" i="7"/>
  <c r="H388" i="7"/>
  <c r="J388" i="7"/>
  <c r="K387" i="7"/>
  <c r="Q388" i="7" s="1"/>
  <c r="J387" i="7"/>
  <c r="I387" i="7"/>
  <c r="H387" i="7"/>
  <c r="F387" i="7"/>
  <c r="W387" i="7"/>
  <c r="U387" i="7"/>
  <c r="S387" i="7"/>
  <c r="V387" i="7"/>
  <c r="T387" i="7"/>
  <c r="R387" i="7"/>
  <c r="E387" i="7"/>
  <c r="D387" i="7"/>
  <c r="B387" i="7"/>
  <c r="H384" i="7"/>
  <c r="J384" i="7"/>
  <c r="I382" i="7"/>
  <c r="H382" i="7"/>
  <c r="E382" i="7"/>
  <c r="J381" i="7"/>
  <c r="E381" i="7"/>
  <c r="J380" i="7"/>
  <c r="I380" i="7"/>
  <c r="E380" i="7"/>
  <c r="K379" i="7"/>
  <c r="J379" i="7"/>
  <c r="I379" i="7"/>
  <c r="H379" i="7"/>
  <c r="F379" i="7"/>
  <c r="K378" i="7"/>
  <c r="J378" i="7"/>
  <c r="I378" i="7"/>
  <c r="H378" i="7"/>
  <c r="F378" i="7"/>
  <c r="C377" i="7"/>
  <c r="W376" i="7"/>
  <c r="U376" i="7"/>
  <c r="K381" i="7" s="1"/>
  <c r="S376" i="7"/>
  <c r="K380" i="7" s="1"/>
  <c r="V376" i="7"/>
  <c r="T376" i="7"/>
  <c r="I381" i="7" s="1"/>
  <c r="R376" i="7"/>
  <c r="E376" i="7"/>
  <c r="D376" i="7"/>
  <c r="B376" i="7"/>
  <c r="A375" i="7"/>
  <c r="I373" i="7"/>
  <c r="J373" i="7"/>
  <c r="I372" i="7"/>
  <c r="J372" i="7"/>
  <c r="A371" i="7"/>
  <c r="K367" i="7"/>
  <c r="Q368" i="7" s="1"/>
  <c r="J367" i="7"/>
  <c r="I367" i="7"/>
  <c r="P368" i="7" s="1"/>
  <c r="H367" i="7"/>
  <c r="F367" i="7"/>
  <c r="W367" i="7"/>
  <c r="U367" i="7"/>
  <c r="S367" i="7"/>
  <c r="V367" i="7"/>
  <c r="T367" i="7"/>
  <c r="R367" i="7"/>
  <c r="E367" i="7"/>
  <c r="D367" i="7"/>
  <c r="B367" i="7"/>
  <c r="K364" i="7"/>
  <c r="J365" i="7" s="1"/>
  <c r="J364" i="7"/>
  <c r="I364" i="7"/>
  <c r="P365" i="7" s="1"/>
  <c r="H364" i="7"/>
  <c r="F364" i="7"/>
  <c r="W364" i="7"/>
  <c r="U364" i="7"/>
  <c r="S364" i="7"/>
  <c r="V364" i="7"/>
  <c r="T364" i="7"/>
  <c r="R364" i="7"/>
  <c r="E364" i="7"/>
  <c r="D364" i="7"/>
  <c r="B364" i="7"/>
  <c r="K361" i="7"/>
  <c r="Q362" i="7" s="1"/>
  <c r="J361" i="7"/>
  <c r="I361" i="7"/>
  <c r="P362" i="7" s="1"/>
  <c r="H361" i="7"/>
  <c r="F361" i="7"/>
  <c r="W361" i="7"/>
  <c r="U361" i="7"/>
  <c r="S361" i="7"/>
  <c r="V361" i="7"/>
  <c r="T361" i="7"/>
  <c r="R361" i="7"/>
  <c r="E361" i="7"/>
  <c r="D361" i="7"/>
  <c r="B361" i="7"/>
  <c r="P359" i="7"/>
  <c r="K358" i="7"/>
  <c r="Q359" i="7" s="1"/>
  <c r="J358" i="7"/>
  <c r="I358" i="7"/>
  <c r="H359" i="7" s="1"/>
  <c r="H358" i="7"/>
  <c r="F358" i="7"/>
  <c r="W358" i="7"/>
  <c r="U358" i="7"/>
  <c r="S358" i="7"/>
  <c r="V358" i="7"/>
  <c r="T358" i="7"/>
  <c r="R358" i="7"/>
  <c r="E358" i="7"/>
  <c r="D358" i="7"/>
  <c r="B358" i="7"/>
  <c r="H355" i="7"/>
  <c r="J355" i="7"/>
  <c r="I353" i="7"/>
  <c r="H353" i="7"/>
  <c r="E353" i="7"/>
  <c r="K352" i="7"/>
  <c r="J352" i="7"/>
  <c r="E352" i="7"/>
  <c r="J351" i="7"/>
  <c r="E351" i="7"/>
  <c r="K350" i="7"/>
  <c r="J350" i="7"/>
  <c r="I350" i="7"/>
  <c r="H350" i="7"/>
  <c r="F350" i="7"/>
  <c r="K349" i="7"/>
  <c r="J349" i="7"/>
  <c r="I349" i="7"/>
  <c r="H349" i="7"/>
  <c r="F349" i="7"/>
  <c r="W348" i="7"/>
  <c r="U348" i="7"/>
  <c r="S348" i="7"/>
  <c r="K351" i="7" s="1"/>
  <c r="V348" i="7"/>
  <c r="T348" i="7"/>
  <c r="I352" i="7" s="1"/>
  <c r="R348" i="7"/>
  <c r="I351" i="7" s="1"/>
  <c r="E348" i="7"/>
  <c r="D348" i="7"/>
  <c r="B348" i="7"/>
  <c r="A347" i="7"/>
  <c r="I345" i="7"/>
  <c r="J345" i="7"/>
  <c r="I344" i="7"/>
  <c r="J344" i="7"/>
  <c r="A343" i="7"/>
  <c r="P340" i="7"/>
  <c r="H340" i="7"/>
  <c r="K339" i="7"/>
  <c r="Q340" i="7" s="1"/>
  <c r="J339" i="7"/>
  <c r="I339" i="7"/>
  <c r="H339" i="7"/>
  <c r="F339" i="7"/>
  <c r="W339" i="7"/>
  <c r="U339" i="7"/>
  <c r="S339" i="7"/>
  <c r="V339" i="7"/>
  <c r="T339" i="7"/>
  <c r="R339" i="7"/>
  <c r="E339" i="7"/>
  <c r="D339" i="7"/>
  <c r="B339" i="7"/>
  <c r="K336" i="7"/>
  <c r="Q337" i="7" s="1"/>
  <c r="J336" i="7"/>
  <c r="I336" i="7"/>
  <c r="P337" i="7" s="1"/>
  <c r="H336" i="7"/>
  <c r="F336" i="7"/>
  <c r="W336" i="7"/>
  <c r="U336" i="7"/>
  <c r="S336" i="7"/>
  <c r="V336" i="7"/>
  <c r="T336" i="7"/>
  <c r="R336" i="7"/>
  <c r="E336" i="7"/>
  <c r="D336" i="7"/>
  <c r="B336" i="7"/>
  <c r="H333" i="7"/>
  <c r="J333" i="7"/>
  <c r="I331" i="7"/>
  <c r="H331" i="7"/>
  <c r="E331" i="7"/>
  <c r="J330" i="7"/>
  <c r="E330" i="7"/>
  <c r="J329" i="7"/>
  <c r="E329" i="7"/>
  <c r="K328" i="7"/>
  <c r="J328" i="7"/>
  <c r="I328" i="7"/>
  <c r="H328" i="7"/>
  <c r="F328" i="7"/>
  <c r="K327" i="7"/>
  <c r="J327" i="7"/>
  <c r="I327" i="7"/>
  <c r="H327" i="7"/>
  <c r="F327" i="7"/>
  <c r="C326" i="7"/>
  <c r="W325" i="7"/>
  <c r="U325" i="7"/>
  <c r="K330" i="7" s="1"/>
  <c r="S325" i="7"/>
  <c r="K329" i="7" s="1"/>
  <c r="V325" i="7"/>
  <c r="T325" i="7"/>
  <c r="I330" i="7" s="1"/>
  <c r="R325" i="7"/>
  <c r="I329" i="7" s="1"/>
  <c r="E325" i="7"/>
  <c r="D325" i="7"/>
  <c r="B325" i="7"/>
  <c r="K322" i="7"/>
  <c r="Q323" i="7" s="1"/>
  <c r="J322" i="7"/>
  <c r="I322" i="7"/>
  <c r="P323" i="7" s="1"/>
  <c r="H322" i="7"/>
  <c r="F322" i="7"/>
  <c r="W322" i="7"/>
  <c r="U322" i="7"/>
  <c r="S322" i="7"/>
  <c r="V322" i="7"/>
  <c r="T322" i="7"/>
  <c r="R322" i="7"/>
  <c r="E322" i="7"/>
  <c r="D322" i="7"/>
  <c r="B322" i="7"/>
  <c r="K319" i="7"/>
  <c r="Q320" i="7" s="1"/>
  <c r="J319" i="7"/>
  <c r="I319" i="7"/>
  <c r="P320" i="7" s="1"/>
  <c r="H319" i="7"/>
  <c r="F319" i="7"/>
  <c r="W319" i="7"/>
  <c r="U319" i="7"/>
  <c r="S319" i="7"/>
  <c r="V319" i="7"/>
  <c r="T319" i="7"/>
  <c r="R319" i="7"/>
  <c r="E319" i="7"/>
  <c r="D319" i="7"/>
  <c r="B319" i="7"/>
  <c r="K316" i="7"/>
  <c r="Q317" i="7" s="1"/>
  <c r="J316" i="7"/>
  <c r="I316" i="7"/>
  <c r="P317" i="7" s="1"/>
  <c r="H316" i="7"/>
  <c r="F316" i="7"/>
  <c r="W316" i="7"/>
  <c r="U316" i="7"/>
  <c r="S316" i="7"/>
  <c r="V316" i="7"/>
  <c r="T316" i="7"/>
  <c r="R316" i="7"/>
  <c r="E316" i="7"/>
  <c r="D316" i="7"/>
  <c r="B316" i="7"/>
  <c r="H313" i="7"/>
  <c r="J313" i="7"/>
  <c r="I311" i="7"/>
  <c r="H311" i="7"/>
  <c r="E311" i="7"/>
  <c r="J310" i="7"/>
  <c r="E310" i="7"/>
  <c r="K309" i="7"/>
  <c r="J309" i="7"/>
  <c r="E309" i="7"/>
  <c r="K308" i="7"/>
  <c r="J308" i="7"/>
  <c r="I308" i="7"/>
  <c r="H308" i="7"/>
  <c r="F308" i="7"/>
  <c r="K307" i="7"/>
  <c r="J307" i="7"/>
  <c r="I307" i="7"/>
  <c r="H307" i="7"/>
  <c r="F307" i="7"/>
  <c r="C306" i="7"/>
  <c r="W305" i="7"/>
  <c r="U305" i="7"/>
  <c r="K310" i="7" s="1"/>
  <c r="S305" i="7"/>
  <c r="V305" i="7"/>
  <c r="T305" i="7"/>
  <c r="I310" i="7" s="1"/>
  <c r="R305" i="7"/>
  <c r="I309" i="7" s="1"/>
  <c r="E305" i="7"/>
  <c r="D305" i="7"/>
  <c r="B305" i="7"/>
  <c r="H303" i="7"/>
  <c r="K302" i="7"/>
  <c r="Q303" i="7" s="1"/>
  <c r="J302" i="7"/>
  <c r="I302" i="7"/>
  <c r="P303" i="7" s="1"/>
  <c r="H302" i="7"/>
  <c r="F302" i="7"/>
  <c r="W302" i="7"/>
  <c r="U302" i="7"/>
  <c r="S302" i="7"/>
  <c r="V302" i="7"/>
  <c r="T302" i="7"/>
  <c r="R302" i="7"/>
  <c r="E302" i="7"/>
  <c r="D302" i="7"/>
  <c r="B302" i="7"/>
  <c r="H300" i="7"/>
  <c r="K299" i="7"/>
  <c r="Q300" i="7" s="1"/>
  <c r="J299" i="7"/>
  <c r="I299" i="7"/>
  <c r="P300" i="7" s="1"/>
  <c r="H299" i="7"/>
  <c r="F299" i="7"/>
  <c r="W299" i="7"/>
  <c r="U299" i="7"/>
  <c r="S299" i="7"/>
  <c r="V299" i="7"/>
  <c r="T299" i="7"/>
  <c r="R299" i="7"/>
  <c r="E299" i="7"/>
  <c r="D299" i="7"/>
  <c r="B299" i="7"/>
  <c r="H296" i="7"/>
  <c r="J296" i="7"/>
  <c r="I294" i="7"/>
  <c r="H294" i="7"/>
  <c r="E294" i="7"/>
  <c r="J293" i="7"/>
  <c r="E293" i="7"/>
  <c r="J292" i="7"/>
  <c r="E292" i="7"/>
  <c r="K291" i="7"/>
  <c r="J291" i="7"/>
  <c r="I291" i="7"/>
  <c r="H291" i="7"/>
  <c r="F291" i="7"/>
  <c r="K290" i="7"/>
  <c r="J290" i="7"/>
  <c r="I290" i="7"/>
  <c r="H290" i="7"/>
  <c r="F290" i="7"/>
  <c r="C289" i="7"/>
  <c r="W288" i="7"/>
  <c r="U288" i="7"/>
  <c r="K293" i="7" s="1"/>
  <c r="S288" i="7"/>
  <c r="K292" i="7" s="1"/>
  <c r="V288" i="7"/>
  <c r="T288" i="7"/>
  <c r="I293" i="7" s="1"/>
  <c r="R288" i="7"/>
  <c r="I292" i="7" s="1"/>
  <c r="E288" i="7"/>
  <c r="D288" i="7"/>
  <c r="B288" i="7"/>
  <c r="A287" i="7"/>
  <c r="I285" i="7"/>
  <c r="J285" i="7"/>
  <c r="I284" i="7"/>
  <c r="J284" i="7"/>
  <c r="A283" i="7"/>
  <c r="H280" i="7"/>
  <c r="K279" i="7"/>
  <c r="J280" i="7" s="1"/>
  <c r="J279" i="7"/>
  <c r="I279" i="7"/>
  <c r="P280" i="7" s="1"/>
  <c r="H279" i="7"/>
  <c r="F279" i="7"/>
  <c r="W279" i="7"/>
  <c r="U279" i="7"/>
  <c r="S279" i="7"/>
  <c r="V279" i="7"/>
  <c r="T279" i="7"/>
  <c r="R279" i="7"/>
  <c r="E279" i="7"/>
  <c r="D279" i="7"/>
  <c r="B279" i="7"/>
  <c r="H276" i="7"/>
  <c r="J276" i="7"/>
  <c r="I274" i="7"/>
  <c r="H274" i="7"/>
  <c r="E274" i="7"/>
  <c r="J273" i="7"/>
  <c r="E273" i="7"/>
  <c r="J272" i="7"/>
  <c r="E272" i="7"/>
  <c r="K271" i="7"/>
  <c r="J271" i="7"/>
  <c r="I271" i="7"/>
  <c r="H271" i="7"/>
  <c r="F271" i="7"/>
  <c r="K270" i="7"/>
  <c r="J270" i="7"/>
  <c r="I270" i="7"/>
  <c r="H270" i="7"/>
  <c r="F270" i="7"/>
  <c r="K269" i="7"/>
  <c r="J269" i="7"/>
  <c r="I269" i="7"/>
  <c r="H269" i="7"/>
  <c r="F269" i="7"/>
  <c r="K268" i="7"/>
  <c r="J268" i="7"/>
  <c r="I268" i="7"/>
  <c r="H268" i="7"/>
  <c r="F268" i="7"/>
  <c r="W267" i="7"/>
  <c r="U267" i="7"/>
  <c r="K273" i="7" s="1"/>
  <c r="S267" i="7"/>
  <c r="K272" i="7" s="1"/>
  <c r="V267" i="7"/>
  <c r="T267" i="7"/>
  <c r="I273" i="7" s="1"/>
  <c r="R267" i="7"/>
  <c r="I272" i="7" s="1"/>
  <c r="E267" i="7"/>
  <c r="D267" i="7"/>
  <c r="B267" i="7"/>
  <c r="K264" i="7"/>
  <c r="Q265" i="7" s="1"/>
  <c r="J264" i="7"/>
  <c r="I264" i="7"/>
  <c r="P265" i="7" s="1"/>
  <c r="H264" i="7"/>
  <c r="F264" i="7"/>
  <c r="W264" i="7"/>
  <c r="U264" i="7"/>
  <c r="S264" i="7"/>
  <c r="V264" i="7"/>
  <c r="T264" i="7"/>
  <c r="R264" i="7"/>
  <c r="E264" i="7"/>
  <c r="D264" i="7"/>
  <c r="B264" i="7"/>
  <c r="H261" i="7"/>
  <c r="J261" i="7"/>
  <c r="I259" i="7"/>
  <c r="H259" i="7"/>
  <c r="E259" i="7"/>
  <c r="J258" i="7"/>
  <c r="E258" i="7"/>
  <c r="J257" i="7"/>
  <c r="E257" i="7"/>
  <c r="K256" i="7"/>
  <c r="J256" i="7"/>
  <c r="I256" i="7"/>
  <c r="H256" i="7"/>
  <c r="F256" i="7"/>
  <c r="K255" i="7"/>
  <c r="J255" i="7"/>
  <c r="I255" i="7"/>
  <c r="H255" i="7"/>
  <c r="F255" i="7"/>
  <c r="K254" i="7"/>
  <c r="J254" i="7"/>
  <c r="I254" i="7"/>
  <c r="H254" i="7"/>
  <c r="F254" i="7"/>
  <c r="K253" i="7"/>
  <c r="J253" i="7"/>
  <c r="I253" i="7"/>
  <c r="H253" i="7"/>
  <c r="F253" i="7"/>
  <c r="W252" i="7"/>
  <c r="U252" i="7"/>
  <c r="K258" i="7" s="1"/>
  <c r="S252" i="7"/>
  <c r="K257" i="7" s="1"/>
  <c r="V252" i="7"/>
  <c r="T252" i="7"/>
  <c r="I258" i="7" s="1"/>
  <c r="R252" i="7"/>
  <c r="I257" i="7" s="1"/>
  <c r="E252" i="7"/>
  <c r="D252" i="7"/>
  <c r="B252" i="7"/>
  <c r="H250" i="7"/>
  <c r="K249" i="7"/>
  <c r="J250" i="7" s="1"/>
  <c r="J249" i="7"/>
  <c r="I249" i="7"/>
  <c r="P250" i="7" s="1"/>
  <c r="H249" i="7"/>
  <c r="F249" i="7"/>
  <c r="W249" i="7"/>
  <c r="U249" i="7"/>
  <c r="S249" i="7"/>
  <c r="V249" i="7"/>
  <c r="T249" i="7"/>
  <c r="R249" i="7"/>
  <c r="E249" i="7"/>
  <c r="D249" i="7"/>
  <c r="B249" i="7"/>
  <c r="H246" i="7"/>
  <c r="J246" i="7"/>
  <c r="I244" i="7"/>
  <c r="H244" i="7"/>
  <c r="E244" i="7"/>
  <c r="J243" i="7"/>
  <c r="E243" i="7"/>
  <c r="J242" i="7"/>
  <c r="E242" i="7"/>
  <c r="K241" i="7"/>
  <c r="J241" i="7"/>
  <c r="I241" i="7"/>
  <c r="H241" i="7"/>
  <c r="F241" i="7"/>
  <c r="K240" i="7"/>
  <c r="J240" i="7"/>
  <c r="I240" i="7"/>
  <c r="H240" i="7"/>
  <c r="F240" i="7"/>
  <c r="K239" i="7"/>
  <c r="J239" i="7"/>
  <c r="I239" i="7"/>
  <c r="H239" i="7"/>
  <c r="F239" i="7"/>
  <c r="K238" i="7"/>
  <c r="J238" i="7"/>
  <c r="I238" i="7"/>
  <c r="H238" i="7"/>
  <c r="F238" i="7"/>
  <c r="W237" i="7"/>
  <c r="U237" i="7"/>
  <c r="K243" i="7" s="1"/>
  <c r="S237" i="7"/>
  <c r="K242" i="7" s="1"/>
  <c r="V237" i="7"/>
  <c r="T237" i="7"/>
  <c r="I243" i="7" s="1"/>
  <c r="R237" i="7"/>
  <c r="I242" i="7" s="1"/>
  <c r="E237" i="7"/>
  <c r="D237" i="7"/>
  <c r="B237" i="7"/>
  <c r="K234" i="7"/>
  <c r="Q235" i="7" s="1"/>
  <c r="J234" i="7"/>
  <c r="I234" i="7"/>
  <c r="P235" i="7" s="1"/>
  <c r="H234" i="7"/>
  <c r="F234" i="7"/>
  <c r="W234" i="7"/>
  <c r="U234" i="7"/>
  <c r="S234" i="7"/>
  <c r="V234" i="7"/>
  <c r="T234" i="7"/>
  <c r="R234" i="7"/>
  <c r="E234" i="7"/>
  <c r="D234" i="7"/>
  <c r="B234" i="7"/>
  <c r="H231" i="7"/>
  <c r="J231" i="7"/>
  <c r="I229" i="7"/>
  <c r="H229" i="7"/>
  <c r="E229" i="7"/>
  <c r="J228" i="7"/>
  <c r="E228" i="7"/>
  <c r="J227" i="7"/>
  <c r="E227" i="7"/>
  <c r="K226" i="7"/>
  <c r="J226" i="7"/>
  <c r="I226" i="7"/>
  <c r="H226" i="7"/>
  <c r="F226" i="7"/>
  <c r="K225" i="7"/>
  <c r="J225" i="7"/>
  <c r="I225" i="7"/>
  <c r="H225" i="7"/>
  <c r="F225" i="7"/>
  <c r="K224" i="7"/>
  <c r="J224" i="7"/>
  <c r="I224" i="7"/>
  <c r="H224" i="7"/>
  <c r="F224" i="7"/>
  <c r="K223" i="7"/>
  <c r="J223" i="7"/>
  <c r="I223" i="7"/>
  <c r="H223" i="7"/>
  <c r="F223" i="7"/>
  <c r="W222" i="7"/>
  <c r="U222" i="7"/>
  <c r="K228" i="7" s="1"/>
  <c r="S222" i="7"/>
  <c r="K227" i="7" s="1"/>
  <c r="V222" i="7"/>
  <c r="T222" i="7"/>
  <c r="I228" i="7" s="1"/>
  <c r="R222" i="7"/>
  <c r="I227" i="7" s="1"/>
  <c r="E222" i="7"/>
  <c r="D222" i="7"/>
  <c r="B222" i="7"/>
  <c r="K219" i="7"/>
  <c r="J220" i="7" s="1"/>
  <c r="J219" i="7"/>
  <c r="I219" i="7"/>
  <c r="P220" i="7" s="1"/>
  <c r="H219" i="7"/>
  <c r="F219" i="7"/>
  <c r="W219" i="7"/>
  <c r="U219" i="7"/>
  <c r="S219" i="7"/>
  <c r="V219" i="7"/>
  <c r="T219" i="7"/>
  <c r="R219" i="7"/>
  <c r="E219" i="7"/>
  <c r="D219" i="7"/>
  <c r="B219" i="7"/>
  <c r="H216" i="7"/>
  <c r="J216" i="7"/>
  <c r="I214" i="7"/>
  <c r="H214" i="7"/>
  <c r="E214" i="7"/>
  <c r="J213" i="7"/>
  <c r="E213" i="7"/>
  <c r="J212" i="7"/>
  <c r="E212" i="7"/>
  <c r="K211" i="7"/>
  <c r="J211" i="7"/>
  <c r="I211" i="7"/>
  <c r="H211" i="7"/>
  <c r="F211" i="7"/>
  <c r="K210" i="7"/>
  <c r="J210" i="7"/>
  <c r="I210" i="7"/>
  <c r="H210" i="7"/>
  <c r="F210" i="7"/>
  <c r="W209" i="7"/>
  <c r="U209" i="7"/>
  <c r="K213" i="7" s="1"/>
  <c r="S209" i="7"/>
  <c r="K212" i="7" s="1"/>
  <c r="V209" i="7"/>
  <c r="T209" i="7"/>
  <c r="I213" i="7" s="1"/>
  <c r="R209" i="7"/>
  <c r="I212" i="7" s="1"/>
  <c r="E209" i="7"/>
  <c r="D209" i="7"/>
  <c r="B209" i="7"/>
  <c r="P207" i="7"/>
  <c r="K206" i="7"/>
  <c r="Q207" i="7" s="1"/>
  <c r="J206" i="7"/>
  <c r="I206" i="7"/>
  <c r="H207" i="7" s="1"/>
  <c r="H206" i="7"/>
  <c r="F206" i="7"/>
  <c r="W206" i="7"/>
  <c r="U206" i="7"/>
  <c r="S206" i="7"/>
  <c r="V206" i="7"/>
  <c r="T206" i="7"/>
  <c r="R206" i="7"/>
  <c r="E206" i="7"/>
  <c r="D206" i="7"/>
  <c r="B206" i="7"/>
  <c r="H203" i="7"/>
  <c r="J203" i="7"/>
  <c r="I201" i="7"/>
  <c r="H201" i="7"/>
  <c r="E201" i="7"/>
  <c r="K200" i="7"/>
  <c r="J200" i="7"/>
  <c r="E200" i="7"/>
  <c r="J199" i="7"/>
  <c r="E199" i="7"/>
  <c r="K198" i="7"/>
  <c r="J198" i="7"/>
  <c r="I198" i="7"/>
  <c r="H198" i="7"/>
  <c r="F198" i="7"/>
  <c r="K197" i="7"/>
  <c r="J197" i="7"/>
  <c r="I197" i="7"/>
  <c r="H197" i="7"/>
  <c r="F197" i="7"/>
  <c r="K196" i="7"/>
  <c r="J196" i="7"/>
  <c r="I196" i="7"/>
  <c r="H196" i="7"/>
  <c r="F196" i="7"/>
  <c r="K195" i="7"/>
  <c r="J195" i="7"/>
  <c r="I195" i="7"/>
  <c r="P204" i="7" s="1"/>
  <c r="H195" i="7"/>
  <c r="F195" i="7"/>
  <c r="W194" i="7"/>
  <c r="U194" i="7"/>
  <c r="S194" i="7"/>
  <c r="K199" i="7" s="1"/>
  <c r="V194" i="7"/>
  <c r="T194" i="7"/>
  <c r="I200" i="7" s="1"/>
  <c r="R194" i="7"/>
  <c r="I199" i="7" s="1"/>
  <c r="E194" i="7"/>
  <c r="D194" i="7"/>
  <c r="B194" i="7"/>
  <c r="A193" i="7"/>
  <c r="I191" i="7"/>
  <c r="J191" i="7"/>
  <c r="I190" i="7"/>
  <c r="J190" i="7"/>
  <c r="A189" i="7"/>
  <c r="H185" i="7"/>
  <c r="J185" i="7"/>
  <c r="I183" i="7"/>
  <c r="H183" i="7"/>
  <c r="E183" i="7"/>
  <c r="J182" i="7"/>
  <c r="I182" i="7"/>
  <c r="E182" i="7"/>
  <c r="J181" i="7"/>
  <c r="E181" i="7"/>
  <c r="K180" i="7"/>
  <c r="J180" i="7"/>
  <c r="I180" i="7"/>
  <c r="H180" i="7"/>
  <c r="F180" i="7"/>
  <c r="W179" i="7"/>
  <c r="U179" i="7"/>
  <c r="K182" i="7" s="1"/>
  <c r="S179" i="7"/>
  <c r="K181" i="7" s="1"/>
  <c r="V179" i="7"/>
  <c r="T179" i="7"/>
  <c r="R179" i="7"/>
  <c r="I181" i="7" s="1"/>
  <c r="E179" i="7"/>
  <c r="D179" i="7"/>
  <c r="B179" i="7"/>
  <c r="H176" i="7"/>
  <c r="J176" i="7"/>
  <c r="I174" i="7"/>
  <c r="H174" i="7"/>
  <c r="E174" i="7"/>
  <c r="J173" i="7"/>
  <c r="E173" i="7"/>
  <c r="J172" i="7"/>
  <c r="E172" i="7"/>
  <c r="K171" i="7"/>
  <c r="J171" i="7"/>
  <c r="I171" i="7"/>
  <c r="H171" i="7"/>
  <c r="F171" i="7"/>
  <c r="C170" i="7"/>
  <c r="W169" i="7"/>
  <c r="U169" i="7"/>
  <c r="K173" i="7" s="1"/>
  <c r="S169" i="7"/>
  <c r="K172" i="7" s="1"/>
  <c r="V169" i="7"/>
  <c r="T169" i="7"/>
  <c r="I173" i="7" s="1"/>
  <c r="R169" i="7"/>
  <c r="I172" i="7" s="1"/>
  <c r="E169" i="7"/>
  <c r="D169" i="7"/>
  <c r="B169" i="7"/>
  <c r="H166" i="7"/>
  <c r="J166" i="7"/>
  <c r="I164" i="7"/>
  <c r="H164" i="7"/>
  <c r="E164" i="7"/>
  <c r="J163" i="7"/>
  <c r="E163" i="7"/>
  <c r="J162" i="7"/>
  <c r="I162" i="7"/>
  <c r="E162" i="7"/>
  <c r="K161" i="7"/>
  <c r="J161" i="7"/>
  <c r="I161" i="7"/>
  <c r="H161" i="7"/>
  <c r="F161" i="7"/>
  <c r="C160" i="7"/>
  <c r="W159" i="7"/>
  <c r="U159" i="7"/>
  <c r="K163" i="7" s="1"/>
  <c r="S159" i="7"/>
  <c r="K162" i="7" s="1"/>
  <c r="V159" i="7"/>
  <c r="T159" i="7"/>
  <c r="I163" i="7" s="1"/>
  <c r="R159" i="7"/>
  <c r="E159" i="7"/>
  <c r="D159" i="7"/>
  <c r="B159" i="7"/>
  <c r="H156" i="7"/>
  <c r="J156" i="7"/>
  <c r="I154" i="7"/>
  <c r="H154" i="7"/>
  <c r="E154" i="7"/>
  <c r="J153" i="7"/>
  <c r="E153" i="7"/>
  <c r="J152" i="7"/>
  <c r="E152" i="7"/>
  <c r="K151" i="7"/>
  <c r="J151" i="7"/>
  <c r="I151" i="7"/>
  <c r="H151" i="7"/>
  <c r="F151" i="7"/>
  <c r="C150" i="7"/>
  <c r="W149" i="7"/>
  <c r="U149" i="7"/>
  <c r="K153" i="7" s="1"/>
  <c r="S149" i="7"/>
  <c r="K152" i="7" s="1"/>
  <c r="V149" i="7"/>
  <c r="T149" i="7"/>
  <c r="I153" i="7" s="1"/>
  <c r="R149" i="7"/>
  <c r="I152" i="7" s="1"/>
  <c r="E149" i="7"/>
  <c r="D149" i="7"/>
  <c r="B149" i="7"/>
  <c r="H146" i="7"/>
  <c r="J146" i="7"/>
  <c r="I144" i="7"/>
  <c r="H144" i="7"/>
  <c r="E144" i="7"/>
  <c r="J143" i="7"/>
  <c r="E143" i="7"/>
  <c r="J142" i="7"/>
  <c r="E142" i="7"/>
  <c r="K141" i="7"/>
  <c r="J141" i="7"/>
  <c r="I141" i="7"/>
  <c r="H141" i="7"/>
  <c r="F141" i="7"/>
  <c r="W140" i="7"/>
  <c r="U140" i="7"/>
  <c r="K143" i="7" s="1"/>
  <c r="S140" i="7"/>
  <c r="K142" i="7" s="1"/>
  <c r="V140" i="7"/>
  <c r="T140" i="7"/>
  <c r="I143" i="7" s="1"/>
  <c r="R140" i="7"/>
  <c r="I142" i="7" s="1"/>
  <c r="E140" i="7"/>
  <c r="D140" i="7"/>
  <c r="B140" i="7"/>
  <c r="H137" i="7"/>
  <c r="J137" i="7"/>
  <c r="I135" i="7"/>
  <c r="H135" i="7"/>
  <c r="E135" i="7"/>
  <c r="J134" i="7"/>
  <c r="E134" i="7"/>
  <c r="J133" i="7"/>
  <c r="E133" i="7"/>
  <c r="K132" i="7"/>
  <c r="J132" i="7"/>
  <c r="I132" i="7"/>
  <c r="H132" i="7"/>
  <c r="F132" i="7"/>
  <c r="K131" i="7"/>
  <c r="J131" i="7"/>
  <c r="I131" i="7"/>
  <c r="H131" i="7"/>
  <c r="F131" i="7"/>
  <c r="K130" i="7"/>
  <c r="J130" i="7"/>
  <c r="I130" i="7"/>
  <c r="H130" i="7"/>
  <c r="F130" i="7"/>
  <c r="W129" i="7"/>
  <c r="U129" i="7"/>
  <c r="K134" i="7" s="1"/>
  <c r="S129" i="7"/>
  <c r="K133" i="7" s="1"/>
  <c r="V129" i="7"/>
  <c r="T129" i="7"/>
  <c r="I134" i="7" s="1"/>
  <c r="R129" i="7"/>
  <c r="I133" i="7" s="1"/>
  <c r="E129" i="7"/>
  <c r="D129" i="7"/>
  <c r="B129" i="7"/>
  <c r="H126" i="7"/>
  <c r="J126" i="7"/>
  <c r="I124" i="7"/>
  <c r="H124" i="7"/>
  <c r="E124" i="7"/>
  <c r="J123" i="7"/>
  <c r="E123" i="7"/>
  <c r="J122" i="7"/>
  <c r="E122" i="7"/>
  <c r="K121" i="7"/>
  <c r="J121" i="7"/>
  <c r="I121" i="7"/>
  <c r="H121" i="7"/>
  <c r="F121" i="7"/>
  <c r="C120" i="7"/>
  <c r="W119" i="7"/>
  <c r="U119" i="7"/>
  <c r="K123" i="7" s="1"/>
  <c r="S119" i="7"/>
  <c r="K122" i="7" s="1"/>
  <c r="V119" i="7"/>
  <c r="T119" i="7"/>
  <c r="I123" i="7" s="1"/>
  <c r="R119" i="7"/>
  <c r="I122" i="7" s="1"/>
  <c r="E119" i="7"/>
  <c r="D119" i="7"/>
  <c r="B119" i="7"/>
  <c r="H116" i="7"/>
  <c r="J116" i="7"/>
  <c r="I114" i="7"/>
  <c r="H114" i="7"/>
  <c r="E114" i="7"/>
  <c r="J113" i="7"/>
  <c r="E113" i="7"/>
  <c r="J112" i="7"/>
  <c r="E112" i="7"/>
  <c r="K111" i="7"/>
  <c r="J111" i="7"/>
  <c r="I111" i="7"/>
  <c r="H111" i="7"/>
  <c r="F111" i="7"/>
  <c r="C110" i="7"/>
  <c r="W109" i="7"/>
  <c r="U109" i="7"/>
  <c r="K113" i="7" s="1"/>
  <c r="S109" i="7"/>
  <c r="K112" i="7" s="1"/>
  <c r="V109" i="7"/>
  <c r="T109" i="7"/>
  <c r="I113" i="7" s="1"/>
  <c r="R109" i="7"/>
  <c r="I112" i="7" s="1"/>
  <c r="E109" i="7"/>
  <c r="D109" i="7"/>
  <c r="B109" i="7"/>
  <c r="H106" i="7"/>
  <c r="J106" i="7"/>
  <c r="I104" i="7"/>
  <c r="H104" i="7"/>
  <c r="E104" i="7"/>
  <c r="J103" i="7"/>
  <c r="E103" i="7"/>
  <c r="J102" i="7"/>
  <c r="E102" i="7"/>
  <c r="K101" i="7"/>
  <c r="J101" i="7"/>
  <c r="I101" i="7"/>
  <c r="H101" i="7"/>
  <c r="F101" i="7"/>
  <c r="C100" i="7"/>
  <c r="W99" i="7"/>
  <c r="U99" i="7"/>
  <c r="K103" i="7" s="1"/>
  <c r="S99" i="7"/>
  <c r="K102" i="7" s="1"/>
  <c r="V99" i="7"/>
  <c r="T99" i="7"/>
  <c r="I103" i="7" s="1"/>
  <c r="R99" i="7"/>
  <c r="I102" i="7" s="1"/>
  <c r="E99" i="7"/>
  <c r="D99" i="7"/>
  <c r="B99" i="7"/>
  <c r="H96" i="7"/>
  <c r="J96" i="7"/>
  <c r="I94" i="7"/>
  <c r="H94" i="7"/>
  <c r="E94" i="7"/>
  <c r="J93" i="7"/>
  <c r="E93" i="7"/>
  <c r="K92" i="7"/>
  <c r="J92" i="7"/>
  <c r="E92" i="7"/>
  <c r="K91" i="7"/>
  <c r="J91" i="7"/>
  <c r="I91" i="7"/>
  <c r="H91" i="7"/>
  <c r="F91" i="7"/>
  <c r="K90" i="7"/>
  <c r="J90" i="7"/>
  <c r="I90" i="7"/>
  <c r="H90" i="7"/>
  <c r="F90" i="7"/>
  <c r="W89" i="7"/>
  <c r="U89" i="7"/>
  <c r="K93" i="7" s="1"/>
  <c r="S89" i="7"/>
  <c r="V89" i="7"/>
  <c r="T89" i="7"/>
  <c r="I93" i="7" s="1"/>
  <c r="R89" i="7"/>
  <c r="I92" i="7" s="1"/>
  <c r="E89" i="7"/>
  <c r="D89" i="7"/>
  <c r="B89" i="7"/>
  <c r="H86" i="7"/>
  <c r="J86" i="7"/>
  <c r="I84" i="7"/>
  <c r="H84" i="7"/>
  <c r="E84" i="7"/>
  <c r="J83" i="7"/>
  <c r="E83" i="7"/>
  <c r="J82" i="7"/>
  <c r="E82" i="7"/>
  <c r="K81" i="7"/>
  <c r="J81" i="7"/>
  <c r="I81" i="7"/>
  <c r="H81" i="7"/>
  <c r="F81" i="7"/>
  <c r="K80" i="7"/>
  <c r="J80" i="7"/>
  <c r="I80" i="7"/>
  <c r="H80" i="7"/>
  <c r="F80" i="7"/>
  <c r="W79" i="7"/>
  <c r="U79" i="7"/>
  <c r="K83" i="7" s="1"/>
  <c r="S79" i="7"/>
  <c r="K82" i="7" s="1"/>
  <c r="V79" i="7"/>
  <c r="T79" i="7"/>
  <c r="I83" i="7" s="1"/>
  <c r="R79" i="7"/>
  <c r="I82" i="7" s="1"/>
  <c r="E79" i="7"/>
  <c r="D79" i="7"/>
  <c r="B79" i="7"/>
  <c r="H76" i="7"/>
  <c r="J76" i="7"/>
  <c r="I74" i="7"/>
  <c r="H74" i="7"/>
  <c r="E74" i="7"/>
  <c r="J73" i="7"/>
  <c r="E73" i="7"/>
  <c r="J72" i="7"/>
  <c r="E72" i="7"/>
  <c r="K71" i="7"/>
  <c r="J71" i="7"/>
  <c r="I71" i="7"/>
  <c r="H71" i="7"/>
  <c r="F71" i="7"/>
  <c r="K70" i="7"/>
  <c r="J70" i="7"/>
  <c r="I70" i="7"/>
  <c r="H70" i="7"/>
  <c r="F70" i="7"/>
  <c r="K69" i="7"/>
  <c r="J69" i="7"/>
  <c r="I69" i="7"/>
  <c r="H69" i="7"/>
  <c r="F69" i="7"/>
  <c r="W68" i="7"/>
  <c r="U68" i="7"/>
  <c r="K73" i="7" s="1"/>
  <c r="S68" i="7"/>
  <c r="K72" i="7" s="1"/>
  <c r="V68" i="7"/>
  <c r="T68" i="7"/>
  <c r="I73" i="7" s="1"/>
  <c r="R68" i="7"/>
  <c r="I72" i="7" s="1"/>
  <c r="E68" i="7"/>
  <c r="D68" i="7"/>
  <c r="B68" i="7"/>
  <c r="H65" i="7"/>
  <c r="J65" i="7"/>
  <c r="I63" i="7"/>
  <c r="H63" i="7"/>
  <c r="E63" i="7"/>
  <c r="J62" i="7"/>
  <c r="E62" i="7"/>
  <c r="J61" i="7"/>
  <c r="E61" i="7"/>
  <c r="K60" i="7"/>
  <c r="J60" i="7"/>
  <c r="I60" i="7"/>
  <c r="H60" i="7"/>
  <c r="F60" i="7"/>
  <c r="K59" i="7"/>
  <c r="J59" i="7"/>
  <c r="I59" i="7"/>
  <c r="H59" i="7"/>
  <c r="F59" i="7"/>
  <c r="W58" i="7"/>
  <c r="U58" i="7"/>
  <c r="K62" i="7" s="1"/>
  <c r="S58" i="7"/>
  <c r="K61" i="7" s="1"/>
  <c r="V58" i="7"/>
  <c r="T58" i="7"/>
  <c r="I62" i="7" s="1"/>
  <c r="R58" i="7"/>
  <c r="I61" i="7" s="1"/>
  <c r="E58" i="7"/>
  <c r="D58" i="7"/>
  <c r="B58" i="7"/>
  <c r="H55" i="7"/>
  <c r="J55" i="7"/>
  <c r="I53" i="7"/>
  <c r="H53" i="7"/>
  <c r="E53" i="7"/>
  <c r="J52" i="7"/>
  <c r="I52" i="7"/>
  <c r="E52" i="7"/>
  <c r="J51" i="7"/>
  <c r="E51" i="7"/>
  <c r="K50" i="7"/>
  <c r="J50" i="7"/>
  <c r="I50" i="7"/>
  <c r="H50" i="7"/>
  <c r="F50" i="7"/>
  <c r="W49" i="7"/>
  <c r="U49" i="7"/>
  <c r="K52" i="7" s="1"/>
  <c r="S49" i="7"/>
  <c r="K51" i="7" s="1"/>
  <c r="V49" i="7"/>
  <c r="T49" i="7"/>
  <c r="R49" i="7"/>
  <c r="I51" i="7" s="1"/>
  <c r="E49" i="7"/>
  <c r="D49" i="7"/>
  <c r="B49" i="7"/>
  <c r="H46" i="7"/>
  <c r="J46" i="7"/>
  <c r="I44" i="7"/>
  <c r="H44" i="7"/>
  <c r="E44" i="7"/>
  <c r="K43" i="7"/>
  <c r="J43" i="7"/>
  <c r="E43" i="7"/>
  <c r="J42" i="7"/>
  <c r="E42" i="7"/>
  <c r="K41" i="7"/>
  <c r="J41" i="7"/>
  <c r="I41" i="7"/>
  <c r="H41" i="7"/>
  <c r="F41" i="7"/>
  <c r="K40" i="7"/>
  <c r="J40" i="7"/>
  <c r="I40" i="7"/>
  <c r="H40" i="7"/>
  <c r="F40" i="7"/>
  <c r="W39" i="7"/>
  <c r="U39" i="7"/>
  <c r="S39" i="7"/>
  <c r="K42" i="7" s="1"/>
  <c r="V39" i="7"/>
  <c r="T39" i="7"/>
  <c r="I43" i="7" s="1"/>
  <c r="R39" i="7"/>
  <c r="I42" i="7" s="1"/>
  <c r="E39" i="7"/>
  <c r="D39" i="7"/>
  <c r="B39" i="7"/>
  <c r="A38" i="7"/>
  <c r="A36" i="7"/>
  <c r="A18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1" i="3"/>
  <c r="Y1" i="3"/>
  <c r="CV1" i="3" s="1"/>
  <c r="CU1" i="3"/>
  <c r="CY1" i="3"/>
  <c r="CZ1" i="3"/>
  <c r="DA1" i="3"/>
  <c r="DB1" i="3"/>
  <c r="DC1" i="3"/>
  <c r="A2" i="3"/>
  <c r="Y2" i="3"/>
  <c r="CU2" i="3"/>
  <c r="CV2" i="3"/>
  <c r="CX2" i="3"/>
  <c r="CY2" i="3"/>
  <c r="CZ2" i="3"/>
  <c r="DA2" i="3"/>
  <c r="DB2" i="3"/>
  <c r="DC2" i="3"/>
  <c r="DF2" i="3"/>
  <c r="DI2" i="3"/>
  <c r="DJ2" i="3" s="1"/>
  <c r="A3" i="3"/>
  <c r="Y3" i="3"/>
  <c r="CU3" i="3"/>
  <c r="CV3" i="3"/>
  <c r="CX3" i="3"/>
  <c r="CY3" i="3"/>
  <c r="CZ3" i="3"/>
  <c r="DB3" i="3" s="1"/>
  <c r="DA3" i="3"/>
  <c r="DC3" i="3"/>
  <c r="DF3" i="3"/>
  <c r="A4" i="3"/>
  <c r="Y4" i="3"/>
  <c r="CX4" i="3"/>
  <c r="CY4" i="3"/>
  <c r="CZ4" i="3"/>
  <c r="DB4" i="3" s="1"/>
  <c r="DA4" i="3"/>
  <c r="DC4" i="3"/>
  <c r="A5" i="3"/>
  <c r="Y5" i="3"/>
  <c r="CX5" i="3"/>
  <c r="CY5" i="3"/>
  <c r="CZ5" i="3"/>
  <c r="DA5" i="3"/>
  <c r="DB5" i="3"/>
  <c r="DC5" i="3"/>
  <c r="A6" i="3"/>
  <c r="Y6" i="3"/>
  <c r="CX6" i="3"/>
  <c r="CY6" i="3"/>
  <c r="CZ6" i="3"/>
  <c r="DA6" i="3"/>
  <c r="DB6" i="3"/>
  <c r="DC6" i="3"/>
  <c r="DI6" i="3"/>
  <c r="A7" i="3"/>
  <c r="Y7" i="3"/>
  <c r="CV7" i="3" s="1"/>
  <c r="CU7" i="3"/>
  <c r="CY7" i="3"/>
  <c r="CZ7" i="3"/>
  <c r="DB7" i="3" s="1"/>
  <c r="DA7" i="3"/>
  <c r="DC7" i="3"/>
  <c r="A8" i="3"/>
  <c r="Y8" i="3"/>
  <c r="CX8" i="3"/>
  <c r="CY8" i="3"/>
  <c r="CZ8" i="3"/>
  <c r="DB8" i="3" s="1"/>
  <c r="DA8" i="3"/>
  <c r="DC8" i="3"/>
  <c r="A9" i="3"/>
  <c r="Y9" i="3"/>
  <c r="CX9" i="3" s="1"/>
  <c r="CY9" i="3"/>
  <c r="CZ9" i="3"/>
  <c r="DB9" i="3" s="1"/>
  <c r="DA9" i="3"/>
  <c r="DC9" i="3"/>
  <c r="A10" i="3"/>
  <c r="Y10" i="3"/>
  <c r="CX10" i="3" s="1"/>
  <c r="CY10" i="3"/>
  <c r="CZ10" i="3"/>
  <c r="DA10" i="3"/>
  <c r="DB10" i="3"/>
  <c r="DC10" i="3"/>
  <c r="A11" i="3"/>
  <c r="Y11" i="3"/>
  <c r="CU11" i="3"/>
  <c r="CV11" i="3"/>
  <c r="CX11" i="3"/>
  <c r="DF11" i="3" s="1"/>
  <c r="CY11" i="3"/>
  <c r="CZ11" i="3"/>
  <c r="DB11" i="3" s="1"/>
  <c r="DA11" i="3"/>
  <c r="DC11" i="3"/>
  <c r="DI11" i="3"/>
  <c r="DJ11" i="3" s="1"/>
  <c r="A12" i="3"/>
  <c r="Y12" i="3"/>
  <c r="CU12" i="3"/>
  <c r="CV12" i="3"/>
  <c r="CX12" i="3"/>
  <c r="DG12" i="3" s="1"/>
  <c r="CY12" i="3"/>
  <c r="CZ12" i="3"/>
  <c r="DA12" i="3"/>
  <c r="DB12" i="3"/>
  <c r="DC12" i="3"/>
  <c r="DI12" i="3"/>
  <c r="DJ12" i="3" s="1"/>
  <c r="A13" i="3"/>
  <c r="Y13" i="3"/>
  <c r="CU13" i="3"/>
  <c r="CY13" i="3"/>
  <c r="CZ13" i="3"/>
  <c r="DA13" i="3"/>
  <c r="DB13" i="3"/>
  <c r="DC13" i="3"/>
  <c r="A14" i="3"/>
  <c r="Y14" i="3"/>
  <c r="CU14" i="3"/>
  <c r="CY14" i="3"/>
  <c r="CZ14" i="3"/>
  <c r="DA14" i="3"/>
  <c r="DB14" i="3"/>
  <c r="DC14" i="3"/>
  <c r="A15" i="3"/>
  <c r="Y15" i="3"/>
  <c r="CV15" i="3" s="1"/>
  <c r="CU15" i="3"/>
  <c r="CY15" i="3"/>
  <c r="CZ15" i="3"/>
  <c r="DB15" i="3" s="1"/>
  <c r="DA15" i="3"/>
  <c r="DC15" i="3"/>
  <c r="A16" i="3"/>
  <c r="Y16" i="3"/>
  <c r="CU16" i="3"/>
  <c r="CV16" i="3"/>
  <c r="CX16" i="3"/>
  <c r="DG16" i="3" s="1"/>
  <c r="CY16" i="3"/>
  <c r="CZ16" i="3"/>
  <c r="DA16" i="3"/>
  <c r="DB16" i="3"/>
  <c r="DC16" i="3"/>
  <c r="DF16" i="3"/>
  <c r="A17" i="3"/>
  <c r="Y17" i="3"/>
  <c r="CV17" i="3" s="1"/>
  <c r="CU17" i="3"/>
  <c r="CX17" i="3"/>
  <c r="CY17" i="3"/>
  <c r="CZ17" i="3"/>
  <c r="DB17" i="3" s="1"/>
  <c r="DA17" i="3"/>
  <c r="DC17" i="3"/>
  <c r="DI17" i="3"/>
  <c r="DJ17" i="3" s="1"/>
  <c r="A18" i="3"/>
  <c r="Y18" i="3"/>
  <c r="CV18" i="3" s="1"/>
  <c r="CU18" i="3"/>
  <c r="CY18" i="3"/>
  <c r="CZ18" i="3"/>
  <c r="DB18" i="3" s="1"/>
  <c r="DA18" i="3"/>
  <c r="DC18" i="3"/>
  <c r="A19" i="3"/>
  <c r="Y19" i="3"/>
  <c r="CY19" i="3"/>
  <c r="CZ19" i="3"/>
  <c r="DB19" i="3" s="1"/>
  <c r="DA19" i="3"/>
  <c r="DC19" i="3"/>
  <c r="A20" i="3"/>
  <c r="Y20" i="3"/>
  <c r="CY20" i="3"/>
  <c r="CZ20" i="3"/>
  <c r="DA20" i="3"/>
  <c r="DB20" i="3"/>
  <c r="DC20" i="3"/>
  <c r="A21" i="3"/>
  <c r="Y21" i="3"/>
  <c r="CY21" i="3"/>
  <c r="CZ21" i="3"/>
  <c r="DA21" i="3"/>
  <c r="DB21" i="3"/>
  <c r="DC21" i="3"/>
  <c r="A22" i="3"/>
  <c r="Y22" i="3"/>
  <c r="CY22" i="3"/>
  <c r="CZ22" i="3"/>
  <c r="DA22" i="3"/>
  <c r="DB22" i="3"/>
  <c r="DC22" i="3"/>
  <c r="A23" i="3"/>
  <c r="Y23" i="3"/>
  <c r="CY23" i="3"/>
  <c r="CZ23" i="3"/>
  <c r="DB23" i="3" s="1"/>
  <c r="DA23" i="3"/>
  <c r="DC23" i="3"/>
  <c r="A24" i="3"/>
  <c r="Y24" i="3"/>
  <c r="CY24" i="3"/>
  <c r="CZ24" i="3"/>
  <c r="DB24" i="3" s="1"/>
  <c r="DA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B26" i="3" s="1"/>
  <c r="DA26" i="3"/>
  <c r="DC26" i="3"/>
  <c r="A27" i="3"/>
  <c r="Y27" i="3"/>
  <c r="CY27" i="3"/>
  <c r="CZ27" i="3"/>
  <c r="DA27" i="3"/>
  <c r="DB27" i="3"/>
  <c r="DC27" i="3"/>
  <c r="A28" i="3"/>
  <c r="Y28" i="3"/>
  <c r="CY28" i="3"/>
  <c r="CZ28" i="3"/>
  <c r="DA28" i="3"/>
  <c r="DB28" i="3"/>
  <c r="DC28" i="3"/>
  <c r="A29" i="3"/>
  <c r="Y29" i="3"/>
  <c r="CU29" i="3"/>
  <c r="CY29" i="3"/>
  <c r="CZ29" i="3"/>
  <c r="DA29" i="3"/>
  <c r="DB29" i="3"/>
  <c r="DC29" i="3"/>
  <c r="A30" i="3"/>
  <c r="Y30" i="3"/>
  <c r="CU30" i="3"/>
  <c r="CV30" i="3"/>
  <c r="CX30" i="3"/>
  <c r="DF30" i="3" s="1"/>
  <c r="CY30" i="3"/>
  <c r="CZ30" i="3"/>
  <c r="DB30" i="3" s="1"/>
  <c r="DA30" i="3"/>
  <c r="DC30" i="3"/>
  <c r="DI30" i="3"/>
  <c r="DJ30" i="3" s="1"/>
  <c r="A31" i="3"/>
  <c r="Y31" i="3"/>
  <c r="CX31" i="3" s="1"/>
  <c r="CU31" i="3"/>
  <c r="CV31" i="3"/>
  <c r="CY31" i="3"/>
  <c r="CZ31" i="3"/>
  <c r="DB31" i="3" s="1"/>
  <c r="DA31" i="3"/>
  <c r="DC31" i="3"/>
  <c r="A32" i="3"/>
  <c r="Y32" i="3"/>
  <c r="CX32" i="3" s="1"/>
  <c r="CY32" i="3"/>
  <c r="CZ32" i="3"/>
  <c r="DB32" i="3" s="1"/>
  <c r="DA32" i="3"/>
  <c r="DC32" i="3"/>
  <c r="DG32" i="3"/>
  <c r="A33" i="3"/>
  <c r="Y33" i="3"/>
  <c r="CX33" i="3"/>
  <c r="DG33" i="3" s="1"/>
  <c r="CY33" i="3"/>
  <c r="CZ33" i="3"/>
  <c r="DB33" i="3" s="1"/>
  <c r="DA33" i="3"/>
  <c r="DC33" i="3"/>
  <c r="DF33" i="3"/>
  <c r="DJ33" i="3" s="1"/>
  <c r="DH33" i="3"/>
  <c r="DI33" i="3"/>
  <c r="A34" i="3"/>
  <c r="Y34" i="3"/>
  <c r="CX34" i="3" s="1"/>
  <c r="CY34" i="3"/>
  <c r="CZ34" i="3"/>
  <c r="DB34" i="3" s="1"/>
  <c r="DA34" i="3"/>
  <c r="DC34" i="3"/>
  <c r="A35" i="3"/>
  <c r="Y35" i="3"/>
  <c r="CU35" i="3"/>
  <c r="CV35" i="3"/>
  <c r="CX35" i="3"/>
  <c r="CY35" i="3"/>
  <c r="CZ35" i="3"/>
  <c r="DB35" i="3" s="1"/>
  <c r="DA35" i="3"/>
  <c r="DC35" i="3"/>
  <c r="DI35" i="3"/>
  <c r="DJ35" i="3" s="1"/>
  <c r="A36" i="3"/>
  <c r="Y36" i="3"/>
  <c r="CX36" i="3"/>
  <c r="CY36" i="3"/>
  <c r="CZ36" i="3"/>
  <c r="DB36" i="3" s="1"/>
  <c r="DA36" i="3"/>
  <c r="DC36" i="3"/>
  <c r="A37" i="3"/>
  <c r="Y37" i="3"/>
  <c r="CX37" i="3" s="1"/>
  <c r="CY37" i="3"/>
  <c r="CZ37" i="3"/>
  <c r="DB37" i="3" s="1"/>
  <c r="DA37" i="3"/>
  <c r="DC37" i="3"/>
  <c r="A38" i="3"/>
  <c r="Y38" i="3"/>
  <c r="CX38" i="3"/>
  <c r="CY38" i="3"/>
  <c r="CZ38" i="3"/>
  <c r="DB38" i="3" s="1"/>
  <c r="DA38" i="3"/>
  <c r="DC38" i="3"/>
  <c r="DG38" i="3"/>
  <c r="A39" i="3"/>
  <c r="Y39" i="3"/>
  <c r="CY39" i="3"/>
  <c r="CZ39" i="3"/>
  <c r="DA39" i="3"/>
  <c r="DB39" i="3"/>
  <c r="DC39" i="3"/>
  <c r="A40" i="3"/>
  <c r="Y40" i="3"/>
  <c r="CY40" i="3"/>
  <c r="CZ40" i="3"/>
  <c r="DA40" i="3"/>
  <c r="DB40" i="3"/>
  <c r="DC40" i="3"/>
  <c r="A41" i="3"/>
  <c r="Y41" i="3"/>
  <c r="CY41" i="3"/>
  <c r="CZ41" i="3"/>
  <c r="DA41" i="3"/>
  <c r="DB41" i="3"/>
  <c r="DC41" i="3"/>
  <c r="A42" i="3"/>
  <c r="Y42" i="3"/>
  <c r="CY42" i="3"/>
  <c r="CZ42" i="3"/>
  <c r="DA42" i="3"/>
  <c r="DB42" i="3"/>
  <c r="DC42" i="3"/>
  <c r="A43" i="3"/>
  <c r="Y43" i="3"/>
  <c r="CY43" i="3"/>
  <c r="CZ43" i="3"/>
  <c r="DA43" i="3"/>
  <c r="DB43" i="3"/>
  <c r="DC43" i="3"/>
  <c r="A44" i="3"/>
  <c r="Y44" i="3"/>
  <c r="CY44" i="3"/>
  <c r="CZ44" i="3"/>
  <c r="DA44" i="3"/>
  <c r="DB44" i="3"/>
  <c r="DC44" i="3"/>
  <c r="A45" i="3"/>
  <c r="Y45" i="3"/>
  <c r="CY45" i="3"/>
  <c r="CZ45" i="3"/>
  <c r="DA45" i="3"/>
  <c r="DB45" i="3"/>
  <c r="DC45" i="3"/>
  <c r="A46" i="3"/>
  <c r="Y46" i="3"/>
  <c r="CY46" i="3"/>
  <c r="CZ46" i="3"/>
  <c r="DB46" i="3" s="1"/>
  <c r="DA46" i="3"/>
  <c r="DC46" i="3"/>
  <c r="A47" i="3"/>
  <c r="Y47" i="3"/>
  <c r="CY47" i="3"/>
  <c r="CZ47" i="3"/>
  <c r="DA47" i="3"/>
  <c r="DB47" i="3"/>
  <c r="DC47" i="3"/>
  <c r="A48" i="3"/>
  <c r="Y48" i="3"/>
  <c r="CY48" i="3"/>
  <c r="CZ48" i="3"/>
  <c r="DA48" i="3"/>
  <c r="DB48" i="3"/>
  <c r="DC48" i="3"/>
  <c r="A49" i="3"/>
  <c r="Y49" i="3"/>
  <c r="CY49" i="3"/>
  <c r="CZ49" i="3"/>
  <c r="DB49" i="3" s="1"/>
  <c r="DA49" i="3"/>
  <c r="DC49" i="3"/>
  <c r="A50" i="3"/>
  <c r="Y50" i="3"/>
  <c r="CX50" i="3" s="1"/>
  <c r="CY50" i="3"/>
  <c r="CZ50" i="3"/>
  <c r="DA50" i="3"/>
  <c r="DB50" i="3"/>
  <c r="DC50" i="3"/>
  <c r="A51" i="3"/>
  <c r="Y51" i="3"/>
  <c r="CY51" i="3"/>
  <c r="CZ51" i="3"/>
  <c r="DB51" i="3" s="1"/>
  <c r="DA51" i="3"/>
  <c r="DC51" i="3"/>
  <c r="A52" i="3"/>
  <c r="Y52" i="3"/>
  <c r="CY52" i="3"/>
  <c r="CZ52" i="3"/>
  <c r="DA52" i="3"/>
  <c r="DB52" i="3"/>
  <c r="DC52" i="3"/>
  <c r="A53" i="3"/>
  <c r="Y53" i="3"/>
  <c r="CU53" i="3"/>
  <c r="CY53" i="3"/>
  <c r="CZ53" i="3"/>
  <c r="DA53" i="3"/>
  <c r="DB53" i="3"/>
  <c r="DC53" i="3"/>
  <c r="A54" i="3"/>
  <c r="Y54" i="3"/>
  <c r="CX54" i="3" s="1"/>
  <c r="DG54" i="3" s="1"/>
  <c r="CY54" i="3"/>
  <c r="CZ54" i="3"/>
  <c r="DA54" i="3"/>
  <c r="DB54" i="3"/>
  <c r="DC54" i="3"/>
  <c r="DF54" i="3"/>
  <c r="DJ54" i="3" s="1"/>
  <c r="DH54" i="3"/>
  <c r="DI54" i="3"/>
  <c r="A55" i="3"/>
  <c r="Y55" i="3"/>
  <c r="CX55" i="3" s="1"/>
  <c r="CY55" i="3"/>
  <c r="CZ55" i="3"/>
  <c r="DA55" i="3"/>
  <c r="DB55" i="3"/>
  <c r="DC55" i="3"/>
  <c r="A56" i="3"/>
  <c r="Y56" i="3"/>
  <c r="CU56" i="3"/>
  <c r="CV56" i="3"/>
  <c r="CX56" i="3"/>
  <c r="DF56" i="3" s="1"/>
  <c r="CY56" i="3"/>
  <c r="CZ56" i="3"/>
  <c r="DA56" i="3"/>
  <c r="DB56" i="3"/>
  <c r="DC56" i="3"/>
  <c r="DG56" i="3"/>
  <c r="DH56" i="3"/>
  <c r="DI56" i="3"/>
  <c r="DJ56" i="3" s="1"/>
  <c r="A57" i="3"/>
  <c r="Y57" i="3"/>
  <c r="CX57" i="3"/>
  <c r="DI57" i="3" s="1"/>
  <c r="CY57" i="3"/>
  <c r="CZ57" i="3"/>
  <c r="DA57" i="3"/>
  <c r="DB57" i="3"/>
  <c r="DC57" i="3"/>
  <c r="DF57" i="3"/>
  <c r="DJ57" i="3" s="1"/>
  <c r="DG57" i="3"/>
  <c r="DH57" i="3"/>
  <c r="A58" i="3"/>
  <c r="Y58" i="3"/>
  <c r="CX58" i="3"/>
  <c r="DI58" i="3" s="1"/>
  <c r="CY58" i="3"/>
  <c r="CZ58" i="3"/>
  <c r="DB58" i="3" s="1"/>
  <c r="DA58" i="3"/>
  <c r="DC58" i="3"/>
  <c r="A59" i="3"/>
  <c r="Y59" i="3"/>
  <c r="CV59" i="3" s="1"/>
  <c r="CU59" i="3"/>
  <c r="CX59" i="3"/>
  <c r="CY59" i="3"/>
  <c r="CZ59" i="3"/>
  <c r="DA59" i="3"/>
  <c r="DB59" i="3"/>
  <c r="DC59" i="3"/>
  <c r="A60" i="3"/>
  <c r="Y60" i="3"/>
  <c r="CV60" i="3" s="1"/>
  <c r="CU60" i="3"/>
  <c r="CX60" i="3"/>
  <c r="CY60" i="3"/>
  <c r="CZ60" i="3"/>
  <c r="DB60" i="3" s="1"/>
  <c r="DA60" i="3"/>
  <c r="DC60" i="3"/>
  <c r="DG60" i="3"/>
  <c r="A61" i="3"/>
  <c r="Y61" i="3"/>
  <c r="CU61" i="3"/>
  <c r="CV61" i="3"/>
  <c r="CX61" i="3"/>
  <c r="CY61" i="3"/>
  <c r="CZ61" i="3"/>
  <c r="DA61" i="3"/>
  <c r="DB61" i="3"/>
  <c r="DC61" i="3"/>
  <c r="A62" i="3"/>
  <c r="Y62" i="3"/>
  <c r="CX62" i="3"/>
  <c r="CY62" i="3"/>
  <c r="CZ62" i="3"/>
  <c r="DA62" i="3"/>
  <c r="DB62" i="3"/>
  <c r="DC62" i="3"/>
  <c r="DH62" i="3"/>
  <c r="DI62" i="3"/>
  <c r="A63" i="3"/>
  <c r="Y63" i="3"/>
  <c r="CX63" i="3" s="1"/>
  <c r="CY63" i="3"/>
  <c r="CZ63" i="3"/>
  <c r="DA63" i="3"/>
  <c r="DB63" i="3"/>
  <c r="DC63" i="3"/>
  <c r="A64" i="3"/>
  <c r="Y64" i="3"/>
  <c r="CX64" i="3" s="1"/>
  <c r="DG64" i="3" s="1"/>
  <c r="CY64" i="3"/>
  <c r="CZ64" i="3"/>
  <c r="DB64" i="3" s="1"/>
  <c r="DA64" i="3"/>
  <c r="DC64" i="3"/>
  <c r="DH64" i="3"/>
  <c r="A65" i="3"/>
  <c r="Y65" i="3"/>
  <c r="CU65" i="3"/>
  <c r="CY65" i="3"/>
  <c r="CZ65" i="3"/>
  <c r="DB65" i="3" s="1"/>
  <c r="DA65" i="3"/>
  <c r="DC65" i="3"/>
  <c r="A66" i="3"/>
  <c r="Y66" i="3"/>
  <c r="CX66" i="3" s="1"/>
  <c r="CY66" i="3"/>
  <c r="CZ66" i="3"/>
  <c r="DA66" i="3"/>
  <c r="DB66" i="3"/>
  <c r="DC66" i="3"/>
  <c r="DF66" i="3"/>
  <c r="DJ66" i="3" s="1"/>
  <c r="DG66" i="3"/>
  <c r="DH66" i="3"/>
  <c r="DI66" i="3"/>
  <c r="A67" i="3"/>
  <c r="Y67" i="3"/>
  <c r="CX67" i="3"/>
  <c r="DI67" i="3" s="1"/>
  <c r="CY67" i="3"/>
  <c r="CZ67" i="3"/>
  <c r="DA67" i="3"/>
  <c r="DB67" i="3"/>
  <c r="DC67" i="3"/>
  <c r="DF67" i="3"/>
  <c r="DJ67" i="3" s="1"/>
  <c r="DG67" i="3"/>
  <c r="DH67" i="3"/>
  <c r="A68" i="3"/>
  <c r="Y68" i="3"/>
  <c r="CX68" i="3"/>
  <c r="CY68" i="3"/>
  <c r="CZ68" i="3"/>
  <c r="DB68" i="3" s="1"/>
  <c r="DA68" i="3"/>
  <c r="DC68" i="3"/>
  <c r="DF68" i="3"/>
  <c r="DJ68" i="3" s="1"/>
  <c r="A69" i="3"/>
  <c r="Y69" i="3"/>
  <c r="CV69" i="3" s="1"/>
  <c r="CU69" i="3"/>
  <c r="CX69" i="3"/>
  <c r="CY69" i="3"/>
  <c r="CZ69" i="3"/>
  <c r="DA69" i="3"/>
  <c r="DB69" i="3"/>
  <c r="DC69" i="3"/>
  <c r="A70" i="3"/>
  <c r="Y70" i="3"/>
  <c r="CU70" i="3"/>
  <c r="CV70" i="3"/>
  <c r="CX70" i="3"/>
  <c r="DF70" i="3" s="1"/>
  <c r="CY70" i="3"/>
  <c r="CZ70" i="3"/>
  <c r="DB70" i="3" s="1"/>
  <c r="DA70" i="3"/>
  <c r="DC70" i="3"/>
  <c r="DI70" i="3"/>
  <c r="DJ70" i="3" s="1"/>
  <c r="A71" i="3"/>
  <c r="Y71" i="3"/>
  <c r="CX71" i="3" s="1"/>
  <c r="CU71" i="3"/>
  <c r="CV71" i="3"/>
  <c r="CY71" i="3"/>
  <c r="CZ71" i="3"/>
  <c r="DA71" i="3"/>
  <c r="DB71" i="3"/>
  <c r="DC71" i="3"/>
  <c r="A72" i="3"/>
  <c r="Y72" i="3"/>
  <c r="CU72" i="3"/>
  <c r="CY72" i="3"/>
  <c r="CZ72" i="3"/>
  <c r="DB72" i="3" s="1"/>
  <c r="DA72" i="3"/>
  <c r="DC72" i="3"/>
  <c r="A73" i="3"/>
  <c r="Y73" i="3"/>
  <c r="CU73" i="3"/>
  <c r="CV73" i="3"/>
  <c r="CX73" i="3"/>
  <c r="DG73" i="3" s="1"/>
  <c r="CY73" i="3"/>
  <c r="CZ73" i="3"/>
  <c r="DA73" i="3"/>
  <c r="DB73" i="3"/>
  <c r="DC73" i="3"/>
  <c r="DF73" i="3"/>
  <c r="DH73" i="3"/>
  <c r="DI73" i="3"/>
  <c r="DJ73" i="3" s="1"/>
  <c r="A74" i="3"/>
  <c r="Y74" i="3"/>
  <c r="CX74" i="3" s="1"/>
  <c r="CU74" i="3"/>
  <c r="CV74" i="3"/>
  <c r="CY74" i="3"/>
  <c r="CZ74" i="3"/>
  <c r="DB74" i="3" s="1"/>
  <c r="DA74" i="3"/>
  <c r="DC74" i="3"/>
  <c r="DG74" i="3"/>
  <c r="A75" i="3"/>
  <c r="Y75" i="3"/>
  <c r="CU75" i="3"/>
  <c r="CV75" i="3"/>
  <c r="CX75" i="3"/>
  <c r="CY75" i="3"/>
  <c r="CZ75" i="3"/>
  <c r="DB75" i="3" s="1"/>
  <c r="DA75" i="3"/>
  <c r="DC75" i="3"/>
  <c r="A76" i="3"/>
  <c r="Y76" i="3"/>
  <c r="CV76" i="3" s="1"/>
  <c r="CU76" i="3"/>
  <c r="CX76" i="3"/>
  <c r="DG76" i="3" s="1"/>
  <c r="CY76" i="3"/>
  <c r="CZ76" i="3"/>
  <c r="DA76" i="3"/>
  <c r="DB76" i="3"/>
  <c r="DC76" i="3"/>
  <c r="DI76" i="3"/>
  <c r="DJ76" i="3" s="1"/>
  <c r="A77" i="3"/>
  <c r="Y77" i="3"/>
  <c r="CY77" i="3"/>
  <c r="CZ77" i="3"/>
  <c r="DA77" i="3"/>
  <c r="DB77" i="3"/>
  <c r="DC77" i="3"/>
  <c r="A78" i="3"/>
  <c r="Y78" i="3"/>
  <c r="CY78" i="3"/>
  <c r="CZ78" i="3"/>
  <c r="DB78" i="3" s="1"/>
  <c r="DA78" i="3"/>
  <c r="DC78" i="3"/>
  <c r="A79" i="3"/>
  <c r="Y79" i="3"/>
  <c r="CY79" i="3"/>
  <c r="CZ79" i="3"/>
  <c r="DB79" i="3" s="1"/>
  <c r="DA79" i="3"/>
  <c r="DC79" i="3"/>
  <c r="A80" i="3"/>
  <c r="Y80" i="3"/>
  <c r="CY80" i="3"/>
  <c r="CZ80" i="3"/>
  <c r="DA80" i="3"/>
  <c r="DB80" i="3"/>
  <c r="DC80" i="3"/>
  <c r="A81" i="3"/>
  <c r="Y81" i="3"/>
  <c r="CY81" i="3"/>
  <c r="CZ81" i="3"/>
  <c r="DB81" i="3" s="1"/>
  <c r="DA81" i="3"/>
  <c r="DC81" i="3"/>
  <c r="A82" i="3"/>
  <c r="Y82" i="3"/>
  <c r="CY82" i="3"/>
  <c r="CZ82" i="3"/>
  <c r="DB82" i="3" s="1"/>
  <c r="DA82" i="3"/>
  <c r="DC82" i="3"/>
  <c r="A83" i="3"/>
  <c r="Y83" i="3"/>
  <c r="CY83" i="3"/>
  <c r="CZ83" i="3"/>
  <c r="DB83" i="3" s="1"/>
  <c r="DA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A86" i="3"/>
  <c r="DB86" i="3"/>
  <c r="DC86" i="3"/>
  <c r="A87" i="3"/>
  <c r="Y87" i="3"/>
  <c r="CU87" i="3"/>
  <c r="CV87" i="3"/>
  <c r="CX87" i="3"/>
  <c r="DI87" i="3" s="1"/>
  <c r="DJ87" i="3" s="1"/>
  <c r="CY87" i="3"/>
  <c r="CZ87" i="3"/>
  <c r="DA87" i="3"/>
  <c r="DB87" i="3"/>
  <c r="DC87" i="3"/>
  <c r="DF87" i="3"/>
  <c r="DG87" i="3"/>
  <c r="DH87" i="3"/>
  <c r="A88" i="3"/>
  <c r="Y88" i="3"/>
  <c r="CX88" i="3"/>
  <c r="DH88" i="3" s="1"/>
  <c r="CY88" i="3"/>
  <c r="CZ88" i="3"/>
  <c r="DA88" i="3"/>
  <c r="DB88" i="3"/>
  <c r="DC88" i="3"/>
  <c r="DF88" i="3"/>
  <c r="DJ88" i="3" s="1"/>
  <c r="DG88" i="3"/>
  <c r="DI88" i="3"/>
  <c r="A89" i="3"/>
  <c r="Y89" i="3"/>
  <c r="CX89" i="3"/>
  <c r="DG89" i="3" s="1"/>
  <c r="CY89" i="3"/>
  <c r="CZ89" i="3"/>
  <c r="DA89" i="3"/>
  <c r="DB89" i="3"/>
  <c r="DC89" i="3"/>
  <c r="DF89" i="3"/>
  <c r="DJ89" i="3" s="1"/>
  <c r="DH89" i="3"/>
  <c r="DI89" i="3"/>
  <c r="A90" i="3"/>
  <c r="Y90" i="3"/>
  <c r="CX90" i="3"/>
  <c r="DF90" i="3" s="1"/>
  <c r="DJ90" i="3" s="1"/>
  <c r="CY90" i="3"/>
  <c r="CZ90" i="3"/>
  <c r="DA90" i="3"/>
  <c r="DB90" i="3"/>
  <c r="DC90" i="3"/>
  <c r="DG90" i="3"/>
  <c r="DH90" i="3"/>
  <c r="DI90" i="3"/>
  <c r="A91" i="3"/>
  <c r="Y91" i="3"/>
  <c r="CX91" i="3" s="1"/>
  <c r="CU91" i="3"/>
  <c r="CV91" i="3"/>
  <c r="CY91" i="3"/>
  <c r="CZ91" i="3"/>
  <c r="DB91" i="3" s="1"/>
  <c r="DA91" i="3"/>
  <c r="DC91" i="3"/>
  <c r="A92" i="3"/>
  <c r="Y92" i="3"/>
  <c r="CX92" i="3"/>
  <c r="CY92" i="3"/>
  <c r="CZ92" i="3"/>
  <c r="DA92" i="3"/>
  <c r="DB92" i="3"/>
  <c r="DC92" i="3"/>
  <c r="A93" i="3"/>
  <c r="Y93" i="3"/>
  <c r="CX93" i="3"/>
  <c r="CY93" i="3"/>
  <c r="CZ93" i="3"/>
  <c r="DB93" i="3" s="1"/>
  <c r="DA93" i="3"/>
  <c r="DC93" i="3"/>
  <c r="DI93" i="3"/>
  <c r="A94" i="3"/>
  <c r="Y94" i="3"/>
  <c r="CX94" i="3" s="1"/>
  <c r="CY94" i="3"/>
  <c r="CZ94" i="3"/>
  <c r="DA94" i="3"/>
  <c r="DB94" i="3"/>
  <c r="DC94" i="3"/>
  <c r="A95" i="3"/>
  <c r="Y95" i="3"/>
  <c r="CY95" i="3"/>
  <c r="CZ95" i="3"/>
  <c r="DA95" i="3"/>
  <c r="DB95" i="3"/>
  <c r="DC95" i="3"/>
  <c r="A96" i="3"/>
  <c r="Y96" i="3"/>
  <c r="CY96" i="3"/>
  <c r="CZ96" i="3"/>
  <c r="DA96" i="3"/>
  <c r="DB96" i="3"/>
  <c r="DC96" i="3"/>
  <c r="A97" i="3"/>
  <c r="Y97" i="3"/>
  <c r="CY97" i="3"/>
  <c r="CZ97" i="3"/>
  <c r="DA97" i="3"/>
  <c r="DB97" i="3"/>
  <c r="DC97" i="3"/>
  <c r="A98" i="3"/>
  <c r="Y98" i="3"/>
  <c r="CY98" i="3"/>
  <c r="CZ98" i="3"/>
  <c r="DA98" i="3"/>
  <c r="DB98" i="3"/>
  <c r="DC98" i="3"/>
  <c r="A99" i="3"/>
  <c r="Y99" i="3"/>
  <c r="CY99" i="3"/>
  <c r="CZ99" i="3"/>
  <c r="DA99" i="3"/>
  <c r="DB99" i="3"/>
  <c r="DC99" i="3"/>
  <c r="A100" i="3"/>
  <c r="Y100" i="3"/>
  <c r="CY100" i="3"/>
  <c r="CZ100" i="3"/>
  <c r="DA100" i="3"/>
  <c r="DB100" i="3"/>
  <c r="DC100" i="3"/>
  <c r="A101" i="3"/>
  <c r="Y101" i="3"/>
  <c r="CY101" i="3"/>
  <c r="CZ101" i="3"/>
  <c r="DB101" i="3" s="1"/>
  <c r="DA101" i="3"/>
  <c r="DC101" i="3"/>
  <c r="A102" i="3"/>
  <c r="Y102" i="3"/>
  <c r="CY102" i="3"/>
  <c r="CZ102" i="3"/>
  <c r="DA102" i="3"/>
  <c r="DB102" i="3"/>
  <c r="DC102" i="3"/>
  <c r="A103" i="3"/>
  <c r="Y103" i="3"/>
  <c r="CY103" i="3"/>
  <c r="CZ103" i="3"/>
  <c r="DA103" i="3"/>
  <c r="DB103" i="3"/>
  <c r="DC103" i="3"/>
  <c r="A104" i="3"/>
  <c r="Y104" i="3"/>
  <c r="CY104" i="3"/>
  <c r="CZ104" i="3"/>
  <c r="DA104" i="3"/>
  <c r="DB104" i="3"/>
  <c r="DC104" i="3"/>
  <c r="A105" i="3"/>
  <c r="Y105" i="3"/>
  <c r="CY105" i="3"/>
  <c r="CZ105" i="3"/>
  <c r="DA105" i="3"/>
  <c r="DB105" i="3"/>
  <c r="DC105" i="3"/>
  <c r="A106" i="3"/>
  <c r="Y106" i="3"/>
  <c r="CY106" i="3"/>
  <c r="CZ106" i="3"/>
  <c r="DB106" i="3" s="1"/>
  <c r="DA106" i="3"/>
  <c r="DC106" i="3"/>
  <c r="A107" i="3"/>
  <c r="Y107" i="3"/>
  <c r="CY107" i="3"/>
  <c r="CZ107" i="3"/>
  <c r="DB107" i="3" s="1"/>
  <c r="DA107" i="3"/>
  <c r="DC107" i="3"/>
  <c r="A108" i="3"/>
  <c r="Y108" i="3"/>
  <c r="CY108" i="3"/>
  <c r="CZ108" i="3"/>
  <c r="DA108" i="3"/>
  <c r="DB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A110" i="3"/>
  <c r="DB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A112" i="3"/>
  <c r="DB112" i="3"/>
  <c r="DC112" i="3"/>
  <c r="A113" i="3"/>
  <c r="Y113" i="3"/>
  <c r="CY113" i="3"/>
  <c r="CZ113" i="3"/>
  <c r="DA113" i="3"/>
  <c r="DB113" i="3"/>
  <c r="DC113" i="3"/>
  <c r="A114" i="3"/>
  <c r="Y114" i="3"/>
  <c r="CY114" i="3"/>
  <c r="CZ114" i="3"/>
  <c r="DA114" i="3"/>
  <c r="DB114" i="3"/>
  <c r="DC114" i="3"/>
  <c r="A115" i="3"/>
  <c r="Y115" i="3"/>
  <c r="CY115" i="3"/>
  <c r="CZ115" i="3"/>
  <c r="DB115" i="3" s="1"/>
  <c r="DA115" i="3"/>
  <c r="DC115" i="3"/>
  <c r="A116" i="3"/>
  <c r="Y116" i="3"/>
  <c r="CY116" i="3"/>
  <c r="CZ116" i="3"/>
  <c r="DA116" i="3"/>
  <c r="DB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B118" i="3" s="1"/>
  <c r="DA118" i="3"/>
  <c r="DC118" i="3"/>
  <c r="A119" i="3"/>
  <c r="Y119" i="3"/>
  <c r="CY119" i="3"/>
  <c r="CZ119" i="3"/>
  <c r="DB119" i="3" s="1"/>
  <c r="DA119" i="3"/>
  <c r="DC119" i="3"/>
  <c r="A120" i="3"/>
  <c r="Y120" i="3"/>
  <c r="CY120" i="3"/>
  <c r="CZ120" i="3"/>
  <c r="DB120" i="3" s="1"/>
  <c r="DA120" i="3"/>
  <c r="DC120" i="3"/>
  <c r="A121" i="3"/>
  <c r="Y121" i="3"/>
  <c r="CY121" i="3"/>
  <c r="CZ121" i="3"/>
  <c r="DB121" i="3" s="1"/>
  <c r="DA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A123" i="3"/>
  <c r="DB123" i="3"/>
  <c r="DC123" i="3"/>
  <c r="A124" i="3"/>
  <c r="Y124" i="3"/>
  <c r="CY124" i="3"/>
  <c r="CZ124" i="3"/>
  <c r="DB124" i="3" s="1"/>
  <c r="DA124" i="3"/>
  <c r="DC124" i="3"/>
  <c r="A125" i="3"/>
  <c r="Y125" i="3"/>
  <c r="CY125" i="3"/>
  <c r="CZ125" i="3"/>
  <c r="DA125" i="3"/>
  <c r="DB125" i="3"/>
  <c r="DC125" i="3"/>
  <c r="A126" i="3"/>
  <c r="Y126" i="3"/>
  <c r="CY126" i="3"/>
  <c r="CZ126" i="3"/>
  <c r="DB126" i="3" s="1"/>
  <c r="DA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B128" i="3" s="1"/>
  <c r="DA128" i="3"/>
  <c r="DC128" i="3"/>
  <c r="A129" i="3"/>
  <c r="Y129" i="3"/>
  <c r="CY129" i="3"/>
  <c r="CZ129" i="3"/>
  <c r="DA129" i="3"/>
  <c r="DB129" i="3"/>
  <c r="DC129" i="3"/>
  <c r="A130" i="3"/>
  <c r="Y130" i="3"/>
  <c r="CY130" i="3"/>
  <c r="CZ130" i="3"/>
  <c r="DA130" i="3"/>
  <c r="DB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B132" i="3" s="1"/>
  <c r="DA132" i="3"/>
  <c r="DC132" i="3"/>
  <c r="A133" i="3"/>
  <c r="Y133" i="3"/>
  <c r="CY133" i="3"/>
  <c r="CZ133" i="3"/>
  <c r="DB133" i="3" s="1"/>
  <c r="DA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B135" i="3" s="1"/>
  <c r="DA135" i="3"/>
  <c r="DC135" i="3"/>
  <c r="A136" i="3"/>
  <c r="Y136" i="3"/>
  <c r="CY136" i="3"/>
  <c r="CZ136" i="3"/>
  <c r="DA136" i="3"/>
  <c r="DB136" i="3"/>
  <c r="DC136" i="3"/>
  <c r="A137" i="3"/>
  <c r="Y137" i="3"/>
  <c r="CY137" i="3"/>
  <c r="CZ137" i="3"/>
  <c r="DA137" i="3"/>
  <c r="DB137" i="3"/>
  <c r="DC137" i="3"/>
  <c r="A138" i="3"/>
  <c r="Y138" i="3"/>
  <c r="CY138" i="3"/>
  <c r="CZ138" i="3"/>
  <c r="DB138" i="3" s="1"/>
  <c r="DA138" i="3"/>
  <c r="DC138" i="3"/>
  <c r="A139" i="3"/>
  <c r="Y139" i="3"/>
  <c r="CY139" i="3"/>
  <c r="CZ139" i="3"/>
  <c r="DA139" i="3"/>
  <c r="DB139" i="3"/>
  <c r="DC139" i="3"/>
  <c r="A140" i="3"/>
  <c r="Y140" i="3"/>
  <c r="CY140" i="3"/>
  <c r="CZ140" i="3"/>
  <c r="DA140" i="3"/>
  <c r="DB140" i="3"/>
  <c r="DC140" i="3"/>
  <c r="A141" i="3"/>
  <c r="Y141" i="3"/>
  <c r="CY141" i="3"/>
  <c r="CZ141" i="3"/>
  <c r="DA141" i="3"/>
  <c r="DB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A143" i="3"/>
  <c r="DB143" i="3"/>
  <c r="DC143" i="3"/>
  <c r="A144" i="3"/>
  <c r="Y144" i="3"/>
  <c r="CY144" i="3"/>
  <c r="CZ144" i="3"/>
  <c r="DA144" i="3"/>
  <c r="DB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A146" i="3"/>
  <c r="DB146" i="3"/>
  <c r="DC146" i="3"/>
  <c r="A147" i="3"/>
  <c r="Y147" i="3"/>
  <c r="CU147" i="3"/>
  <c r="CY147" i="3"/>
  <c r="CZ147" i="3"/>
  <c r="DA147" i="3"/>
  <c r="DB147" i="3"/>
  <c r="DC147" i="3"/>
  <c r="A148" i="3"/>
  <c r="Y148" i="3"/>
  <c r="CX148" i="3"/>
  <c r="CY148" i="3"/>
  <c r="CZ148" i="3"/>
  <c r="DB148" i="3" s="1"/>
  <c r="DA148" i="3"/>
  <c r="DC148" i="3"/>
  <c r="DF148" i="3"/>
  <c r="DG148" i="3"/>
  <c r="DH148" i="3"/>
  <c r="DI148" i="3"/>
  <c r="DJ148" i="3"/>
  <c r="A149" i="3"/>
  <c r="Y149" i="3"/>
  <c r="CX149" i="3" s="1"/>
  <c r="CY149" i="3"/>
  <c r="CZ149" i="3"/>
  <c r="DA149" i="3"/>
  <c r="DB149" i="3"/>
  <c r="DC149" i="3"/>
  <c r="DI149" i="3"/>
  <c r="A150" i="3"/>
  <c r="Y150" i="3"/>
  <c r="CX150" i="3" s="1"/>
  <c r="CY150" i="3"/>
  <c r="CZ150" i="3"/>
  <c r="DA150" i="3"/>
  <c r="DB150" i="3"/>
  <c r="DC150" i="3"/>
  <c r="DI150" i="3"/>
  <c r="A151" i="3"/>
  <c r="Y151" i="3"/>
  <c r="CX151" i="3"/>
  <c r="DF151" i="3" s="1"/>
  <c r="DJ151" i="3" s="1"/>
  <c r="CY151" i="3"/>
  <c r="CZ151" i="3"/>
  <c r="DA151" i="3"/>
  <c r="DB151" i="3"/>
  <c r="DC151" i="3"/>
  <c r="DG151" i="3"/>
  <c r="DH151" i="3"/>
  <c r="DI151" i="3"/>
  <c r="A152" i="3"/>
  <c r="Y152" i="3"/>
  <c r="CX152" i="3"/>
  <c r="DI152" i="3" s="1"/>
  <c r="CY152" i="3"/>
  <c r="CZ152" i="3"/>
  <c r="DB152" i="3" s="1"/>
  <c r="DA152" i="3"/>
  <c r="DC152" i="3"/>
  <c r="DF152" i="3"/>
  <c r="DJ152" i="3" s="1"/>
  <c r="DG152" i="3"/>
  <c r="DH152" i="3"/>
  <c r="A153" i="3"/>
  <c r="Y153" i="3"/>
  <c r="CX153" i="3"/>
  <c r="DH153" i="3" s="1"/>
  <c r="CY153" i="3"/>
  <c r="CZ153" i="3"/>
  <c r="DB153" i="3" s="1"/>
  <c r="DA153" i="3"/>
  <c r="DC153" i="3"/>
  <c r="DF153" i="3"/>
  <c r="DJ153" i="3" s="1"/>
  <c r="DG153" i="3"/>
  <c r="A154" i="3"/>
  <c r="Y154" i="3"/>
  <c r="CX154" i="3" s="1"/>
  <c r="CU154" i="3"/>
  <c r="CV154" i="3"/>
  <c r="CY154" i="3"/>
  <c r="CZ154" i="3"/>
  <c r="DA154" i="3"/>
  <c r="DB154" i="3"/>
  <c r="DC154" i="3"/>
  <c r="A155" i="3"/>
  <c r="Y155" i="3"/>
  <c r="CX155" i="3" s="1"/>
  <c r="CY155" i="3"/>
  <c r="CZ155" i="3"/>
  <c r="DB155" i="3" s="1"/>
  <c r="DA155" i="3"/>
  <c r="DC155" i="3"/>
  <c r="DI155" i="3"/>
  <c r="A156" i="3"/>
  <c r="Y156" i="3"/>
  <c r="CX156" i="3"/>
  <c r="DF156" i="3" s="1"/>
  <c r="DJ156" i="3" s="1"/>
  <c r="CY156" i="3"/>
  <c r="CZ156" i="3"/>
  <c r="DB156" i="3" s="1"/>
  <c r="DA156" i="3"/>
  <c r="DC156" i="3"/>
  <c r="DH156" i="3"/>
  <c r="A157" i="3"/>
  <c r="Y157" i="3"/>
  <c r="CX157" i="3"/>
  <c r="CY157" i="3"/>
  <c r="CZ157" i="3"/>
  <c r="DA157" i="3"/>
  <c r="DB157" i="3"/>
  <c r="DC157" i="3"/>
  <c r="DG157" i="3"/>
  <c r="A158" i="3"/>
  <c r="Y158" i="3"/>
  <c r="CX158" i="3"/>
  <c r="CY158" i="3"/>
  <c r="CZ158" i="3"/>
  <c r="DA158" i="3"/>
  <c r="DB158" i="3"/>
  <c r="DC158" i="3"/>
  <c r="DF158" i="3"/>
  <c r="DJ158" i="3" s="1"/>
  <c r="A159" i="3"/>
  <c r="Y159" i="3"/>
  <c r="CX159" i="3" s="1"/>
  <c r="CY159" i="3"/>
  <c r="CZ159" i="3"/>
  <c r="DA159" i="3"/>
  <c r="DB159" i="3"/>
  <c r="DC159" i="3"/>
  <c r="A160" i="3"/>
  <c r="Y160" i="3"/>
  <c r="CX160" i="3" s="1"/>
  <c r="CY160" i="3"/>
  <c r="CZ160" i="3"/>
  <c r="DA160" i="3"/>
  <c r="DB160" i="3"/>
  <c r="DC160" i="3"/>
  <c r="A161" i="3"/>
  <c r="Y161" i="3"/>
  <c r="CU161" i="3"/>
  <c r="CV161" i="3"/>
  <c r="CX161" i="3"/>
  <c r="DH161" i="3" s="1"/>
  <c r="CY161" i="3"/>
  <c r="CZ161" i="3"/>
  <c r="DB161" i="3" s="1"/>
  <c r="DA161" i="3"/>
  <c r="DC161" i="3"/>
  <c r="DF161" i="3"/>
  <c r="DG161" i="3"/>
  <c r="A162" i="3"/>
  <c r="Y162" i="3"/>
  <c r="CX162" i="3" s="1"/>
  <c r="CU162" i="3"/>
  <c r="CV162" i="3"/>
  <c r="CY162" i="3"/>
  <c r="CZ162" i="3"/>
  <c r="DA162" i="3"/>
  <c r="DB162" i="3"/>
  <c r="DC162" i="3"/>
  <c r="A163" i="3"/>
  <c r="Y163" i="3"/>
  <c r="CY163" i="3"/>
  <c r="CZ163" i="3"/>
  <c r="DA163" i="3"/>
  <c r="DB163" i="3"/>
  <c r="DC163" i="3"/>
  <c r="A164" i="3"/>
  <c r="Y164" i="3"/>
  <c r="CY164" i="3"/>
  <c r="CZ164" i="3"/>
  <c r="DA164" i="3"/>
  <c r="DB164" i="3"/>
  <c r="DC164" i="3"/>
  <c r="A165" i="3"/>
  <c r="Y165" i="3"/>
  <c r="CU165" i="3"/>
  <c r="CV165" i="3"/>
  <c r="CX165" i="3"/>
  <c r="DH165" i="3" s="1"/>
  <c r="CY165" i="3"/>
  <c r="CZ165" i="3"/>
  <c r="DB165" i="3" s="1"/>
  <c r="DA165" i="3"/>
  <c r="DC165" i="3"/>
  <c r="DF165" i="3"/>
  <c r="DG165" i="3"/>
  <c r="A166" i="3"/>
  <c r="Y166" i="3"/>
  <c r="CX166" i="3"/>
  <c r="CY166" i="3"/>
  <c r="CZ166" i="3"/>
  <c r="DA166" i="3"/>
  <c r="DB166" i="3"/>
  <c r="DC166" i="3"/>
  <c r="A167" i="3"/>
  <c r="Y167" i="3"/>
  <c r="CX167" i="3" s="1"/>
  <c r="CY167" i="3"/>
  <c r="CZ167" i="3"/>
  <c r="DA167" i="3"/>
  <c r="DB167" i="3"/>
  <c r="DC167" i="3"/>
  <c r="A168" i="3"/>
  <c r="Y168" i="3"/>
  <c r="CX168" i="3" s="1"/>
  <c r="CY168" i="3"/>
  <c r="CZ168" i="3"/>
  <c r="DA168" i="3"/>
  <c r="DB168" i="3"/>
  <c r="DC168" i="3"/>
  <c r="A169" i="3"/>
  <c r="Y169" i="3"/>
  <c r="CU169" i="3"/>
  <c r="CV169" i="3"/>
  <c r="CX169" i="3"/>
  <c r="CY169" i="3"/>
  <c r="CZ169" i="3"/>
  <c r="DA169" i="3"/>
  <c r="DB169" i="3"/>
  <c r="DC169" i="3"/>
  <c r="A170" i="3"/>
  <c r="Y170" i="3"/>
  <c r="CX170" i="3" s="1"/>
  <c r="CY170" i="3"/>
  <c r="CZ170" i="3"/>
  <c r="DA170" i="3"/>
  <c r="DB170" i="3"/>
  <c r="DC170" i="3"/>
  <c r="A171" i="3"/>
  <c r="Y171" i="3"/>
  <c r="CX171" i="3" s="1"/>
  <c r="CY171" i="3"/>
  <c r="CZ171" i="3"/>
  <c r="DA171" i="3"/>
  <c r="DB171" i="3"/>
  <c r="DC171" i="3"/>
  <c r="DI171" i="3"/>
  <c r="A172" i="3"/>
  <c r="Y172" i="3"/>
  <c r="CX172" i="3" s="1"/>
  <c r="CY172" i="3"/>
  <c r="CZ172" i="3"/>
  <c r="DA172" i="3"/>
  <c r="DB172" i="3"/>
  <c r="DC172" i="3"/>
  <c r="DH172" i="3"/>
  <c r="DI172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R28" i="1"/>
  <c r="S28" i="1"/>
  <c r="AC28" i="1"/>
  <c r="CQ28" i="1" s="1"/>
  <c r="AD28" i="1"/>
  <c r="AE28" i="1"/>
  <c r="Q28" i="1" s="1"/>
  <c r="AF28" i="1"/>
  <c r="AG28" i="1"/>
  <c r="CU28" i="1" s="1"/>
  <c r="T28" i="1" s="1"/>
  <c r="AH28" i="1"/>
  <c r="CV28" i="1" s="1"/>
  <c r="U28" i="1" s="1"/>
  <c r="AI28" i="1"/>
  <c r="CW28" i="1" s="1"/>
  <c r="V28" i="1" s="1"/>
  <c r="AJ28" i="1"/>
  <c r="CR28" i="1"/>
  <c r="CS28" i="1"/>
  <c r="CT28" i="1"/>
  <c r="CX28" i="1"/>
  <c r="W28" i="1" s="1"/>
  <c r="CY28" i="1"/>
  <c r="GL28" i="1"/>
  <c r="GN28" i="1"/>
  <c r="GP28" i="1"/>
  <c r="GV28" i="1"/>
  <c r="HC28" i="1" s="1"/>
  <c r="GX28" i="1" s="1"/>
  <c r="C29" i="1"/>
  <c r="D29" i="1"/>
  <c r="S29" i="1"/>
  <c r="CY29" i="1" s="1"/>
  <c r="AB29" i="1"/>
  <c r="AC29" i="1"/>
  <c r="AE29" i="1"/>
  <c r="AD29" i="1" s="1"/>
  <c r="AF29" i="1"/>
  <c r="AG29" i="1"/>
  <c r="CU29" i="1" s="1"/>
  <c r="T29" i="1" s="1"/>
  <c r="AH29" i="1"/>
  <c r="AI29" i="1"/>
  <c r="CW29" i="1" s="1"/>
  <c r="V29" i="1" s="1"/>
  <c r="AJ29" i="1"/>
  <c r="CS29" i="1"/>
  <c r="CT29" i="1"/>
  <c r="CV29" i="1"/>
  <c r="U29" i="1" s="1"/>
  <c r="CX29" i="1"/>
  <c r="W29" i="1" s="1"/>
  <c r="GL29" i="1"/>
  <c r="GN29" i="1"/>
  <c r="GP29" i="1"/>
  <c r="GV29" i="1"/>
  <c r="HC29" i="1" s="1"/>
  <c r="GX29" i="1" s="1"/>
  <c r="C30" i="1"/>
  <c r="D30" i="1"/>
  <c r="P30" i="1"/>
  <c r="S30" i="1"/>
  <c r="Y30" i="1" s="1"/>
  <c r="U30" i="1"/>
  <c r="X30" i="1"/>
  <c r="AC30" i="1"/>
  <c r="AE30" i="1"/>
  <c r="CR30" i="1" s="1"/>
  <c r="AF30" i="1"/>
  <c r="CT30" i="1" s="1"/>
  <c r="AG30" i="1"/>
  <c r="CU30" i="1" s="1"/>
  <c r="T30" i="1" s="1"/>
  <c r="AH30" i="1"/>
  <c r="AI30" i="1"/>
  <c r="CW30" i="1" s="1"/>
  <c r="V30" i="1" s="1"/>
  <c r="AJ30" i="1"/>
  <c r="CX30" i="1" s="1"/>
  <c r="W30" i="1" s="1"/>
  <c r="CQ30" i="1"/>
  <c r="CS30" i="1"/>
  <c r="CV30" i="1"/>
  <c r="CZ30" i="1"/>
  <c r="GL30" i="1"/>
  <c r="GN30" i="1"/>
  <c r="GP30" i="1"/>
  <c r="GV30" i="1"/>
  <c r="HC30" i="1"/>
  <c r="GX30" i="1" s="1"/>
  <c r="C31" i="1"/>
  <c r="D31" i="1"/>
  <c r="P31" i="1"/>
  <c r="CP31" i="1" s="1"/>
  <c r="O31" i="1" s="1"/>
  <c r="Q31" i="1"/>
  <c r="S31" i="1"/>
  <c r="CY31" i="1" s="1"/>
  <c r="AC31" i="1"/>
  <c r="AD31" i="1"/>
  <c r="AB31" i="1" s="1"/>
  <c r="AE31" i="1"/>
  <c r="AF31" i="1"/>
  <c r="CT31" i="1" s="1"/>
  <c r="AG31" i="1"/>
  <c r="AH31" i="1"/>
  <c r="AI31" i="1"/>
  <c r="CW31" i="1" s="1"/>
  <c r="V31" i="1" s="1"/>
  <c r="AJ31" i="1"/>
  <c r="CQ31" i="1"/>
  <c r="CU31" i="1"/>
  <c r="T31" i="1" s="1"/>
  <c r="CV31" i="1"/>
  <c r="U31" i="1" s="1"/>
  <c r="CX31" i="1"/>
  <c r="W31" i="1" s="1"/>
  <c r="GL31" i="1"/>
  <c r="GN31" i="1"/>
  <c r="GP31" i="1"/>
  <c r="GV31" i="1"/>
  <c r="GX31" i="1"/>
  <c r="HC31" i="1"/>
  <c r="C32" i="1"/>
  <c r="D32" i="1"/>
  <c r="P32" i="1"/>
  <c r="S32" i="1"/>
  <c r="Y32" i="1" s="1"/>
  <c r="U32" i="1"/>
  <c r="W32" i="1"/>
  <c r="X32" i="1"/>
  <c r="AC32" i="1"/>
  <c r="AD32" i="1"/>
  <c r="AB32" i="1" s="1"/>
  <c r="AE32" i="1"/>
  <c r="CR32" i="1" s="1"/>
  <c r="AF32" i="1"/>
  <c r="CT32" i="1" s="1"/>
  <c r="AG32" i="1"/>
  <c r="AH32" i="1"/>
  <c r="AI32" i="1"/>
  <c r="CW32" i="1" s="1"/>
  <c r="V32" i="1" s="1"/>
  <c r="AJ32" i="1"/>
  <c r="CQ32" i="1"/>
  <c r="CS32" i="1"/>
  <c r="CU32" i="1"/>
  <c r="T32" i="1" s="1"/>
  <c r="CV32" i="1"/>
  <c r="CX32" i="1"/>
  <c r="CZ32" i="1"/>
  <c r="GL32" i="1"/>
  <c r="GN32" i="1"/>
  <c r="GP32" i="1"/>
  <c r="GV32" i="1"/>
  <c r="GX32" i="1"/>
  <c r="HC32" i="1"/>
  <c r="C33" i="1"/>
  <c r="D33" i="1"/>
  <c r="P33" i="1"/>
  <c r="R33" i="1"/>
  <c r="U33" i="1"/>
  <c r="AC33" i="1"/>
  <c r="AD33" i="1"/>
  <c r="AB33" i="1" s="1"/>
  <c r="AE33" i="1"/>
  <c r="CR33" i="1" s="1"/>
  <c r="AF33" i="1"/>
  <c r="CT33" i="1" s="1"/>
  <c r="AG33" i="1"/>
  <c r="CU33" i="1" s="1"/>
  <c r="T33" i="1" s="1"/>
  <c r="AH33" i="1"/>
  <c r="AI33" i="1"/>
  <c r="AJ33" i="1"/>
  <c r="CQ33" i="1"/>
  <c r="CS33" i="1"/>
  <c r="CV33" i="1"/>
  <c r="CW33" i="1"/>
  <c r="V33" i="1" s="1"/>
  <c r="CX33" i="1"/>
  <c r="W33" i="1" s="1"/>
  <c r="GL33" i="1"/>
  <c r="GN33" i="1"/>
  <c r="GP33" i="1"/>
  <c r="GV33" i="1"/>
  <c r="GX33" i="1"/>
  <c r="HC33" i="1"/>
  <c r="C34" i="1"/>
  <c r="D34" i="1"/>
  <c r="P34" i="1"/>
  <c r="R34" i="1"/>
  <c r="U34" i="1"/>
  <c r="W34" i="1"/>
  <c r="AB34" i="1"/>
  <c r="AC34" i="1"/>
  <c r="CQ34" i="1" s="1"/>
  <c r="AD34" i="1"/>
  <c r="AE34" i="1"/>
  <c r="Q34" i="1" s="1"/>
  <c r="AF34" i="1"/>
  <c r="CT34" i="1" s="1"/>
  <c r="AG34" i="1"/>
  <c r="AH34" i="1"/>
  <c r="AI34" i="1"/>
  <c r="AJ34" i="1"/>
  <c r="CR34" i="1"/>
  <c r="CS34" i="1"/>
  <c r="CU34" i="1"/>
  <c r="T34" i="1" s="1"/>
  <c r="CV34" i="1"/>
  <c r="CW34" i="1"/>
  <c r="V34" i="1" s="1"/>
  <c r="CX34" i="1"/>
  <c r="GL34" i="1"/>
  <c r="GN34" i="1"/>
  <c r="GP34" i="1"/>
  <c r="GV34" i="1"/>
  <c r="HC34" i="1" s="1"/>
  <c r="GX34" i="1" s="1"/>
  <c r="C35" i="1"/>
  <c r="D35" i="1"/>
  <c r="P35" i="1"/>
  <c r="R35" i="1"/>
  <c r="T35" i="1"/>
  <c r="U35" i="1"/>
  <c r="W35" i="1"/>
  <c r="AC35" i="1"/>
  <c r="AD35" i="1"/>
  <c r="AB35" i="1" s="1"/>
  <c r="AE35" i="1"/>
  <c r="Q35" i="1" s="1"/>
  <c r="AF35" i="1"/>
  <c r="CT35" i="1" s="1"/>
  <c r="AG35" i="1"/>
  <c r="AH35" i="1"/>
  <c r="CV35" i="1" s="1"/>
  <c r="AI35" i="1"/>
  <c r="CW35" i="1" s="1"/>
  <c r="V35" i="1" s="1"/>
  <c r="AJ35" i="1"/>
  <c r="CQ35" i="1"/>
  <c r="CR35" i="1"/>
  <c r="CS35" i="1"/>
  <c r="CU35" i="1"/>
  <c r="CX35" i="1"/>
  <c r="GL35" i="1"/>
  <c r="GN35" i="1"/>
  <c r="GP35" i="1"/>
  <c r="GV35" i="1"/>
  <c r="GX35" i="1"/>
  <c r="HC35" i="1"/>
  <c r="C36" i="1"/>
  <c r="D36" i="1"/>
  <c r="P36" i="1"/>
  <c r="R36" i="1"/>
  <c r="W36" i="1"/>
  <c r="AC36" i="1"/>
  <c r="AD36" i="1"/>
  <c r="AE36" i="1"/>
  <c r="Q36" i="1" s="1"/>
  <c r="AF36" i="1"/>
  <c r="S36" i="1" s="1"/>
  <c r="AG36" i="1"/>
  <c r="AH36" i="1"/>
  <c r="CV36" i="1" s="1"/>
  <c r="U36" i="1" s="1"/>
  <c r="AI36" i="1"/>
  <c r="AJ36" i="1"/>
  <c r="CR36" i="1"/>
  <c r="CT36" i="1"/>
  <c r="CU36" i="1"/>
  <c r="T36" i="1" s="1"/>
  <c r="CW36" i="1"/>
  <c r="V36" i="1" s="1"/>
  <c r="CX36" i="1"/>
  <c r="GL36" i="1"/>
  <c r="GN36" i="1"/>
  <c r="GP36" i="1"/>
  <c r="GV36" i="1"/>
  <c r="HC36" i="1" s="1"/>
  <c r="GX36" i="1"/>
  <c r="C37" i="1"/>
  <c r="D37" i="1"/>
  <c r="R37" i="1"/>
  <c r="T37" i="1"/>
  <c r="V37" i="1"/>
  <c r="AC37" i="1"/>
  <c r="CQ37" i="1" s="1"/>
  <c r="AD37" i="1"/>
  <c r="AE37" i="1"/>
  <c r="Q37" i="1" s="1"/>
  <c r="AF37" i="1"/>
  <c r="S37" i="1" s="1"/>
  <c r="AG37" i="1"/>
  <c r="AH37" i="1"/>
  <c r="CV37" i="1" s="1"/>
  <c r="U37" i="1" s="1"/>
  <c r="AI37" i="1"/>
  <c r="AJ37" i="1"/>
  <c r="CX37" i="1" s="1"/>
  <c r="W37" i="1" s="1"/>
  <c r="CR37" i="1"/>
  <c r="CS37" i="1"/>
  <c r="CT37" i="1"/>
  <c r="CU37" i="1"/>
  <c r="CW37" i="1"/>
  <c r="GL37" i="1"/>
  <c r="GN37" i="1"/>
  <c r="GP37" i="1"/>
  <c r="GV37" i="1"/>
  <c r="HC37" i="1" s="1"/>
  <c r="GX37" i="1" s="1"/>
  <c r="C38" i="1"/>
  <c r="D38" i="1"/>
  <c r="Q38" i="1"/>
  <c r="R38" i="1"/>
  <c r="AC38" i="1"/>
  <c r="CQ38" i="1" s="1"/>
  <c r="AE38" i="1"/>
  <c r="AF38" i="1"/>
  <c r="AG38" i="1"/>
  <c r="CU38" i="1" s="1"/>
  <c r="T38" i="1" s="1"/>
  <c r="AH38" i="1"/>
  <c r="AI38" i="1"/>
  <c r="AJ38" i="1"/>
  <c r="CX38" i="1" s="1"/>
  <c r="W38" i="1" s="1"/>
  <c r="CV38" i="1"/>
  <c r="U38" i="1" s="1"/>
  <c r="CW38" i="1"/>
  <c r="V38" i="1" s="1"/>
  <c r="GL38" i="1"/>
  <c r="GN38" i="1"/>
  <c r="GP38" i="1"/>
  <c r="GV38" i="1"/>
  <c r="HC38" i="1"/>
  <c r="GX38" i="1" s="1"/>
  <c r="C39" i="1"/>
  <c r="D39" i="1"/>
  <c r="T39" i="1"/>
  <c r="V39" i="1"/>
  <c r="Y39" i="1"/>
  <c r="AC39" i="1"/>
  <c r="AE39" i="1"/>
  <c r="CS39" i="1" s="1"/>
  <c r="AF39" i="1"/>
  <c r="S39" i="1" s="1"/>
  <c r="X39" i="1" s="1"/>
  <c r="AG39" i="1"/>
  <c r="AH39" i="1"/>
  <c r="AI39" i="1"/>
  <c r="AJ39" i="1"/>
  <c r="CX39" i="1" s="1"/>
  <c r="W39" i="1" s="1"/>
  <c r="CQ39" i="1"/>
  <c r="CR39" i="1"/>
  <c r="CT39" i="1"/>
  <c r="CU39" i="1"/>
  <c r="CV39" i="1"/>
  <c r="U39" i="1" s="1"/>
  <c r="CW39" i="1"/>
  <c r="GL39" i="1"/>
  <c r="GN39" i="1"/>
  <c r="GP39" i="1"/>
  <c r="GV39" i="1"/>
  <c r="HC39" i="1"/>
  <c r="GX39" i="1" s="1"/>
  <c r="C40" i="1"/>
  <c r="D40" i="1"/>
  <c r="I40" i="1"/>
  <c r="K40" i="1"/>
  <c r="Q40" i="1"/>
  <c r="AC40" i="1"/>
  <c r="CQ40" i="1" s="1"/>
  <c r="AE40" i="1"/>
  <c r="R40" i="1" s="1"/>
  <c r="AF40" i="1"/>
  <c r="AG40" i="1"/>
  <c r="CU40" i="1" s="1"/>
  <c r="T40" i="1" s="1"/>
  <c r="AH40" i="1"/>
  <c r="AI40" i="1"/>
  <c r="AJ40" i="1"/>
  <c r="CX40" i="1" s="1"/>
  <c r="W40" i="1" s="1"/>
  <c r="CV40" i="1"/>
  <c r="U40" i="1" s="1"/>
  <c r="CW40" i="1"/>
  <c r="V40" i="1" s="1"/>
  <c r="GL40" i="1"/>
  <c r="GN40" i="1"/>
  <c r="GP40" i="1"/>
  <c r="GV40" i="1"/>
  <c r="HC40" i="1"/>
  <c r="GX40" i="1" s="1"/>
  <c r="C41" i="1"/>
  <c r="D41" i="1"/>
  <c r="I41" i="1"/>
  <c r="Q41" i="1" s="1"/>
  <c r="K41" i="1"/>
  <c r="V41" i="1"/>
  <c r="W41" i="1"/>
  <c r="AC41" i="1"/>
  <c r="CQ41" i="1" s="1"/>
  <c r="AD41" i="1"/>
  <c r="AE41" i="1"/>
  <c r="AF41" i="1"/>
  <c r="S41" i="1" s="1"/>
  <c r="AG41" i="1"/>
  <c r="AH41" i="1"/>
  <c r="CV41" i="1" s="1"/>
  <c r="U41" i="1" s="1"/>
  <c r="AI41" i="1"/>
  <c r="AJ41" i="1"/>
  <c r="CX41" i="1" s="1"/>
  <c r="CR41" i="1"/>
  <c r="CS41" i="1"/>
  <c r="CT41" i="1"/>
  <c r="CU41" i="1"/>
  <c r="CW41" i="1"/>
  <c r="GL41" i="1"/>
  <c r="GN41" i="1"/>
  <c r="GP41" i="1"/>
  <c r="GV41" i="1"/>
  <c r="HC41" i="1" s="1"/>
  <c r="GX41" i="1" s="1"/>
  <c r="C42" i="1"/>
  <c r="D42" i="1"/>
  <c r="I42" i="1"/>
  <c r="CU21" i="3" s="1"/>
  <c r="K42" i="1"/>
  <c r="R42" i="1"/>
  <c r="AC42" i="1"/>
  <c r="AD42" i="1"/>
  <c r="AE42" i="1"/>
  <c r="CS42" i="1" s="1"/>
  <c r="AF42" i="1"/>
  <c r="S42" i="1" s="1"/>
  <c r="AG42" i="1"/>
  <c r="AH42" i="1"/>
  <c r="CV42" i="1" s="1"/>
  <c r="U42" i="1" s="1"/>
  <c r="AI42" i="1"/>
  <c r="AJ42" i="1"/>
  <c r="CR42" i="1"/>
  <c r="CT42" i="1"/>
  <c r="CU42" i="1"/>
  <c r="T42" i="1" s="1"/>
  <c r="CW42" i="1"/>
  <c r="V42" i="1" s="1"/>
  <c r="CX42" i="1"/>
  <c r="GL42" i="1"/>
  <c r="GN42" i="1"/>
  <c r="GP42" i="1"/>
  <c r="GV42" i="1"/>
  <c r="HC42" i="1" s="1"/>
  <c r="GX42" i="1" s="1"/>
  <c r="CJ59" i="1" s="1"/>
  <c r="C43" i="1"/>
  <c r="D43" i="1"/>
  <c r="I43" i="1"/>
  <c r="CU22" i="3" s="1"/>
  <c r="K43" i="1"/>
  <c r="T43" i="1"/>
  <c r="U43" i="1"/>
  <c r="AC43" i="1"/>
  <c r="AD43" i="1"/>
  <c r="AB43" i="1" s="1"/>
  <c r="AE43" i="1"/>
  <c r="AF43" i="1"/>
  <c r="CT43" i="1" s="1"/>
  <c r="AG43" i="1"/>
  <c r="AH43" i="1"/>
  <c r="CV43" i="1" s="1"/>
  <c r="AI43" i="1"/>
  <c r="CW43" i="1" s="1"/>
  <c r="V43" i="1" s="1"/>
  <c r="AJ43" i="1"/>
  <c r="CX43" i="1" s="1"/>
  <c r="W43" i="1" s="1"/>
  <c r="CQ43" i="1"/>
  <c r="CR43" i="1"/>
  <c r="CS43" i="1"/>
  <c r="CU43" i="1"/>
  <c r="GL43" i="1"/>
  <c r="GN43" i="1"/>
  <c r="GP43" i="1"/>
  <c r="GV43" i="1"/>
  <c r="HC43" i="1"/>
  <c r="C44" i="1"/>
  <c r="D44" i="1"/>
  <c r="I44" i="1"/>
  <c r="K44" i="1"/>
  <c r="R44" i="1"/>
  <c r="AB44" i="1"/>
  <c r="AC44" i="1"/>
  <c r="CQ44" i="1" s="1"/>
  <c r="AD44" i="1"/>
  <c r="AE44" i="1"/>
  <c r="AF44" i="1"/>
  <c r="AG44" i="1"/>
  <c r="AH44" i="1"/>
  <c r="AI44" i="1"/>
  <c r="AJ44" i="1"/>
  <c r="CR44" i="1"/>
  <c r="CS44" i="1"/>
  <c r="CU44" i="1"/>
  <c r="T44" i="1" s="1"/>
  <c r="CV44" i="1"/>
  <c r="CW44" i="1"/>
  <c r="V44" i="1" s="1"/>
  <c r="CX44" i="1"/>
  <c r="GL44" i="1"/>
  <c r="GN44" i="1"/>
  <c r="GP44" i="1"/>
  <c r="GV44" i="1"/>
  <c r="HC44" i="1" s="1"/>
  <c r="GX44" i="1" s="1"/>
  <c r="C45" i="1"/>
  <c r="D45" i="1"/>
  <c r="I45" i="1"/>
  <c r="K45" i="1"/>
  <c r="P45" i="1"/>
  <c r="R45" i="1"/>
  <c r="AC45" i="1"/>
  <c r="AD45" i="1"/>
  <c r="AE45" i="1"/>
  <c r="CR45" i="1" s="1"/>
  <c r="AF45" i="1"/>
  <c r="CT45" i="1" s="1"/>
  <c r="AG45" i="1"/>
  <c r="CU45" i="1" s="1"/>
  <c r="T45" i="1" s="1"/>
  <c r="AH45" i="1"/>
  <c r="CV45" i="1" s="1"/>
  <c r="U45" i="1" s="1"/>
  <c r="AI45" i="1"/>
  <c r="AJ45" i="1"/>
  <c r="CQ45" i="1"/>
  <c r="CS45" i="1"/>
  <c r="CW45" i="1"/>
  <c r="V45" i="1" s="1"/>
  <c r="CX45" i="1"/>
  <c r="W45" i="1" s="1"/>
  <c r="GL45" i="1"/>
  <c r="GN45" i="1"/>
  <c r="GP45" i="1"/>
  <c r="GV45" i="1"/>
  <c r="HC45" i="1" s="1"/>
  <c r="GX45" i="1" s="1"/>
  <c r="C46" i="1"/>
  <c r="D46" i="1"/>
  <c r="P46" i="1"/>
  <c r="R46" i="1"/>
  <c r="U46" i="1"/>
  <c r="W46" i="1"/>
  <c r="AC46" i="1"/>
  <c r="CQ46" i="1" s="1"/>
  <c r="AD46" i="1"/>
  <c r="AE46" i="1"/>
  <c r="Q46" i="1" s="1"/>
  <c r="AF46" i="1"/>
  <c r="AG46" i="1"/>
  <c r="AH46" i="1"/>
  <c r="AI46" i="1"/>
  <c r="AJ46" i="1"/>
  <c r="CR46" i="1"/>
  <c r="CS46" i="1"/>
  <c r="CU46" i="1"/>
  <c r="T46" i="1" s="1"/>
  <c r="CV46" i="1"/>
  <c r="CW46" i="1"/>
  <c r="V46" i="1" s="1"/>
  <c r="CX46" i="1"/>
  <c r="GL46" i="1"/>
  <c r="GN46" i="1"/>
  <c r="GP46" i="1"/>
  <c r="GV46" i="1"/>
  <c r="HC46" i="1" s="1"/>
  <c r="GX46" i="1" s="1"/>
  <c r="C47" i="1"/>
  <c r="D47" i="1"/>
  <c r="P47" i="1"/>
  <c r="R47" i="1"/>
  <c r="T47" i="1"/>
  <c r="AC47" i="1"/>
  <c r="AD47" i="1"/>
  <c r="AB47" i="1" s="1"/>
  <c r="AE47" i="1"/>
  <c r="Q47" i="1" s="1"/>
  <c r="AF47" i="1"/>
  <c r="CT47" i="1" s="1"/>
  <c r="AG47" i="1"/>
  <c r="AH47" i="1"/>
  <c r="CV47" i="1" s="1"/>
  <c r="U47" i="1" s="1"/>
  <c r="AI47" i="1"/>
  <c r="CW47" i="1" s="1"/>
  <c r="V47" i="1" s="1"/>
  <c r="AJ47" i="1"/>
  <c r="CX47" i="1" s="1"/>
  <c r="W47" i="1" s="1"/>
  <c r="CQ47" i="1"/>
  <c r="CR47" i="1"/>
  <c r="CS47" i="1"/>
  <c r="CU47" i="1"/>
  <c r="GL47" i="1"/>
  <c r="GN47" i="1"/>
  <c r="GP47" i="1"/>
  <c r="GV47" i="1"/>
  <c r="GX47" i="1"/>
  <c r="HC47" i="1"/>
  <c r="C48" i="1"/>
  <c r="D48" i="1"/>
  <c r="R48" i="1"/>
  <c r="W48" i="1"/>
  <c r="AC48" i="1"/>
  <c r="AD48" i="1"/>
  <c r="AE48" i="1"/>
  <c r="Q48" i="1" s="1"/>
  <c r="AF48" i="1"/>
  <c r="S48" i="1" s="1"/>
  <c r="AG48" i="1"/>
  <c r="AH48" i="1"/>
  <c r="CV48" i="1" s="1"/>
  <c r="U48" i="1" s="1"/>
  <c r="AI48" i="1"/>
  <c r="AJ48" i="1"/>
  <c r="CR48" i="1"/>
  <c r="CT48" i="1"/>
  <c r="CU48" i="1"/>
  <c r="T48" i="1" s="1"/>
  <c r="CW48" i="1"/>
  <c r="V48" i="1" s="1"/>
  <c r="CX48" i="1"/>
  <c r="CY48" i="1"/>
  <c r="GL48" i="1"/>
  <c r="GN48" i="1"/>
  <c r="GP48" i="1"/>
  <c r="GV48" i="1"/>
  <c r="HC48" i="1" s="1"/>
  <c r="GX48" i="1"/>
  <c r="C49" i="1"/>
  <c r="D49" i="1"/>
  <c r="R49" i="1"/>
  <c r="T49" i="1"/>
  <c r="V49" i="1"/>
  <c r="W49" i="1"/>
  <c r="AC49" i="1"/>
  <c r="AD49" i="1"/>
  <c r="AE49" i="1"/>
  <c r="Q49" i="1" s="1"/>
  <c r="AF49" i="1"/>
  <c r="S49" i="1" s="1"/>
  <c r="AG49" i="1"/>
  <c r="AH49" i="1"/>
  <c r="CV49" i="1" s="1"/>
  <c r="U49" i="1" s="1"/>
  <c r="AI49" i="1"/>
  <c r="AJ49" i="1"/>
  <c r="CX49" i="1" s="1"/>
  <c r="CR49" i="1"/>
  <c r="CS49" i="1"/>
  <c r="CT49" i="1"/>
  <c r="CU49" i="1"/>
  <c r="CW49" i="1"/>
  <c r="GL49" i="1"/>
  <c r="GN49" i="1"/>
  <c r="GP49" i="1"/>
  <c r="GV49" i="1"/>
  <c r="HC49" i="1" s="1"/>
  <c r="GX49" i="1" s="1"/>
  <c r="C50" i="1"/>
  <c r="D50" i="1"/>
  <c r="I50" i="1"/>
  <c r="K50" i="1"/>
  <c r="R50" i="1"/>
  <c r="AC50" i="1"/>
  <c r="AD50" i="1"/>
  <c r="AE50" i="1"/>
  <c r="CS50" i="1" s="1"/>
  <c r="AF50" i="1"/>
  <c r="S50" i="1" s="1"/>
  <c r="Y50" i="1" s="1"/>
  <c r="AG50" i="1"/>
  <c r="AH50" i="1"/>
  <c r="CV50" i="1" s="1"/>
  <c r="U50" i="1" s="1"/>
  <c r="AI50" i="1"/>
  <c r="AJ50" i="1"/>
  <c r="CR50" i="1"/>
  <c r="CU50" i="1"/>
  <c r="T50" i="1" s="1"/>
  <c r="CW50" i="1"/>
  <c r="V50" i="1" s="1"/>
  <c r="CX50" i="1"/>
  <c r="GL50" i="1"/>
  <c r="GN50" i="1"/>
  <c r="GP50" i="1"/>
  <c r="GV50" i="1"/>
  <c r="HC50" i="1" s="1"/>
  <c r="GX50" i="1" s="1"/>
  <c r="C51" i="1"/>
  <c r="D51" i="1"/>
  <c r="I51" i="1"/>
  <c r="K51" i="1"/>
  <c r="R51" i="1"/>
  <c r="T51" i="1"/>
  <c r="U51" i="1"/>
  <c r="AC51" i="1"/>
  <c r="AD51" i="1"/>
  <c r="AB51" i="1" s="1"/>
  <c r="AE51" i="1"/>
  <c r="AF51" i="1"/>
  <c r="AG51" i="1"/>
  <c r="AH51" i="1"/>
  <c r="CV51" i="1" s="1"/>
  <c r="AI51" i="1"/>
  <c r="CW51" i="1" s="1"/>
  <c r="V51" i="1" s="1"/>
  <c r="AJ51" i="1"/>
  <c r="CX51" i="1" s="1"/>
  <c r="W51" i="1" s="1"/>
  <c r="CQ51" i="1"/>
  <c r="CR51" i="1"/>
  <c r="CS51" i="1"/>
  <c r="CU51" i="1"/>
  <c r="GL51" i="1"/>
  <c r="GN51" i="1"/>
  <c r="GP51" i="1"/>
  <c r="GV51" i="1"/>
  <c r="GX51" i="1"/>
  <c r="HC51" i="1"/>
  <c r="C52" i="1"/>
  <c r="D52" i="1"/>
  <c r="I52" i="1"/>
  <c r="K52" i="1"/>
  <c r="P52" i="1"/>
  <c r="R52" i="1"/>
  <c r="U52" i="1"/>
  <c r="W52" i="1"/>
  <c r="AB52" i="1"/>
  <c r="AC52" i="1"/>
  <c r="CQ52" i="1" s="1"/>
  <c r="AD52" i="1"/>
  <c r="AE52" i="1"/>
  <c r="AF52" i="1"/>
  <c r="AG52" i="1"/>
  <c r="AH52" i="1"/>
  <c r="AI52" i="1"/>
  <c r="CW52" i="1" s="1"/>
  <c r="V52" i="1" s="1"/>
  <c r="AJ52" i="1"/>
  <c r="CR52" i="1"/>
  <c r="CS52" i="1"/>
  <c r="CU52" i="1"/>
  <c r="T52" i="1" s="1"/>
  <c r="CV52" i="1"/>
  <c r="CX52" i="1"/>
  <c r="GL52" i="1"/>
  <c r="GO52" i="1"/>
  <c r="GP52" i="1"/>
  <c r="GV52" i="1"/>
  <c r="GX52" i="1"/>
  <c r="HC52" i="1"/>
  <c r="C53" i="1"/>
  <c r="D53" i="1"/>
  <c r="I53" i="1"/>
  <c r="K53" i="1"/>
  <c r="P53" i="1"/>
  <c r="R53" i="1"/>
  <c r="U53" i="1"/>
  <c r="AC53" i="1"/>
  <c r="AD53" i="1"/>
  <c r="AE53" i="1"/>
  <c r="Q53" i="1" s="1"/>
  <c r="AF53" i="1"/>
  <c r="CT53" i="1" s="1"/>
  <c r="AG53" i="1"/>
  <c r="AH53" i="1"/>
  <c r="CV53" i="1" s="1"/>
  <c r="AI53" i="1"/>
  <c r="AJ53" i="1"/>
  <c r="CQ53" i="1"/>
  <c r="CR53" i="1"/>
  <c r="CS53" i="1"/>
  <c r="CU53" i="1"/>
  <c r="T53" i="1" s="1"/>
  <c r="CW53" i="1"/>
  <c r="V53" i="1" s="1"/>
  <c r="CX53" i="1"/>
  <c r="W53" i="1" s="1"/>
  <c r="GL53" i="1"/>
  <c r="GO53" i="1"/>
  <c r="GP53" i="1"/>
  <c r="GV53" i="1"/>
  <c r="HC53" i="1" s="1"/>
  <c r="GX53" i="1"/>
  <c r="C54" i="1"/>
  <c r="D54" i="1"/>
  <c r="I54" i="1"/>
  <c r="R54" i="1" s="1"/>
  <c r="K54" i="1"/>
  <c r="P54" i="1"/>
  <c r="S54" i="1"/>
  <c r="X54" i="1" s="1"/>
  <c r="AC54" i="1"/>
  <c r="AD54" i="1"/>
  <c r="AB54" i="1" s="1"/>
  <c r="AE54" i="1"/>
  <c r="AF54" i="1"/>
  <c r="AG54" i="1"/>
  <c r="CU54" i="1" s="1"/>
  <c r="T54" i="1" s="1"/>
  <c r="AH54" i="1"/>
  <c r="AI54" i="1"/>
  <c r="CW54" i="1" s="1"/>
  <c r="V54" i="1" s="1"/>
  <c r="AJ54" i="1"/>
  <c r="CQ54" i="1"/>
  <c r="CT54" i="1"/>
  <c r="CV54" i="1"/>
  <c r="U54" i="1" s="1"/>
  <c r="CX54" i="1"/>
  <c r="W54" i="1" s="1"/>
  <c r="GL54" i="1"/>
  <c r="GO54" i="1"/>
  <c r="GP54" i="1"/>
  <c r="GV54" i="1"/>
  <c r="GX54" i="1"/>
  <c r="HC54" i="1"/>
  <c r="C55" i="1"/>
  <c r="D55" i="1"/>
  <c r="I55" i="1"/>
  <c r="K55" i="1"/>
  <c r="P55" i="1"/>
  <c r="CP55" i="1" s="1"/>
  <c r="O55" i="1" s="1"/>
  <c r="Q55" i="1"/>
  <c r="S55" i="1"/>
  <c r="Y55" i="1" s="1"/>
  <c r="AC55" i="1"/>
  <c r="AD55" i="1"/>
  <c r="AB55" i="1" s="1"/>
  <c r="AE55" i="1"/>
  <c r="R55" i="1" s="1"/>
  <c r="AF55" i="1"/>
  <c r="CT55" i="1" s="1"/>
  <c r="AG55" i="1"/>
  <c r="CU55" i="1" s="1"/>
  <c r="T55" i="1" s="1"/>
  <c r="AH55" i="1"/>
  <c r="CV55" i="1" s="1"/>
  <c r="U55" i="1" s="1"/>
  <c r="AI55" i="1"/>
  <c r="CW55" i="1" s="1"/>
  <c r="V55" i="1" s="1"/>
  <c r="AJ55" i="1"/>
  <c r="CX55" i="1" s="1"/>
  <c r="W55" i="1" s="1"/>
  <c r="CQ55" i="1"/>
  <c r="CZ55" i="1"/>
  <c r="GL55" i="1"/>
  <c r="GO55" i="1"/>
  <c r="GP55" i="1"/>
  <c r="GV55" i="1"/>
  <c r="GX55" i="1"/>
  <c r="HC55" i="1"/>
  <c r="C56" i="1"/>
  <c r="D56" i="1"/>
  <c r="P56" i="1"/>
  <c r="CP56" i="1" s="1"/>
  <c r="O56" i="1" s="1"/>
  <c r="Q56" i="1"/>
  <c r="S56" i="1"/>
  <c r="X56" i="1" s="1"/>
  <c r="AC56" i="1"/>
  <c r="AB56" i="1" s="1"/>
  <c r="AD56" i="1"/>
  <c r="AE56" i="1"/>
  <c r="R56" i="1" s="1"/>
  <c r="AF56" i="1"/>
  <c r="AG56" i="1"/>
  <c r="CU56" i="1" s="1"/>
  <c r="T56" i="1" s="1"/>
  <c r="AH56" i="1"/>
  <c r="CV56" i="1" s="1"/>
  <c r="U56" i="1" s="1"/>
  <c r="AI56" i="1"/>
  <c r="CW56" i="1" s="1"/>
  <c r="V56" i="1" s="1"/>
  <c r="AJ56" i="1"/>
  <c r="CQ56" i="1"/>
  <c r="CT56" i="1"/>
  <c r="CX56" i="1"/>
  <c r="W56" i="1" s="1"/>
  <c r="CY56" i="1"/>
  <c r="CZ56" i="1"/>
  <c r="GL56" i="1"/>
  <c r="GN56" i="1"/>
  <c r="GP56" i="1"/>
  <c r="GV56" i="1"/>
  <c r="HC56" i="1"/>
  <c r="GX56" i="1" s="1"/>
  <c r="C57" i="1"/>
  <c r="D57" i="1"/>
  <c r="P57" i="1"/>
  <c r="R57" i="1"/>
  <c r="S57" i="1"/>
  <c r="Y57" i="1" s="1"/>
  <c r="AB57" i="1"/>
  <c r="AC57" i="1"/>
  <c r="CQ57" i="1" s="1"/>
  <c r="AD57" i="1"/>
  <c r="AE57" i="1"/>
  <c r="CR57" i="1" s="1"/>
  <c r="AF57" i="1"/>
  <c r="AG57" i="1"/>
  <c r="CU57" i="1" s="1"/>
  <c r="T57" i="1" s="1"/>
  <c r="AH57" i="1"/>
  <c r="CV57" i="1" s="1"/>
  <c r="U57" i="1" s="1"/>
  <c r="AI57" i="1"/>
  <c r="AJ57" i="1"/>
  <c r="CS57" i="1"/>
  <c r="CT57" i="1"/>
  <c r="CW57" i="1"/>
  <c r="V57" i="1" s="1"/>
  <c r="CX57" i="1"/>
  <c r="W57" i="1" s="1"/>
  <c r="CZ57" i="1"/>
  <c r="GL57" i="1"/>
  <c r="GN57" i="1"/>
  <c r="GP57" i="1"/>
  <c r="GV57" i="1"/>
  <c r="HC57" i="1" s="1"/>
  <c r="GX57" i="1"/>
  <c r="B59" i="1"/>
  <c r="B26" i="1" s="1"/>
  <c r="C59" i="1"/>
  <c r="C26" i="1" s="1"/>
  <c r="D59" i="1"/>
  <c r="D26" i="1" s="1"/>
  <c r="F59" i="1"/>
  <c r="F26" i="1" s="1"/>
  <c r="G59" i="1"/>
  <c r="G26" i="1" s="1"/>
  <c r="AZ59" i="1"/>
  <c r="BD59" i="1"/>
  <c r="BD26" i="1" s="1"/>
  <c r="BX59" i="1"/>
  <c r="BX26" i="1" s="1"/>
  <c r="BY59" i="1"/>
  <c r="BY26" i="1" s="1"/>
  <c r="BZ59" i="1"/>
  <c r="BZ26" i="1" s="1"/>
  <c r="CD59" i="1"/>
  <c r="CD26" i="1" s="1"/>
  <c r="CI59" i="1"/>
  <c r="CI26" i="1" s="1"/>
  <c r="CK59" i="1"/>
  <c r="CK26" i="1" s="1"/>
  <c r="CL59" i="1"/>
  <c r="CL26" i="1" s="1"/>
  <c r="CM59" i="1"/>
  <c r="CM26" i="1" s="1"/>
  <c r="EM59" i="1"/>
  <c r="EM26" i="1" s="1"/>
  <c r="FP59" i="1"/>
  <c r="FP26" i="1" s="1"/>
  <c r="FQ59" i="1"/>
  <c r="FR59" i="1"/>
  <c r="EI59" i="1" s="1"/>
  <c r="FV59" i="1"/>
  <c r="FV26" i="1" s="1"/>
  <c r="GC59" i="1"/>
  <c r="GD59" i="1"/>
  <c r="GE59" i="1"/>
  <c r="GE26" i="1" s="1"/>
  <c r="F84" i="1"/>
  <c r="D89" i="1"/>
  <c r="D91" i="1"/>
  <c r="E91" i="1"/>
  <c r="Z91" i="1"/>
  <c r="AA91" i="1"/>
  <c r="AM91" i="1"/>
  <c r="AN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R91" i="1"/>
  <c r="DS91" i="1"/>
  <c r="EE91" i="1"/>
  <c r="EF91" i="1"/>
  <c r="EW91" i="1"/>
  <c r="EX91" i="1"/>
  <c r="EY91" i="1"/>
  <c r="EZ91" i="1"/>
  <c r="FA91" i="1"/>
  <c r="FB91" i="1"/>
  <c r="FC91" i="1"/>
  <c r="FD91" i="1"/>
  <c r="FE91" i="1"/>
  <c r="FF91" i="1"/>
  <c r="FG91" i="1"/>
  <c r="FH91" i="1"/>
  <c r="FI91" i="1"/>
  <c r="FJ91" i="1"/>
  <c r="FK91" i="1"/>
  <c r="FL91" i="1"/>
  <c r="FM91" i="1"/>
  <c r="FN91" i="1"/>
  <c r="FO91" i="1"/>
  <c r="GF91" i="1"/>
  <c r="GG91" i="1"/>
  <c r="GH91" i="1"/>
  <c r="GI91" i="1"/>
  <c r="GJ91" i="1"/>
  <c r="GK91" i="1"/>
  <c r="GL91" i="1"/>
  <c r="GM91" i="1"/>
  <c r="GN91" i="1"/>
  <c r="GO91" i="1"/>
  <c r="GP91" i="1"/>
  <c r="GQ91" i="1"/>
  <c r="GR91" i="1"/>
  <c r="GS91" i="1"/>
  <c r="GT91" i="1"/>
  <c r="GU91" i="1"/>
  <c r="GV91" i="1"/>
  <c r="GW91" i="1"/>
  <c r="GX91" i="1"/>
  <c r="C93" i="1"/>
  <c r="D93" i="1"/>
  <c r="R93" i="1"/>
  <c r="T93" i="1"/>
  <c r="U93" i="1"/>
  <c r="AC93" i="1"/>
  <c r="P93" i="1" s="1"/>
  <c r="AE93" i="1"/>
  <c r="AD93" i="1" s="1"/>
  <c r="AB93" i="1" s="1"/>
  <c r="AF93" i="1"/>
  <c r="CT93" i="1" s="1"/>
  <c r="AG93" i="1"/>
  <c r="AH93" i="1"/>
  <c r="CV93" i="1" s="1"/>
  <c r="AI93" i="1"/>
  <c r="CW93" i="1" s="1"/>
  <c r="V93" i="1" s="1"/>
  <c r="AJ93" i="1"/>
  <c r="CX93" i="1" s="1"/>
  <c r="W93" i="1" s="1"/>
  <c r="CR93" i="1"/>
  <c r="CS93" i="1"/>
  <c r="CU93" i="1"/>
  <c r="GL93" i="1"/>
  <c r="GN93" i="1"/>
  <c r="GP93" i="1"/>
  <c r="GV93" i="1"/>
  <c r="HC93" i="1" s="1"/>
  <c r="GX93" i="1" s="1"/>
  <c r="C94" i="1"/>
  <c r="D94" i="1"/>
  <c r="P94" i="1"/>
  <c r="AC94" i="1"/>
  <c r="CQ94" i="1" s="1"/>
  <c r="AE94" i="1"/>
  <c r="AF94" i="1"/>
  <c r="S94" i="1" s="1"/>
  <c r="AG94" i="1"/>
  <c r="AH94" i="1"/>
  <c r="AI94" i="1"/>
  <c r="CW94" i="1" s="1"/>
  <c r="V94" i="1" s="1"/>
  <c r="AJ94" i="1"/>
  <c r="CX94" i="1" s="1"/>
  <c r="W94" i="1" s="1"/>
  <c r="CT94" i="1"/>
  <c r="CU94" i="1"/>
  <c r="T94" i="1" s="1"/>
  <c r="CV94" i="1"/>
  <c r="U94" i="1" s="1"/>
  <c r="GL94" i="1"/>
  <c r="GN94" i="1"/>
  <c r="GP94" i="1"/>
  <c r="GV94" i="1"/>
  <c r="HC94" i="1"/>
  <c r="GX94" i="1" s="1"/>
  <c r="Y95" i="1"/>
  <c r="AC95" i="1"/>
  <c r="P95" i="1" s="1"/>
  <c r="AE95" i="1"/>
  <c r="AD95" i="1" s="1"/>
  <c r="AB95" i="1" s="1"/>
  <c r="AF95" i="1"/>
  <c r="S95" i="1" s="1"/>
  <c r="AG95" i="1"/>
  <c r="CU95" i="1" s="1"/>
  <c r="T95" i="1" s="1"/>
  <c r="AH95" i="1"/>
  <c r="AI95" i="1"/>
  <c r="AJ95" i="1"/>
  <c r="CX95" i="1" s="1"/>
  <c r="W95" i="1" s="1"/>
  <c r="CQ95" i="1"/>
  <c r="CR95" i="1"/>
  <c r="CS95" i="1"/>
  <c r="CV95" i="1"/>
  <c r="U95" i="1" s="1"/>
  <c r="CW95" i="1"/>
  <c r="V95" i="1" s="1"/>
  <c r="GL95" i="1"/>
  <c r="GN95" i="1"/>
  <c r="GO95" i="1"/>
  <c r="GP95" i="1"/>
  <c r="GV95" i="1"/>
  <c r="GX95" i="1"/>
  <c r="HC95" i="1"/>
  <c r="R96" i="1"/>
  <c r="T96" i="1"/>
  <c r="V96" i="1"/>
  <c r="AC96" i="1"/>
  <c r="P96" i="1" s="1"/>
  <c r="AE96" i="1"/>
  <c r="AD96" i="1" s="1"/>
  <c r="AB96" i="1" s="1"/>
  <c r="AF96" i="1"/>
  <c r="CT96" i="1" s="1"/>
  <c r="AG96" i="1"/>
  <c r="AH96" i="1"/>
  <c r="CV96" i="1" s="1"/>
  <c r="U96" i="1" s="1"/>
  <c r="AI96" i="1"/>
  <c r="CW96" i="1" s="1"/>
  <c r="AJ96" i="1"/>
  <c r="CX96" i="1" s="1"/>
  <c r="W96" i="1" s="1"/>
  <c r="CR96" i="1"/>
  <c r="CS96" i="1"/>
  <c r="CU96" i="1"/>
  <c r="FR96" i="1"/>
  <c r="GL96" i="1"/>
  <c r="GN96" i="1"/>
  <c r="GO96" i="1"/>
  <c r="GP96" i="1"/>
  <c r="GV96" i="1"/>
  <c r="HC96" i="1"/>
  <c r="GX96" i="1" s="1"/>
  <c r="C97" i="1"/>
  <c r="D97" i="1"/>
  <c r="S97" i="1"/>
  <c r="CZ97" i="1" s="1"/>
  <c r="AC97" i="1"/>
  <c r="AD97" i="1"/>
  <c r="AE97" i="1"/>
  <c r="CR97" i="1" s="1"/>
  <c r="AF97" i="1"/>
  <c r="AG97" i="1"/>
  <c r="AH97" i="1"/>
  <c r="CV97" i="1" s="1"/>
  <c r="U97" i="1" s="1"/>
  <c r="AI97" i="1"/>
  <c r="CW97" i="1" s="1"/>
  <c r="V97" i="1" s="1"/>
  <c r="AJ97" i="1"/>
  <c r="CS97" i="1"/>
  <c r="CT97" i="1"/>
  <c r="CU97" i="1"/>
  <c r="T97" i="1" s="1"/>
  <c r="CX97" i="1"/>
  <c r="W97" i="1" s="1"/>
  <c r="GL97" i="1"/>
  <c r="GN97" i="1"/>
  <c r="GP97" i="1"/>
  <c r="GV97" i="1"/>
  <c r="HC97" i="1" s="1"/>
  <c r="GX97" i="1" s="1"/>
  <c r="C98" i="1"/>
  <c r="D98" i="1"/>
  <c r="S98" i="1"/>
  <c r="CY98" i="1" s="1"/>
  <c r="U98" i="1"/>
  <c r="V98" i="1"/>
  <c r="AB98" i="1"/>
  <c r="AC98" i="1"/>
  <c r="P98" i="1" s="1"/>
  <c r="CP98" i="1" s="1"/>
  <c r="O98" i="1" s="1"/>
  <c r="AD98" i="1"/>
  <c r="AE98" i="1"/>
  <c r="Q98" i="1" s="1"/>
  <c r="AF98" i="1"/>
  <c r="AG98" i="1"/>
  <c r="CU98" i="1" s="1"/>
  <c r="T98" i="1" s="1"/>
  <c r="AH98" i="1"/>
  <c r="AI98" i="1"/>
  <c r="CW98" i="1" s="1"/>
  <c r="AJ98" i="1"/>
  <c r="CR98" i="1"/>
  <c r="CS98" i="1"/>
  <c r="CT98" i="1"/>
  <c r="CV98" i="1"/>
  <c r="CX98" i="1"/>
  <c r="W98" i="1" s="1"/>
  <c r="GL98" i="1"/>
  <c r="GN98" i="1"/>
  <c r="GP98" i="1"/>
  <c r="GV98" i="1"/>
  <c r="HC98" i="1" s="1"/>
  <c r="GX98" i="1" s="1"/>
  <c r="P99" i="1"/>
  <c r="FR99" i="1" s="1"/>
  <c r="R99" i="1"/>
  <c r="S99" i="1"/>
  <c r="AC99" i="1"/>
  <c r="AB99" i="1" s="1"/>
  <c r="AD99" i="1"/>
  <c r="AE99" i="1"/>
  <c r="Q99" i="1" s="1"/>
  <c r="AF99" i="1"/>
  <c r="CT99" i="1" s="1"/>
  <c r="AG99" i="1"/>
  <c r="AH99" i="1"/>
  <c r="CV99" i="1" s="1"/>
  <c r="U99" i="1" s="1"/>
  <c r="AI99" i="1"/>
  <c r="AJ99" i="1"/>
  <c r="CQ99" i="1"/>
  <c r="CR99" i="1"/>
  <c r="CS99" i="1"/>
  <c r="CU99" i="1"/>
  <c r="T99" i="1" s="1"/>
  <c r="CW99" i="1"/>
  <c r="V99" i="1" s="1"/>
  <c r="CX99" i="1"/>
  <c r="W99" i="1" s="1"/>
  <c r="GL99" i="1"/>
  <c r="GN99" i="1"/>
  <c r="GO99" i="1"/>
  <c r="GP99" i="1"/>
  <c r="GV99" i="1"/>
  <c r="HC99" i="1" s="1"/>
  <c r="GX99" i="1" s="1"/>
  <c r="R100" i="1"/>
  <c r="S100" i="1"/>
  <c r="AC100" i="1"/>
  <c r="AD100" i="1"/>
  <c r="AE100" i="1"/>
  <c r="CR100" i="1" s="1"/>
  <c r="AF100" i="1"/>
  <c r="AG100" i="1"/>
  <c r="AH100" i="1"/>
  <c r="CV100" i="1" s="1"/>
  <c r="U100" i="1" s="1"/>
  <c r="AI100" i="1"/>
  <c r="AJ100" i="1"/>
  <c r="CS100" i="1"/>
  <c r="CT100" i="1"/>
  <c r="CU100" i="1"/>
  <c r="T100" i="1" s="1"/>
  <c r="CW100" i="1"/>
  <c r="V100" i="1" s="1"/>
  <c r="CX100" i="1"/>
  <c r="W100" i="1" s="1"/>
  <c r="GL100" i="1"/>
  <c r="GN100" i="1"/>
  <c r="GO100" i="1"/>
  <c r="GP100" i="1"/>
  <c r="GV100" i="1"/>
  <c r="HC100" i="1" s="1"/>
  <c r="GX100" i="1" s="1"/>
  <c r="C101" i="1"/>
  <c r="D101" i="1"/>
  <c r="R101" i="1"/>
  <c r="T101" i="1"/>
  <c r="U101" i="1"/>
  <c r="AB101" i="1"/>
  <c r="AC101" i="1"/>
  <c r="P101" i="1" s="1"/>
  <c r="AE101" i="1"/>
  <c r="AD101" i="1" s="1"/>
  <c r="AF101" i="1"/>
  <c r="AG101" i="1"/>
  <c r="AH101" i="1"/>
  <c r="CV101" i="1" s="1"/>
  <c r="AI101" i="1"/>
  <c r="AJ101" i="1"/>
  <c r="CX101" i="1" s="1"/>
  <c r="W101" i="1" s="1"/>
  <c r="CQ101" i="1"/>
  <c r="CR101" i="1"/>
  <c r="CS101" i="1"/>
  <c r="CU101" i="1"/>
  <c r="CW101" i="1"/>
  <c r="V101" i="1" s="1"/>
  <c r="GL101" i="1"/>
  <c r="GN101" i="1"/>
  <c r="GP101" i="1"/>
  <c r="GV101" i="1"/>
  <c r="HC101" i="1" s="1"/>
  <c r="GX101" i="1" s="1"/>
  <c r="C102" i="1"/>
  <c r="D102" i="1"/>
  <c r="P102" i="1"/>
  <c r="CP102" i="1" s="1"/>
  <c r="O102" i="1" s="1"/>
  <c r="Q102" i="1"/>
  <c r="S102" i="1"/>
  <c r="T102" i="1"/>
  <c r="DY118" i="1" s="1"/>
  <c r="Y102" i="1"/>
  <c r="AC102" i="1"/>
  <c r="CQ102" i="1" s="1"/>
  <c r="AD102" i="1"/>
  <c r="AE102" i="1"/>
  <c r="AF102" i="1"/>
  <c r="AG102" i="1"/>
  <c r="AH102" i="1"/>
  <c r="AI102" i="1"/>
  <c r="CW102" i="1" s="1"/>
  <c r="V102" i="1" s="1"/>
  <c r="AJ102" i="1"/>
  <c r="CT102" i="1"/>
  <c r="CU102" i="1"/>
  <c r="CV102" i="1"/>
  <c r="U102" i="1" s="1"/>
  <c r="CX102" i="1"/>
  <c r="W102" i="1" s="1"/>
  <c r="CY102" i="1"/>
  <c r="CZ102" i="1"/>
  <c r="GL102" i="1"/>
  <c r="GN102" i="1"/>
  <c r="GP102" i="1"/>
  <c r="GV102" i="1"/>
  <c r="HC102" i="1"/>
  <c r="GX102" i="1" s="1"/>
  <c r="P103" i="1"/>
  <c r="AC103" i="1"/>
  <c r="AE103" i="1"/>
  <c r="AD103" i="1" s="1"/>
  <c r="AF103" i="1"/>
  <c r="AG103" i="1"/>
  <c r="AH103" i="1"/>
  <c r="AI103" i="1"/>
  <c r="AJ103" i="1"/>
  <c r="CX103" i="1" s="1"/>
  <c r="W103" i="1" s="1"/>
  <c r="CQ103" i="1"/>
  <c r="CS103" i="1"/>
  <c r="CU103" i="1"/>
  <c r="T103" i="1" s="1"/>
  <c r="CV103" i="1"/>
  <c r="U103" i="1" s="1"/>
  <c r="CW103" i="1"/>
  <c r="V103" i="1" s="1"/>
  <c r="FR103" i="1"/>
  <c r="GL103" i="1"/>
  <c r="GN103" i="1"/>
  <c r="CB118" i="1" s="1"/>
  <c r="GO103" i="1"/>
  <c r="GP103" i="1"/>
  <c r="GV103" i="1"/>
  <c r="GX103" i="1"/>
  <c r="HC103" i="1"/>
  <c r="R104" i="1"/>
  <c r="T104" i="1"/>
  <c r="U104" i="1"/>
  <c r="V104" i="1"/>
  <c r="AC104" i="1"/>
  <c r="P104" i="1" s="1"/>
  <c r="AE104" i="1"/>
  <c r="AD104" i="1" s="1"/>
  <c r="AF104" i="1"/>
  <c r="AB104" i="1" s="1"/>
  <c r="AG104" i="1"/>
  <c r="AH104" i="1"/>
  <c r="CV104" i="1" s="1"/>
  <c r="AI104" i="1"/>
  <c r="AJ104" i="1"/>
  <c r="CX104" i="1" s="1"/>
  <c r="W104" i="1" s="1"/>
  <c r="CQ104" i="1"/>
  <c r="CR104" i="1"/>
  <c r="CS104" i="1"/>
  <c r="CU104" i="1"/>
  <c r="CW104" i="1"/>
  <c r="FR104" i="1"/>
  <c r="GL104" i="1"/>
  <c r="GN104" i="1"/>
  <c r="GO104" i="1"/>
  <c r="GP104" i="1"/>
  <c r="GV104" i="1"/>
  <c r="HC104" i="1"/>
  <c r="GX104" i="1" s="1"/>
  <c r="C105" i="1"/>
  <c r="D105" i="1"/>
  <c r="R105" i="1"/>
  <c r="AB105" i="1"/>
  <c r="AC105" i="1"/>
  <c r="P105" i="1" s="1"/>
  <c r="AD105" i="1"/>
  <c r="AE105" i="1"/>
  <c r="CR105" i="1" s="1"/>
  <c r="AF105" i="1"/>
  <c r="S105" i="1" s="1"/>
  <c r="CY105" i="1" s="1"/>
  <c r="AG105" i="1"/>
  <c r="CU105" i="1" s="1"/>
  <c r="T105" i="1" s="1"/>
  <c r="AH105" i="1"/>
  <c r="CV105" i="1" s="1"/>
  <c r="U105" i="1" s="1"/>
  <c r="AI105" i="1"/>
  <c r="AJ105" i="1"/>
  <c r="CQ105" i="1"/>
  <c r="CS105" i="1"/>
  <c r="CW105" i="1"/>
  <c r="V105" i="1" s="1"/>
  <c r="CX105" i="1"/>
  <c r="W105" i="1" s="1"/>
  <c r="GL105" i="1"/>
  <c r="GN105" i="1"/>
  <c r="GP105" i="1"/>
  <c r="GV105" i="1"/>
  <c r="HC105" i="1" s="1"/>
  <c r="GX105" i="1"/>
  <c r="C106" i="1"/>
  <c r="D106" i="1"/>
  <c r="S106" i="1"/>
  <c r="Y106" i="1" s="1"/>
  <c r="U106" i="1"/>
  <c r="W106" i="1"/>
  <c r="AB106" i="1"/>
  <c r="AC106" i="1"/>
  <c r="AD106" i="1"/>
  <c r="AE106" i="1"/>
  <c r="Q106" i="1" s="1"/>
  <c r="AF106" i="1"/>
  <c r="AG106" i="1"/>
  <c r="CU106" i="1" s="1"/>
  <c r="T106" i="1" s="1"/>
  <c r="AH106" i="1"/>
  <c r="AI106" i="1"/>
  <c r="CW106" i="1" s="1"/>
  <c r="V106" i="1" s="1"/>
  <c r="AJ106" i="1"/>
  <c r="CX106" i="1" s="1"/>
  <c r="CR106" i="1"/>
  <c r="CS106" i="1"/>
  <c r="CT106" i="1"/>
  <c r="CV106" i="1"/>
  <c r="CZ106" i="1"/>
  <c r="GL106" i="1"/>
  <c r="GN106" i="1"/>
  <c r="GP106" i="1"/>
  <c r="GV106" i="1"/>
  <c r="HC106" i="1" s="1"/>
  <c r="GX106" i="1" s="1"/>
  <c r="P107" i="1"/>
  <c r="R107" i="1"/>
  <c r="S107" i="1"/>
  <c r="AC107" i="1"/>
  <c r="AB107" i="1" s="1"/>
  <c r="AD107" i="1"/>
  <c r="AE107" i="1"/>
  <c r="Q107" i="1" s="1"/>
  <c r="AF107" i="1"/>
  <c r="CT107" i="1" s="1"/>
  <c r="AG107" i="1"/>
  <c r="CU107" i="1" s="1"/>
  <c r="T107" i="1" s="1"/>
  <c r="AH107" i="1"/>
  <c r="CV107" i="1" s="1"/>
  <c r="U107" i="1" s="1"/>
  <c r="AI107" i="1"/>
  <c r="AJ107" i="1"/>
  <c r="CX107" i="1" s="1"/>
  <c r="W107" i="1" s="1"/>
  <c r="AJ118" i="1" s="1"/>
  <c r="CQ107" i="1"/>
  <c r="CR107" i="1"/>
  <c r="CS107" i="1"/>
  <c r="CW107" i="1"/>
  <c r="V107" i="1" s="1"/>
  <c r="GL107" i="1"/>
  <c r="BZ118" i="1" s="1"/>
  <c r="CG118" i="1" s="1"/>
  <c r="GN107" i="1"/>
  <c r="GO107" i="1"/>
  <c r="GP107" i="1"/>
  <c r="GV107" i="1"/>
  <c r="HC107" i="1" s="1"/>
  <c r="GX107" i="1" s="1"/>
  <c r="R108" i="1"/>
  <c r="T108" i="1"/>
  <c r="AC108" i="1"/>
  <c r="AD108" i="1"/>
  <c r="AE108" i="1"/>
  <c r="CR108" i="1" s="1"/>
  <c r="AF108" i="1"/>
  <c r="S108" i="1" s="1"/>
  <c r="AG108" i="1"/>
  <c r="AH108" i="1"/>
  <c r="CV108" i="1" s="1"/>
  <c r="U108" i="1" s="1"/>
  <c r="AI108" i="1"/>
  <c r="AJ108" i="1"/>
  <c r="CS108" i="1"/>
  <c r="CT108" i="1"/>
  <c r="CU108" i="1"/>
  <c r="CW108" i="1"/>
  <c r="V108" i="1" s="1"/>
  <c r="CX108" i="1"/>
  <c r="W108" i="1" s="1"/>
  <c r="GL108" i="1"/>
  <c r="GN108" i="1"/>
  <c r="GO108" i="1"/>
  <c r="GP108" i="1"/>
  <c r="GV108" i="1"/>
  <c r="HC108" i="1"/>
  <c r="GX108" i="1" s="1"/>
  <c r="C109" i="1"/>
  <c r="D109" i="1"/>
  <c r="R109" i="1"/>
  <c r="T109" i="1"/>
  <c r="AC109" i="1"/>
  <c r="P109" i="1" s="1"/>
  <c r="AE109" i="1"/>
  <c r="AD109" i="1" s="1"/>
  <c r="AF109" i="1"/>
  <c r="AG109" i="1"/>
  <c r="AH109" i="1"/>
  <c r="CV109" i="1" s="1"/>
  <c r="U109" i="1" s="1"/>
  <c r="AI109" i="1"/>
  <c r="CW109" i="1" s="1"/>
  <c r="V109" i="1" s="1"/>
  <c r="AJ109" i="1"/>
  <c r="CX109" i="1" s="1"/>
  <c r="W109" i="1" s="1"/>
  <c r="CQ109" i="1"/>
  <c r="CR109" i="1"/>
  <c r="CS109" i="1"/>
  <c r="CU109" i="1"/>
  <c r="GL109" i="1"/>
  <c r="GN109" i="1"/>
  <c r="GP109" i="1"/>
  <c r="GV109" i="1"/>
  <c r="HC109" i="1" s="1"/>
  <c r="GX109" i="1" s="1"/>
  <c r="C110" i="1"/>
  <c r="D110" i="1"/>
  <c r="P110" i="1"/>
  <c r="Q110" i="1"/>
  <c r="S110" i="1"/>
  <c r="Y110" i="1" s="1"/>
  <c r="T110" i="1"/>
  <c r="X110" i="1"/>
  <c r="AB110" i="1"/>
  <c r="AC110" i="1"/>
  <c r="AD110" i="1"/>
  <c r="AE110" i="1"/>
  <c r="R110" i="1" s="1"/>
  <c r="AF110" i="1"/>
  <c r="AG110" i="1"/>
  <c r="AH110" i="1"/>
  <c r="CV110" i="1" s="1"/>
  <c r="U110" i="1" s="1"/>
  <c r="AI110" i="1"/>
  <c r="CW110" i="1" s="1"/>
  <c r="V110" i="1" s="1"/>
  <c r="AJ110" i="1"/>
  <c r="CX110" i="1" s="1"/>
  <c r="W110" i="1" s="1"/>
  <c r="CP110" i="1"/>
  <c r="O110" i="1" s="1"/>
  <c r="GM110" i="1" s="1"/>
  <c r="GO110" i="1" s="1"/>
  <c r="CQ110" i="1"/>
  <c r="CS110" i="1"/>
  <c r="CT110" i="1"/>
  <c r="CU110" i="1"/>
  <c r="CY110" i="1"/>
  <c r="CZ110" i="1"/>
  <c r="GL110" i="1"/>
  <c r="GN110" i="1"/>
  <c r="GP110" i="1"/>
  <c r="GV110" i="1"/>
  <c r="HC110" i="1" s="1"/>
  <c r="GX110" i="1" s="1"/>
  <c r="R111" i="1"/>
  <c r="W111" i="1"/>
  <c r="AC111" i="1"/>
  <c r="AE111" i="1"/>
  <c r="CR111" i="1" s="1"/>
  <c r="AF111" i="1"/>
  <c r="S111" i="1" s="1"/>
  <c r="AG111" i="1"/>
  <c r="CU111" i="1" s="1"/>
  <c r="T111" i="1" s="1"/>
  <c r="AH111" i="1"/>
  <c r="CV111" i="1" s="1"/>
  <c r="U111" i="1" s="1"/>
  <c r="AI111" i="1"/>
  <c r="CW111" i="1" s="1"/>
  <c r="V111" i="1" s="1"/>
  <c r="AJ111" i="1"/>
  <c r="CX111" i="1"/>
  <c r="CZ111" i="1"/>
  <c r="GL111" i="1"/>
  <c r="GN111" i="1"/>
  <c r="GO111" i="1"/>
  <c r="GP111" i="1"/>
  <c r="CD118" i="1" s="1"/>
  <c r="GV111" i="1"/>
  <c r="HC111" i="1"/>
  <c r="GX111" i="1" s="1"/>
  <c r="P112" i="1"/>
  <c r="FR112" i="1" s="1"/>
  <c r="S112" i="1"/>
  <c r="AC112" i="1"/>
  <c r="CQ112" i="1" s="1"/>
  <c r="AD112" i="1"/>
  <c r="AB112" i="1" s="1"/>
  <c r="AE112" i="1"/>
  <c r="AF112" i="1"/>
  <c r="AG112" i="1"/>
  <c r="CU112" i="1" s="1"/>
  <c r="T112" i="1" s="1"/>
  <c r="AH112" i="1"/>
  <c r="AI112" i="1"/>
  <c r="CW112" i="1" s="1"/>
  <c r="V112" i="1" s="1"/>
  <c r="AJ112" i="1"/>
  <c r="CT112" i="1"/>
  <c r="CV112" i="1"/>
  <c r="U112" i="1" s="1"/>
  <c r="CX112" i="1"/>
  <c r="W112" i="1" s="1"/>
  <c r="GL112" i="1"/>
  <c r="GN112" i="1"/>
  <c r="GO112" i="1"/>
  <c r="GP112" i="1"/>
  <c r="GV112" i="1"/>
  <c r="HC112" i="1" s="1"/>
  <c r="GX112" i="1" s="1"/>
  <c r="C113" i="1"/>
  <c r="D113" i="1"/>
  <c r="S113" i="1"/>
  <c r="T113" i="1"/>
  <c r="V113" i="1"/>
  <c r="W113" i="1"/>
  <c r="AC113" i="1"/>
  <c r="CQ113" i="1" s="1"/>
  <c r="AE113" i="1"/>
  <c r="AF113" i="1"/>
  <c r="AG113" i="1"/>
  <c r="CU113" i="1" s="1"/>
  <c r="AH113" i="1"/>
  <c r="AI113" i="1"/>
  <c r="CW113" i="1" s="1"/>
  <c r="AJ113" i="1"/>
  <c r="CX113" i="1" s="1"/>
  <c r="CT113" i="1"/>
  <c r="CV113" i="1"/>
  <c r="U113" i="1" s="1"/>
  <c r="GL113" i="1"/>
  <c r="GN113" i="1"/>
  <c r="GP113" i="1"/>
  <c r="GV113" i="1"/>
  <c r="HC113" i="1"/>
  <c r="GX113" i="1" s="1"/>
  <c r="C114" i="1"/>
  <c r="D114" i="1"/>
  <c r="Q114" i="1"/>
  <c r="R114" i="1"/>
  <c r="T114" i="1"/>
  <c r="X114" i="1"/>
  <c r="AC114" i="1"/>
  <c r="CQ114" i="1" s="1"/>
  <c r="AE114" i="1"/>
  <c r="AF114" i="1"/>
  <c r="S114" i="1" s="1"/>
  <c r="AG114" i="1"/>
  <c r="AH114" i="1"/>
  <c r="AI114" i="1"/>
  <c r="AJ114" i="1"/>
  <c r="CX114" i="1" s="1"/>
  <c r="W114" i="1" s="1"/>
  <c r="CT114" i="1"/>
  <c r="CU114" i="1"/>
  <c r="CV114" i="1"/>
  <c r="U114" i="1" s="1"/>
  <c r="CW114" i="1"/>
  <c r="V114" i="1" s="1"/>
  <c r="CY114" i="1"/>
  <c r="GL114" i="1"/>
  <c r="GN114" i="1"/>
  <c r="GP114" i="1"/>
  <c r="GV114" i="1"/>
  <c r="HC114" i="1" s="1"/>
  <c r="GX114" i="1" s="1"/>
  <c r="Q115" i="1"/>
  <c r="CP115" i="1" s="1"/>
  <c r="O115" i="1" s="1"/>
  <c r="S115" i="1"/>
  <c r="CY115" i="1" s="1"/>
  <c r="W115" i="1"/>
  <c r="X115" i="1"/>
  <c r="AC115" i="1"/>
  <c r="P115" i="1" s="1"/>
  <c r="FR115" i="1" s="1"/>
  <c r="AE115" i="1"/>
  <c r="AF115" i="1"/>
  <c r="AG115" i="1"/>
  <c r="CU115" i="1" s="1"/>
  <c r="T115" i="1" s="1"/>
  <c r="AH115" i="1"/>
  <c r="AI115" i="1"/>
  <c r="CW115" i="1" s="1"/>
  <c r="V115" i="1" s="1"/>
  <c r="AJ115" i="1"/>
  <c r="CQ115" i="1"/>
  <c r="CS115" i="1"/>
  <c r="CT115" i="1"/>
  <c r="CV115" i="1"/>
  <c r="U115" i="1" s="1"/>
  <c r="CX115" i="1"/>
  <c r="CZ115" i="1"/>
  <c r="GL115" i="1"/>
  <c r="GN115" i="1"/>
  <c r="GO115" i="1"/>
  <c r="GP115" i="1"/>
  <c r="GV115" i="1"/>
  <c r="GX115" i="1"/>
  <c r="HC115" i="1"/>
  <c r="Q116" i="1"/>
  <c r="S116" i="1"/>
  <c r="Y116" i="1" s="1"/>
  <c r="AC116" i="1"/>
  <c r="CQ116" i="1" s="1"/>
  <c r="AE116" i="1"/>
  <c r="AF116" i="1"/>
  <c r="AG116" i="1"/>
  <c r="CU116" i="1" s="1"/>
  <c r="T116" i="1" s="1"/>
  <c r="AH116" i="1"/>
  <c r="CV116" i="1" s="1"/>
  <c r="U116" i="1" s="1"/>
  <c r="AI116" i="1"/>
  <c r="CW116" i="1" s="1"/>
  <c r="V116" i="1" s="1"/>
  <c r="AJ116" i="1"/>
  <c r="CX116" i="1" s="1"/>
  <c r="W116" i="1" s="1"/>
  <c r="CT116" i="1"/>
  <c r="GL116" i="1"/>
  <c r="GN116" i="1"/>
  <c r="GO116" i="1"/>
  <c r="GP116" i="1"/>
  <c r="GV116" i="1"/>
  <c r="GX116" i="1"/>
  <c r="HC116" i="1"/>
  <c r="B118" i="1"/>
  <c r="B91" i="1" s="1"/>
  <c r="C118" i="1"/>
  <c r="C91" i="1" s="1"/>
  <c r="D118" i="1"/>
  <c r="F118" i="1"/>
  <c r="F91" i="1" s="1"/>
  <c r="G118" i="1"/>
  <c r="G91" i="1" s="1"/>
  <c r="AO118" i="1"/>
  <c r="BB118" i="1"/>
  <c r="BB91" i="1" s="1"/>
  <c r="BX118" i="1"/>
  <c r="BX91" i="1" s="1"/>
  <c r="CK118" i="1"/>
  <c r="CK91" i="1" s="1"/>
  <c r="CL118" i="1"/>
  <c r="CL91" i="1" s="1"/>
  <c r="CM118" i="1"/>
  <c r="ET118" i="1"/>
  <c r="ET91" i="1" s="1"/>
  <c r="EV118" i="1"/>
  <c r="EV91" i="1" s="1"/>
  <c r="FP118" i="1"/>
  <c r="FR118" i="1"/>
  <c r="FY118" i="1"/>
  <c r="GC118" i="1"/>
  <c r="GC91" i="1" s="1"/>
  <c r="GD118" i="1"/>
  <c r="GE118" i="1"/>
  <c r="GE91" i="1" s="1"/>
  <c r="P131" i="1"/>
  <c r="D148" i="1"/>
  <c r="E150" i="1"/>
  <c r="F150" i="1"/>
  <c r="Z150" i="1"/>
  <c r="AA150" i="1"/>
  <c r="AM150" i="1"/>
  <c r="AN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CM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R150" i="1"/>
  <c r="DS150" i="1"/>
  <c r="EE150" i="1"/>
  <c r="EF150" i="1"/>
  <c r="EW150" i="1"/>
  <c r="EX150" i="1"/>
  <c r="EY150" i="1"/>
  <c r="EZ150" i="1"/>
  <c r="FA150" i="1"/>
  <c r="FB150" i="1"/>
  <c r="FC150" i="1"/>
  <c r="FD150" i="1"/>
  <c r="FE150" i="1"/>
  <c r="FF150" i="1"/>
  <c r="FG150" i="1"/>
  <c r="FH150" i="1"/>
  <c r="FI150" i="1"/>
  <c r="FJ150" i="1"/>
  <c r="FK150" i="1"/>
  <c r="FL150" i="1"/>
  <c r="FM150" i="1"/>
  <c r="FN150" i="1"/>
  <c r="FO150" i="1"/>
  <c r="GF150" i="1"/>
  <c r="GG150" i="1"/>
  <c r="GH150" i="1"/>
  <c r="GI150" i="1"/>
  <c r="GJ150" i="1"/>
  <c r="GK150" i="1"/>
  <c r="GL150" i="1"/>
  <c r="GM150" i="1"/>
  <c r="GN150" i="1"/>
  <c r="GO150" i="1"/>
  <c r="GP150" i="1"/>
  <c r="GQ150" i="1"/>
  <c r="GR150" i="1"/>
  <c r="GS150" i="1"/>
  <c r="GT150" i="1"/>
  <c r="GU150" i="1"/>
  <c r="GV150" i="1"/>
  <c r="GW150" i="1"/>
  <c r="GX150" i="1"/>
  <c r="C152" i="1"/>
  <c r="D152" i="1"/>
  <c r="I152" i="1"/>
  <c r="K152" i="1"/>
  <c r="Q152" i="1"/>
  <c r="R152" i="1"/>
  <c r="T152" i="1"/>
  <c r="U152" i="1"/>
  <c r="W152" i="1"/>
  <c r="AC152" i="1"/>
  <c r="AE152" i="1"/>
  <c r="AF152" i="1"/>
  <c r="S152" i="1" s="1"/>
  <c r="AG152" i="1"/>
  <c r="CU152" i="1" s="1"/>
  <c r="AH152" i="1"/>
  <c r="AI152" i="1"/>
  <c r="AJ152" i="1"/>
  <c r="CT152" i="1"/>
  <c r="CV152" i="1"/>
  <c r="CW152" i="1"/>
  <c r="V152" i="1" s="1"/>
  <c r="CX152" i="1"/>
  <c r="CY152" i="1"/>
  <c r="GL152" i="1"/>
  <c r="GN152" i="1"/>
  <c r="GP152" i="1"/>
  <c r="GV152" i="1"/>
  <c r="HC152" i="1" s="1"/>
  <c r="GX152" i="1" s="1"/>
  <c r="C153" i="1"/>
  <c r="D153" i="1"/>
  <c r="I153" i="1"/>
  <c r="K153" i="1"/>
  <c r="P153" i="1"/>
  <c r="AC153" i="1"/>
  <c r="AD153" i="1"/>
  <c r="AB153" i="1" s="1"/>
  <c r="AE153" i="1"/>
  <c r="AF153" i="1"/>
  <c r="CT153" i="1" s="1"/>
  <c r="AG153" i="1"/>
  <c r="AH153" i="1"/>
  <c r="CV153" i="1" s="1"/>
  <c r="U153" i="1" s="1"/>
  <c r="AI153" i="1"/>
  <c r="AJ153" i="1"/>
  <c r="CX153" i="1" s="1"/>
  <c r="W153" i="1" s="1"/>
  <c r="CQ153" i="1"/>
  <c r="CR153" i="1"/>
  <c r="CS153" i="1"/>
  <c r="CU153" i="1"/>
  <c r="T153" i="1" s="1"/>
  <c r="CW153" i="1"/>
  <c r="GL153" i="1"/>
  <c r="GN153" i="1"/>
  <c r="GP153" i="1"/>
  <c r="GV153" i="1"/>
  <c r="HC153" i="1"/>
  <c r="S154" i="1"/>
  <c r="Y154" i="1" s="1"/>
  <c r="T154" i="1"/>
  <c r="V154" i="1"/>
  <c r="AC154" i="1"/>
  <c r="CQ154" i="1" s="1"/>
  <c r="AE154" i="1"/>
  <c r="Q154" i="1" s="1"/>
  <c r="AF154" i="1"/>
  <c r="AG154" i="1"/>
  <c r="CU154" i="1" s="1"/>
  <c r="AH154" i="1"/>
  <c r="AI154" i="1"/>
  <c r="CW154" i="1" s="1"/>
  <c r="AJ154" i="1"/>
  <c r="CT154" i="1"/>
  <c r="CV154" i="1"/>
  <c r="U154" i="1" s="1"/>
  <c r="CX154" i="1"/>
  <c r="W154" i="1" s="1"/>
  <c r="CY154" i="1"/>
  <c r="GL154" i="1"/>
  <c r="GN154" i="1"/>
  <c r="GO154" i="1"/>
  <c r="GP154" i="1"/>
  <c r="GV154" i="1"/>
  <c r="HC154" i="1" s="1"/>
  <c r="GX154" i="1"/>
  <c r="P155" i="1"/>
  <c r="R155" i="1"/>
  <c r="S155" i="1"/>
  <c r="U155" i="1"/>
  <c r="Y155" i="1"/>
  <c r="AC155" i="1"/>
  <c r="AD155" i="1"/>
  <c r="AE155" i="1"/>
  <c r="CS155" i="1" s="1"/>
  <c r="AF155" i="1"/>
  <c r="AG155" i="1"/>
  <c r="AH155" i="1"/>
  <c r="AI155" i="1"/>
  <c r="CW155" i="1" s="1"/>
  <c r="V155" i="1" s="1"/>
  <c r="AJ155" i="1"/>
  <c r="CR155" i="1"/>
  <c r="CT155" i="1"/>
  <c r="CU155" i="1"/>
  <c r="T155" i="1" s="1"/>
  <c r="CV155" i="1"/>
  <c r="CX155" i="1"/>
  <c r="W155" i="1" s="1"/>
  <c r="GL155" i="1"/>
  <c r="GN155" i="1"/>
  <c r="GO155" i="1"/>
  <c r="GP155" i="1"/>
  <c r="GV155" i="1"/>
  <c r="HC155" i="1" s="1"/>
  <c r="GX155" i="1" s="1"/>
  <c r="Q156" i="1"/>
  <c r="S156" i="1"/>
  <c r="AC156" i="1"/>
  <c r="P156" i="1" s="1"/>
  <c r="FR156" i="1" s="1"/>
  <c r="AE156" i="1"/>
  <c r="CZ156" i="1" s="1"/>
  <c r="AF156" i="1"/>
  <c r="AG156" i="1"/>
  <c r="CU156" i="1" s="1"/>
  <c r="T156" i="1" s="1"/>
  <c r="AH156" i="1"/>
  <c r="AI156" i="1"/>
  <c r="CW156" i="1" s="1"/>
  <c r="V156" i="1" s="1"/>
  <c r="AJ156" i="1"/>
  <c r="CT156" i="1"/>
  <c r="CV156" i="1"/>
  <c r="U156" i="1" s="1"/>
  <c r="CX156" i="1"/>
  <c r="W156" i="1" s="1"/>
  <c r="GL156" i="1"/>
  <c r="GN156" i="1"/>
  <c r="GO156" i="1"/>
  <c r="GP156" i="1"/>
  <c r="GV156" i="1"/>
  <c r="GX156" i="1"/>
  <c r="HC156" i="1"/>
  <c r="Q157" i="1"/>
  <c r="S157" i="1"/>
  <c r="X157" i="1" s="1"/>
  <c r="T157" i="1"/>
  <c r="V157" i="1"/>
  <c r="AC157" i="1"/>
  <c r="AE157" i="1"/>
  <c r="AF157" i="1"/>
  <c r="AG157" i="1"/>
  <c r="CU157" i="1" s="1"/>
  <c r="AH157" i="1"/>
  <c r="AI157" i="1"/>
  <c r="CW157" i="1" s="1"/>
  <c r="AJ157" i="1"/>
  <c r="CX157" i="1" s="1"/>
  <c r="W157" i="1" s="1"/>
  <c r="EB173" i="1" s="1"/>
  <c r="CR157" i="1"/>
  <c r="CT157" i="1"/>
  <c r="CV157" i="1"/>
  <c r="U157" i="1" s="1"/>
  <c r="GL157" i="1"/>
  <c r="GN157" i="1"/>
  <c r="GO157" i="1"/>
  <c r="GP157" i="1"/>
  <c r="GV157" i="1"/>
  <c r="HC157" i="1" s="1"/>
  <c r="GX157" i="1"/>
  <c r="C158" i="1"/>
  <c r="D158" i="1"/>
  <c r="I158" i="1"/>
  <c r="K158" i="1"/>
  <c r="S158" i="1"/>
  <c r="W158" i="1"/>
  <c r="AC158" i="1"/>
  <c r="AE158" i="1"/>
  <c r="AD158" i="1" s="1"/>
  <c r="AF158" i="1"/>
  <c r="AG158" i="1"/>
  <c r="CU158" i="1" s="1"/>
  <c r="T158" i="1" s="1"/>
  <c r="AH158" i="1"/>
  <c r="AI158" i="1"/>
  <c r="AJ158" i="1"/>
  <c r="CT158" i="1"/>
  <c r="CV158" i="1"/>
  <c r="U158" i="1" s="1"/>
  <c r="CW158" i="1"/>
  <c r="V158" i="1" s="1"/>
  <c r="CX158" i="1"/>
  <c r="GL158" i="1"/>
  <c r="GN158" i="1"/>
  <c r="GP158" i="1"/>
  <c r="GV158" i="1"/>
  <c r="HC158" i="1" s="1"/>
  <c r="GX158" i="1" s="1"/>
  <c r="C159" i="1"/>
  <c r="D159" i="1"/>
  <c r="I159" i="1"/>
  <c r="K159" i="1"/>
  <c r="P159" i="1"/>
  <c r="R159" i="1"/>
  <c r="S159" i="1"/>
  <c r="T159" i="1"/>
  <c r="X159" i="1"/>
  <c r="AC159" i="1"/>
  <c r="AD159" i="1"/>
  <c r="AB159" i="1" s="1"/>
  <c r="AE159" i="1"/>
  <c r="CR159" i="1" s="1"/>
  <c r="AF159" i="1"/>
  <c r="CT159" i="1" s="1"/>
  <c r="AG159" i="1"/>
  <c r="AH159" i="1"/>
  <c r="AI159" i="1"/>
  <c r="AJ159" i="1"/>
  <c r="CX159" i="1" s="1"/>
  <c r="W159" i="1" s="1"/>
  <c r="CQ159" i="1"/>
  <c r="CS159" i="1"/>
  <c r="CU159" i="1"/>
  <c r="CV159" i="1"/>
  <c r="U159" i="1" s="1"/>
  <c r="CW159" i="1"/>
  <c r="V159" i="1" s="1"/>
  <c r="CY159" i="1"/>
  <c r="GL159" i="1"/>
  <c r="GN159" i="1"/>
  <c r="GP159" i="1"/>
  <c r="GV159" i="1"/>
  <c r="GX159" i="1"/>
  <c r="HC159" i="1"/>
  <c r="P160" i="1"/>
  <c r="Q160" i="1"/>
  <c r="S160" i="1"/>
  <c r="AB160" i="1"/>
  <c r="AC160" i="1"/>
  <c r="CQ160" i="1" s="1"/>
  <c r="AD160" i="1"/>
  <c r="AE160" i="1"/>
  <c r="R160" i="1" s="1"/>
  <c r="AF160" i="1"/>
  <c r="AG160" i="1"/>
  <c r="CU160" i="1" s="1"/>
  <c r="T160" i="1" s="1"/>
  <c r="AH160" i="1"/>
  <c r="CV160" i="1" s="1"/>
  <c r="U160" i="1" s="1"/>
  <c r="AI160" i="1"/>
  <c r="CW160" i="1" s="1"/>
  <c r="V160" i="1" s="1"/>
  <c r="AJ160" i="1"/>
  <c r="CT160" i="1"/>
  <c r="CX160" i="1"/>
  <c r="W160" i="1" s="1"/>
  <c r="CY160" i="1"/>
  <c r="CZ160" i="1"/>
  <c r="GL160" i="1"/>
  <c r="GN160" i="1"/>
  <c r="GO160" i="1"/>
  <c r="GP160" i="1"/>
  <c r="GV160" i="1"/>
  <c r="HC160" i="1" s="1"/>
  <c r="GX160" i="1"/>
  <c r="S161" i="1"/>
  <c r="T161" i="1"/>
  <c r="AC161" i="1"/>
  <c r="AB161" i="1" s="1"/>
  <c r="AD161" i="1"/>
  <c r="AE161" i="1"/>
  <c r="CS161" i="1" s="1"/>
  <c r="AF161" i="1"/>
  <c r="CT161" i="1" s="1"/>
  <c r="AG161" i="1"/>
  <c r="AH161" i="1"/>
  <c r="CV161" i="1" s="1"/>
  <c r="U161" i="1" s="1"/>
  <c r="AI161" i="1"/>
  <c r="CW161" i="1" s="1"/>
  <c r="V161" i="1" s="1"/>
  <c r="AJ161" i="1"/>
  <c r="CU161" i="1"/>
  <c r="CX161" i="1"/>
  <c r="W161" i="1" s="1"/>
  <c r="CZ161" i="1"/>
  <c r="GL161" i="1"/>
  <c r="GN161" i="1"/>
  <c r="GO161" i="1"/>
  <c r="GP161" i="1"/>
  <c r="GV161" i="1"/>
  <c r="HC161" i="1" s="1"/>
  <c r="GX161" i="1" s="1"/>
  <c r="Q162" i="1"/>
  <c r="R162" i="1"/>
  <c r="AC162" i="1"/>
  <c r="CQ162" i="1" s="1"/>
  <c r="AE162" i="1"/>
  <c r="AD162" i="1" s="1"/>
  <c r="AB162" i="1" s="1"/>
  <c r="AF162" i="1"/>
  <c r="AG162" i="1"/>
  <c r="CU162" i="1" s="1"/>
  <c r="T162" i="1" s="1"/>
  <c r="AH162" i="1"/>
  <c r="AI162" i="1"/>
  <c r="AJ162" i="1"/>
  <c r="CR162" i="1"/>
  <c r="CS162" i="1"/>
  <c r="CV162" i="1"/>
  <c r="U162" i="1" s="1"/>
  <c r="CW162" i="1"/>
  <c r="V162" i="1" s="1"/>
  <c r="CX162" i="1"/>
  <c r="W162" i="1" s="1"/>
  <c r="GL162" i="1"/>
  <c r="GN162" i="1"/>
  <c r="GO162" i="1"/>
  <c r="GP162" i="1"/>
  <c r="CD173" i="1" s="1"/>
  <c r="GV162" i="1"/>
  <c r="HC162" i="1" s="1"/>
  <c r="GX162" i="1" s="1"/>
  <c r="P163" i="1"/>
  <c r="FR163" i="1" s="1"/>
  <c r="S163" i="1"/>
  <c r="CZ163" i="1" s="1"/>
  <c r="V163" i="1"/>
  <c r="AC163" i="1"/>
  <c r="AD163" i="1"/>
  <c r="AE163" i="1"/>
  <c r="R163" i="1" s="1"/>
  <c r="AF163" i="1"/>
  <c r="AG163" i="1"/>
  <c r="AH163" i="1"/>
  <c r="AI163" i="1"/>
  <c r="CW163" i="1" s="1"/>
  <c r="AJ163" i="1"/>
  <c r="CX163" i="1" s="1"/>
  <c r="W163" i="1" s="1"/>
  <c r="CQ163" i="1"/>
  <c r="CT163" i="1"/>
  <c r="CU163" i="1"/>
  <c r="T163" i="1" s="1"/>
  <c r="CV163" i="1"/>
  <c r="U163" i="1" s="1"/>
  <c r="GL163" i="1"/>
  <c r="GN163" i="1"/>
  <c r="GO163" i="1"/>
  <c r="GP163" i="1"/>
  <c r="GV163" i="1"/>
  <c r="HC163" i="1" s="1"/>
  <c r="GX163" i="1"/>
  <c r="Q164" i="1"/>
  <c r="V164" i="1"/>
  <c r="AC164" i="1"/>
  <c r="AD164" i="1"/>
  <c r="AE164" i="1"/>
  <c r="CS164" i="1" s="1"/>
  <c r="AF164" i="1"/>
  <c r="S164" i="1" s="1"/>
  <c r="AG164" i="1"/>
  <c r="AH164" i="1"/>
  <c r="AI164" i="1"/>
  <c r="AJ164" i="1"/>
  <c r="CX164" i="1" s="1"/>
  <c r="W164" i="1" s="1"/>
  <c r="CR164" i="1"/>
  <c r="CT164" i="1"/>
  <c r="CU164" i="1"/>
  <c r="T164" i="1" s="1"/>
  <c r="CV164" i="1"/>
  <c r="U164" i="1" s="1"/>
  <c r="CW164" i="1"/>
  <c r="GL164" i="1"/>
  <c r="BZ173" i="1" s="1"/>
  <c r="GN164" i="1"/>
  <c r="GO164" i="1"/>
  <c r="GP164" i="1"/>
  <c r="GV164" i="1"/>
  <c r="HC164" i="1" s="1"/>
  <c r="GX164" i="1" s="1"/>
  <c r="R165" i="1"/>
  <c r="S165" i="1"/>
  <c r="CY165" i="1" s="1"/>
  <c r="X165" i="1"/>
  <c r="Y165" i="1"/>
  <c r="AC165" i="1"/>
  <c r="AE165" i="1"/>
  <c r="AD165" i="1" s="1"/>
  <c r="AF165" i="1"/>
  <c r="AG165" i="1"/>
  <c r="CU165" i="1" s="1"/>
  <c r="T165" i="1" s="1"/>
  <c r="AH165" i="1"/>
  <c r="CV165" i="1" s="1"/>
  <c r="U165" i="1" s="1"/>
  <c r="AI165" i="1"/>
  <c r="CW165" i="1" s="1"/>
  <c r="V165" i="1" s="1"/>
  <c r="AJ165" i="1"/>
  <c r="CQ165" i="1"/>
  <c r="CR165" i="1"/>
  <c r="CS165" i="1"/>
  <c r="CT165" i="1"/>
  <c r="CX165" i="1"/>
  <c r="W165" i="1" s="1"/>
  <c r="GL165" i="1"/>
  <c r="FR173" i="1" s="1"/>
  <c r="GN165" i="1"/>
  <c r="GO165" i="1"/>
  <c r="GP165" i="1"/>
  <c r="GV165" i="1"/>
  <c r="HC165" i="1"/>
  <c r="GX165" i="1" s="1"/>
  <c r="C166" i="1"/>
  <c r="D166" i="1"/>
  <c r="I166" i="1"/>
  <c r="K166" i="1"/>
  <c r="P166" i="1"/>
  <c r="W166" i="1"/>
  <c r="AC166" i="1"/>
  <c r="AD166" i="1"/>
  <c r="AE166" i="1"/>
  <c r="Q166" i="1" s="1"/>
  <c r="AF166" i="1"/>
  <c r="AG166" i="1"/>
  <c r="AH166" i="1"/>
  <c r="AI166" i="1"/>
  <c r="AJ166" i="1"/>
  <c r="CQ166" i="1"/>
  <c r="CT166" i="1"/>
  <c r="CU166" i="1"/>
  <c r="T166" i="1" s="1"/>
  <c r="CV166" i="1"/>
  <c r="U166" i="1" s="1"/>
  <c r="CW166" i="1"/>
  <c r="V166" i="1" s="1"/>
  <c r="CX166" i="1"/>
  <c r="GL166" i="1"/>
  <c r="GN166" i="1"/>
  <c r="GP166" i="1"/>
  <c r="GV166" i="1"/>
  <c r="GX166" i="1"/>
  <c r="HC166" i="1"/>
  <c r="C167" i="1"/>
  <c r="D167" i="1"/>
  <c r="I167" i="1"/>
  <c r="K167" i="1"/>
  <c r="P167" i="1"/>
  <c r="U167" i="1"/>
  <c r="V167" i="1"/>
  <c r="AC167" i="1"/>
  <c r="AB167" i="1" s="1"/>
  <c r="AD167" i="1"/>
  <c r="AE167" i="1"/>
  <c r="CR167" i="1" s="1"/>
  <c r="AF167" i="1"/>
  <c r="CT167" i="1" s="1"/>
  <c r="AG167" i="1"/>
  <c r="AH167" i="1"/>
  <c r="AI167" i="1"/>
  <c r="CW167" i="1" s="1"/>
  <c r="AJ167" i="1"/>
  <c r="CX167" i="1" s="1"/>
  <c r="W167" i="1" s="1"/>
  <c r="CQ167" i="1"/>
  <c r="CU167" i="1"/>
  <c r="T167" i="1" s="1"/>
  <c r="CV167" i="1"/>
  <c r="GL167" i="1"/>
  <c r="GN167" i="1"/>
  <c r="GP167" i="1"/>
  <c r="GV167" i="1"/>
  <c r="GX167" i="1"/>
  <c r="HC167" i="1"/>
  <c r="R168" i="1"/>
  <c r="AC168" i="1"/>
  <c r="CQ168" i="1" s="1"/>
  <c r="AE168" i="1"/>
  <c r="AD168" i="1" s="1"/>
  <c r="AF168" i="1"/>
  <c r="AG168" i="1"/>
  <c r="CU168" i="1" s="1"/>
  <c r="T168" i="1" s="1"/>
  <c r="AH168" i="1"/>
  <c r="AI168" i="1"/>
  <c r="AJ168" i="1"/>
  <c r="CR168" i="1"/>
  <c r="CS168" i="1"/>
  <c r="CV168" i="1"/>
  <c r="U168" i="1" s="1"/>
  <c r="CW168" i="1"/>
  <c r="V168" i="1" s="1"/>
  <c r="CX168" i="1"/>
  <c r="W168" i="1" s="1"/>
  <c r="GL168" i="1"/>
  <c r="GN168" i="1"/>
  <c r="GO168" i="1"/>
  <c r="GP168" i="1"/>
  <c r="GV168" i="1"/>
  <c r="HC168" i="1"/>
  <c r="GX168" i="1" s="1"/>
  <c r="S169" i="1"/>
  <c r="U169" i="1"/>
  <c r="X169" i="1"/>
  <c r="Y169" i="1"/>
  <c r="AC169" i="1"/>
  <c r="AE169" i="1"/>
  <c r="AD169" i="1" s="1"/>
  <c r="AF169" i="1"/>
  <c r="AG169" i="1"/>
  <c r="AH169" i="1"/>
  <c r="AI169" i="1"/>
  <c r="CW169" i="1" s="1"/>
  <c r="V169" i="1" s="1"/>
  <c r="AJ169" i="1"/>
  <c r="CX169" i="1" s="1"/>
  <c r="W169" i="1" s="1"/>
  <c r="CR169" i="1"/>
  <c r="CS169" i="1"/>
  <c r="CT169" i="1"/>
  <c r="CU169" i="1"/>
  <c r="T169" i="1" s="1"/>
  <c r="CV169" i="1"/>
  <c r="CZ169" i="1"/>
  <c r="GL169" i="1"/>
  <c r="GN169" i="1"/>
  <c r="GO169" i="1"/>
  <c r="GP169" i="1"/>
  <c r="GV169" i="1"/>
  <c r="HC169" i="1" s="1"/>
  <c r="GX169" i="1" s="1"/>
  <c r="P170" i="1"/>
  <c r="V170" i="1"/>
  <c r="W170" i="1"/>
  <c r="AJ173" i="1" s="1"/>
  <c r="AC170" i="1"/>
  <c r="AE170" i="1"/>
  <c r="AF170" i="1"/>
  <c r="CT170" i="1" s="1"/>
  <c r="AG170" i="1"/>
  <c r="CU170" i="1" s="1"/>
  <c r="T170" i="1" s="1"/>
  <c r="AH170" i="1"/>
  <c r="AI170" i="1"/>
  <c r="AJ170" i="1"/>
  <c r="CX170" i="1" s="1"/>
  <c r="CQ170" i="1"/>
  <c r="CV170" i="1"/>
  <c r="U170" i="1" s="1"/>
  <c r="CW170" i="1"/>
  <c r="FR170" i="1"/>
  <c r="GL170" i="1"/>
  <c r="GN170" i="1"/>
  <c r="GO170" i="1"/>
  <c r="GP170" i="1"/>
  <c r="GV170" i="1"/>
  <c r="GX170" i="1"/>
  <c r="CJ173" i="1" s="1"/>
  <c r="HC170" i="1"/>
  <c r="R171" i="1"/>
  <c r="AC171" i="1"/>
  <c r="CQ171" i="1" s="1"/>
  <c r="AE171" i="1"/>
  <c r="AD171" i="1" s="1"/>
  <c r="AB171" i="1" s="1"/>
  <c r="AF171" i="1"/>
  <c r="CT171" i="1" s="1"/>
  <c r="AG171" i="1"/>
  <c r="CU171" i="1" s="1"/>
  <c r="T171" i="1" s="1"/>
  <c r="AH171" i="1"/>
  <c r="AI171" i="1"/>
  <c r="AJ171" i="1"/>
  <c r="CR171" i="1"/>
  <c r="CS171" i="1"/>
  <c r="CV171" i="1"/>
  <c r="U171" i="1" s="1"/>
  <c r="CW171" i="1"/>
  <c r="V171" i="1" s="1"/>
  <c r="CX171" i="1"/>
  <c r="W171" i="1" s="1"/>
  <c r="GL171" i="1"/>
  <c r="GN171" i="1"/>
  <c r="GO171" i="1"/>
  <c r="GP171" i="1"/>
  <c r="GV171" i="1"/>
  <c r="HC171" i="1"/>
  <c r="GX171" i="1" s="1"/>
  <c r="B173" i="1"/>
  <c r="B150" i="1" s="1"/>
  <c r="C173" i="1"/>
  <c r="C150" i="1" s="1"/>
  <c r="D173" i="1"/>
  <c r="D150" i="1" s="1"/>
  <c r="F173" i="1"/>
  <c r="G173" i="1"/>
  <c r="G150" i="1" s="1"/>
  <c r="V173" i="1"/>
  <c r="V150" i="1" s="1"/>
  <c r="AI173" i="1"/>
  <c r="AI150" i="1" s="1"/>
  <c r="AS173" i="1"/>
  <c r="BD173" i="1"/>
  <c r="BX173" i="1"/>
  <c r="CB173" i="1"/>
  <c r="CB150" i="1" s="1"/>
  <c r="CK173" i="1"/>
  <c r="CK150" i="1" s="1"/>
  <c r="CL173" i="1"/>
  <c r="CL150" i="1" s="1"/>
  <c r="CM173" i="1"/>
  <c r="EG173" i="1"/>
  <c r="EG150" i="1" s="1"/>
  <c r="EI173" i="1"/>
  <c r="ET173" i="1"/>
  <c r="ET150" i="1" s="1"/>
  <c r="EU173" i="1"/>
  <c r="EV173" i="1"/>
  <c r="FP173" i="1"/>
  <c r="FP150" i="1" s="1"/>
  <c r="FV173" i="1"/>
  <c r="GC173" i="1"/>
  <c r="GC150" i="1" s="1"/>
  <c r="GD173" i="1"/>
  <c r="GD150" i="1" s="1"/>
  <c r="GE173" i="1"/>
  <c r="GE150" i="1" s="1"/>
  <c r="P177" i="1"/>
  <c r="D203" i="1"/>
  <c r="E205" i="1"/>
  <c r="Z205" i="1"/>
  <c r="AA205" i="1"/>
  <c r="AM205" i="1"/>
  <c r="AN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CN205" i="1"/>
  <c r="CO205" i="1"/>
  <c r="CP205" i="1"/>
  <c r="CQ205" i="1"/>
  <c r="CR205" i="1"/>
  <c r="CS205" i="1"/>
  <c r="CT205" i="1"/>
  <c r="CU205" i="1"/>
  <c r="CV205" i="1"/>
  <c r="CW205" i="1"/>
  <c r="CX205" i="1"/>
  <c r="CY205" i="1"/>
  <c r="CZ205" i="1"/>
  <c r="DA205" i="1"/>
  <c r="DB205" i="1"/>
  <c r="DC205" i="1"/>
  <c r="DD205" i="1"/>
  <c r="DE205" i="1"/>
  <c r="DF205" i="1"/>
  <c r="DR205" i="1"/>
  <c r="DS205" i="1"/>
  <c r="EE205" i="1"/>
  <c r="EF205" i="1"/>
  <c r="EW205" i="1"/>
  <c r="EX205" i="1"/>
  <c r="EY205" i="1"/>
  <c r="EZ205" i="1"/>
  <c r="FA205" i="1"/>
  <c r="FB205" i="1"/>
  <c r="FC205" i="1"/>
  <c r="FD205" i="1"/>
  <c r="FE205" i="1"/>
  <c r="FF205" i="1"/>
  <c r="FG205" i="1"/>
  <c r="FH205" i="1"/>
  <c r="FI205" i="1"/>
  <c r="FJ205" i="1"/>
  <c r="FK205" i="1"/>
  <c r="FL205" i="1"/>
  <c r="FM205" i="1"/>
  <c r="FN205" i="1"/>
  <c r="FO205" i="1"/>
  <c r="GF205" i="1"/>
  <c r="GG205" i="1"/>
  <c r="GH205" i="1"/>
  <c r="GI205" i="1"/>
  <c r="GJ205" i="1"/>
  <c r="GK205" i="1"/>
  <c r="GL205" i="1"/>
  <c r="GM205" i="1"/>
  <c r="GN205" i="1"/>
  <c r="GO205" i="1"/>
  <c r="GP205" i="1"/>
  <c r="GQ205" i="1"/>
  <c r="GR205" i="1"/>
  <c r="GS205" i="1"/>
  <c r="GT205" i="1"/>
  <c r="GU205" i="1"/>
  <c r="GV205" i="1"/>
  <c r="GW205" i="1"/>
  <c r="GX205" i="1"/>
  <c r="C207" i="1"/>
  <c r="D207" i="1"/>
  <c r="Q207" i="1"/>
  <c r="AC207" i="1"/>
  <c r="AE207" i="1"/>
  <c r="AD207" i="1" s="1"/>
  <c r="AF207" i="1"/>
  <c r="AG207" i="1"/>
  <c r="CU207" i="1" s="1"/>
  <c r="T207" i="1" s="1"/>
  <c r="AH207" i="1"/>
  <c r="AI207" i="1"/>
  <c r="AJ207" i="1"/>
  <c r="CR207" i="1"/>
  <c r="CV207" i="1"/>
  <c r="U207" i="1" s="1"/>
  <c r="CW207" i="1"/>
  <c r="V207" i="1" s="1"/>
  <c r="CX207" i="1"/>
  <c r="W207" i="1" s="1"/>
  <c r="GL207" i="1"/>
  <c r="GN207" i="1"/>
  <c r="GP207" i="1"/>
  <c r="GV207" i="1"/>
  <c r="HC207" i="1"/>
  <c r="GX207" i="1" s="1"/>
  <c r="C208" i="1"/>
  <c r="D208" i="1"/>
  <c r="P208" i="1"/>
  <c r="R208" i="1"/>
  <c r="T208" i="1"/>
  <c r="U208" i="1"/>
  <c r="AB208" i="1"/>
  <c r="AC208" i="1"/>
  <c r="AD208" i="1"/>
  <c r="AE208" i="1"/>
  <c r="Q208" i="1" s="1"/>
  <c r="AF208" i="1"/>
  <c r="CT208" i="1" s="1"/>
  <c r="AG208" i="1"/>
  <c r="AH208" i="1"/>
  <c r="CV208" i="1" s="1"/>
  <c r="AI208" i="1"/>
  <c r="CW208" i="1" s="1"/>
  <c r="V208" i="1" s="1"/>
  <c r="AJ208" i="1"/>
  <c r="CX208" i="1" s="1"/>
  <c r="W208" i="1" s="1"/>
  <c r="CQ208" i="1"/>
  <c r="CR208" i="1"/>
  <c r="CS208" i="1"/>
  <c r="CU208" i="1"/>
  <c r="GL208" i="1"/>
  <c r="GN208" i="1"/>
  <c r="GP208" i="1"/>
  <c r="GV208" i="1"/>
  <c r="HC208" i="1" s="1"/>
  <c r="GX208" i="1" s="1"/>
  <c r="Q209" i="1"/>
  <c r="S209" i="1"/>
  <c r="AC209" i="1"/>
  <c r="CQ209" i="1" s="1"/>
  <c r="AE209" i="1"/>
  <c r="R209" i="1" s="1"/>
  <c r="AF209" i="1"/>
  <c r="CT209" i="1" s="1"/>
  <c r="AG209" i="1"/>
  <c r="CU209" i="1" s="1"/>
  <c r="T209" i="1" s="1"/>
  <c r="AH209" i="1"/>
  <c r="AI209" i="1"/>
  <c r="AJ209" i="1"/>
  <c r="CX209" i="1" s="1"/>
  <c r="W209" i="1" s="1"/>
  <c r="CV209" i="1"/>
  <c r="U209" i="1" s="1"/>
  <c r="CW209" i="1"/>
  <c r="V209" i="1" s="1"/>
  <c r="AI218" i="1" s="1"/>
  <c r="GL209" i="1"/>
  <c r="GN209" i="1"/>
  <c r="GO209" i="1"/>
  <c r="GP209" i="1"/>
  <c r="GV209" i="1"/>
  <c r="GX209" i="1"/>
  <c r="HC209" i="1"/>
  <c r="AC210" i="1"/>
  <c r="AE210" i="1"/>
  <c r="AD210" i="1" s="1"/>
  <c r="AB210" i="1" s="1"/>
  <c r="AF210" i="1"/>
  <c r="S210" i="1" s="1"/>
  <c r="AG210" i="1"/>
  <c r="CU210" i="1" s="1"/>
  <c r="T210" i="1" s="1"/>
  <c r="AH210" i="1"/>
  <c r="AI210" i="1"/>
  <c r="AJ210" i="1"/>
  <c r="CV210" i="1"/>
  <c r="U210" i="1" s="1"/>
  <c r="CW210" i="1"/>
  <c r="V210" i="1" s="1"/>
  <c r="CX210" i="1"/>
  <c r="W210" i="1" s="1"/>
  <c r="GL210" i="1"/>
  <c r="GN210" i="1"/>
  <c r="GO210" i="1"/>
  <c r="GP210" i="1"/>
  <c r="GV210" i="1"/>
  <c r="GX210" i="1"/>
  <c r="HC210" i="1"/>
  <c r="S211" i="1"/>
  <c r="CY211" i="1" s="1"/>
  <c r="U211" i="1"/>
  <c r="V211" i="1"/>
  <c r="W211" i="1"/>
  <c r="Y211" i="1"/>
  <c r="AC211" i="1"/>
  <c r="AE211" i="1"/>
  <c r="AD211" i="1" s="1"/>
  <c r="AF211" i="1"/>
  <c r="AG211" i="1"/>
  <c r="CU211" i="1" s="1"/>
  <c r="T211" i="1" s="1"/>
  <c r="AH211" i="1"/>
  <c r="AI211" i="1"/>
  <c r="CW211" i="1" s="1"/>
  <c r="AJ211" i="1"/>
  <c r="CX211" i="1" s="1"/>
  <c r="CR211" i="1"/>
  <c r="CS211" i="1"/>
  <c r="CT211" i="1"/>
  <c r="CV211" i="1"/>
  <c r="CZ211" i="1"/>
  <c r="GL211" i="1"/>
  <c r="GN211" i="1"/>
  <c r="CB218" i="1" s="1"/>
  <c r="GO211" i="1"/>
  <c r="GP211" i="1"/>
  <c r="GV211" i="1"/>
  <c r="HC211" i="1" s="1"/>
  <c r="GX211" i="1" s="1"/>
  <c r="R212" i="1"/>
  <c r="U212" i="1"/>
  <c r="W212" i="1"/>
  <c r="AC212" i="1"/>
  <c r="CQ212" i="1" s="1"/>
  <c r="AE212" i="1"/>
  <c r="AF212" i="1"/>
  <c r="AG212" i="1"/>
  <c r="CU212" i="1" s="1"/>
  <c r="T212" i="1" s="1"/>
  <c r="AH212" i="1"/>
  <c r="AI212" i="1"/>
  <c r="AJ212" i="1"/>
  <c r="CV212" i="1"/>
  <c r="CW212" i="1"/>
  <c r="V212" i="1" s="1"/>
  <c r="CX212" i="1"/>
  <c r="GL212" i="1"/>
  <c r="GN212" i="1"/>
  <c r="GO212" i="1"/>
  <c r="GP212" i="1"/>
  <c r="GV212" i="1"/>
  <c r="HC212" i="1"/>
  <c r="GX212" i="1" s="1"/>
  <c r="Q213" i="1"/>
  <c r="S213" i="1"/>
  <c r="Y213" i="1" s="1"/>
  <c r="AC213" i="1"/>
  <c r="AE213" i="1"/>
  <c r="AD213" i="1" s="1"/>
  <c r="AF213" i="1"/>
  <c r="AG213" i="1"/>
  <c r="CU213" i="1" s="1"/>
  <c r="T213" i="1" s="1"/>
  <c r="AH213" i="1"/>
  <c r="AI213" i="1"/>
  <c r="AJ213" i="1"/>
  <c r="CR213" i="1"/>
  <c r="CT213" i="1"/>
  <c r="CV213" i="1"/>
  <c r="U213" i="1" s="1"/>
  <c r="CW213" i="1"/>
  <c r="V213" i="1" s="1"/>
  <c r="CX213" i="1"/>
  <c r="W213" i="1" s="1"/>
  <c r="GL213" i="1"/>
  <c r="GN213" i="1"/>
  <c r="GO213" i="1"/>
  <c r="GP213" i="1"/>
  <c r="GV213" i="1"/>
  <c r="HC213" i="1"/>
  <c r="GX213" i="1" s="1"/>
  <c r="CJ218" i="1" s="1"/>
  <c r="S214" i="1"/>
  <c r="CY214" i="1" s="1"/>
  <c r="U214" i="1"/>
  <c r="W214" i="1"/>
  <c r="EB218" i="1" s="1"/>
  <c r="Y214" i="1"/>
  <c r="AC214" i="1"/>
  <c r="AE214" i="1"/>
  <c r="AD214" i="1" s="1"/>
  <c r="AF214" i="1"/>
  <c r="AG214" i="1"/>
  <c r="CU214" i="1" s="1"/>
  <c r="T214" i="1" s="1"/>
  <c r="AH214" i="1"/>
  <c r="AI214" i="1"/>
  <c r="CW214" i="1" s="1"/>
  <c r="V214" i="1" s="1"/>
  <c r="AJ214" i="1"/>
  <c r="CX214" i="1" s="1"/>
  <c r="CR214" i="1"/>
  <c r="CS214" i="1"/>
  <c r="CT214" i="1"/>
  <c r="CV214" i="1"/>
  <c r="CZ214" i="1"/>
  <c r="GL214" i="1"/>
  <c r="GN214" i="1"/>
  <c r="GO214" i="1"/>
  <c r="GP214" i="1"/>
  <c r="GV214" i="1"/>
  <c r="HC214" i="1" s="1"/>
  <c r="GX214" i="1" s="1"/>
  <c r="Q215" i="1"/>
  <c r="S215" i="1"/>
  <c r="AC215" i="1"/>
  <c r="AE215" i="1"/>
  <c r="R215" i="1" s="1"/>
  <c r="AF215" i="1"/>
  <c r="AG215" i="1"/>
  <c r="CU215" i="1" s="1"/>
  <c r="T215" i="1" s="1"/>
  <c r="AH215" i="1"/>
  <c r="AI215" i="1"/>
  <c r="CW215" i="1" s="1"/>
  <c r="V215" i="1" s="1"/>
  <c r="AJ215" i="1"/>
  <c r="CX215" i="1" s="1"/>
  <c r="W215" i="1" s="1"/>
  <c r="CT215" i="1"/>
  <c r="CV215" i="1"/>
  <c r="U215" i="1" s="1"/>
  <c r="GL215" i="1"/>
  <c r="GN215" i="1"/>
  <c r="GO215" i="1"/>
  <c r="GP215" i="1"/>
  <c r="GV215" i="1"/>
  <c r="HC215" i="1"/>
  <c r="GX215" i="1" s="1"/>
  <c r="AB216" i="1"/>
  <c r="AC216" i="1"/>
  <c r="AE216" i="1"/>
  <c r="AD216" i="1" s="1"/>
  <c r="AF216" i="1"/>
  <c r="S216" i="1" s="1"/>
  <c r="AG216" i="1"/>
  <c r="CU216" i="1" s="1"/>
  <c r="T216" i="1" s="1"/>
  <c r="AH216" i="1"/>
  <c r="AI216" i="1"/>
  <c r="AJ216" i="1"/>
  <c r="CV216" i="1"/>
  <c r="U216" i="1" s="1"/>
  <c r="CW216" i="1"/>
  <c r="V216" i="1" s="1"/>
  <c r="CX216" i="1"/>
  <c r="W216" i="1" s="1"/>
  <c r="GL216" i="1"/>
  <c r="GN216" i="1"/>
  <c r="GO216" i="1"/>
  <c r="GP216" i="1"/>
  <c r="FV218" i="1" s="1"/>
  <c r="GV216" i="1"/>
  <c r="HC216" i="1"/>
  <c r="GX216" i="1" s="1"/>
  <c r="B218" i="1"/>
  <c r="B205" i="1" s="1"/>
  <c r="C218" i="1"/>
  <c r="C205" i="1" s="1"/>
  <c r="D218" i="1"/>
  <c r="D205" i="1" s="1"/>
  <c r="F218" i="1"/>
  <c r="F205" i="1" s="1"/>
  <c r="G218" i="1"/>
  <c r="G205" i="1" s="1"/>
  <c r="BD218" i="1"/>
  <c r="F243" i="1" s="1"/>
  <c r="BX218" i="1"/>
  <c r="AO218" i="1" s="1"/>
  <c r="AO205" i="1" s="1"/>
  <c r="BZ218" i="1"/>
  <c r="CK218" i="1"/>
  <c r="CK205" i="1" s="1"/>
  <c r="CL218" i="1"/>
  <c r="CM218" i="1"/>
  <c r="CM205" i="1" s="1"/>
  <c r="DZ218" i="1"/>
  <c r="EU218" i="1"/>
  <c r="EU205" i="1" s="1"/>
  <c r="FP218" i="1"/>
  <c r="EG218" i="1" s="1"/>
  <c r="EG205" i="1" s="1"/>
  <c r="GC218" i="1"/>
  <c r="ET218" i="1" s="1"/>
  <c r="GD218" i="1"/>
  <c r="GD205" i="1" s="1"/>
  <c r="GE218" i="1"/>
  <c r="EV218" i="1" s="1"/>
  <c r="F222" i="1"/>
  <c r="P234" i="1"/>
  <c r="D248" i="1"/>
  <c r="C250" i="1"/>
  <c r="E250" i="1"/>
  <c r="F250" i="1"/>
  <c r="Z250" i="1"/>
  <c r="AA250" i="1"/>
  <c r="AM250" i="1"/>
  <c r="AN250" i="1"/>
  <c r="AO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CN250" i="1"/>
  <c r="CO250" i="1"/>
  <c r="CP250" i="1"/>
  <c r="CQ250" i="1"/>
  <c r="CR250" i="1"/>
  <c r="CS250" i="1"/>
  <c r="CT250" i="1"/>
  <c r="CU250" i="1"/>
  <c r="CV250" i="1"/>
  <c r="CW250" i="1"/>
  <c r="CX250" i="1"/>
  <c r="CY250" i="1"/>
  <c r="CZ250" i="1"/>
  <c r="DA250" i="1"/>
  <c r="DB250" i="1"/>
  <c r="DC250" i="1"/>
  <c r="DD250" i="1"/>
  <c r="DE250" i="1"/>
  <c r="DF250" i="1"/>
  <c r="DR250" i="1"/>
  <c r="DS250" i="1"/>
  <c r="EE250" i="1"/>
  <c r="EF250" i="1"/>
  <c r="ET250" i="1"/>
  <c r="EW250" i="1"/>
  <c r="EX250" i="1"/>
  <c r="EY250" i="1"/>
  <c r="EZ250" i="1"/>
  <c r="FA250" i="1"/>
  <c r="FB250" i="1"/>
  <c r="FC250" i="1"/>
  <c r="FD250" i="1"/>
  <c r="FE250" i="1"/>
  <c r="FF250" i="1"/>
  <c r="FG250" i="1"/>
  <c r="FH250" i="1"/>
  <c r="FI250" i="1"/>
  <c r="FJ250" i="1"/>
  <c r="FK250" i="1"/>
  <c r="FL250" i="1"/>
  <c r="FM250" i="1"/>
  <c r="FN250" i="1"/>
  <c r="FO250" i="1"/>
  <c r="FP250" i="1"/>
  <c r="GD250" i="1"/>
  <c r="GF250" i="1"/>
  <c r="GG250" i="1"/>
  <c r="GH250" i="1"/>
  <c r="GI250" i="1"/>
  <c r="GJ250" i="1"/>
  <c r="GK250" i="1"/>
  <c r="GL250" i="1"/>
  <c r="GM250" i="1"/>
  <c r="GN250" i="1"/>
  <c r="GO250" i="1"/>
  <c r="GP250" i="1"/>
  <c r="GQ250" i="1"/>
  <c r="GR250" i="1"/>
  <c r="GS250" i="1"/>
  <c r="GT250" i="1"/>
  <c r="GU250" i="1"/>
  <c r="GV250" i="1"/>
  <c r="GW250" i="1"/>
  <c r="GX250" i="1"/>
  <c r="C252" i="1"/>
  <c r="D252" i="1"/>
  <c r="I252" i="1"/>
  <c r="K252" i="1"/>
  <c r="S252" i="1"/>
  <c r="CY252" i="1" s="1"/>
  <c r="U252" i="1"/>
  <c r="AH259" i="1" s="1"/>
  <c r="X252" i="1"/>
  <c r="AB252" i="1"/>
  <c r="AC252" i="1"/>
  <c r="P252" i="1" s="1"/>
  <c r="AE252" i="1"/>
  <c r="AD252" i="1" s="1"/>
  <c r="AF252" i="1"/>
  <c r="AG252" i="1"/>
  <c r="CU252" i="1" s="1"/>
  <c r="T252" i="1" s="1"/>
  <c r="AG259" i="1" s="1"/>
  <c r="AH252" i="1"/>
  <c r="CV252" i="1" s="1"/>
  <c r="AI252" i="1"/>
  <c r="CW252" i="1" s="1"/>
  <c r="V252" i="1" s="1"/>
  <c r="AJ252" i="1"/>
  <c r="CX252" i="1" s="1"/>
  <c r="W252" i="1" s="1"/>
  <c r="CR252" i="1"/>
  <c r="CS252" i="1"/>
  <c r="CT252" i="1"/>
  <c r="CZ252" i="1"/>
  <c r="GL252" i="1"/>
  <c r="GN252" i="1"/>
  <c r="CB259" i="1" s="1"/>
  <c r="GP252" i="1"/>
  <c r="GV252" i="1"/>
  <c r="HC252" i="1" s="1"/>
  <c r="GX252" i="1" s="1"/>
  <c r="CJ259" i="1" s="1"/>
  <c r="C253" i="1"/>
  <c r="D253" i="1"/>
  <c r="I253" i="1"/>
  <c r="K253" i="1"/>
  <c r="P253" i="1"/>
  <c r="S253" i="1"/>
  <c r="AC253" i="1"/>
  <c r="CQ253" i="1" s="1"/>
  <c r="AE253" i="1"/>
  <c r="CR253" i="1" s="1"/>
  <c r="AF253" i="1"/>
  <c r="AG253" i="1"/>
  <c r="CU253" i="1" s="1"/>
  <c r="T253" i="1" s="1"/>
  <c r="DY259" i="1" s="1"/>
  <c r="DY250" i="1" s="1"/>
  <c r="AH253" i="1"/>
  <c r="CV253" i="1" s="1"/>
  <c r="U253" i="1" s="1"/>
  <c r="DZ259" i="1" s="1"/>
  <c r="AI253" i="1"/>
  <c r="AJ253" i="1"/>
  <c r="CS253" i="1"/>
  <c r="CT253" i="1"/>
  <c r="CW253" i="1"/>
  <c r="V253" i="1" s="1"/>
  <c r="CX253" i="1"/>
  <c r="W253" i="1" s="1"/>
  <c r="GL253" i="1"/>
  <c r="GN253" i="1"/>
  <c r="GP253" i="1"/>
  <c r="FV259" i="1" s="1"/>
  <c r="GV253" i="1"/>
  <c r="HC253" i="1"/>
  <c r="GX253" i="1" s="1"/>
  <c r="P254" i="1"/>
  <c r="S254" i="1"/>
  <c r="W254" i="1"/>
  <c r="AC254" i="1"/>
  <c r="AD254" i="1"/>
  <c r="AB254" i="1" s="1"/>
  <c r="AE254" i="1"/>
  <c r="Q254" i="1" s="1"/>
  <c r="AF254" i="1"/>
  <c r="AG254" i="1"/>
  <c r="AH254" i="1"/>
  <c r="AI254" i="1"/>
  <c r="CW254" i="1" s="1"/>
  <c r="V254" i="1" s="1"/>
  <c r="AJ254" i="1"/>
  <c r="CQ254" i="1"/>
  <c r="CT254" i="1"/>
  <c r="CU254" i="1"/>
  <c r="T254" i="1" s="1"/>
  <c r="CV254" i="1"/>
  <c r="U254" i="1" s="1"/>
  <c r="CX254" i="1"/>
  <c r="GL254" i="1"/>
  <c r="GN254" i="1"/>
  <c r="GO254" i="1"/>
  <c r="GP254" i="1"/>
  <c r="GV254" i="1"/>
  <c r="HC254" i="1" s="1"/>
  <c r="GX254" i="1" s="1"/>
  <c r="S255" i="1"/>
  <c r="X255" i="1"/>
  <c r="AC255" i="1"/>
  <c r="AE255" i="1"/>
  <c r="CS255" i="1" s="1"/>
  <c r="AF255" i="1"/>
  <c r="AG255" i="1"/>
  <c r="CU255" i="1" s="1"/>
  <c r="T255" i="1" s="1"/>
  <c r="AH255" i="1"/>
  <c r="CV255" i="1" s="1"/>
  <c r="U255" i="1" s="1"/>
  <c r="AI255" i="1"/>
  <c r="CW255" i="1" s="1"/>
  <c r="V255" i="1" s="1"/>
  <c r="AJ255" i="1"/>
  <c r="CQ255" i="1"/>
  <c r="CR255" i="1"/>
  <c r="CT255" i="1"/>
  <c r="CX255" i="1"/>
  <c r="W255" i="1" s="1"/>
  <c r="GL255" i="1"/>
  <c r="FR259" i="1" s="1"/>
  <c r="EI259" i="1" s="1"/>
  <c r="EI250" i="1" s="1"/>
  <c r="GN255" i="1"/>
  <c r="FT259" i="1" s="1"/>
  <c r="GO255" i="1"/>
  <c r="GP255" i="1"/>
  <c r="GV255" i="1"/>
  <c r="GX255" i="1"/>
  <c r="HC255" i="1"/>
  <c r="T256" i="1"/>
  <c r="AC256" i="1"/>
  <c r="AE256" i="1"/>
  <c r="CR256" i="1" s="1"/>
  <c r="AF256" i="1"/>
  <c r="S256" i="1" s="1"/>
  <c r="AG256" i="1"/>
  <c r="AH256" i="1"/>
  <c r="CV256" i="1" s="1"/>
  <c r="U256" i="1" s="1"/>
  <c r="AI256" i="1"/>
  <c r="CW256" i="1" s="1"/>
  <c r="V256" i="1" s="1"/>
  <c r="AJ256" i="1"/>
  <c r="CT256" i="1"/>
  <c r="CU256" i="1"/>
  <c r="CX256" i="1"/>
  <c r="W256" i="1" s="1"/>
  <c r="CY256" i="1"/>
  <c r="GL256" i="1"/>
  <c r="GN256" i="1"/>
  <c r="GO256" i="1"/>
  <c r="GP256" i="1"/>
  <c r="GV256" i="1"/>
  <c r="GX256" i="1"/>
  <c r="HC256" i="1"/>
  <c r="P257" i="1"/>
  <c r="FR257" i="1" s="1"/>
  <c r="S257" i="1"/>
  <c r="CY257" i="1" s="1"/>
  <c r="W257" i="1"/>
  <c r="AC257" i="1"/>
  <c r="AD257" i="1"/>
  <c r="AB257" i="1" s="1"/>
  <c r="AE257" i="1"/>
  <c r="Q257" i="1" s="1"/>
  <c r="AF257" i="1"/>
  <c r="AG257" i="1"/>
  <c r="AH257" i="1"/>
  <c r="AI257" i="1"/>
  <c r="CW257" i="1" s="1"/>
  <c r="V257" i="1" s="1"/>
  <c r="AJ257" i="1"/>
  <c r="CQ257" i="1"/>
  <c r="CT257" i="1"/>
  <c r="CU257" i="1"/>
  <c r="T257" i="1" s="1"/>
  <c r="CV257" i="1"/>
  <c r="U257" i="1" s="1"/>
  <c r="CX257" i="1"/>
  <c r="GL257" i="1"/>
  <c r="GN257" i="1"/>
  <c r="GO257" i="1"/>
  <c r="GP257" i="1"/>
  <c r="GV257" i="1"/>
  <c r="HC257" i="1" s="1"/>
  <c r="GX257" i="1" s="1"/>
  <c r="B259" i="1"/>
  <c r="B250" i="1" s="1"/>
  <c r="C259" i="1"/>
  <c r="D259" i="1"/>
  <c r="D250" i="1" s="1"/>
  <c r="F259" i="1"/>
  <c r="G259" i="1"/>
  <c r="G250" i="1" s="1"/>
  <c r="BB259" i="1"/>
  <c r="F272" i="1" s="1"/>
  <c r="BX259" i="1"/>
  <c r="AO259" i="1" s="1"/>
  <c r="BZ259" i="1"/>
  <c r="AQ259" i="1" s="1"/>
  <c r="AQ250" i="1" s="1"/>
  <c r="CG259" i="1"/>
  <c r="AX259" i="1" s="1"/>
  <c r="CK259" i="1"/>
  <c r="CK250" i="1" s="1"/>
  <c r="CL259" i="1"/>
  <c r="BC259" i="1" s="1"/>
  <c r="BC250" i="1" s="1"/>
  <c r="CM259" i="1"/>
  <c r="DL259" i="1"/>
  <c r="EG259" i="1"/>
  <c r="EG250" i="1" s="1"/>
  <c r="ET259" i="1"/>
  <c r="P272" i="1" s="1"/>
  <c r="FP259" i="1"/>
  <c r="FY259" i="1"/>
  <c r="EP259" i="1" s="1"/>
  <c r="EP250" i="1" s="1"/>
  <c r="GC259" i="1"/>
  <c r="GC250" i="1" s="1"/>
  <c r="GD259" i="1"/>
  <c r="EU259" i="1" s="1"/>
  <c r="EU250" i="1" s="1"/>
  <c r="GE259" i="1"/>
  <c r="F263" i="1"/>
  <c r="F269" i="1"/>
  <c r="P269" i="1"/>
  <c r="D289" i="1"/>
  <c r="E291" i="1"/>
  <c r="F291" i="1"/>
  <c r="Z291" i="1"/>
  <c r="AA291" i="1"/>
  <c r="AM291" i="1"/>
  <c r="AN291" i="1"/>
  <c r="BE291" i="1"/>
  <c r="BF291" i="1"/>
  <c r="BG291" i="1"/>
  <c r="BH291" i="1"/>
  <c r="BI291" i="1"/>
  <c r="BJ291" i="1"/>
  <c r="BK291" i="1"/>
  <c r="BL291" i="1"/>
  <c r="BM291" i="1"/>
  <c r="BN291" i="1"/>
  <c r="BO291" i="1"/>
  <c r="BP291" i="1"/>
  <c r="BQ291" i="1"/>
  <c r="BR291" i="1"/>
  <c r="BS291" i="1"/>
  <c r="BT291" i="1"/>
  <c r="BU291" i="1"/>
  <c r="BV291" i="1"/>
  <c r="BW291" i="1"/>
  <c r="BX291" i="1"/>
  <c r="CN291" i="1"/>
  <c r="CO291" i="1"/>
  <c r="CP291" i="1"/>
  <c r="CQ291" i="1"/>
  <c r="CR291" i="1"/>
  <c r="CS291" i="1"/>
  <c r="CT291" i="1"/>
  <c r="CU291" i="1"/>
  <c r="CV291" i="1"/>
  <c r="CW291" i="1"/>
  <c r="CX291" i="1"/>
  <c r="CY291" i="1"/>
  <c r="CZ291" i="1"/>
  <c r="DA291" i="1"/>
  <c r="DB291" i="1"/>
  <c r="DC291" i="1"/>
  <c r="DD291" i="1"/>
  <c r="DE291" i="1"/>
  <c r="DF291" i="1"/>
  <c r="DR291" i="1"/>
  <c r="DS291" i="1"/>
  <c r="EE291" i="1"/>
  <c r="EF291" i="1"/>
  <c r="EW291" i="1"/>
  <c r="EX291" i="1"/>
  <c r="EY291" i="1"/>
  <c r="EZ291" i="1"/>
  <c r="FA291" i="1"/>
  <c r="FB291" i="1"/>
  <c r="FC291" i="1"/>
  <c r="FD291" i="1"/>
  <c r="FE291" i="1"/>
  <c r="FF291" i="1"/>
  <c r="FG291" i="1"/>
  <c r="FH291" i="1"/>
  <c r="FI291" i="1"/>
  <c r="FJ291" i="1"/>
  <c r="FK291" i="1"/>
  <c r="FL291" i="1"/>
  <c r="FM291" i="1"/>
  <c r="FN291" i="1"/>
  <c r="FO291" i="1"/>
  <c r="GF291" i="1"/>
  <c r="GG291" i="1"/>
  <c r="GH291" i="1"/>
  <c r="GI291" i="1"/>
  <c r="GJ291" i="1"/>
  <c r="GK291" i="1"/>
  <c r="GL291" i="1"/>
  <c r="GM291" i="1"/>
  <c r="GN291" i="1"/>
  <c r="GO291" i="1"/>
  <c r="GP291" i="1"/>
  <c r="GQ291" i="1"/>
  <c r="GR291" i="1"/>
  <c r="GS291" i="1"/>
  <c r="GT291" i="1"/>
  <c r="GU291" i="1"/>
  <c r="GV291" i="1"/>
  <c r="GW291" i="1"/>
  <c r="GX291" i="1"/>
  <c r="C293" i="1"/>
  <c r="D293" i="1"/>
  <c r="I293" i="1"/>
  <c r="K293" i="1"/>
  <c r="U293" i="1"/>
  <c r="AC293" i="1"/>
  <c r="AE293" i="1"/>
  <c r="AD293" i="1" s="1"/>
  <c r="AF293" i="1"/>
  <c r="AG293" i="1"/>
  <c r="CU293" i="1" s="1"/>
  <c r="T293" i="1" s="1"/>
  <c r="AH293" i="1"/>
  <c r="AI293" i="1"/>
  <c r="CW293" i="1" s="1"/>
  <c r="V293" i="1" s="1"/>
  <c r="AI308" i="1" s="1"/>
  <c r="AJ293" i="1"/>
  <c r="CX293" i="1" s="1"/>
  <c r="W293" i="1" s="1"/>
  <c r="CR293" i="1"/>
  <c r="CS293" i="1"/>
  <c r="CT293" i="1"/>
  <c r="CV293" i="1"/>
  <c r="GL293" i="1"/>
  <c r="GN293" i="1"/>
  <c r="GP293" i="1"/>
  <c r="GV293" i="1"/>
  <c r="HC293" i="1" s="1"/>
  <c r="GX293" i="1" s="1"/>
  <c r="C294" i="1"/>
  <c r="D294" i="1"/>
  <c r="I294" i="1"/>
  <c r="K294" i="1"/>
  <c r="Q294" i="1"/>
  <c r="S294" i="1"/>
  <c r="AC294" i="1"/>
  <c r="AD294" i="1"/>
  <c r="AE294" i="1"/>
  <c r="AF294" i="1"/>
  <c r="AG294" i="1"/>
  <c r="AH294" i="1"/>
  <c r="AI294" i="1"/>
  <c r="AJ294" i="1"/>
  <c r="CS294" i="1"/>
  <c r="CT294" i="1"/>
  <c r="CU294" i="1"/>
  <c r="T294" i="1" s="1"/>
  <c r="CV294" i="1"/>
  <c r="U294" i="1" s="1"/>
  <c r="CW294" i="1"/>
  <c r="V294" i="1" s="1"/>
  <c r="CX294" i="1"/>
  <c r="W294" i="1" s="1"/>
  <c r="GL294" i="1"/>
  <c r="GN294" i="1"/>
  <c r="GP294" i="1"/>
  <c r="GV294" i="1"/>
  <c r="HC294" i="1" s="1"/>
  <c r="GX294" i="1"/>
  <c r="I295" i="1"/>
  <c r="Q295" i="1" s="1"/>
  <c r="P295" i="1"/>
  <c r="V295" i="1"/>
  <c r="W295" i="1"/>
  <c r="AC295" i="1"/>
  <c r="AD295" i="1"/>
  <c r="AE295" i="1"/>
  <c r="AF295" i="1"/>
  <c r="S295" i="1" s="1"/>
  <c r="AG295" i="1"/>
  <c r="AH295" i="1"/>
  <c r="CV295" i="1" s="1"/>
  <c r="U295" i="1" s="1"/>
  <c r="AI295" i="1"/>
  <c r="AJ295" i="1"/>
  <c r="CX295" i="1" s="1"/>
  <c r="CP295" i="1"/>
  <c r="O295" i="1" s="1"/>
  <c r="CQ295" i="1"/>
  <c r="CR295" i="1"/>
  <c r="CS295" i="1"/>
  <c r="CT295" i="1"/>
  <c r="CU295" i="1"/>
  <c r="T295" i="1" s="1"/>
  <c r="CW295" i="1"/>
  <c r="GL295" i="1"/>
  <c r="GN295" i="1"/>
  <c r="GP295" i="1"/>
  <c r="GV295" i="1"/>
  <c r="HC295" i="1" s="1"/>
  <c r="GX295" i="1" s="1"/>
  <c r="I296" i="1"/>
  <c r="Q296" i="1" s="1"/>
  <c r="P296" i="1"/>
  <c r="R296" i="1"/>
  <c r="T296" i="1"/>
  <c r="U296" i="1"/>
  <c r="AC296" i="1"/>
  <c r="AD296" i="1"/>
  <c r="AE296" i="1"/>
  <c r="CR296" i="1" s="1"/>
  <c r="AF296" i="1"/>
  <c r="CT296" i="1" s="1"/>
  <c r="AG296" i="1"/>
  <c r="CU296" i="1" s="1"/>
  <c r="AH296" i="1"/>
  <c r="CV296" i="1" s="1"/>
  <c r="AI296" i="1"/>
  <c r="AJ296" i="1"/>
  <c r="CQ296" i="1"/>
  <c r="CS296" i="1"/>
  <c r="CW296" i="1"/>
  <c r="V296" i="1" s="1"/>
  <c r="CX296" i="1"/>
  <c r="W296" i="1" s="1"/>
  <c r="GL296" i="1"/>
  <c r="GN296" i="1"/>
  <c r="GP296" i="1"/>
  <c r="GV296" i="1"/>
  <c r="HC296" i="1" s="1"/>
  <c r="GX296" i="1" s="1"/>
  <c r="I297" i="1"/>
  <c r="R297" i="1" s="1"/>
  <c r="Q297" i="1"/>
  <c r="S297" i="1"/>
  <c r="AC297" i="1"/>
  <c r="CQ297" i="1" s="1"/>
  <c r="AE297" i="1"/>
  <c r="CR297" i="1" s="1"/>
  <c r="AF297" i="1"/>
  <c r="AG297" i="1"/>
  <c r="AH297" i="1"/>
  <c r="AI297" i="1"/>
  <c r="AJ297" i="1"/>
  <c r="CS297" i="1"/>
  <c r="CT297" i="1"/>
  <c r="CU297" i="1"/>
  <c r="T297" i="1" s="1"/>
  <c r="CV297" i="1"/>
  <c r="U297" i="1" s="1"/>
  <c r="CW297" i="1"/>
  <c r="V297" i="1" s="1"/>
  <c r="CX297" i="1"/>
  <c r="GL297" i="1"/>
  <c r="GN297" i="1"/>
  <c r="GP297" i="1"/>
  <c r="GV297" i="1"/>
  <c r="HC297" i="1" s="1"/>
  <c r="GX297" i="1" s="1"/>
  <c r="I298" i="1"/>
  <c r="Q298" i="1" s="1"/>
  <c r="P298" i="1"/>
  <c r="CP298" i="1" s="1"/>
  <c r="O298" i="1" s="1"/>
  <c r="V298" i="1"/>
  <c r="X298" i="1"/>
  <c r="AC298" i="1"/>
  <c r="AD298" i="1"/>
  <c r="AE298" i="1"/>
  <c r="AF298" i="1"/>
  <c r="S298" i="1" s="1"/>
  <c r="AG298" i="1"/>
  <c r="AH298" i="1"/>
  <c r="CV298" i="1" s="1"/>
  <c r="U298" i="1" s="1"/>
  <c r="AI298" i="1"/>
  <c r="AJ298" i="1"/>
  <c r="CX298" i="1" s="1"/>
  <c r="W298" i="1" s="1"/>
  <c r="CR298" i="1"/>
  <c r="CS298" i="1"/>
  <c r="CT298" i="1"/>
  <c r="CU298" i="1"/>
  <c r="T298" i="1" s="1"/>
  <c r="CW298" i="1"/>
  <c r="GL298" i="1"/>
  <c r="GN298" i="1"/>
  <c r="GP298" i="1"/>
  <c r="GV298" i="1"/>
  <c r="HC298" i="1" s="1"/>
  <c r="GX298" i="1" s="1"/>
  <c r="I299" i="1"/>
  <c r="K299" i="1"/>
  <c r="S299" i="1"/>
  <c r="T299" i="1"/>
  <c r="V299" i="1"/>
  <c r="AC299" i="1"/>
  <c r="CQ299" i="1" s="1"/>
  <c r="AE299" i="1"/>
  <c r="AF299" i="1"/>
  <c r="CT299" i="1" s="1"/>
  <c r="AG299" i="1"/>
  <c r="CU299" i="1" s="1"/>
  <c r="AH299" i="1"/>
  <c r="AI299" i="1"/>
  <c r="AJ299" i="1"/>
  <c r="CV299" i="1"/>
  <c r="U299" i="1" s="1"/>
  <c r="CW299" i="1"/>
  <c r="CX299" i="1"/>
  <c r="W299" i="1" s="1"/>
  <c r="GL299" i="1"/>
  <c r="GN299" i="1"/>
  <c r="GP299" i="1"/>
  <c r="GV299" i="1"/>
  <c r="HC299" i="1"/>
  <c r="GX299" i="1" s="1"/>
  <c r="I300" i="1"/>
  <c r="K300" i="1"/>
  <c r="P300" i="1"/>
  <c r="CP300" i="1" s="1"/>
  <c r="O300" i="1" s="1"/>
  <c r="Q300" i="1"/>
  <c r="R300" i="1"/>
  <c r="X300" i="1"/>
  <c r="Y300" i="1"/>
  <c r="AC300" i="1"/>
  <c r="AB300" i="1" s="1"/>
  <c r="AE300" i="1"/>
  <c r="AD300" i="1" s="1"/>
  <c r="AF300" i="1"/>
  <c r="S300" i="1" s="1"/>
  <c r="AG300" i="1"/>
  <c r="AH300" i="1"/>
  <c r="AI300" i="1"/>
  <c r="AJ300" i="1"/>
  <c r="CX300" i="1" s="1"/>
  <c r="W300" i="1" s="1"/>
  <c r="CQ300" i="1"/>
  <c r="CR300" i="1"/>
  <c r="CS300" i="1"/>
  <c r="CU300" i="1"/>
  <c r="CV300" i="1"/>
  <c r="CW300" i="1"/>
  <c r="GL300" i="1"/>
  <c r="GN300" i="1"/>
  <c r="GP300" i="1"/>
  <c r="GV300" i="1"/>
  <c r="HC300" i="1"/>
  <c r="GX300" i="1" s="1"/>
  <c r="C301" i="1"/>
  <c r="D301" i="1"/>
  <c r="I301" i="1"/>
  <c r="K301" i="1"/>
  <c r="S301" i="1"/>
  <c r="U301" i="1"/>
  <c r="W301" i="1"/>
  <c r="AC301" i="1"/>
  <c r="CQ301" i="1" s="1"/>
  <c r="AE301" i="1"/>
  <c r="Q301" i="1" s="1"/>
  <c r="AF301" i="1"/>
  <c r="CT301" i="1" s="1"/>
  <c r="AG301" i="1"/>
  <c r="CU301" i="1" s="1"/>
  <c r="T301" i="1" s="1"/>
  <c r="AH301" i="1"/>
  <c r="AI301" i="1"/>
  <c r="AJ301" i="1"/>
  <c r="CV301" i="1"/>
  <c r="CW301" i="1"/>
  <c r="V301" i="1" s="1"/>
  <c r="CX301" i="1"/>
  <c r="CZ301" i="1"/>
  <c r="GL301" i="1"/>
  <c r="GN301" i="1"/>
  <c r="GP301" i="1"/>
  <c r="GV301" i="1"/>
  <c r="HC301" i="1"/>
  <c r="GX301" i="1" s="1"/>
  <c r="C302" i="1"/>
  <c r="D302" i="1"/>
  <c r="I302" i="1"/>
  <c r="K302" i="1"/>
  <c r="P302" i="1"/>
  <c r="V302" i="1"/>
  <c r="AC302" i="1"/>
  <c r="CQ302" i="1" s="1"/>
  <c r="AD302" i="1"/>
  <c r="AE302" i="1"/>
  <c r="AF302" i="1"/>
  <c r="S302" i="1" s="1"/>
  <c r="AG302" i="1"/>
  <c r="AH302" i="1"/>
  <c r="CV302" i="1" s="1"/>
  <c r="AI302" i="1"/>
  <c r="AJ302" i="1"/>
  <c r="CX302" i="1" s="1"/>
  <c r="W302" i="1" s="1"/>
  <c r="CR302" i="1"/>
  <c r="CS302" i="1"/>
  <c r="CT302" i="1"/>
  <c r="CU302" i="1"/>
  <c r="T302" i="1" s="1"/>
  <c r="CW302" i="1"/>
  <c r="GL302" i="1"/>
  <c r="GN302" i="1"/>
  <c r="GP302" i="1"/>
  <c r="GV302" i="1"/>
  <c r="HC302" i="1" s="1"/>
  <c r="I303" i="1"/>
  <c r="K303" i="1"/>
  <c r="Q303" i="1"/>
  <c r="R303" i="1"/>
  <c r="T303" i="1"/>
  <c r="W303" i="1"/>
  <c r="AC303" i="1"/>
  <c r="CQ303" i="1" s="1"/>
  <c r="AE303" i="1"/>
  <c r="AF303" i="1"/>
  <c r="S303" i="1" s="1"/>
  <c r="AG303" i="1"/>
  <c r="CU303" i="1" s="1"/>
  <c r="AH303" i="1"/>
  <c r="AI303" i="1"/>
  <c r="AJ303" i="1"/>
  <c r="CT303" i="1"/>
  <c r="CV303" i="1"/>
  <c r="U303" i="1" s="1"/>
  <c r="CW303" i="1"/>
  <c r="V303" i="1" s="1"/>
  <c r="CX303" i="1"/>
  <c r="GL303" i="1"/>
  <c r="GN303" i="1"/>
  <c r="GP303" i="1"/>
  <c r="GV303" i="1"/>
  <c r="HC303" i="1" s="1"/>
  <c r="GX303" i="1" s="1"/>
  <c r="I304" i="1"/>
  <c r="R304" i="1" s="1"/>
  <c r="K304" i="1"/>
  <c r="P304" i="1"/>
  <c r="Q304" i="1"/>
  <c r="AC304" i="1"/>
  <c r="AE304" i="1"/>
  <c r="CR304" i="1" s="1"/>
  <c r="AF304" i="1"/>
  <c r="AG304" i="1"/>
  <c r="AH304" i="1"/>
  <c r="AI304" i="1"/>
  <c r="AJ304" i="1"/>
  <c r="CX304" i="1" s="1"/>
  <c r="CU304" i="1"/>
  <c r="T304" i="1" s="1"/>
  <c r="CV304" i="1"/>
  <c r="CW304" i="1"/>
  <c r="V304" i="1" s="1"/>
  <c r="GL304" i="1"/>
  <c r="GN304" i="1"/>
  <c r="GP304" i="1"/>
  <c r="GV304" i="1"/>
  <c r="HC304" i="1" s="1"/>
  <c r="GX304" i="1" s="1"/>
  <c r="I305" i="1"/>
  <c r="R305" i="1" s="1"/>
  <c r="K305" i="1"/>
  <c r="Q305" i="1"/>
  <c r="T305" i="1"/>
  <c r="V305" i="1"/>
  <c r="W305" i="1"/>
  <c r="AC305" i="1"/>
  <c r="AE305" i="1"/>
  <c r="AF305" i="1"/>
  <c r="AG305" i="1"/>
  <c r="CU305" i="1" s="1"/>
  <c r="AH305" i="1"/>
  <c r="CV305" i="1" s="1"/>
  <c r="U305" i="1" s="1"/>
  <c r="AI305" i="1"/>
  <c r="CW305" i="1" s="1"/>
  <c r="AJ305" i="1"/>
  <c r="CX305" i="1" s="1"/>
  <c r="CQ305" i="1"/>
  <c r="CR305" i="1"/>
  <c r="CT305" i="1"/>
  <c r="GL305" i="1"/>
  <c r="GN305" i="1"/>
  <c r="GP305" i="1"/>
  <c r="GV305" i="1"/>
  <c r="HC305" i="1"/>
  <c r="GX305" i="1" s="1"/>
  <c r="I306" i="1"/>
  <c r="K306" i="1"/>
  <c r="Q306" i="1"/>
  <c r="R306" i="1"/>
  <c r="S306" i="1"/>
  <c r="AC306" i="1"/>
  <c r="AD306" i="1"/>
  <c r="AE306" i="1"/>
  <c r="CR306" i="1" s="1"/>
  <c r="AF306" i="1"/>
  <c r="AG306" i="1"/>
  <c r="AH306" i="1"/>
  <c r="AI306" i="1"/>
  <c r="AJ306" i="1"/>
  <c r="CX306" i="1" s="1"/>
  <c r="W306" i="1" s="1"/>
  <c r="CS306" i="1"/>
  <c r="CT306" i="1"/>
  <c r="CU306" i="1"/>
  <c r="T306" i="1" s="1"/>
  <c r="CV306" i="1"/>
  <c r="U306" i="1" s="1"/>
  <c r="CW306" i="1"/>
  <c r="V306" i="1" s="1"/>
  <c r="GL306" i="1"/>
  <c r="GN306" i="1"/>
  <c r="GP306" i="1"/>
  <c r="GV306" i="1"/>
  <c r="HC306" i="1" s="1"/>
  <c r="GX306" i="1" s="1"/>
  <c r="B308" i="1"/>
  <c r="B291" i="1" s="1"/>
  <c r="C308" i="1"/>
  <c r="C291" i="1" s="1"/>
  <c r="D308" i="1"/>
  <c r="D291" i="1" s="1"/>
  <c r="F308" i="1"/>
  <c r="G308" i="1"/>
  <c r="G291" i="1" s="1"/>
  <c r="BD308" i="1"/>
  <c r="BD291" i="1" s="1"/>
  <c r="BX308" i="1"/>
  <c r="AO308" i="1" s="1"/>
  <c r="BY308" i="1"/>
  <c r="BY291" i="1" s="1"/>
  <c r="CB308" i="1"/>
  <c r="CD308" i="1"/>
  <c r="CK308" i="1"/>
  <c r="CK291" i="1" s="1"/>
  <c r="CL308" i="1"/>
  <c r="BC308" i="1" s="1"/>
  <c r="CM308" i="1"/>
  <c r="CM291" i="1" s="1"/>
  <c r="EH308" i="1"/>
  <c r="EH291" i="1" s="1"/>
  <c r="FP308" i="1"/>
  <c r="FQ308" i="1"/>
  <c r="FQ291" i="1" s="1"/>
  <c r="FR308" i="1"/>
  <c r="GA308" i="1" s="1"/>
  <c r="FV308" i="1"/>
  <c r="GC308" i="1"/>
  <c r="GD308" i="1"/>
  <c r="GD291" i="1" s="1"/>
  <c r="GE308" i="1"/>
  <c r="GE291" i="1" s="1"/>
  <c r="P317" i="1"/>
  <c r="F333" i="1"/>
  <c r="D338" i="1"/>
  <c r="E340" i="1"/>
  <c r="F340" i="1"/>
  <c r="Z340" i="1"/>
  <c r="AA340" i="1"/>
  <c r="AM340" i="1"/>
  <c r="AN340" i="1"/>
  <c r="BE340" i="1"/>
  <c r="BF340" i="1"/>
  <c r="BG340" i="1"/>
  <c r="BH340" i="1"/>
  <c r="BI340" i="1"/>
  <c r="BJ340" i="1"/>
  <c r="BK340" i="1"/>
  <c r="BL340" i="1"/>
  <c r="BM340" i="1"/>
  <c r="BN340" i="1"/>
  <c r="BO340" i="1"/>
  <c r="BP340" i="1"/>
  <c r="BQ340" i="1"/>
  <c r="BR340" i="1"/>
  <c r="BS340" i="1"/>
  <c r="BT340" i="1"/>
  <c r="BU340" i="1"/>
  <c r="BV340" i="1"/>
  <c r="BW340" i="1"/>
  <c r="CK340" i="1"/>
  <c r="CN340" i="1"/>
  <c r="CO340" i="1"/>
  <c r="CP340" i="1"/>
  <c r="CQ340" i="1"/>
  <c r="CR340" i="1"/>
  <c r="CS340" i="1"/>
  <c r="CT340" i="1"/>
  <c r="CU340" i="1"/>
  <c r="CV340" i="1"/>
  <c r="CW340" i="1"/>
  <c r="CX340" i="1"/>
  <c r="CY340" i="1"/>
  <c r="CZ340" i="1"/>
  <c r="DA340" i="1"/>
  <c r="DB340" i="1"/>
  <c r="DC340" i="1"/>
  <c r="DD340" i="1"/>
  <c r="DE340" i="1"/>
  <c r="DF340" i="1"/>
  <c r="DR340" i="1"/>
  <c r="DS340" i="1"/>
  <c r="EE340" i="1"/>
  <c r="EF340" i="1"/>
  <c r="EW340" i="1"/>
  <c r="EX340" i="1"/>
  <c r="EY340" i="1"/>
  <c r="EZ340" i="1"/>
  <c r="FA340" i="1"/>
  <c r="FB340" i="1"/>
  <c r="FC340" i="1"/>
  <c r="FD340" i="1"/>
  <c r="FE340" i="1"/>
  <c r="FF340" i="1"/>
  <c r="FG340" i="1"/>
  <c r="FH340" i="1"/>
  <c r="FI340" i="1"/>
  <c r="FJ340" i="1"/>
  <c r="FK340" i="1"/>
  <c r="FL340" i="1"/>
  <c r="FM340" i="1"/>
  <c r="FN340" i="1"/>
  <c r="FO340" i="1"/>
  <c r="FP340" i="1"/>
  <c r="GC340" i="1"/>
  <c r="GF340" i="1"/>
  <c r="GG340" i="1"/>
  <c r="GH340" i="1"/>
  <c r="GI340" i="1"/>
  <c r="GJ340" i="1"/>
  <c r="GK340" i="1"/>
  <c r="GL340" i="1"/>
  <c r="GM340" i="1"/>
  <c r="GN340" i="1"/>
  <c r="GO340" i="1"/>
  <c r="GP340" i="1"/>
  <c r="GQ340" i="1"/>
  <c r="GR340" i="1"/>
  <c r="GS340" i="1"/>
  <c r="GT340" i="1"/>
  <c r="GU340" i="1"/>
  <c r="GV340" i="1"/>
  <c r="GW340" i="1"/>
  <c r="GX340" i="1"/>
  <c r="C342" i="1"/>
  <c r="D342" i="1"/>
  <c r="S342" i="1"/>
  <c r="U342" i="1"/>
  <c r="W342" i="1"/>
  <c r="X342" i="1"/>
  <c r="Y342" i="1"/>
  <c r="AC342" i="1"/>
  <c r="AE342" i="1"/>
  <c r="AD342" i="1" s="1"/>
  <c r="AF342" i="1"/>
  <c r="AG342" i="1"/>
  <c r="CU342" i="1" s="1"/>
  <c r="T342" i="1" s="1"/>
  <c r="AH342" i="1"/>
  <c r="CV342" i="1" s="1"/>
  <c r="AI342" i="1"/>
  <c r="CW342" i="1" s="1"/>
  <c r="V342" i="1" s="1"/>
  <c r="AJ342" i="1"/>
  <c r="CR342" i="1"/>
  <c r="CS342" i="1"/>
  <c r="CT342" i="1"/>
  <c r="CX342" i="1"/>
  <c r="CY342" i="1"/>
  <c r="CZ342" i="1"/>
  <c r="GL342" i="1"/>
  <c r="GN342" i="1"/>
  <c r="GP342" i="1"/>
  <c r="GV342" i="1"/>
  <c r="HC342" i="1" s="1"/>
  <c r="GX342" i="1" s="1"/>
  <c r="C343" i="1"/>
  <c r="D343" i="1"/>
  <c r="P343" i="1"/>
  <c r="R343" i="1"/>
  <c r="AC343" i="1"/>
  <c r="CQ343" i="1" s="1"/>
  <c r="AD343" i="1"/>
  <c r="AE343" i="1"/>
  <c r="CR343" i="1" s="1"/>
  <c r="AF343" i="1"/>
  <c r="AG343" i="1"/>
  <c r="AH343" i="1"/>
  <c r="CV343" i="1" s="1"/>
  <c r="U343" i="1" s="1"/>
  <c r="DZ355" i="1" s="1"/>
  <c r="AI343" i="1"/>
  <c r="CW343" i="1" s="1"/>
  <c r="V343" i="1" s="1"/>
  <c r="AJ343" i="1"/>
  <c r="CX343" i="1" s="1"/>
  <c r="W343" i="1" s="1"/>
  <c r="CS343" i="1"/>
  <c r="CU343" i="1"/>
  <c r="T343" i="1" s="1"/>
  <c r="GL343" i="1"/>
  <c r="GN343" i="1"/>
  <c r="GP343" i="1"/>
  <c r="GV343" i="1"/>
  <c r="HC343" i="1" s="1"/>
  <c r="GX343" i="1"/>
  <c r="I344" i="1"/>
  <c r="Q344" i="1"/>
  <c r="AC344" i="1"/>
  <c r="AE344" i="1"/>
  <c r="AF344" i="1"/>
  <c r="AG344" i="1"/>
  <c r="AH344" i="1"/>
  <c r="AI344" i="1"/>
  <c r="AJ344" i="1"/>
  <c r="CX344" i="1" s="1"/>
  <c r="CQ344" i="1"/>
  <c r="CS344" i="1"/>
  <c r="CU344" i="1"/>
  <c r="CV344" i="1"/>
  <c r="CW344" i="1"/>
  <c r="GL344" i="1"/>
  <c r="GN344" i="1"/>
  <c r="GO344" i="1"/>
  <c r="GP344" i="1"/>
  <c r="GV344" i="1"/>
  <c r="HC344" i="1"/>
  <c r="GX344" i="1" s="1"/>
  <c r="I345" i="1"/>
  <c r="R345" i="1"/>
  <c r="S345" i="1"/>
  <c r="CY345" i="1" s="1"/>
  <c r="U345" i="1"/>
  <c r="X345" i="1"/>
  <c r="Y345" i="1"/>
  <c r="AC345" i="1"/>
  <c r="AE345" i="1"/>
  <c r="CS345" i="1" s="1"/>
  <c r="AF345" i="1"/>
  <c r="CT345" i="1" s="1"/>
  <c r="AG345" i="1"/>
  <c r="CU345" i="1" s="1"/>
  <c r="T345" i="1" s="1"/>
  <c r="AH345" i="1"/>
  <c r="AI345" i="1"/>
  <c r="CW345" i="1" s="1"/>
  <c r="V345" i="1" s="1"/>
  <c r="AJ345" i="1"/>
  <c r="CQ345" i="1"/>
  <c r="CR345" i="1"/>
  <c r="CV345" i="1"/>
  <c r="CX345" i="1"/>
  <c r="W345" i="1" s="1"/>
  <c r="CZ345" i="1"/>
  <c r="GL345" i="1"/>
  <c r="GN345" i="1"/>
  <c r="GO345" i="1"/>
  <c r="GP345" i="1"/>
  <c r="GV345" i="1"/>
  <c r="HC345" i="1"/>
  <c r="GX345" i="1" s="1"/>
  <c r="I346" i="1"/>
  <c r="P346" i="1"/>
  <c r="S346" i="1"/>
  <c r="AC346" i="1"/>
  <c r="AD346" i="1"/>
  <c r="AB346" i="1" s="1"/>
  <c r="AE346" i="1"/>
  <c r="AF346" i="1"/>
  <c r="CT346" i="1" s="1"/>
  <c r="AG346" i="1"/>
  <c r="CU346" i="1" s="1"/>
  <c r="T346" i="1" s="1"/>
  <c r="AH346" i="1"/>
  <c r="CV346" i="1" s="1"/>
  <c r="U346" i="1" s="1"/>
  <c r="AI346" i="1"/>
  <c r="AJ346" i="1"/>
  <c r="CQ346" i="1"/>
  <c r="CR346" i="1"/>
  <c r="CS346" i="1"/>
  <c r="CW346" i="1"/>
  <c r="V346" i="1" s="1"/>
  <c r="CX346" i="1"/>
  <c r="W346" i="1" s="1"/>
  <c r="CY346" i="1"/>
  <c r="GL346" i="1"/>
  <c r="GN346" i="1"/>
  <c r="GO346" i="1"/>
  <c r="GP346" i="1"/>
  <c r="GV346" i="1"/>
  <c r="HC346" i="1" s="1"/>
  <c r="GX346" i="1" s="1"/>
  <c r="I347" i="1"/>
  <c r="W347" i="1"/>
  <c r="AC347" i="1"/>
  <c r="AE347" i="1"/>
  <c r="AD347" i="1" s="1"/>
  <c r="AF347" i="1"/>
  <c r="AG347" i="1"/>
  <c r="CU347" i="1" s="1"/>
  <c r="T347" i="1" s="1"/>
  <c r="AH347" i="1"/>
  <c r="CV347" i="1" s="1"/>
  <c r="U347" i="1" s="1"/>
  <c r="AI347" i="1"/>
  <c r="CW347" i="1" s="1"/>
  <c r="V347" i="1" s="1"/>
  <c r="AJ347" i="1"/>
  <c r="CR347" i="1"/>
  <c r="CS347" i="1"/>
  <c r="CT347" i="1"/>
  <c r="CX347" i="1"/>
  <c r="GL347" i="1"/>
  <c r="GN347" i="1"/>
  <c r="GO347" i="1"/>
  <c r="GP347" i="1"/>
  <c r="FV355" i="1" s="1"/>
  <c r="GV347" i="1"/>
  <c r="HC347" i="1" s="1"/>
  <c r="GX347" i="1" s="1"/>
  <c r="P348" i="1"/>
  <c r="S348" i="1"/>
  <c r="W348" i="1"/>
  <c r="AC348" i="1"/>
  <c r="CQ348" i="1" s="1"/>
  <c r="AE348" i="1"/>
  <c r="AF348" i="1"/>
  <c r="AG348" i="1"/>
  <c r="CU348" i="1" s="1"/>
  <c r="T348" i="1" s="1"/>
  <c r="AH348" i="1"/>
  <c r="AI348" i="1"/>
  <c r="CW348" i="1" s="1"/>
  <c r="V348" i="1" s="1"/>
  <c r="AJ348" i="1"/>
  <c r="CT348" i="1"/>
  <c r="CV348" i="1"/>
  <c r="U348" i="1" s="1"/>
  <c r="CX348" i="1"/>
  <c r="FR348" i="1"/>
  <c r="GL348" i="1"/>
  <c r="BZ355" i="1" s="1"/>
  <c r="GN348" i="1"/>
  <c r="GO348" i="1"/>
  <c r="GP348" i="1"/>
  <c r="GV348" i="1"/>
  <c r="HC348" i="1" s="1"/>
  <c r="GX348" i="1" s="1"/>
  <c r="AC349" i="1"/>
  <c r="AE349" i="1"/>
  <c r="AF349" i="1"/>
  <c r="CT349" i="1" s="1"/>
  <c r="AG349" i="1"/>
  <c r="CU349" i="1" s="1"/>
  <c r="T349" i="1" s="1"/>
  <c r="AH349" i="1"/>
  <c r="AI349" i="1"/>
  <c r="AJ349" i="1"/>
  <c r="CV349" i="1"/>
  <c r="U349" i="1" s="1"/>
  <c r="CW349" i="1"/>
  <c r="V349" i="1" s="1"/>
  <c r="CX349" i="1"/>
  <c r="W349" i="1" s="1"/>
  <c r="GL349" i="1"/>
  <c r="GN349" i="1"/>
  <c r="GO349" i="1"/>
  <c r="GP349" i="1"/>
  <c r="GV349" i="1"/>
  <c r="GX349" i="1"/>
  <c r="HC349" i="1"/>
  <c r="S350" i="1"/>
  <c r="X350" i="1" s="1"/>
  <c r="W350" i="1"/>
  <c r="Y350" i="1"/>
  <c r="AB350" i="1"/>
  <c r="AC350" i="1"/>
  <c r="AE350" i="1"/>
  <c r="AD350" i="1" s="1"/>
  <c r="AF350" i="1"/>
  <c r="AG350" i="1"/>
  <c r="CU350" i="1" s="1"/>
  <c r="T350" i="1" s="1"/>
  <c r="AH350" i="1"/>
  <c r="CV350" i="1" s="1"/>
  <c r="U350" i="1" s="1"/>
  <c r="AI350" i="1"/>
  <c r="CW350" i="1" s="1"/>
  <c r="V350" i="1" s="1"/>
  <c r="AJ350" i="1"/>
  <c r="CR350" i="1"/>
  <c r="CS350" i="1"/>
  <c r="CT350" i="1"/>
  <c r="CX350" i="1"/>
  <c r="CY350" i="1"/>
  <c r="CZ350" i="1"/>
  <c r="GL350" i="1"/>
  <c r="GN350" i="1"/>
  <c r="GO350" i="1"/>
  <c r="GP350" i="1"/>
  <c r="GV350" i="1"/>
  <c r="GX350" i="1"/>
  <c r="HC350" i="1"/>
  <c r="P351" i="1"/>
  <c r="S351" i="1"/>
  <c r="CZ351" i="1" s="1"/>
  <c r="V351" i="1"/>
  <c r="W351" i="1"/>
  <c r="EB355" i="1" s="1"/>
  <c r="EB340" i="1" s="1"/>
  <c r="AC351" i="1"/>
  <c r="CQ351" i="1" s="1"/>
  <c r="AE351" i="1"/>
  <c r="AF351" i="1"/>
  <c r="AG351" i="1"/>
  <c r="CU351" i="1" s="1"/>
  <c r="T351" i="1" s="1"/>
  <c r="AH351" i="1"/>
  <c r="AI351" i="1"/>
  <c r="CW351" i="1" s="1"/>
  <c r="AJ351" i="1"/>
  <c r="CT351" i="1"/>
  <c r="CV351" i="1"/>
  <c r="U351" i="1" s="1"/>
  <c r="CX351" i="1"/>
  <c r="FR351" i="1"/>
  <c r="GL351" i="1"/>
  <c r="GN351" i="1"/>
  <c r="GO351" i="1"/>
  <c r="GP351" i="1"/>
  <c r="GV351" i="1"/>
  <c r="HC351" i="1" s="1"/>
  <c r="GX351" i="1" s="1"/>
  <c r="S352" i="1"/>
  <c r="AC352" i="1"/>
  <c r="AE352" i="1"/>
  <c r="AF352" i="1"/>
  <c r="AG352" i="1"/>
  <c r="CU352" i="1" s="1"/>
  <c r="T352" i="1" s="1"/>
  <c r="AH352" i="1"/>
  <c r="AI352" i="1"/>
  <c r="AJ352" i="1"/>
  <c r="CT352" i="1"/>
  <c r="CV352" i="1"/>
  <c r="U352" i="1" s="1"/>
  <c r="CW352" i="1"/>
  <c r="V352" i="1" s="1"/>
  <c r="CX352" i="1"/>
  <c r="W352" i="1" s="1"/>
  <c r="GL352" i="1"/>
  <c r="GN352" i="1"/>
  <c r="GO352" i="1"/>
  <c r="GP352" i="1"/>
  <c r="GV352" i="1"/>
  <c r="GX352" i="1"/>
  <c r="HC352" i="1"/>
  <c r="S353" i="1"/>
  <c r="X353" i="1" s="1"/>
  <c r="U353" i="1"/>
  <c r="W353" i="1"/>
  <c r="Y353" i="1"/>
  <c r="AB353" i="1"/>
  <c r="AC353" i="1"/>
  <c r="AE353" i="1"/>
  <c r="AD353" i="1" s="1"/>
  <c r="AF353" i="1"/>
  <c r="AG353" i="1"/>
  <c r="CU353" i="1" s="1"/>
  <c r="T353" i="1" s="1"/>
  <c r="AH353" i="1"/>
  <c r="CV353" i="1" s="1"/>
  <c r="AI353" i="1"/>
  <c r="CW353" i="1" s="1"/>
  <c r="V353" i="1" s="1"/>
  <c r="AJ353" i="1"/>
  <c r="CR353" i="1"/>
  <c r="CS353" i="1"/>
  <c r="CT353" i="1"/>
  <c r="CX353" i="1"/>
  <c r="CY353" i="1"/>
  <c r="CZ353" i="1"/>
  <c r="GL353" i="1"/>
  <c r="GN353" i="1"/>
  <c r="GO353" i="1"/>
  <c r="GP353" i="1"/>
  <c r="GV353" i="1"/>
  <c r="GX353" i="1"/>
  <c r="HC353" i="1"/>
  <c r="B355" i="1"/>
  <c r="B340" i="1" s="1"/>
  <c r="C355" i="1"/>
  <c r="C340" i="1" s="1"/>
  <c r="D355" i="1"/>
  <c r="D340" i="1" s="1"/>
  <c r="F355" i="1"/>
  <c r="G355" i="1"/>
  <c r="G340" i="1" s="1"/>
  <c r="BB355" i="1"/>
  <c r="BC355" i="1"/>
  <c r="F371" i="1" s="1"/>
  <c r="BD355" i="1"/>
  <c r="BX355" i="1"/>
  <c r="AO355" i="1" s="1"/>
  <c r="F359" i="1" s="1"/>
  <c r="CD355" i="1"/>
  <c r="CK355" i="1"/>
  <c r="CL355" i="1"/>
  <c r="CL340" i="1" s="1"/>
  <c r="CM355" i="1"/>
  <c r="CM340" i="1" s="1"/>
  <c r="FP355" i="1"/>
  <c r="GC355" i="1"/>
  <c r="ET355" i="1" s="1"/>
  <c r="ET340" i="1" s="1"/>
  <c r="GD355" i="1"/>
  <c r="GD340" i="1" s="1"/>
  <c r="GE355" i="1"/>
  <c r="D385" i="1"/>
  <c r="D387" i="1"/>
  <c r="E387" i="1"/>
  <c r="Z387" i="1"/>
  <c r="AA387" i="1"/>
  <c r="AM387" i="1"/>
  <c r="AN387" i="1"/>
  <c r="BE387" i="1"/>
  <c r="BF387" i="1"/>
  <c r="BG387" i="1"/>
  <c r="BH387" i="1"/>
  <c r="BI387" i="1"/>
  <c r="BJ387" i="1"/>
  <c r="BK387" i="1"/>
  <c r="BL387" i="1"/>
  <c r="BM387" i="1"/>
  <c r="BN387" i="1"/>
  <c r="BO387" i="1"/>
  <c r="BP387" i="1"/>
  <c r="BQ387" i="1"/>
  <c r="BR387" i="1"/>
  <c r="BS387" i="1"/>
  <c r="BT387" i="1"/>
  <c r="BU387" i="1"/>
  <c r="BV387" i="1"/>
  <c r="BW387" i="1"/>
  <c r="CK387" i="1"/>
  <c r="CN387" i="1"/>
  <c r="CO387" i="1"/>
  <c r="CP387" i="1"/>
  <c r="CQ387" i="1"/>
  <c r="CR387" i="1"/>
  <c r="CS387" i="1"/>
  <c r="CT387" i="1"/>
  <c r="CU387" i="1"/>
  <c r="CV387" i="1"/>
  <c r="CW387" i="1"/>
  <c r="CX387" i="1"/>
  <c r="CY387" i="1"/>
  <c r="CZ387" i="1"/>
  <c r="DA387" i="1"/>
  <c r="DB387" i="1"/>
  <c r="DC387" i="1"/>
  <c r="DD387" i="1"/>
  <c r="DE387" i="1"/>
  <c r="DF387" i="1"/>
  <c r="DR387" i="1"/>
  <c r="DS387" i="1"/>
  <c r="EE387" i="1"/>
  <c r="EF387" i="1"/>
  <c r="EW387" i="1"/>
  <c r="EX387" i="1"/>
  <c r="EY387" i="1"/>
  <c r="EZ387" i="1"/>
  <c r="FA387" i="1"/>
  <c r="FB387" i="1"/>
  <c r="FC387" i="1"/>
  <c r="FD387" i="1"/>
  <c r="FE387" i="1"/>
  <c r="FF387" i="1"/>
  <c r="FG387" i="1"/>
  <c r="FH387" i="1"/>
  <c r="FI387" i="1"/>
  <c r="FJ387" i="1"/>
  <c r="FK387" i="1"/>
  <c r="FL387" i="1"/>
  <c r="FM387" i="1"/>
  <c r="FN387" i="1"/>
  <c r="FO387" i="1"/>
  <c r="FV387" i="1"/>
  <c r="GF387" i="1"/>
  <c r="GG387" i="1"/>
  <c r="GH387" i="1"/>
  <c r="GI387" i="1"/>
  <c r="GJ387" i="1"/>
  <c r="GK387" i="1"/>
  <c r="GL387" i="1"/>
  <c r="GM387" i="1"/>
  <c r="GN387" i="1"/>
  <c r="GO387" i="1"/>
  <c r="GP387" i="1"/>
  <c r="GQ387" i="1"/>
  <c r="GR387" i="1"/>
  <c r="GS387" i="1"/>
  <c r="GT387" i="1"/>
  <c r="GU387" i="1"/>
  <c r="GV387" i="1"/>
  <c r="GW387" i="1"/>
  <c r="GX387" i="1"/>
  <c r="C389" i="1"/>
  <c r="D389" i="1"/>
  <c r="S389" i="1"/>
  <c r="CY389" i="1" s="1"/>
  <c r="T389" i="1"/>
  <c r="V389" i="1"/>
  <c r="X389" i="1"/>
  <c r="Y389" i="1"/>
  <c r="AB389" i="1"/>
  <c r="AC389" i="1"/>
  <c r="P389" i="1" s="1"/>
  <c r="AE389" i="1"/>
  <c r="AD389" i="1" s="1"/>
  <c r="AF389" i="1"/>
  <c r="AG389" i="1"/>
  <c r="CU389" i="1" s="1"/>
  <c r="AH389" i="1"/>
  <c r="CV389" i="1" s="1"/>
  <c r="U389" i="1" s="1"/>
  <c r="AI389" i="1"/>
  <c r="CW389" i="1" s="1"/>
  <c r="AJ389" i="1"/>
  <c r="CX389" i="1" s="1"/>
  <c r="W389" i="1" s="1"/>
  <c r="CQ389" i="1"/>
  <c r="CR389" i="1"/>
  <c r="CS389" i="1"/>
  <c r="CT389" i="1"/>
  <c r="GL389" i="1"/>
  <c r="GN389" i="1"/>
  <c r="GP389" i="1"/>
  <c r="GV389" i="1"/>
  <c r="HC389" i="1"/>
  <c r="GX389" i="1" s="1"/>
  <c r="C390" i="1"/>
  <c r="D390" i="1"/>
  <c r="Q390" i="1"/>
  <c r="R390" i="1"/>
  <c r="S390" i="1"/>
  <c r="Y390" i="1" s="1"/>
  <c r="X390" i="1"/>
  <c r="AB390" i="1"/>
  <c r="AC390" i="1"/>
  <c r="AE390" i="1"/>
  <c r="AD390" i="1" s="1"/>
  <c r="AF390" i="1"/>
  <c r="AG390" i="1"/>
  <c r="AH390" i="1"/>
  <c r="CV390" i="1" s="1"/>
  <c r="U390" i="1" s="1"/>
  <c r="AI390" i="1"/>
  <c r="CW390" i="1" s="1"/>
  <c r="V390" i="1" s="1"/>
  <c r="AJ390" i="1"/>
  <c r="CX390" i="1" s="1"/>
  <c r="W390" i="1" s="1"/>
  <c r="EB400" i="1" s="1"/>
  <c r="CR390" i="1"/>
  <c r="CS390" i="1"/>
  <c r="CT390" i="1"/>
  <c r="CU390" i="1"/>
  <c r="T390" i="1" s="1"/>
  <c r="CZ390" i="1"/>
  <c r="GL390" i="1"/>
  <c r="GN390" i="1"/>
  <c r="GP390" i="1"/>
  <c r="GV390" i="1"/>
  <c r="GX390" i="1"/>
  <c r="HC390" i="1"/>
  <c r="P391" i="1"/>
  <c r="CP391" i="1" s="1"/>
  <c r="O391" i="1" s="1"/>
  <c r="GM391" i="1" s="1"/>
  <c r="GO391" i="1" s="1"/>
  <c r="R391" i="1"/>
  <c r="S391" i="1"/>
  <c r="CY391" i="1" s="1"/>
  <c r="X391" i="1"/>
  <c r="Y391" i="1"/>
  <c r="AB391" i="1"/>
  <c r="AC391" i="1"/>
  <c r="AD391" i="1"/>
  <c r="AE391" i="1"/>
  <c r="Q391" i="1" s="1"/>
  <c r="AF391" i="1"/>
  <c r="CT391" i="1" s="1"/>
  <c r="AG391" i="1"/>
  <c r="AH391" i="1"/>
  <c r="CV391" i="1" s="1"/>
  <c r="U391" i="1" s="1"/>
  <c r="AI391" i="1"/>
  <c r="CW391" i="1" s="1"/>
  <c r="V391" i="1" s="1"/>
  <c r="AI400" i="1" s="1"/>
  <c r="AJ391" i="1"/>
  <c r="CQ391" i="1"/>
  <c r="CR391" i="1"/>
  <c r="CS391" i="1"/>
  <c r="CU391" i="1"/>
  <c r="T391" i="1" s="1"/>
  <c r="CX391" i="1"/>
  <c r="W391" i="1" s="1"/>
  <c r="CZ391" i="1"/>
  <c r="GL391" i="1"/>
  <c r="GN391" i="1"/>
  <c r="GP391" i="1"/>
  <c r="GV391" i="1"/>
  <c r="GX391" i="1"/>
  <c r="HC391" i="1"/>
  <c r="P392" i="1"/>
  <c r="R392" i="1"/>
  <c r="U392" i="1"/>
  <c r="V392" i="1"/>
  <c r="AC392" i="1"/>
  <c r="CQ392" i="1" s="1"/>
  <c r="AD392" i="1"/>
  <c r="AE392" i="1"/>
  <c r="CS392" i="1" s="1"/>
  <c r="AF392" i="1"/>
  <c r="CT392" i="1" s="1"/>
  <c r="AG392" i="1"/>
  <c r="AH392" i="1"/>
  <c r="AI392" i="1"/>
  <c r="AJ392" i="1"/>
  <c r="CX392" i="1" s="1"/>
  <c r="W392" i="1" s="1"/>
  <c r="CR392" i="1"/>
  <c r="CU392" i="1"/>
  <c r="T392" i="1" s="1"/>
  <c r="CV392" i="1"/>
  <c r="CW392" i="1"/>
  <c r="GL392" i="1"/>
  <c r="GN392" i="1"/>
  <c r="GP392" i="1"/>
  <c r="GV392" i="1"/>
  <c r="GX392" i="1"/>
  <c r="HC392" i="1"/>
  <c r="C393" i="1"/>
  <c r="D393" i="1"/>
  <c r="I393" i="1"/>
  <c r="K393" i="1"/>
  <c r="P393" i="1"/>
  <c r="R393" i="1"/>
  <c r="AC393" i="1"/>
  <c r="AD393" i="1"/>
  <c r="AE393" i="1"/>
  <c r="AF393" i="1"/>
  <c r="S393" i="1" s="1"/>
  <c r="AG393" i="1"/>
  <c r="AH393" i="1"/>
  <c r="CV393" i="1" s="1"/>
  <c r="U393" i="1" s="1"/>
  <c r="AI393" i="1"/>
  <c r="AJ393" i="1"/>
  <c r="CX393" i="1" s="1"/>
  <c r="W393" i="1" s="1"/>
  <c r="CR393" i="1"/>
  <c r="CS393" i="1"/>
  <c r="CT393" i="1"/>
  <c r="CU393" i="1"/>
  <c r="T393" i="1" s="1"/>
  <c r="CW393" i="1"/>
  <c r="V393" i="1" s="1"/>
  <c r="GL393" i="1"/>
  <c r="GN393" i="1"/>
  <c r="GP393" i="1"/>
  <c r="GV393" i="1"/>
  <c r="HC393" i="1" s="1"/>
  <c r="GX393" i="1"/>
  <c r="C394" i="1"/>
  <c r="D394" i="1"/>
  <c r="I394" i="1"/>
  <c r="CU164" i="3" s="1"/>
  <c r="K394" i="1"/>
  <c r="P394" i="1"/>
  <c r="S394" i="1"/>
  <c r="X394" i="1" s="1"/>
  <c r="AC394" i="1"/>
  <c r="CQ394" i="1" s="1"/>
  <c r="AD394" i="1"/>
  <c r="AB394" i="1" s="1"/>
  <c r="AE394" i="1"/>
  <c r="CR394" i="1" s="1"/>
  <c r="AF394" i="1"/>
  <c r="AG394" i="1"/>
  <c r="AH394" i="1"/>
  <c r="CV394" i="1" s="1"/>
  <c r="U394" i="1" s="1"/>
  <c r="AI394" i="1"/>
  <c r="CW394" i="1" s="1"/>
  <c r="V394" i="1" s="1"/>
  <c r="AJ394" i="1"/>
  <c r="CS394" i="1"/>
  <c r="CT394" i="1"/>
  <c r="CU394" i="1"/>
  <c r="T394" i="1" s="1"/>
  <c r="CX394" i="1"/>
  <c r="W394" i="1" s="1"/>
  <c r="CY394" i="1"/>
  <c r="CZ394" i="1"/>
  <c r="GL394" i="1"/>
  <c r="GN394" i="1"/>
  <c r="GP394" i="1"/>
  <c r="GV394" i="1"/>
  <c r="HC394" i="1" s="1"/>
  <c r="GX394" i="1" s="1"/>
  <c r="I395" i="1"/>
  <c r="Q395" i="1" s="1"/>
  <c r="K395" i="1"/>
  <c r="R395" i="1"/>
  <c r="W395" i="1"/>
  <c r="AC395" i="1"/>
  <c r="AD395" i="1"/>
  <c r="AE395" i="1"/>
  <c r="AF395" i="1"/>
  <c r="S395" i="1" s="1"/>
  <c r="AG395" i="1"/>
  <c r="AH395" i="1"/>
  <c r="CV395" i="1" s="1"/>
  <c r="U395" i="1" s="1"/>
  <c r="AI395" i="1"/>
  <c r="AJ395" i="1"/>
  <c r="CX395" i="1" s="1"/>
  <c r="CR395" i="1"/>
  <c r="CS395" i="1"/>
  <c r="CT395" i="1"/>
  <c r="CU395" i="1"/>
  <c r="T395" i="1" s="1"/>
  <c r="CW395" i="1"/>
  <c r="V395" i="1" s="1"/>
  <c r="GL395" i="1"/>
  <c r="GN395" i="1"/>
  <c r="GP395" i="1"/>
  <c r="GV395" i="1"/>
  <c r="HC395" i="1" s="1"/>
  <c r="GX395" i="1"/>
  <c r="I396" i="1"/>
  <c r="P396" i="1" s="1"/>
  <c r="R396" i="1"/>
  <c r="U396" i="1"/>
  <c r="V396" i="1"/>
  <c r="W396" i="1"/>
  <c r="AC396" i="1"/>
  <c r="CQ396" i="1" s="1"/>
  <c r="AD396" i="1"/>
  <c r="AE396" i="1"/>
  <c r="CS396" i="1" s="1"/>
  <c r="AF396" i="1"/>
  <c r="AG396" i="1"/>
  <c r="AH396" i="1"/>
  <c r="AI396" i="1"/>
  <c r="AJ396" i="1"/>
  <c r="CX396" i="1" s="1"/>
  <c r="CR396" i="1"/>
  <c r="CU396" i="1"/>
  <c r="T396" i="1" s="1"/>
  <c r="CV396" i="1"/>
  <c r="CW396" i="1"/>
  <c r="GL396" i="1"/>
  <c r="GN396" i="1"/>
  <c r="GP396" i="1"/>
  <c r="GV396" i="1"/>
  <c r="HC396" i="1"/>
  <c r="R397" i="1"/>
  <c r="S397" i="1"/>
  <c r="CY397" i="1" s="1"/>
  <c r="AC397" i="1"/>
  <c r="AD397" i="1"/>
  <c r="AE397" i="1"/>
  <c r="Q397" i="1" s="1"/>
  <c r="AF397" i="1"/>
  <c r="AG397" i="1"/>
  <c r="CU397" i="1" s="1"/>
  <c r="T397" i="1" s="1"/>
  <c r="AG400" i="1" s="1"/>
  <c r="AH397" i="1"/>
  <c r="CV397" i="1" s="1"/>
  <c r="U397" i="1" s="1"/>
  <c r="AI397" i="1"/>
  <c r="AJ397" i="1"/>
  <c r="CR397" i="1"/>
  <c r="CS397" i="1"/>
  <c r="CT397" i="1"/>
  <c r="CW397" i="1"/>
  <c r="V397" i="1" s="1"/>
  <c r="CX397" i="1"/>
  <c r="W397" i="1" s="1"/>
  <c r="GL397" i="1"/>
  <c r="GN397" i="1"/>
  <c r="GP397" i="1"/>
  <c r="GV397" i="1"/>
  <c r="HC397" i="1" s="1"/>
  <c r="GX397" i="1" s="1"/>
  <c r="P398" i="1"/>
  <c r="S398" i="1"/>
  <c r="AC398" i="1"/>
  <c r="AB398" i="1" s="1"/>
  <c r="AD398" i="1"/>
  <c r="AE398" i="1"/>
  <c r="AF398" i="1"/>
  <c r="AG398" i="1"/>
  <c r="AH398" i="1"/>
  <c r="AI398" i="1"/>
  <c r="CW398" i="1" s="1"/>
  <c r="V398" i="1" s="1"/>
  <c r="AJ398" i="1"/>
  <c r="CQ398" i="1"/>
  <c r="CT398" i="1"/>
  <c r="CU398" i="1"/>
  <c r="T398" i="1" s="1"/>
  <c r="CV398" i="1"/>
  <c r="U398" i="1" s="1"/>
  <c r="CX398" i="1"/>
  <c r="W398" i="1" s="1"/>
  <c r="GL398" i="1"/>
  <c r="GN398" i="1"/>
  <c r="GP398" i="1"/>
  <c r="GV398" i="1"/>
  <c r="GX398" i="1"/>
  <c r="HC398" i="1"/>
  <c r="B400" i="1"/>
  <c r="B387" i="1" s="1"/>
  <c r="C400" i="1"/>
  <c r="C387" i="1" s="1"/>
  <c r="D400" i="1"/>
  <c r="F400" i="1"/>
  <c r="F387" i="1" s="1"/>
  <c r="G400" i="1"/>
  <c r="G387" i="1" s="1"/>
  <c r="AH400" i="1"/>
  <c r="AH387" i="1" s="1"/>
  <c r="AO400" i="1"/>
  <c r="AO387" i="1" s="1"/>
  <c r="AP400" i="1"/>
  <c r="AP387" i="1" s="1"/>
  <c r="BB400" i="1"/>
  <c r="BB387" i="1" s="1"/>
  <c r="BX400" i="1"/>
  <c r="BX387" i="1" s="1"/>
  <c r="BY400" i="1"/>
  <c r="BY387" i="1" s="1"/>
  <c r="BZ400" i="1"/>
  <c r="CI400" i="1" s="1"/>
  <c r="CB400" i="1"/>
  <c r="CD400" i="1"/>
  <c r="CD387" i="1" s="1"/>
  <c r="CK400" i="1"/>
  <c r="CL400" i="1"/>
  <c r="CM400" i="1"/>
  <c r="CM387" i="1" s="1"/>
  <c r="EH400" i="1"/>
  <c r="ET400" i="1"/>
  <c r="ET387" i="1" s="1"/>
  <c r="EU400" i="1"/>
  <c r="EU387" i="1" s="1"/>
  <c r="FP400" i="1"/>
  <c r="FP387" i="1" s="1"/>
  <c r="FQ400" i="1"/>
  <c r="FV400" i="1"/>
  <c r="EM400" i="1" s="1"/>
  <c r="EM387" i="1" s="1"/>
  <c r="GC400" i="1"/>
  <c r="GC387" i="1" s="1"/>
  <c r="GD400" i="1"/>
  <c r="GD387" i="1" s="1"/>
  <c r="GE400" i="1"/>
  <c r="F404" i="1"/>
  <c r="P416" i="1"/>
  <c r="D430" i="1"/>
  <c r="C432" i="1"/>
  <c r="E432" i="1"/>
  <c r="G432" i="1"/>
  <c r="Z432" i="1"/>
  <c r="AA432" i="1"/>
  <c r="AM432" i="1"/>
  <c r="AN432" i="1"/>
  <c r="BE432" i="1"/>
  <c r="BF432" i="1"/>
  <c r="BG432" i="1"/>
  <c r="BH432" i="1"/>
  <c r="BI432" i="1"/>
  <c r="BJ432" i="1"/>
  <c r="BK432" i="1"/>
  <c r="BL432" i="1"/>
  <c r="BM432" i="1"/>
  <c r="BN432" i="1"/>
  <c r="BO432" i="1"/>
  <c r="BP432" i="1"/>
  <c r="BQ432" i="1"/>
  <c r="BR432" i="1"/>
  <c r="BS432" i="1"/>
  <c r="BT432" i="1"/>
  <c r="BU432" i="1"/>
  <c r="BV432" i="1"/>
  <c r="BW432" i="1"/>
  <c r="CL432" i="1"/>
  <c r="CM432" i="1"/>
  <c r="CN432" i="1"/>
  <c r="CO432" i="1"/>
  <c r="CP432" i="1"/>
  <c r="CQ432" i="1"/>
  <c r="CR432" i="1"/>
  <c r="CS432" i="1"/>
  <c r="CT432" i="1"/>
  <c r="CU432" i="1"/>
  <c r="CV432" i="1"/>
  <c r="CW432" i="1"/>
  <c r="CX432" i="1"/>
  <c r="CY432" i="1"/>
  <c r="CZ432" i="1"/>
  <c r="DA432" i="1"/>
  <c r="DB432" i="1"/>
  <c r="DC432" i="1"/>
  <c r="DD432" i="1"/>
  <c r="DE432" i="1"/>
  <c r="DF432" i="1"/>
  <c r="DR432" i="1"/>
  <c r="DS432" i="1"/>
  <c r="EE432" i="1"/>
  <c r="EF432" i="1"/>
  <c r="EW432" i="1"/>
  <c r="EX432" i="1"/>
  <c r="EY432" i="1"/>
  <c r="EZ432" i="1"/>
  <c r="FA432" i="1"/>
  <c r="FB432" i="1"/>
  <c r="FC432" i="1"/>
  <c r="FD432" i="1"/>
  <c r="FE432" i="1"/>
  <c r="FF432" i="1"/>
  <c r="FG432" i="1"/>
  <c r="FH432" i="1"/>
  <c r="FI432" i="1"/>
  <c r="FJ432" i="1"/>
  <c r="FK432" i="1"/>
  <c r="FL432" i="1"/>
  <c r="FM432" i="1"/>
  <c r="FN432" i="1"/>
  <c r="FO432" i="1"/>
  <c r="GE432" i="1"/>
  <c r="GF432" i="1"/>
  <c r="GG432" i="1"/>
  <c r="GH432" i="1"/>
  <c r="GI432" i="1"/>
  <c r="GJ432" i="1"/>
  <c r="GK432" i="1"/>
  <c r="GL432" i="1"/>
  <c r="GM432" i="1"/>
  <c r="GN432" i="1"/>
  <c r="GO432" i="1"/>
  <c r="GP432" i="1"/>
  <c r="GQ432" i="1"/>
  <c r="GR432" i="1"/>
  <c r="GS432" i="1"/>
  <c r="GT432" i="1"/>
  <c r="GU432" i="1"/>
  <c r="GV432" i="1"/>
  <c r="GW432" i="1"/>
  <c r="GX432" i="1"/>
  <c r="C434" i="1"/>
  <c r="D434" i="1"/>
  <c r="P434" i="1"/>
  <c r="AC441" i="1" s="1"/>
  <c r="Q434" i="1"/>
  <c r="R434" i="1"/>
  <c r="T434" i="1"/>
  <c r="V434" i="1"/>
  <c r="AC434" i="1"/>
  <c r="AD434" i="1"/>
  <c r="AE434" i="1"/>
  <c r="CS434" i="1" s="1"/>
  <c r="AF434" i="1"/>
  <c r="AG434" i="1"/>
  <c r="AH434" i="1"/>
  <c r="CV434" i="1" s="1"/>
  <c r="U434" i="1" s="1"/>
  <c r="AI434" i="1"/>
  <c r="AJ434" i="1"/>
  <c r="CX434" i="1" s="1"/>
  <c r="W434" i="1" s="1"/>
  <c r="CQ434" i="1"/>
  <c r="CR434" i="1"/>
  <c r="CU434" i="1"/>
  <c r="CW434" i="1"/>
  <c r="GL434" i="1"/>
  <c r="BZ441" i="1" s="1"/>
  <c r="GN434" i="1"/>
  <c r="GP434" i="1"/>
  <c r="GV434" i="1"/>
  <c r="GX434" i="1"/>
  <c r="HC434" i="1"/>
  <c r="C435" i="1"/>
  <c r="D435" i="1"/>
  <c r="T435" i="1"/>
  <c r="AC435" i="1"/>
  <c r="AE435" i="1"/>
  <c r="CY435" i="1" s="1"/>
  <c r="AF435" i="1"/>
  <c r="S435" i="1" s="1"/>
  <c r="AG435" i="1"/>
  <c r="CU435" i="1" s="1"/>
  <c r="AH435" i="1"/>
  <c r="AI435" i="1"/>
  <c r="AJ435" i="1"/>
  <c r="CT435" i="1"/>
  <c r="CV435" i="1"/>
  <c r="U435" i="1" s="1"/>
  <c r="CW435" i="1"/>
  <c r="V435" i="1" s="1"/>
  <c r="CX435" i="1"/>
  <c r="W435" i="1" s="1"/>
  <c r="GL435" i="1"/>
  <c r="GN435" i="1"/>
  <c r="GP435" i="1"/>
  <c r="GV435" i="1"/>
  <c r="HC435" i="1"/>
  <c r="GX435" i="1" s="1"/>
  <c r="I436" i="1"/>
  <c r="P436" i="1"/>
  <c r="S436" i="1"/>
  <c r="X436" i="1" s="1"/>
  <c r="AC436" i="1"/>
  <c r="CQ436" i="1" s="1"/>
  <c r="AD436" i="1"/>
  <c r="AE436" i="1"/>
  <c r="AF436" i="1"/>
  <c r="AG436" i="1"/>
  <c r="AH436" i="1"/>
  <c r="CV436" i="1" s="1"/>
  <c r="U436" i="1" s="1"/>
  <c r="AI436" i="1"/>
  <c r="CW436" i="1" s="1"/>
  <c r="V436" i="1" s="1"/>
  <c r="AJ436" i="1"/>
  <c r="CR436" i="1"/>
  <c r="CS436" i="1"/>
  <c r="CT436" i="1"/>
  <c r="CU436" i="1"/>
  <c r="T436" i="1" s="1"/>
  <c r="CX436" i="1"/>
  <c r="W436" i="1" s="1"/>
  <c r="GL436" i="1"/>
  <c r="GN436" i="1"/>
  <c r="GP436" i="1"/>
  <c r="GV436" i="1"/>
  <c r="HC436" i="1"/>
  <c r="GX436" i="1" s="1"/>
  <c r="I437" i="1"/>
  <c r="P437" i="1"/>
  <c r="S437" i="1"/>
  <c r="CY437" i="1" s="1"/>
  <c r="U437" i="1"/>
  <c r="AC437" i="1"/>
  <c r="AD437" i="1"/>
  <c r="AE437" i="1"/>
  <c r="CS437" i="1" s="1"/>
  <c r="AF437" i="1"/>
  <c r="AG437" i="1"/>
  <c r="CU437" i="1" s="1"/>
  <c r="T437" i="1" s="1"/>
  <c r="DY441" i="1" s="1"/>
  <c r="AH437" i="1"/>
  <c r="AI437" i="1"/>
  <c r="CW437" i="1" s="1"/>
  <c r="V437" i="1" s="1"/>
  <c r="AJ437" i="1"/>
  <c r="CX437" i="1" s="1"/>
  <c r="W437" i="1" s="1"/>
  <c r="CQ437" i="1"/>
  <c r="CT437" i="1"/>
  <c r="CV437" i="1"/>
  <c r="GL437" i="1"/>
  <c r="GN437" i="1"/>
  <c r="FT441" i="1" s="1"/>
  <c r="GP437" i="1"/>
  <c r="GV437" i="1"/>
  <c r="HC437" i="1"/>
  <c r="GX437" i="1" s="1"/>
  <c r="GB441" i="1" s="1"/>
  <c r="P438" i="1"/>
  <c r="R438" i="1"/>
  <c r="S438" i="1"/>
  <c r="CY438" i="1" s="1"/>
  <c r="X438" i="1"/>
  <c r="Y438" i="1"/>
  <c r="AC438" i="1"/>
  <c r="AD438" i="1"/>
  <c r="AB438" i="1" s="1"/>
  <c r="AE438" i="1"/>
  <c r="Q438" i="1" s="1"/>
  <c r="AF438" i="1"/>
  <c r="CT438" i="1" s="1"/>
  <c r="AG438" i="1"/>
  <c r="CU438" i="1" s="1"/>
  <c r="T438" i="1" s="1"/>
  <c r="AH438" i="1"/>
  <c r="CV438" i="1" s="1"/>
  <c r="U438" i="1" s="1"/>
  <c r="AI438" i="1"/>
  <c r="CW438" i="1" s="1"/>
  <c r="V438" i="1" s="1"/>
  <c r="AJ438" i="1"/>
  <c r="CX438" i="1" s="1"/>
  <c r="W438" i="1" s="1"/>
  <c r="CQ438" i="1"/>
  <c r="CR438" i="1"/>
  <c r="CS438" i="1"/>
  <c r="FR438" i="1"/>
  <c r="BY441" i="1" s="1"/>
  <c r="GL438" i="1"/>
  <c r="GN438" i="1"/>
  <c r="GO438" i="1"/>
  <c r="GP438" i="1"/>
  <c r="GV438" i="1"/>
  <c r="HC438" i="1" s="1"/>
  <c r="GX438" i="1" s="1"/>
  <c r="Q439" i="1"/>
  <c r="T439" i="1"/>
  <c r="X439" i="1"/>
  <c r="AC439" i="1"/>
  <c r="P439" i="1" s="1"/>
  <c r="AD439" i="1"/>
  <c r="AE439" i="1"/>
  <c r="CR439" i="1" s="1"/>
  <c r="AF439" i="1"/>
  <c r="S439" i="1" s="1"/>
  <c r="AG439" i="1"/>
  <c r="AH439" i="1"/>
  <c r="AI439" i="1"/>
  <c r="AJ439" i="1"/>
  <c r="CX439" i="1" s="1"/>
  <c r="W439" i="1" s="1"/>
  <c r="CS439" i="1"/>
  <c r="CT439" i="1"/>
  <c r="CU439" i="1"/>
  <c r="CV439" i="1"/>
  <c r="U439" i="1" s="1"/>
  <c r="CW439" i="1"/>
  <c r="V439" i="1" s="1"/>
  <c r="CY439" i="1"/>
  <c r="GL439" i="1"/>
  <c r="GN439" i="1"/>
  <c r="GO439" i="1"/>
  <c r="GP439" i="1"/>
  <c r="FV441" i="1" s="1"/>
  <c r="GV439" i="1"/>
  <c r="HC439" i="1"/>
  <c r="GX439" i="1" s="1"/>
  <c r="B441" i="1"/>
  <c r="B432" i="1" s="1"/>
  <c r="C441" i="1"/>
  <c r="D441" i="1"/>
  <c r="D432" i="1" s="1"/>
  <c r="F441" i="1"/>
  <c r="F432" i="1" s="1"/>
  <c r="G441" i="1"/>
  <c r="BC441" i="1"/>
  <c r="BC432" i="1" s="1"/>
  <c r="BX441" i="1"/>
  <c r="CB441" i="1"/>
  <c r="AS441" i="1" s="1"/>
  <c r="CD441" i="1"/>
  <c r="AU441" i="1" s="1"/>
  <c r="CK441" i="1"/>
  <c r="CL441" i="1"/>
  <c r="CM441" i="1"/>
  <c r="BD441" i="1" s="1"/>
  <c r="BD432" i="1" s="1"/>
  <c r="ET441" i="1"/>
  <c r="P454" i="1" s="1"/>
  <c r="EV441" i="1"/>
  <c r="P466" i="1" s="1"/>
  <c r="FP441" i="1"/>
  <c r="FP432" i="1" s="1"/>
  <c r="FR441" i="1"/>
  <c r="FR432" i="1" s="1"/>
  <c r="GC441" i="1"/>
  <c r="GC432" i="1" s="1"/>
  <c r="GD441" i="1"/>
  <c r="EU441" i="1" s="1"/>
  <c r="GE441" i="1"/>
  <c r="F457" i="1"/>
  <c r="F466" i="1"/>
  <c r="B471" i="1"/>
  <c r="B22" i="1" s="1"/>
  <c r="C471" i="1"/>
  <c r="C22" i="1" s="1"/>
  <c r="D471" i="1"/>
  <c r="D22" i="1" s="1"/>
  <c r="F471" i="1"/>
  <c r="F22" i="1" s="1"/>
  <c r="G471" i="1"/>
  <c r="G22" i="1" s="1"/>
  <c r="B501" i="1"/>
  <c r="B18" i="1" s="1"/>
  <c r="C501" i="1"/>
  <c r="C18" i="1" s="1"/>
  <c r="D501" i="1"/>
  <c r="D18" i="1" s="1"/>
  <c r="F501" i="1"/>
  <c r="F18" i="1" s="1"/>
  <c r="G501" i="1"/>
  <c r="G18" i="1" s="1"/>
  <c r="F12" i="6"/>
  <c r="G12" i="6"/>
  <c r="Q107" i="7" l="1"/>
  <c r="J332" i="7"/>
  <c r="H45" i="7"/>
  <c r="H320" i="7"/>
  <c r="H337" i="7"/>
  <c r="J436" i="7"/>
  <c r="I449" i="7"/>
  <c r="K449" i="7"/>
  <c r="Q454" i="7" s="1"/>
  <c r="J466" i="7" s="1"/>
  <c r="P147" i="7"/>
  <c r="J337" i="7"/>
  <c r="Q220" i="7"/>
  <c r="Q365" i="7"/>
  <c r="J371" i="7" s="1"/>
  <c r="I407" i="7"/>
  <c r="I450" i="7"/>
  <c r="H220" i="7"/>
  <c r="Q250" i="7"/>
  <c r="H365" i="7"/>
  <c r="K406" i="7"/>
  <c r="Q411" i="7" s="1"/>
  <c r="I406" i="7"/>
  <c r="P499" i="7"/>
  <c r="J207" i="7"/>
  <c r="Q280" i="7"/>
  <c r="H484" i="7"/>
  <c r="K514" i="7"/>
  <c r="J517" i="7" s="1"/>
  <c r="I21" i="7"/>
  <c r="Q277" i="7"/>
  <c r="H428" i="7"/>
  <c r="K450" i="7"/>
  <c r="K515" i="7"/>
  <c r="P277" i="7"/>
  <c r="J362" i="7"/>
  <c r="Q66" i="7"/>
  <c r="J300" i="7"/>
  <c r="J368" i="7"/>
  <c r="H356" i="7"/>
  <c r="J320" i="7"/>
  <c r="J167" i="7"/>
  <c r="H262" i="7"/>
  <c r="H495" i="7"/>
  <c r="P247" i="7"/>
  <c r="H432" i="7"/>
  <c r="Q356" i="7"/>
  <c r="Q97" i="7"/>
  <c r="Q247" i="7"/>
  <c r="Q47" i="7"/>
  <c r="P77" i="7"/>
  <c r="Q87" i="7"/>
  <c r="J117" i="7"/>
  <c r="P127" i="7"/>
  <c r="P157" i="7"/>
  <c r="Q204" i="7"/>
  <c r="J77" i="7"/>
  <c r="H47" i="7"/>
  <c r="P385" i="7"/>
  <c r="H394" i="7" s="1"/>
  <c r="J165" i="7"/>
  <c r="P177" i="7"/>
  <c r="P232" i="7"/>
  <c r="Q314" i="7"/>
  <c r="P56" i="7"/>
  <c r="P262" i="7"/>
  <c r="H332" i="7"/>
  <c r="Q428" i="7"/>
  <c r="H493" i="7"/>
  <c r="J75" i="7"/>
  <c r="H232" i="7"/>
  <c r="H56" i="7"/>
  <c r="H87" i="7"/>
  <c r="P117" i="7"/>
  <c r="Q177" i="7"/>
  <c r="P334" i="7"/>
  <c r="J383" i="7"/>
  <c r="Q495" i="7"/>
  <c r="J495" i="7"/>
  <c r="J47" i="7"/>
  <c r="J145" i="7"/>
  <c r="H295" i="7"/>
  <c r="P97" i="7"/>
  <c r="J125" i="7"/>
  <c r="J157" i="7"/>
  <c r="P167" i="7"/>
  <c r="J217" i="7"/>
  <c r="Q217" i="7"/>
  <c r="J215" i="7"/>
  <c r="H479" i="7"/>
  <c r="P87" i="7"/>
  <c r="J105" i="7"/>
  <c r="J138" i="7"/>
  <c r="H245" i="7"/>
  <c r="Q297" i="7"/>
  <c r="H411" i="7"/>
  <c r="P428" i="7"/>
  <c r="H125" i="7"/>
  <c r="H275" i="7"/>
  <c r="J411" i="7"/>
  <c r="Q481" i="7"/>
  <c r="J481" i="7"/>
  <c r="J85" i="7"/>
  <c r="H138" i="7"/>
  <c r="H136" i="7"/>
  <c r="P138" i="7"/>
  <c r="J247" i="7"/>
  <c r="H314" i="7"/>
  <c r="H312" i="7"/>
  <c r="P314" i="7"/>
  <c r="Q127" i="7"/>
  <c r="J127" i="7"/>
  <c r="H165" i="7"/>
  <c r="J177" i="7"/>
  <c r="J186" i="7"/>
  <c r="Q232" i="7"/>
  <c r="J277" i="7"/>
  <c r="P297" i="7"/>
  <c r="J356" i="7"/>
  <c r="Q56" i="7"/>
  <c r="H177" i="7"/>
  <c r="H175" i="7"/>
  <c r="P217" i="7"/>
  <c r="Q262" i="7"/>
  <c r="Q334" i="7"/>
  <c r="H517" i="7"/>
  <c r="P519" i="7"/>
  <c r="H525" i="7" s="1"/>
  <c r="H519" i="7"/>
  <c r="Q138" i="7"/>
  <c r="Q167" i="7"/>
  <c r="H186" i="7"/>
  <c r="H184" i="7"/>
  <c r="P186" i="7"/>
  <c r="J295" i="7"/>
  <c r="P356" i="7"/>
  <c r="H371" i="7" s="1"/>
  <c r="J493" i="7"/>
  <c r="H66" i="7"/>
  <c r="H64" i="7"/>
  <c r="P66" i="7"/>
  <c r="P107" i="7"/>
  <c r="Q186" i="7"/>
  <c r="Q385" i="7"/>
  <c r="J394" i="7" s="1"/>
  <c r="P481" i="7"/>
  <c r="J115" i="7"/>
  <c r="J155" i="7"/>
  <c r="J354" i="7"/>
  <c r="P47" i="7"/>
  <c r="J202" i="7"/>
  <c r="H215" i="7"/>
  <c r="J235" i="7"/>
  <c r="J265" i="7"/>
  <c r="J385" i="7"/>
  <c r="P495" i="7"/>
  <c r="J54" i="7"/>
  <c r="Q77" i="7"/>
  <c r="Q117" i="7"/>
  <c r="Q157" i="7"/>
  <c r="J204" i="7"/>
  <c r="H217" i="7"/>
  <c r="J230" i="7"/>
  <c r="H235" i="7"/>
  <c r="H247" i="7"/>
  <c r="J260" i="7"/>
  <c r="H265" i="7"/>
  <c r="H277" i="7"/>
  <c r="J317" i="7"/>
  <c r="J323" i="7"/>
  <c r="H383" i="7"/>
  <c r="J391" i="7"/>
  <c r="J426" i="7"/>
  <c r="Q432" i="7"/>
  <c r="H481" i="7"/>
  <c r="H75" i="7"/>
  <c r="J87" i="7"/>
  <c r="J95" i="7"/>
  <c r="J107" i="7"/>
  <c r="H115" i="7"/>
  <c r="H127" i="7"/>
  <c r="J147" i="7"/>
  <c r="H155" i="7"/>
  <c r="H167" i="7"/>
  <c r="J297" i="7"/>
  <c r="J334" i="7"/>
  <c r="H354" i="7"/>
  <c r="J56" i="7"/>
  <c r="J64" i="7"/>
  <c r="J136" i="7"/>
  <c r="Q147" i="7"/>
  <c r="J184" i="7"/>
  <c r="H202" i="7"/>
  <c r="J232" i="7"/>
  <c r="J262" i="7"/>
  <c r="J312" i="7"/>
  <c r="H317" i="7"/>
  <c r="H323" i="7"/>
  <c r="H385" i="7"/>
  <c r="H391" i="7"/>
  <c r="J428" i="7"/>
  <c r="J457" i="7"/>
  <c r="J463" i="7"/>
  <c r="J499" i="7"/>
  <c r="J522" i="7"/>
  <c r="J45" i="7"/>
  <c r="H77" i="7"/>
  <c r="H85" i="7"/>
  <c r="J97" i="7"/>
  <c r="H105" i="7"/>
  <c r="H117" i="7"/>
  <c r="H145" i="7"/>
  <c r="H157" i="7"/>
  <c r="J303" i="7"/>
  <c r="J340" i="7"/>
  <c r="H362" i="7"/>
  <c r="H368" i="7"/>
  <c r="J415" i="7"/>
  <c r="H54" i="7"/>
  <c r="J66" i="7"/>
  <c r="H204" i="7"/>
  <c r="H230" i="7"/>
  <c r="H260" i="7"/>
  <c r="J314" i="7"/>
  <c r="J409" i="7"/>
  <c r="H426" i="7"/>
  <c r="J452" i="7"/>
  <c r="H457" i="7"/>
  <c r="H463" i="7"/>
  <c r="H522" i="7"/>
  <c r="H95" i="7"/>
  <c r="H107" i="7"/>
  <c r="H147" i="7"/>
  <c r="J175" i="7"/>
  <c r="H297" i="7"/>
  <c r="H334" i="7"/>
  <c r="H415" i="7"/>
  <c r="J245" i="7"/>
  <c r="J275" i="7"/>
  <c r="J479" i="7"/>
  <c r="H97" i="7"/>
  <c r="J359" i="7"/>
  <c r="CP439" i="1"/>
  <c r="O439" i="1" s="1"/>
  <c r="FR439" i="1"/>
  <c r="FQ441" i="1" s="1"/>
  <c r="EB441" i="1"/>
  <c r="AJ441" i="1"/>
  <c r="P441" i="1"/>
  <c r="AC432" i="1"/>
  <c r="CE441" i="1"/>
  <c r="CF441" i="1"/>
  <c r="CH441" i="1"/>
  <c r="DY432" i="1"/>
  <c r="DL441" i="1"/>
  <c r="EA441" i="1"/>
  <c r="V400" i="1"/>
  <c r="AI387" i="1"/>
  <c r="DO400" i="1"/>
  <c r="EB387" i="1"/>
  <c r="AG387" i="1"/>
  <c r="T400" i="1"/>
  <c r="GB432" i="1"/>
  <c r="ES441" i="1"/>
  <c r="AH441" i="1"/>
  <c r="AZ400" i="1"/>
  <c r="CI387" i="1"/>
  <c r="GB400" i="1"/>
  <c r="CJ441" i="1"/>
  <c r="EK441" i="1"/>
  <c r="FT432" i="1"/>
  <c r="P457" i="1"/>
  <c r="EU432" i="1"/>
  <c r="AQ441" i="1"/>
  <c r="BZ432" i="1"/>
  <c r="EM441" i="1"/>
  <c r="FV432" i="1"/>
  <c r="AU432" i="1"/>
  <c r="F460" i="1"/>
  <c r="AI441" i="1"/>
  <c r="AS432" i="1"/>
  <c r="F458" i="1"/>
  <c r="AP441" i="1"/>
  <c r="CI441" i="1"/>
  <c r="BY432" i="1"/>
  <c r="AG441" i="1"/>
  <c r="P435" i="1"/>
  <c r="CP57" i="1"/>
  <c r="O57" i="1" s="1"/>
  <c r="GM57" i="1" s="1"/>
  <c r="GO57" i="1" s="1"/>
  <c r="EI441" i="1"/>
  <c r="AB439" i="1"/>
  <c r="Q437" i="1"/>
  <c r="CP437" i="1" s="1"/>
  <c r="O437" i="1" s="1"/>
  <c r="GM437" i="1" s="1"/>
  <c r="GO437" i="1" s="1"/>
  <c r="CZ436" i="1"/>
  <c r="DZ441" i="1"/>
  <c r="Y435" i="1"/>
  <c r="BD400" i="1"/>
  <c r="DY400" i="1"/>
  <c r="CR351" i="1"/>
  <c r="CS351" i="1"/>
  <c r="AD351" i="1"/>
  <c r="AB351" i="1" s="1"/>
  <c r="R351" i="1"/>
  <c r="Q351" i="1"/>
  <c r="CP351" i="1" s="1"/>
  <c r="O351" i="1" s="1"/>
  <c r="EB205" i="1"/>
  <c r="DO218" i="1"/>
  <c r="CT212" i="1"/>
  <c r="S212" i="1"/>
  <c r="FR160" i="1"/>
  <c r="CP160" i="1"/>
  <c r="O160" i="1" s="1"/>
  <c r="EB150" i="1"/>
  <c r="DO173" i="1"/>
  <c r="CY436" i="1"/>
  <c r="Q436" i="1"/>
  <c r="AD441" i="1" s="1"/>
  <c r="R436" i="1"/>
  <c r="AE441" i="1" s="1"/>
  <c r="X435" i="1"/>
  <c r="GD432" i="1"/>
  <c r="U400" i="1"/>
  <c r="AU355" i="1"/>
  <c r="CD340" i="1"/>
  <c r="CJ355" i="1"/>
  <c r="BB441" i="1"/>
  <c r="CK432" i="1"/>
  <c r="EG441" i="1"/>
  <c r="CZ437" i="1"/>
  <c r="CR435" i="1"/>
  <c r="CD432" i="1"/>
  <c r="R398" i="1"/>
  <c r="CR398" i="1"/>
  <c r="CS398" i="1"/>
  <c r="CQ397" i="1"/>
  <c r="AB397" i="1"/>
  <c r="P397" i="1"/>
  <c r="CP397" i="1" s="1"/>
  <c r="O397" i="1" s="1"/>
  <c r="CQ395" i="1"/>
  <c r="AB395" i="1"/>
  <c r="CY393" i="1"/>
  <c r="CZ393" i="1"/>
  <c r="X393" i="1"/>
  <c r="AK400" i="1" s="1"/>
  <c r="Y393" i="1"/>
  <c r="AF400" i="1"/>
  <c r="GE340" i="1"/>
  <c r="EV355" i="1"/>
  <c r="EA355" i="1"/>
  <c r="CQ439" i="1"/>
  <c r="R437" i="1"/>
  <c r="CQ435" i="1"/>
  <c r="EV432" i="1"/>
  <c r="CB432" i="1"/>
  <c r="P419" i="1"/>
  <c r="CL387" i="1"/>
  <c r="BC400" i="1"/>
  <c r="AJ400" i="1"/>
  <c r="DZ340" i="1"/>
  <c r="DM355" i="1"/>
  <c r="EH387" i="1"/>
  <c r="P409" i="1"/>
  <c r="CZ397" i="1"/>
  <c r="X397" i="1"/>
  <c r="Y397" i="1"/>
  <c r="AG250" i="1"/>
  <c r="T259" i="1"/>
  <c r="R435" i="1"/>
  <c r="DW441" i="1" s="1"/>
  <c r="S434" i="1"/>
  <c r="CT434" i="1"/>
  <c r="FY441" i="1"/>
  <c r="R439" i="1"/>
  <c r="CZ438" i="1"/>
  <c r="CP438" i="1"/>
  <c r="O438" i="1" s="1"/>
  <c r="GM438" i="1" s="1"/>
  <c r="AB437" i="1"/>
  <c r="AB436" i="1"/>
  <c r="Q435" i="1"/>
  <c r="DV441" i="1" s="1"/>
  <c r="ET432" i="1"/>
  <c r="EG400" i="1"/>
  <c r="AU400" i="1"/>
  <c r="X398" i="1"/>
  <c r="P395" i="1"/>
  <c r="CP395" i="1" s="1"/>
  <c r="O395" i="1" s="1"/>
  <c r="CQ393" i="1"/>
  <c r="AB393" i="1"/>
  <c r="EA400" i="1"/>
  <c r="P344" i="1"/>
  <c r="R344" i="1"/>
  <c r="AI291" i="1"/>
  <c r="V308" i="1"/>
  <c r="CY395" i="1"/>
  <c r="CZ395" i="1"/>
  <c r="X395" i="1"/>
  <c r="Y395" i="1"/>
  <c r="AL400" i="1" s="1"/>
  <c r="Y437" i="1"/>
  <c r="Y436" i="1"/>
  <c r="AB434" i="1"/>
  <c r="CY398" i="1"/>
  <c r="DZ400" i="1"/>
  <c r="CJ400" i="1"/>
  <c r="AO291" i="1"/>
  <c r="F312" i="1"/>
  <c r="GM295" i="1"/>
  <c r="GO295" i="1" s="1"/>
  <c r="CR437" i="1"/>
  <c r="X437" i="1"/>
  <c r="CB387" i="1"/>
  <c r="AS400" i="1"/>
  <c r="Q398" i="1"/>
  <c r="AC400" i="1"/>
  <c r="FR400" i="1"/>
  <c r="CS352" i="1"/>
  <c r="AD352" i="1"/>
  <c r="AB352" i="1" s="1"/>
  <c r="CR352" i="1"/>
  <c r="Q352" i="1"/>
  <c r="R352" i="1"/>
  <c r="Y352" i="1"/>
  <c r="FV340" i="1"/>
  <c r="EM355" i="1"/>
  <c r="DX441" i="1"/>
  <c r="CZ439" i="1"/>
  <c r="Y439" i="1"/>
  <c r="CP398" i="1"/>
  <c r="O398" i="1" s="1"/>
  <c r="DO355" i="1"/>
  <c r="CQ352" i="1"/>
  <c r="P352" i="1"/>
  <c r="CZ435" i="1"/>
  <c r="P413" i="1"/>
  <c r="GE387" i="1"/>
  <c r="EV400" i="1"/>
  <c r="BZ387" i="1"/>
  <c r="CG400" i="1"/>
  <c r="AQ400" i="1"/>
  <c r="FT400" i="1"/>
  <c r="P353" i="1"/>
  <c r="CQ353" i="1"/>
  <c r="CG441" i="1"/>
  <c r="BX432" i="1"/>
  <c r="AO441" i="1"/>
  <c r="CS435" i="1"/>
  <c r="AD435" i="1"/>
  <c r="AB435" i="1" s="1"/>
  <c r="CT396" i="1"/>
  <c r="S396" i="1"/>
  <c r="P390" i="1"/>
  <c r="CQ390" i="1"/>
  <c r="GB355" i="1"/>
  <c r="AH355" i="1"/>
  <c r="AG308" i="1"/>
  <c r="CB355" i="1"/>
  <c r="W344" i="1"/>
  <c r="GC291" i="1"/>
  <c r="ET308" i="1"/>
  <c r="CR299" i="1"/>
  <c r="CS299" i="1"/>
  <c r="AD299" i="1"/>
  <c r="Q299" i="1"/>
  <c r="R299" i="1"/>
  <c r="FR254" i="1"/>
  <c r="CP254" i="1"/>
  <c r="O254" i="1" s="1"/>
  <c r="DZ250" i="1"/>
  <c r="DM259" i="1"/>
  <c r="BA259" i="1"/>
  <c r="CJ250" i="1"/>
  <c r="R394" i="1"/>
  <c r="DW400" i="1" s="1"/>
  <c r="CU163" i="3"/>
  <c r="CV163" i="3"/>
  <c r="CX163" i="3"/>
  <c r="FQ387" i="1"/>
  <c r="BD340" i="1"/>
  <c r="F380" i="1"/>
  <c r="CY352" i="1"/>
  <c r="CZ352" i="1"/>
  <c r="X352" i="1"/>
  <c r="CT343" i="1"/>
  <c r="S343" i="1"/>
  <c r="X303" i="1"/>
  <c r="Y303" i="1"/>
  <c r="CY303" i="1"/>
  <c r="CZ303" i="1"/>
  <c r="AH308" i="1"/>
  <c r="CJ308" i="1"/>
  <c r="AB255" i="1"/>
  <c r="F409" i="1"/>
  <c r="Y398" i="1"/>
  <c r="Q394" i="1"/>
  <c r="CP394" i="1" s="1"/>
  <c r="O394" i="1" s="1"/>
  <c r="GM394" i="1" s="1"/>
  <c r="GO394" i="1" s="1"/>
  <c r="S392" i="1"/>
  <c r="P350" i="1"/>
  <c r="CQ350" i="1"/>
  <c r="CS349" i="1"/>
  <c r="AD349" i="1"/>
  <c r="BZ340" i="1"/>
  <c r="AQ355" i="1"/>
  <c r="CR348" i="1"/>
  <c r="CS348" i="1"/>
  <c r="AD348" i="1"/>
  <c r="R348" i="1"/>
  <c r="FT355" i="1"/>
  <c r="FV291" i="1"/>
  <c r="EM308" i="1"/>
  <c r="P306" i="1"/>
  <c r="CP306" i="1" s="1"/>
  <c r="O306" i="1" s="1"/>
  <c r="GM306" i="1" s="1"/>
  <c r="GO306" i="1" s="1"/>
  <c r="CQ306" i="1"/>
  <c r="AB306" i="1"/>
  <c r="S207" i="1"/>
  <c r="CT207" i="1"/>
  <c r="BB340" i="1"/>
  <c r="F368" i="1"/>
  <c r="X351" i="1"/>
  <c r="Y351" i="1"/>
  <c r="CY351" i="1"/>
  <c r="CQ349" i="1"/>
  <c r="AB349" i="1"/>
  <c r="P349" i="1"/>
  <c r="P347" i="1"/>
  <c r="CQ347" i="1"/>
  <c r="ER308" i="1"/>
  <c r="GA291" i="1"/>
  <c r="CZ306" i="1"/>
  <c r="Y306" i="1"/>
  <c r="CY306" i="1"/>
  <c r="X306" i="1"/>
  <c r="BZ308" i="1"/>
  <c r="CY295" i="1"/>
  <c r="CZ295" i="1"/>
  <c r="X295" i="1"/>
  <c r="Y295" i="1"/>
  <c r="P293" i="1"/>
  <c r="CQ293" i="1"/>
  <c r="AB293" i="1"/>
  <c r="CL291" i="1"/>
  <c r="AX250" i="1"/>
  <c r="F266" i="1"/>
  <c r="CG250" i="1"/>
  <c r="AI205" i="1"/>
  <c r="V218" i="1"/>
  <c r="Q396" i="1"/>
  <c r="CP396" i="1" s="1"/>
  <c r="O396" i="1" s="1"/>
  <c r="Q392" i="1"/>
  <c r="CZ348" i="1"/>
  <c r="AB347" i="1"/>
  <c r="AB345" i="1"/>
  <c r="S344" i="1"/>
  <c r="CT344" i="1"/>
  <c r="FR355" i="1"/>
  <c r="BX340" i="1"/>
  <c r="AO340" i="1"/>
  <c r="F324" i="1"/>
  <c r="BC291" i="1"/>
  <c r="X299" i="1"/>
  <c r="Y299" i="1"/>
  <c r="CY299" i="1"/>
  <c r="CZ299" i="1"/>
  <c r="CT168" i="1"/>
  <c r="S168" i="1"/>
  <c r="GX396" i="1"/>
  <c r="S349" i="1"/>
  <c r="CR344" i="1"/>
  <c r="AD344" i="1"/>
  <c r="AB344" i="1" s="1"/>
  <c r="P342" i="1"/>
  <c r="CQ342" i="1"/>
  <c r="FY308" i="1"/>
  <c r="EG308" i="1"/>
  <c r="X301" i="1"/>
  <c r="Y301" i="1"/>
  <c r="CY301" i="1"/>
  <c r="CQ294" i="1"/>
  <c r="AB294" i="1"/>
  <c r="FP291" i="1"/>
  <c r="U259" i="1"/>
  <c r="AH250" i="1"/>
  <c r="F413" i="1"/>
  <c r="CZ398" i="1"/>
  <c r="Y394" i="1"/>
  <c r="CY390" i="1"/>
  <c r="CZ389" i="1"/>
  <c r="R349" i="1"/>
  <c r="AB342" i="1"/>
  <c r="CD291" i="1"/>
  <c r="AU308" i="1"/>
  <c r="AB396" i="1"/>
  <c r="K396" i="1"/>
  <c r="AB392" i="1"/>
  <c r="Q349" i="1"/>
  <c r="X348" i="1"/>
  <c r="Y348" i="1"/>
  <c r="CY348" i="1"/>
  <c r="CZ346" i="1"/>
  <c r="X346" i="1"/>
  <c r="Y346" i="1"/>
  <c r="V344" i="1"/>
  <c r="AI355" i="1" s="1"/>
  <c r="DY355" i="1"/>
  <c r="P368" i="1"/>
  <c r="EG355" i="1"/>
  <c r="FY355" i="1"/>
  <c r="CG355" i="1"/>
  <c r="CR349" i="1"/>
  <c r="Q348" i="1"/>
  <c r="CP348" i="1" s="1"/>
  <c r="O348" i="1" s="1"/>
  <c r="Q347" i="1"/>
  <c r="R347" i="1"/>
  <c r="DW355" i="1" s="1"/>
  <c r="S347" i="1"/>
  <c r="FR346" i="1"/>
  <c r="U344" i="1"/>
  <c r="CQ304" i="1"/>
  <c r="AB304" i="1"/>
  <c r="GM300" i="1"/>
  <c r="GO300" i="1" s="1"/>
  <c r="P294" i="1"/>
  <c r="Q393" i="1"/>
  <c r="CP393" i="1" s="1"/>
  <c r="O393" i="1" s="1"/>
  <c r="GM393" i="1" s="1"/>
  <c r="GO393" i="1" s="1"/>
  <c r="Q346" i="1"/>
  <c r="CP346" i="1" s="1"/>
  <c r="O346" i="1" s="1"/>
  <c r="GM346" i="1" s="1"/>
  <c r="R346" i="1"/>
  <c r="T344" i="1"/>
  <c r="AG355" i="1" s="1"/>
  <c r="AJ355" i="1"/>
  <c r="CB291" i="1"/>
  <c r="AS308" i="1"/>
  <c r="U302" i="1"/>
  <c r="AB296" i="1"/>
  <c r="P275" i="1"/>
  <c r="DL250" i="1"/>
  <c r="P280" i="1"/>
  <c r="CZ256" i="1"/>
  <c r="X256" i="1"/>
  <c r="Y256" i="1"/>
  <c r="AF259" i="1"/>
  <c r="GB259" i="1"/>
  <c r="CD259" i="1"/>
  <c r="BZ250" i="1"/>
  <c r="EA218" i="1"/>
  <c r="W173" i="1"/>
  <c r="AJ150" i="1"/>
  <c r="BZ150" i="1"/>
  <c r="AQ173" i="1"/>
  <c r="S304" i="1"/>
  <c r="CP304" i="1" s="1"/>
  <c r="O304" i="1" s="1"/>
  <c r="CZ297" i="1"/>
  <c r="X297" i="1"/>
  <c r="Y297" i="1"/>
  <c r="F275" i="1"/>
  <c r="CM250" i="1"/>
  <c r="BD259" i="1"/>
  <c r="Y255" i="1"/>
  <c r="CY255" i="1"/>
  <c r="CZ255" i="1"/>
  <c r="CB250" i="1"/>
  <c r="AS259" i="1"/>
  <c r="AC259" i="1"/>
  <c r="X209" i="1"/>
  <c r="Y209" i="1"/>
  <c r="CY209" i="1"/>
  <c r="CZ209" i="1"/>
  <c r="CY302" i="1"/>
  <c r="CZ302" i="1"/>
  <c r="CU135" i="3"/>
  <c r="CW136" i="3"/>
  <c r="CX143" i="3"/>
  <c r="CX136" i="3"/>
  <c r="Q302" i="1"/>
  <c r="DV308" i="1" s="1"/>
  <c r="R302" i="1"/>
  <c r="CZ294" i="1"/>
  <c r="X294" i="1"/>
  <c r="Y294" i="1"/>
  <c r="CQ256" i="1"/>
  <c r="P256" i="1"/>
  <c r="FV250" i="1"/>
  <c r="EM259" i="1"/>
  <c r="BA218" i="1"/>
  <c r="CJ205" i="1"/>
  <c r="Q343" i="1"/>
  <c r="DV355" i="1" s="1"/>
  <c r="AP308" i="1"/>
  <c r="S305" i="1"/>
  <c r="U304" i="1"/>
  <c r="AD304" i="1"/>
  <c r="CY298" i="1"/>
  <c r="CZ298" i="1"/>
  <c r="P297" i="1"/>
  <c r="CP297" i="1" s="1"/>
  <c r="O297" i="1" s="1"/>
  <c r="GM297" i="1" s="1"/>
  <c r="GO297" i="1" s="1"/>
  <c r="FR291" i="1"/>
  <c r="DZ205" i="1"/>
  <c r="DM218" i="1"/>
  <c r="X215" i="1"/>
  <c r="Y215" i="1"/>
  <c r="CY215" i="1"/>
  <c r="CZ215" i="1"/>
  <c r="GB218" i="1"/>
  <c r="AS150" i="1"/>
  <c r="F190" i="1"/>
  <c r="EV308" i="1"/>
  <c r="EI308" i="1"/>
  <c r="CT304" i="1"/>
  <c r="R301" i="1"/>
  <c r="CY300" i="1"/>
  <c r="CZ300" i="1"/>
  <c r="EB259" i="1"/>
  <c r="CY253" i="1"/>
  <c r="CZ253" i="1"/>
  <c r="X253" i="1"/>
  <c r="DX259" i="1"/>
  <c r="Y253" i="1"/>
  <c r="CY210" i="1"/>
  <c r="CZ210" i="1"/>
  <c r="X210" i="1"/>
  <c r="Y210" i="1"/>
  <c r="AH218" i="1"/>
  <c r="Q345" i="1"/>
  <c r="AB343" i="1"/>
  <c r="EU308" i="1"/>
  <c r="BB308" i="1"/>
  <c r="CS304" i="1"/>
  <c r="AB302" i="1"/>
  <c r="V300" i="1"/>
  <c r="EA308" i="1" s="1"/>
  <c r="AB298" i="1"/>
  <c r="S296" i="1"/>
  <c r="P266" i="1"/>
  <c r="EA259" i="1"/>
  <c r="DU259" i="1"/>
  <c r="FY250" i="1"/>
  <c r="P222" i="1"/>
  <c r="AJ218" i="1"/>
  <c r="R389" i="1"/>
  <c r="AE400" i="1" s="1"/>
  <c r="EU355" i="1"/>
  <c r="R353" i="1"/>
  <c r="R350" i="1"/>
  <c r="AB348" i="1"/>
  <c r="AD345" i="1"/>
  <c r="P345" i="1"/>
  <c r="R342" i="1"/>
  <c r="AE355" i="1" s="1"/>
  <c r="CI308" i="1"/>
  <c r="CS305" i="1"/>
  <c r="AD305" i="1"/>
  <c r="Y302" i="1"/>
  <c r="U300" i="1"/>
  <c r="Y298" i="1"/>
  <c r="GM298" i="1" s="1"/>
  <c r="GO298" i="1" s="1"/>
  <c r="AB295" i="1"/>
  <c r="P263" i="1"/>
  <c r="AJ259" i="1"/>
  <c r="FR250" i="1"/>
  <c r="CQ213" i="1"/>
  <c r="P213" i="1"/>
  <c r="AB213" i="1"/>
  <c r="CJ150" i="1"/>
  <c r="BA173" i="1"/>
  <c r="Q389" i="1"/>
  <c r="Q353" i="1"/>
  <c r="Q350" i="1"/>
  <c r="Q342" i="1"/>
  <c r="BC340" i="1"/>
  <c r="AB305" i="1"/>
  <c r="GX302" i="1"/>
  <c r="GB308" i="1" s="1"/>
  <c r="X302" i="1"/>
  <c r="T300" i="1"/>
  <c r="DY308" i="1" s="1"/>
  <c r="CY297" i="1"/>
  <c r="FT308" i="1"/>
  <c r="AI259" i="1"/>
  <c r="BB250" i="1"/>
  <c r="EV205" i="1"/>
  <c r="P243" i="1"/>
  <c r="CY216" i="1"/>
  <c r="CZ216" i="1"/>
  <c r="X216" i="1"/>
  <c r="Y216" i="1"/>
  <c r="AS218" i="1"/>
  <c r="CB205" i="1"/>
  <c r="W304" i="1"/>
  <c r="EB308" i="1" s="1"/>
  <c r="CR303" i="1"/>
  <c r="CS303" i="1"/>
  <c r="AD303" i="1"/>
  <c r="CT300" i="1"/>
  <c r="CQ298" i="1"/>
  <c r="W297" i="1"/>
  <c r="AJ308" i="1" s="1"/>
  <c r="AD297" i="1"/>
  <c r="AB297" i="1" s="1"/>
  <c r="CY294" i="1"/>
  <c r="CR294" i="1"/>
  <c r="R294" i="1"/>
  <c r="GE250" i="1"/>
  <c r="EV259" i="1"/>
  <c r="CP257" i="1"/>
  <c r="O257" i="1" s="1"/>
  <c r="FV205" i="1"/>
  <c r="EM218" i="1"/>
  <c r="CR301" i="1"/>
  <c r="CS301" i="1"/>
  <c r="AD301" i="1"/>
  <c r="FT250" i="1"/>
  <c r="EK259" i="1"/>
  <c r="CL250" i="1"/>
  <c r="ET205" i="1"/>
  <c r="P231" i="1"/>
  <c r="CU103" i="3"/>
  <c r="CX103" i="3"/>
  <c r="CV103" i="3"/>
  <c r="CX111" i="3"/>
  <c r="CW105" i="3"/>
  <c r="CX105" i="3"/>
  <c r="CX108" i="3"/>
  <c r="CX104" i="3"/>
  <c r="R253" i="1"/>
  <c r="Y252" i="1"/>
  <c r="AL259" i="1" s="1"/>
  <c r="CU95" i="3"/>
  <c r="CV95" i="3"/>
  <c r="CX95" i="3"/>
  <c r="CR212" i="1"/>
  <c r="CS212" i="1"/>
  <c r="AD212" i="1"/>
  <c r="AB168" i="1"/>
  <c r="AB166" i="1"/>
  <c r="AB164" i="1"/>
  <c r="P164" i="1"/>
  <c r="CQ164" i="1"/>
  <c r="AH118" i="1"/>
  <c r="FV118" i="1"/>
  <c r="CP94" i="1"/>
  <c r="O94" i="1" s="1"/>
  <c r="CS257" i="1"/>
  <c r="R256" i="1"/>
  <c r="CS254" i="1"/>
  <c r="Q253" i="1"/>
  <c r="CQ252" i="1"/>
  <c r="BX250" i="1"/>
  <c r="BC218" i="1"/>
  <c r="CL205" i="1"/>
  <c r="CQ207" i="1"/>
  <c r="P207" i="1"/>
  <c r="FP205" i="1"/>
  <c r="P169" i="1"/>
  <c r="CQ169" i="1"/>
  <c r="X161" i="1"/>
  <c r="Y161" i="1"/>
  <c r="CY161" i="1"/>
  <c r="CB91" i="1"/>
  <c r="AS118" i="1"/>
  <c r="S103" i="1"/>
  <c r="CT103" i="1"/>
  <c r="AB103" i="1"/>
  <c r="DY91" i="1"/>
  <c r="DL118" i="1"/>
  <c r="CR257" i="1"/>
  <c r="Y257" i="1"/>
  <c r="Q256" i="1"/>
  <c r="CR254" i="1"/>
  <c r="Y254" i="1"/>
  <c r="AD253" i="1"/>
  <c r="AB253" i="1" s="1"/>
  <c r="BB218" i="1"/>
  <c r="CY213" i="1"/>
  <c r="CZ213" i="1"/>
  <c r="X213" i="1"/>
  <c r="P211" i="1"/>
  <c r="CQ211" i="1"/>
  <c r="DY218" i="1"/>
  <c r="AB207" i="1"/>
  <c r="BX205" i="1"/>
  <c r="EI150" i="1"/>
  <c r="P183" i="1"/>
  <c r="CR170" i="1"/>
  <c r="CS170" i="1"/>
  <c r="AD170" i="1"/>
  <c r="R170" i="1"/>
  <c r="AB169" i="1"/>
  <c r="FR150" i="1"/>
  <c r="FY173" i="1"/>
  <c r="AB165" i="1"/>
  <c r="CD150" i="1"/>
  <c r="AU173" i="1"/>
  <c r="DZ173" i="1"/>
  <c r="CS113" i="1"/>
  <c r="AD113" i="1"/>
  <c r="R113" i="1"/>
  <c r="Q113" i="1"/>
  <c r="CR113" i="1"/>
  <c r="Y113" i="1"/>
  <c r="CY113" i="1"/>
  <c r="AJ91" i="1"/>
  <c r="W118" i="1"/>
  <c r="X257" i="1"/>
  <c r="AD256" i="1"/>
  <c r="AB256" i="1" s="1"/>
  <c r="X254" i="1"/>
  <c r="AK259" i="1" s="1"/>
  <c r="CQ216" i="1"/>
  <c r="P216" i="1"/>
  <c r="CS213" i="1"/>
  <c r="R213" i="1"/>
  <c r="AB211" i="1"/>
  <c r="AB170" i="1"/>
  <c r="CP166" i="1"/>
  <c r="O166" i="1" s="1"/>
  <c r="S162" i="1"/>
  <c r="CT162" i="1"/>
  <c r="AG173" i="1"/>
  <c r="FY91" i="1"/>
  <c r="EP118" i="1"/>
  <c r="P303" i="1"/>
  <c r="CP303" i="1" s="1"/>
  <c r="O303" i="1" s="1"/>
  <c r="GM303" i="1" s="1"/>
  <c r="GO303" i="1" s="1"/>
  <c r="P301" i="1"/>
  <c r="CP301" i="1" s="1"/>
  <c r="O301" i="1" s="1"/>
  <c r="P299" i="1"/>
  <c r="CP299" i="1" s="1"/>
  <c r="O299" i="1" s="1"/>
  <c r="GM299" i="1" s="1"/>
  <c r="GO299" i="1" s="1"/>
  <c r="CU113" i="3"/>
  <c r="CW114" i="3"/>
  <c r="CX120" i="3"/>
  <c r="CX119" i="3"/>
  <c r="CX116" i="3"/>
  <c r="CX114" i="3"/>
  <c r="CX122" i="3"/>
  <c r="CW115" i="3"/>
  <c r="CS256" i="1"/>
  <c r="R255" i="1"/>
  <c r="CX100" i="3"/>
  <c r="CX101" i="3"/>
  <c r="CV99" i="3"/>
  <c r="CU99" i="3"/>
  <c r="CG218" i="1"/>
  <c r="CT216" i="1"/>
  <c r="CQ210" i="1"/>
  <c r="P210" i="1"/>
  <c r="FT218" i="1"/>
  <c r="CS207" i="1"/>
  <c r="R207" i="1"/>
  <c r="GE205" i="1"/>
  <c r="FV150" i="1"/>
  <c r="EM173" i="1"/>
  <c r="DZ118" i="1"/>
  <c r="S293" i="1"/>
  <c r="CZ257" i="1"/>
  <c r="Q255" i="1"/>
  <c r="CZ254" i="1"/>
  <c r="CS216" i="1"/>
  <c r="CR215" i="1"/>
  <c r="CS215" i="1"/>
  <c r="AD215" i="1"/>
  <c r="CR209" i="1"/>
  <c r="CS209" i="1"/>
  <c r="AD209" i="1"/>
  <c r="AB209" i="1" s="1"/>
  <c r="FR218" i="1"/>
  <c r="GC205" i="1"/>
  <c r="Q170" i="1"/>
  <c r="CP170" i="1" s="1"/>
  <c r="O170" i="1" s="1"/>
  <c r="FT173" i="1"/>
  <c r="CD91" i="1"/>
  <c r="AU118" i="1"/>
  <c r="P305" i="1"/>
  <c r="CP305" i="1" s="1"/>
  <c r="O305" i="1" s="1"/>
  <c r="AB303" i="1"/>
  <c r="AB301" i="1"/>
  <c r="AB299" i="1"/>
  <c r="R293" i="1"/>
  <c r="AD255" i="1"/>
  <c r="P255" i="1"/>
  <c r="CY254" i="1"/>
  <c r="CP253" i="1"/>
  <c r="O253" i="1" s="1"/>
  <c r="R252" i="1"/>
  <c r="AE259" i="1" s="1"/>
  <c r="CR216" i="1"/>
  <c r="CQ215" i="1"/>
  <c r="AB215" i="1"/>
  <c r="P215" i="1"/>
  <c r="Q212" i="1"/>
  <c r="BX150" i="1"/>
  <c r="AO173" i="1"/>
  <c r="CG173" i="1"/>
  <c r="S171" i="1"/>
  <c r="P158" i="1"/>
  <c r="CP158" i="1" s="1"/>
  <c r="O158" i="1" s="1"/>
  <c r="GM158" i="1" s="1"/>
  <c r="GO158" i="1" s="1"/>
  <c r="CQ158" i="1"/>
  <c r="AB158" i="1"/>
  <c r="AH173" i="1"/>
  <c r="CX134" i="3"/>
  <c r="CX133" i="3"/>
  <c r="CU123" i="3"/>
  <c r="CV123" i="3"/>
  <c r="CW125" i="3"/>
  <c r="CX126" i="3"/>
  <c r="CX125" i="3"/>
  <c r="CX123" i="3"/>
  <c r="R298" i="1"/>
  <c r="R295" i="1"/>
  <c r="Q293" i="1"/>
  <c r="AD308" i="1" s="1"/>
  <c r="Q252" i="1"/>
  <c r="AD259" i="1" s="1"/>
  <c r="R216" i="1"/>
  <c r="P214" i="1"/>
  <c r="CQ214" i="1"/>
  <c r="CT210" i="1"/>
  <c r="F196" i="1"/>
  <c r="EV150" i="1"/>
  <c r="P198" i="1"/>
  <c r="BD150" i="1"/>
  <c r="F198" i="1"/>
  <c r="AB163" i="1"/>
  <c r="DY173" i="1"/>
  <c r="EB118" i="1"/>
  <c r="R257" i="1"/>
  <c r="R254" i="1"/>
  <c r="Q216" i="1"/>
  <c r="AB214" i="1"/>
  <c r="CS210" i="1"/>
  <c r="R210" i="1"/>
  <c r="CD218" i="1"/>
  <c r="EU150" i="1"/>
  <c r="P189" i="1"/>
  <c r="CY164" i="1"/>
  <c r="CZ164" i="1"/>
  <c r="X164" i="1"/>
  <c r="Y164" i="1"/>
  <c r="CM91" i="1"/>
  <c r="BD118" i="1"/>
  <c r="GB118" i="1"/>
  <c r="CG91" i="1"/>
  <c r="AX118" i="1"/>
  <c r="AQ218" i="1"/>
  <c r="BZ205" i="1"/>
  <c r="CR210" i="1"/>
  <c r="Q210" i="1"/>
  <c r="AG218" i="1"/>
  <c r="BD205" i="1"/>
  <c r="CR166" i="1"/>
  <c r="CS166" i="1"/>
  <c r="Q171" i="1"/>
  <c r="Q168" i="1"/>
  <c r="P162" i="1"/>
  <c r="R161" i="1"/>
  <c r="CY155" i="1"/>
  <c r="X155" i="1"/>
  <c r="CU78" i="3"/>
  <c r="Q153" i="1"/>
  <c r="CP153" i="1" s="1"/>
  <c r="O153" i="1" s="1"/>
  <c r="R153" i="1"/>
  <c r="FT118" i="1"/>
  <c r="CQ97" i="1"/>
  <c r="AB97" i="1"/>
  <c r="P97" i="1"/>
  <c r="X214" i="1"/>
  <c r="X211" i="1"/>
  <c r="P171" i="1"/>
  <c r="P168" i="1"/>
  <c r="S167" i="1"/>
  <c r="CS163" i="1"/>
  <c r="Q161" i="1"/>
  <c r="CS158" i="1"/>
  <c r="Y158" i="1"/>
  <c r="S170" i="1"/>
  <c r="R167" i="1"/>
  <c r="CX81" i="3"/>
  <c r="CU81" i="3"/>
  <c r="CV81" i="3"/>
  <c r="CZ165" i="1"/>
  <c r="CR163" i="1"/>
  <c r="Y163" i="1"/>
  <c r="P161" i="1"/>
  <c r="CR158" i="1"/>
  <c r="X158" i="1"/>
  <c r="AD156" i="1"/>
  <c r="AB156" i="1" s="1"/>
  <c r="R156" i="1"/>
  <c r="FR155" i="1"/>
  <c r="CP155" i="1"/>
  <c r="O155" i="1" s="1"/>
  <c r="FR91" i="1"/>
  <c r="EI118" i="1"/>
  <c r="R112" i="1"/>
  <c r="CR112" i="1"/>
  <c r="X111" i="1"/>
  <c r="Y111" i="1"/>
  <c r="CJ118" i="1"/>
  <c r="Q167" i="1"/>
  <c r="CP167" i="1" s="1"/>
  <c r="O167" i="1" s="1"/>
  <c r="X163" i="1"/>
  <c r="CR154" i="1"/>
  <c r="FP91" i="1"/>
  <c r="EG118" i="1"/>
  <c r="AG118" i="1"/>
  <c r="AC118" i="1"/>
  <c r="X154" i="1"/>
  <c r="CZ154" i="1"/>
  <c r="CS116" i="1"/>
  <c r="AD116" i="1"/>
  <c r="R116" i="1"/>
  <c r="CQ111" i="1"/>
  <c r="AB111" i="1"/>
  <c r="P111" i="1"/>
  <c r="BZ91" i="1"/>
  <c r="AQ118" i="1"/>
  <c r="P212" i="1"/>
  <c r="P209" i="1"/>
  <c r="S208" i="1"/>
  <c r="CP208" i="1" s="1"/>
  <c r="O208" i="1" s="1"/>
  <c r="BC173" i="1"/>
  <c r="CY169" i="1"/>
  <c r="CS160" i="1"/>
  <c r="Y160" i="1"/>
  <c r="CZ159" i="1"/>
  <c r="Y159" i="1"/>
  <c r="CY158" i="1"/>
  <c r="CS156" i="1"/>
  <c r="Y156" i="1"/>
  <c r="AO91" i="1"/>
  <c r="F122" i="1"/>
  <c r="CY116" i="1"/>
  <c r="X113" i="1"/>
  <c r="CY111" i="1"/>
  <c r="S109" i="1"/>
  <c r="CT109" i="1"/>
  <c r="AB109" i="1"/>
  <c r="CZ108" i="1"/>
  <c r="Y108" i="1"/>
  <c r="CY108" i="1"/>
  <c r="P186" i="1"/>
  <c r="BB173" i="1"/>
  <c r="CS167" i="1"/>
  <c r="Q165" i="1"/>
  <c r="CR161" i="1"/>
  <c r="CR160" i="1"/>
  <c r="Q158" i="1"/>
  <c r="CR156" i="1"/>
  <c r="X156" i="1"/>
  <c r="P143" i="1"/>
  <c r="Y107" i="1"/>
  <c r="CZ107" i="1"/>
  <c r="X107" i="1"/>
  <c r="CY107" i="1"/>
  <c r="FR95" i="1"/>
  <c r="R214" i="1"/>
  <c r="AB212" i="1"/>
  <c r="R211" i="1"/>
  <c r="R169" i="1"/>
  <c r="CU84" i="3"/>
  <c r="CV84" i="3"/>
  <c r="CX84" i="3"/>
  <c r="P165" i="1"/>
  <c r="R164" i="1"/>
  <c r="CQ161" i="1"/>
  <c r="Q159" i="1"/>
  <c r="CP159" i="1" s="1"/>
  <c r="O159" i="1" s="1"/>
  <c r="CZ157" i="1"/>
  <c r="CS157" i="1"/>
  <c r="AD157" i="1"/>
  <c r="R157" i="1"/>
  <c r="CQ156" i="1"/>
  <c r="CZ155" i="1"/>
  <c r="GX153" i="1"/>
  <c r="GB173" i="1" s="1"/>
  <c r="F131" i="1"/>
  <c r="GD91" i="1"/>
  <c r="EU118" i="1"/>
  <c r="CS112" i="1"/>
  <c r="CY112" i="1"/>
  <c r="CZ112" i="1"/>
  <c r="X112" i="1"/>
  <c r="Y112" i="1"/>
  <c r="Q214" i="1"/>
  <c r="Q211" i="1"/>
  <c r="AD218" i="1" s="1"/>
  <c r="Q169" i="1"/>
  <c r="S166" i="1"/>
  <c r="CY163" i="1"/>
  <c r="CZ158" i="1"/>
  <c r="CY157" i="1"/>
  <c r="CQ157" i="1"/>
  <c r="AB157" i="1"/>
  <c r="P157" i="1"/>
  <c r="CP156" i="1"/>
  <c r="O156" i="1" s="1"/>
  <c r="V153" i="1"/>
  <c r="EA173" i="1" s="1"/>
  <c r="X152" i="1"/>
  <c r="Y152" i="1"/>
  <c r="AD115" i="1"/>
  <c r="AB115" i="1" s="1"/>
  <c r="R115" i="1"/>
  <c r="CR115" i="1"/>
  <c r="CZ114" i="1"/>
  <c r="Y114" i="1"/>
  <c r="CP112" i="1"/>
  <c r="O112" i="1" s="1"/>
  <c r="GM112" i="1" s="1"/>
  <c r="Q112" i="1"/>
  <c r="CT111" i="1"/>
  <c r="P108" i="1"/>
  <c r="CQ108" i="1"/>
  <c r="AB108" i="1"/>
  <c r="CP107" i="1"/>
  <c r="O107" i="1" s="1"/>
  <c r="FR107" i="1"/>
  <c r="R166" i="1"/>
  <c r="Q163" i="1"/>
  <c r="CP163" i="1" s="1"/>
  <c r="O163" i="1" s="1"/>
  <c r="GM163" i="1" s="1"/>
  <c r="X160" i="1"/>
  <c r="CU79" i="3"/>
  <c r="CV79" i="3"/>
  <c r="CX79" i="3"/>
  <c r="R158" i="1"/>
  <c r="Y157" i="1"/>
  <c r="CY156" i="1"/>
  <c r="CQ155" i="1"/>
  <c r="AB155" i="1"/>
  <c r="CZ152" i="1"/>
  <c r="CR152" i="1"/>
  <c r="CS152" i="1"/>
  <c r="AD152" i="1"/>
  <c r="AB152" i="1" s="1"/>
  <c r="CR116" i="1"/>
  <c r="CR114" i="1"/>
  <c r="CS114" i="1"/>
  <c r="AD114" i="1"/>
  <c r="AB114" i="1" s="1"/>
  <c r="X108" i="1"/>
  <c r="AB100" i="1"/>
  <c r="P100" i="1"/>
  <c r="CQ100" i="1"/>
  <c r="EA118" i="1"/>
  <c r="CS154" i="1"/>
  <c r="AD154" i="1"/>
  <c r="R154" i="1"/>
  <c r="CQ152" i="1"/>
  <c r="P152" i="1"/>
  <c r="X116" i="1"/>
  <c r="CZ116" i="1"/>
  <c r="P114" i="1"/>
  <c r="CP114" i="1" s="1"/>
  <c r="O114" i="1" s="1"/>
  <c r="CZ105" i="1"/>
  <c r="Y105" i="1"/>
  <c r="X105" i="1"/>
  <c r="CT104" i="1"/>
  <c r="S104" i="1"/>
  <c r="CZ100" i="1"/>
  <c r="Y100" i="1"/>
  <c r="CY100" i="1"/>
  <c r="X100" i="1"/>
  <c r="AI118" i="1"/>
  <c r="Q155" i="1"/>
  <c r="Y115" i="1"/>
  <c r="GM115" i="1" s="1"/>
  <c r="CZ113" i="1"/>
  <c r="GD26" i="1"/>
  <c r="EU59" i="1"/>
  <c r="GC26" i="1"/>
  <c r="ET59" i="1"/>
  <c r="Q111" i="1"/>
  <c r="DZ59" i="1"/>
  <c r="AG59" i="1"/>
  <c r="AD111" i="1"/>
  <c r="CP109" i="1"/>
  <c r="O109" i="1" s="1"/>
  <c r="CS102" i="1"/>
  <c r="R102" i="1"/>
  <c r="X94" i="1"/>
  <c r="Y94" i="1"/>
  <c r="CY94" i="1"/>
  <c r="CZ94" i="1"/>
  <c r="EI26" i="1"/>
  <c r="P69" i="1"/>
  <c r="CY106" i="1"/>
  <c r="X106" i="1"/>
  <c r="Y99" i="1"/>
  <c r="CZ99" i="1"/>
  <c r="X99" i="1"/>
  <c r="CR94" i="1"/>
  <c r="CS94" i="1"/>
  <c r="R94" i="1"/>
  <c r="DW118" i="1" s="1"/>
  <c r="FQ26" i="1"/>
  <c r="EH59" i="1"/>
  <c r="GA59" i="1"/>
  <c r="EB59" i="1"/>
  <c r="CU80" i="3"/>
  <c r="CX80" i="3"/>
  <c r="P154" i="1"/>
  <c r="S153" i="1"/>
  <c r="P116" i="1"/>
  <c r="P113" i="1"/>
  <c r="CP113" i="1" s="1"/>
  <c r="O113" i="1" s="1"/>
  <c r="CS111" i="1"/>
  <c r="CT105" i="1"/>
  <c r="CR103" i="1"/>
  <c r="R103" i="1"/>
  <c r="CT101" i="1"/>
  <c r="S101" i="1"/>
  <c r="CP99" i="1"/>
  <c r="O99" i="1" s="1"/>
  <c r="AD94" i="1"/>
  <c r="EA59" i="1"/>
  <c r="CU77" i="3"/>
  <c r="CV77" i="3"/>
  <c r="Q103" i="1"/>
  <c r="AB154" i="1"/>
  <c r="AB116" i="1"/>
  <c r="AB113" i="1"/>
  <c r="CP103" i="1"/>
  <c r="O103" i="1" s="1"/>
  <c r="Q94" i="1"/>
  <c r="AI59" i="1"/>
  <c r="F70" i="1"/>
  <c r="AZ26" i="1"/>
  <c r="BC118" i="1"/>
  <c r="CR110" i="1"/>
  <c r="CR102" i="1"/>
  <c r="X102" i="1"/>
  <c r="GM102" i="1" s="1"/>
  <c r="GO102" i="1" s="1"/>
  <c r="CY95" i="1"/>
  <c r="CZ95" i="1"/>
  <c r="X95" i="1"/>
  <c r="CP53" i="1"/>
  <c r="O53" i="1" s="1"/>
  <c r="P106" i="1"/>
  <c r="CP106" i="1" s="1"/>
  <c r="O106" i="1" s="1"/>
  <c r="GM106" i="1" s="1"/>
  <c r="GO106" i="1" s="1"/>
  <c r="CQ106" i="1"/>
  <c r="CY99" i="1"/>
  <c r="GM56" i="1"/>
  <c r="GO56" i="1" s="1"/>
  <c r="CJ26" i="1"/>
  <c r="BA59" i="1"/>
  <c r="CY97" i="1"/>
  <c r="R95" i="1"/>
  <c r="AE118" i="1" s="1"/>
  <c r="CQ48" i="1"/>
  <c r="AB48" i="1"/>
  <c r="DF159" i="3"/>
  <c r="DJ159" i="3" s="1"/>
  <c r="DG159" i="3"/>
  <c r="DH159" i="3"/>
  <c r="DI159" i="3"/>
  <c r="Q95" i="1"/>
  <c r="CP95" i="1" s="1"/>
  <c r="O95" i="1" s="1"/>
  <c r="GM95" i="1" s="1"/>
  <c r="CY57" i="1"/>
  <c r="CY50" i="1"/>
  <c r="X41" i="1"/>
  <c r="Y41" i="1"/>
  <c r="CY41" i="1"/>
  <c r="CZ41" i="1"/>
  <c r="CX96" i="3"/>
  <c r="Y98" i="1"/>
  <c r="R97" i="1"/>
  <c r="CQ96" i="1"/>
  <c r="CQ93" i="1"/>
  <c r="BC59" i="1"/>
  <c r="AQ59" i="1"/>
  <c r="GM55" i="1"/>
  <c r="GN55" i="1" s="1"/>
  <c r="CQ50" i="1"/>
  <c r="AB50" i="1"/>
  <c r="CQ42" i="1"/>
  <c r="AB42" i="1"/>
  <c r="Q108" i="1"/>
  <c r="Q105" i="1"/>
  <c r="CP105" i="1" s="1"/>
  <c r="O105" i="1" s="1"/>
  <c r="GM105" i="1" s="1"/>
  <c r="GO105" i="1" s="1"/>
  <c r="Q100" i="1"/>
  <c r="CQ98" i="1"/>
  <c r="X98" i="1"/>
  <c r="GM98" i="1" s="1"/>
  <c r="GO98" i="1" s="1"/>
  <c r="Q97" i="1"/>
  <c r="CT95" i="1"/>
  <c r="P78" i="1"/>
  <c r="CG59" i="1"/>
  <c r="BB59" i="1"/>
  <c r="AP59" i="1"/>
  <c r="CY55" i="1"/>
  <c r="CZ54" i="1"/>
  <c r="AB53" i="1"/>
  <c r="CT46" i="1"/>
  <c r="S46" i="1"/>
  <c r="DG170" i="3"/>
  <c r="DH170" i="3"/>
  <c r="DI170" i="3"/>
  <c r="DF170" i="3"/>
  <c r="DJ170" i="3" s="1"/>
  <c r="AO59" i="1"/>
  <c r="CR54" i="1"/>
  <c r="Q54" i="1"/>
  <c r="CP54" i="1" s="1"/>
  <c r="O54" i="1" s="1"/>
  <c r="GM54" i="1" s="1"/>
  <c r="GN54" i="1" s="1"/>
  <c r="CU43" i="3"/>
  <c r="P51" i="1"/>
  <c r="Q51" i="1"/>
  <c r="P48" i="1"/>
  <c r="CP48" i="1" s="1"/>
  <c r="O48" i="1" s="1"/>
  <c r="CU23" i="3"/>
  <c r="CX25" i="3"/>
  <c r="CX24" i="3"/>
  <c r="CX23" i="3"/>
  <c r="P44" i="1"/>
  <c r="Q44" i="1"/>
  <c r="U44" i="1"/>
  <c r="AH59" i="1" s="1"/>
  <c r="W44" i="1"/>
  <c r="P42" i="1"/>
  <c r="P29" i="1"/>
  <c r="CQ29" i="1"/>
  <c r="CZ28" i="1"/>
  <c r="X28" i="1"/>
  <c r="Y28" i="1"/>
  <c r="FR26" i="1"/>
  <c r="CT50" i="1"/>
  <c r="X49" i="1"/>
  <c r="CZ49" i="1"/>
  <c r="X37" i="1"/>
  <c r="Y37" i="1"/>
  <c r="CY37" i="1"/>
  <c r="CZ37" i="1"/>
  <c r="CY36" i="1"/>
  <c r="CZ36" i="1"/>
  <c r="X36" i="1"/>
  <c r="Y36" i="1"/>
  <c r="CX141" i="3"/>
  <c r="CZ98" i="1"/>
  <c r="X57" i="1"/>
  <c r="S53" i="1"/>
  <c r="CT51" i="1"/>
  <c r="S51" i="1"/>
  <c r="P50" i="1"/>
  <c r="CY49" i="1"/>
  <c r="S33" i="1"/>
  <c r="CV164" i="3"/>
  <c r="CX164" i="3"/>
  <c r="AB102" i="1"/>
  <c r="Y97" i="1"/>
  <c r="S96" i="1"/>
  <c r="AB94" i="1"/>
  <c r="S93" i="1"/>
  <c r="EV59" i="1"/>
  <c r="CS56" i="1"/>
  <c r="CU47" i="3"/>
  <c r="Q52" i="1"/>
  <c r="CP52" i="1" s="1"/>
  <c r="O52" i="1" s="1"/>
  <c r="AB46" i="1"/>
  <c r="AB45" i="1"/>
  <c r="S38" i="1"/>
  <c r="CT38" i="1"/>
  <c r="CP34" i="1"/>
  <c r="O34" i="1" s="1"/>
  <c r="R31" i="1"/>
  <c r="CR31" i="1"/>
  <c r="CS31" i="1"/>
  <c r="CX146" i="3"/>
  <c r="X97" i="1"/>
  <c r="CR56" i="1"/>
  <c r="Y56" i="1"/>
  <c r="CS55" i="1"/>
  <c r="X55" i="1"/>
  <c r="CS54" i="1"/>
  <c r="CT52" i="1"/>
  <c r="S52" i="1"/>
  <c r="CQ49" i="1"/>
  <c r="AB49" i="1"/>
  <c r="P49" i="1"/>
  <c r="CP49" i="1" s="1"/>
  <c r="O49" i="1" s="1"/>
  <c r="CT44" i="1"/>
  <c r="S44" i="1"/>
  <c r="CR38" i="1"/>
  <c r="CS38" i="1"/>
  <c r="AD38" i="1"/>
  <c r="CQ36" i="1"/>
  <c r="AB36" i="1"/>
  <c r="DF168" i="3"/>
  <c r="DJ168" i="3" s="1"/>
  <c r="DG168" i="3"/>
  <c r="DH168" i="3"/>
  <c r="DI168" i="3"/>
  <c r="DF50" i="3"/>
  <c r="DJ50" i="3" s="1"/>
  <c r="DG50" i="3"/>
  <c r="DH50" i="3"/>
  <c r="DI50" i="3"/>
  <c r="Q109" i="1"/>
  <c r="R106" i="1"/>
  <c r="Q104" i="1"/>
  <c r="CP104" i="1" s="1"/>
  <c r="O104" i="1" s="1"/>
  <c r="Q101" i="1"/>
  <c r="CP101" i="1" s="1"/>
  <c r="O101" i="1" s="1"/>
  <c r="R98" i="1"/>
  <c r="Q96" i="1"/>
  <c r="CP96" i="1" s="1"/>
  <c r="O96" i="1" s="1"/>
  <c r="Q93" i="1"/>
  <c r="AD118" i="1" s="1"/>
  <c r="FY59" i="1"/>
  <c r="CR55" i="1"/>
  <c r="CX41" i="3"/>
  <c r="CU39" i="3"/>
  <c r="CV39" i="3"/>
  <c r="Q50" i="1"/>
  <c r="W50" i="1"/>
  <c r="Y49" i="1"/>
  <c r="CZ48" i="1"/>
  <c r="X48" i="1"/>
  <c r="Y48" i="1"/>
  <c r="EG59" i="1"/>
  <c r="AU59" i="1"/>
  <c r="S45" i="1"/>
  <c r="S40" i="1"/>
  <c r="CT40" i="1"/>
  <c r="DF169" i="3"/>
  <c r="DH169" i="3"/>
  <c r="DI169" i="3"/>
  <c r="DJ169" i="3" s="1"/>
  <c r="DG169" i="3"/>
  <c r="DF75" i="3"/>
  <c r="DG75" i="3"/>
  <c r="DH75" i="3"/>
  <c r="DI75" i="3"/>
  <c r="DJ75" i="3" s="1"/>
  <c r="Y54" i="1"/>
  <c r="CY54" i="1"/>
  <c r="CZ50" i="1"/>
  <c r="X50" i="1"/>
  <c r="CY42" i="1"/>
  <c r="CZ42" i="1"/>
  <c r="X42" i="1"/>
  <c r="Y42" i="1"/>
  <c r="CR40" i="1"/>
  <c r="CS40" i="1"/>
  <c r="AD40" i="1"/>
  <c r="AB40" i="1" s="1"/>
  <c r="CY39" i="1"/>
  <c r="CZ39" i="1"/>
  <c r="CP36" i="1"/>
  <c r="O36" i="1" s="1"/>
  <c r="GM36" i="1" s="1"/>
  <c r="GO36" i="1" s="1"/>
  <c r="Q57" i="1"/>
  <c r="CS48" i="1"/>
  <c r="S47" i="1"/>
  <c r="Q45" i="1"/>
  <c r="CP45" i="1" s="1"/>
  <c r="O45" i="1" s="1"/>
  <c r="S43" i="1"/>
  <c r="P40" i="1"/>
  <c r="CP40" i="1" s="1"/>
  <c r="O40" i="1" s="1"/>
  <c r="P38" i="1"/>
  <c r="CP38" i="1" s="1"/>
  <c r="O38" i="1" s="1"/>
  <c r="CS36" i="1"/>
  <c r="S35" i="1"/>
  <c r="Q33" i="1"/>
  <c r="CY30" i="1"/>
  <c r="CR29" i="1"/>
  <c r="Y29" i="1"/>
  <c r="CX144" i="3"/>
  <c r="R43" i="1"/>
  <c r="T41" i="1"/>
  <c r="DY59" i="1" s="1"/>
  <c r="X29" i="1"/>
  <c r="P28" i="1"/>
  <c r="DG166" i="3"/>
  <c r="DH166" i="3"/>
  <c r="DI166" i="3"/>
  <c r="CX147" i="3"/>
  <c r="CV147" i="3"/>
  <c r="CX109" i="3"/>
  <c r="DF63" i="3"/>
  <c r="DJ63" i="3" s="1"/>
  <c r="DI63" i="3"/>
  <c r="DG63" i="3"/>
  <c r="DH63" i="3"/>
  <c r="CV29" i="3"/>
  <c r="CX29" i="3"/>
  <c r="DG4" i="3"/>
  <c r="DH4" i="3"/>
  <c r="DI4" i="3"/>
  <c r="DF4" i="3"/>
  <c r="DJ4" i="3" s="1"/>
  <c r="CX52" i="3"/>
  <c r="CU51" i="3"/>
  <c r="CX51" i="3"/>
  <c r="Q43" i="1"/>
  <c r="AB38" i="1"/>
  <c r="CY32" i="1"/>
  <c r="Y31" i="1"/>
  <c r="R30" i="1"/>
  <c r="AE59" i="1" s="1"/>
  <c r="DF160" i="3"/>
  <c r="DJ160" i="3" s="1"/>
  <c r="DG160" i="3"/>
  <c r="DH160" i="3"/>
  <c r="CX139" i="3"/>
  <c r="CX107" i="3"/>
  <c r="GX43" i="1"/>
  <c r="GB59" i="1" s="1"/>
  <c r="P43" i="1"/>
  <c r="W42" i="1"/>
  <c r="R41" i="1"/>
  <c r="CU19" i="3"/>
  <c r="CV19" i="3"/>
  <c r="X31" i="1"/>
  <c r="GM31" i="1" s="1"/>
  <c r="GO31" i="1" s="1"/>
  <c r="Q30" i="1"/>
  <c r="DF157" i="3"/>
  <c r="DJ157" i="3" s="1"/>
  <c r="DH157" i="3"/>
  <c r="DI157" i="3"/>
  <c r="DF94" i="3"/>
  <c r="DJ94" i="3" s="1"/>
  <c r="DG94" i="3"/>
  <c r="DH94" i="3"/>
  <c r="CX85" i="3"/>
  <c r="DG71" i="3"/>
  <c r="DF71" i="3"/>
  <c r="DH71" i="3"/>
  <c r="DI71" i="3"/>
  <c r="DJ71" i="3" s="1"/>
  <c r="CU48" i="3"/>
  <c r="CX48" i="3"/>
  <c r="CV48" i="3"/>
  <c r="CU26" i="3"/>
  <c r="CX28" i="3"/>
  <c r="CX27" i="3"/>
  <c r="R32" i="1"/>
  <c r="AD30" i="1"/>
  <c r="AB30" i="1" s="1"/>
  <c r="CZ29" i="1"/>
  <c r="AB28" i="1"/>
  <c r="DF149" i="3"/>
  <c r="DJ149" i="3" s="1"/>
  <c r="DG149" i="3"/>
  <c r="DH149" i="3"/>
  <c r="CX121" i="3"/>
  <c r="CX97" i="3"/>
  <c r="P41" i="1"/>
  <c r="CP41" i="1" s="1"/>
  <c r="O41" i="1" s="1"/>
  <c r="R39" i="1"/>
  <c r="P37" i="1"/>
  <c r="CP37" i="1" s="1"/>
  <c r="O37" i="1" s="1"/>
  <c r="GM37" i="1" s="1"/>
  <c r="GO37" i="1" s="1"/>
  <c r="S34" i="1"/>
  <c r="Q32" i="1"/>
  <c r="CP32" i="1" s="1"/>
  <c r="O32" i="1" s="1"/>
  <c r="GM32" i="1" s="1"/>
  <c r="GO32" i="1" s="1"/>
  <c r="DF171" i="3"/>
  <c r="DJ171" i="3" s="1"/>
  <c r="DG171" i="3"/>
  <c r="DH171" i="3"/>
  <c r="DF167" i="3"/>
  <c r="DJ167" i="3" s="1"/>
  <c r="DG167" i="3"/>
  <c r="DH167" i="3"/>
  <c r="DI167" i="3"/>
  <c r="DF154" i="3"/>
  <c r="DG154" i="3"/>
  <c r="DH154" i="3"/>
  <c r="DI154" i="3"/>
  <c r="DJ154" i="3" s="1"/>
  <c r="CX145" i="3"/>
  <c r="CW137" i="3"/>
  <c r="CX137" i="3"/>
  <c r="CV113" i="3"/>
  <c r="CX113" i="3"/>
  <c r="DI55" i="3"/>
  <c r="DG55" i="3"/>
  <c r="DF55" i="3"/>
  <c r="DJ55" i="3" s="1"/>
  <c r="DH55" i="3"/>
  <c r="DG10" i="3"/>
  <c r="DH10" i="3"/>
  <c r="DF10" i="3"/>
  <c r="DJ10" i="3" s="1"/>
  <c r="DI10" i="3"/>
  <c r="Q39" i="1"/>
  <c r="CZ31" i="1"/>
  <c r="DF162" i="3"/>
  <c r="DG162" i="3"/>
  <c r="DH162" i="3"/>
  <c r="DI162" i="3"/>
  <c r="DJ162" i="3" s="1"/>
  <c r="DG158" i="3"/>
  <c r="DH158" i="3"/>
  <c r="DI158" i="3"/>
  <c r="CX140" i="3"/>
  <c r="CX135" i="3"/>
  <c r="CV135" i="3"/>
  <c r="CV72" i="3"/>
  <c r="CX72" i="3"/>
  <c r="CX42" i="3"/>
  <c r="DI34" i="3"/>
  <c r="DG34" i="3"/>
  <c r="DF34" i="3"/>
  <c r="DJ34" i="3" s="1"/>
  <c r="DH34" i="3"/>
  <c r="DI8" i="3"/>
  <c r="DF8" i="3"/>
  <c r="DJ8" i="3" s="1"/>
  <c r="DH8" i="3"/>
  <c r="DG8" i="3"/>
  <c r="AB41" i="1"/>
  <c r="AD39" i="1"/>
  <c r="AB39" i="1" s="1"/>
  <c r="P39" i="1"/>
  <c r="CP39" i="1" s="1"/>
  <c r="O39" i="1" s="1"/>
  <c r="GM39" i="1" s="1"/>
  <c r="GO39" i="1" s="1"/>
  <c r="AB37" i="1"/>
  <c r="R29" i="1"/>
  <c r="DF166" i="3"/>
  <c r="DJ166" i="3" s="1"/>
  <c r="DF155" i="3"/>
  <c r="DJ155" i="3" s="1"/>
  <c r="DG155" i="3"/>
  <c r="DH155" i="3"/>
  <c r="CX130" i="3"/>
  <c r="DF37" i="3"/>
  <c r="DJ37" i="3" s="1"/>
  <c r="DH37" i="3"/>
  <c r="DG37" i="3"/>
  <c r="DI37" i="3"/>
  <c r="CU20" i="3"/>
  <c r="CV20" i="3"/>
  <c r="Q29" i="1"/>
  <c r="DF172" i="3"/>
  <c r="DJ172" i="3" s="1"/>
  <c r="DG172" i="3"/>
  <c r="DI160" i="3"/>
  <c r="DF150" i="3"/>
  <c r="DJ150" i="3" s="1"/>
  <c r="DG150" i="3"/>
  <c r="DH150" i="3"/>
  <c r="CU49" i="3"/>
  <c r="CV49" i="3"/>
  <c r="CX49" i="3"/>
  <c r="Q42" i="1"/>
  <c r="CX138" i="3"/>
  <c r="CX117" i="3"/>
  <c r="CX98" i="3"/>
  <c r="DI94" i="3"/>
  <c r="CV26" i="3"/>
  <c r="CX26" i="3"/>
  <c r="CX19" i="3"/>
  <c r="CW124" i="3"/>
  <c r="CX124" i="3"/>
  <c r="CX115" i="3"/>
  <c r="CW104" i="3"/>
  <c r="DH74" i="3"/>
  <c r="DI74" i="3"/>
  <c r="DJ74" i="3" s="1"/>
  <c r="DF36" i="3"/>
  <c r="DJ36" i="3" s="1"/>
  <c r="DH36" i="3"/>
  <c r="CW126" i="3"/>
  <c r="CV65" i="3"/>
  <c r="CX65" i="3"/>
  <c r="DF59" i="3"/>
  <c r="DG59" i="3"/>
  <c r="DH59" i="3"/>
  <c r="DI59" i="3"/>
  <c r="DJ59" i="3" s="1"/>
  <c r="CX21" i="3"/>
  <c r="CX131" i="3"/>
  <c r="CX127" i="3"/>
  <c r="DG91" i="3"/>
  <c r="DH91" i="3"/>
  <c r="DI91" i="3"/>
  <c r="DJ91" i="3" s="1"/>
  <c r="CX82" i="3"/>
  <c r="CV78" i="3"/>
  <c r="CX78" i="3"/>
  <c r="CX77" i="3"/>
  <c r="CV43" i="3"/>
  <c r="CX43" i="3"/>
  <c r="CX20" i="3"/>
  <c r="CV13" i="3"/>
  <c r="CX13" i="3"/>
  <c r="DI156" i="3"/>
  <c r="DF92" i="3"/>
  <c r="DJ92" i="3" s="1"/>
  <c r="DG92" i="3"/>
  <c r="DH92" i="3"/>
  <c r="DI92" i="3"/>
  <c r="DH68" i="3"/>
  <c r="DI68" i="3"/>
  <c r="DF60" i="3"/>
  <c r="DH60" i="3"/>
  <c r="DF31" i="3"/>
  <c r="DH31" i="3"/>
  <c r="CV22" i="3"/>
  <c r="CV14" i="3"/>
  <c r="CX14" i="3"/>
  <c r="DF5" i="3"/>
  <c r="DJ5" i="3" s="1"/>
  <c r="DG5" i="3"/>
  <c r="DH5" i="3"/>
  <c r="DI5" i="3"/>
  <c r="DG61" i="3"/>
  <c r="DF61" i="3"/>
  <c r="CX44" i="3"/>
  <c r="DF38" i="3"/>
  <c r="DJ38" i="3" s="1"/>
  <c r="DH38" i="3"/>
  <c r="DF32" i="3"/>
  <c r="DJ32" i="3" s="1"/>
  <c r="DH32" i="3"/>
  <c r="DH9" i="3"/>
  <c r="DI9" i="3"/>
  <c r="DF9" i="3"/>
  <c r="DJ9" i="3" s="1"/>
  <c r="DG9" i="3"/>
  <c r="DG156" i="3"/>
  <c r="CX132" i="3"/>
  <c r="CX128" i="3"/>
  <c r="CX118" i="3"/>
  <c r="CX110" i="3"/>
  <c r="CX99" i="3"/>
  <c r="DH76" i="3"/>
  <c r="DF74" i="3"/>
  <c r="DG69" i="3"/>
  <c r="DF69" i="3"/>
  <c r="DH69" i="3"/>
  <c r="DI69" i="3"/>
  <c r="DJ69" i="3" s="1"/>
  <c r="DH58" i="3"/>
  <c r="CV23" i="3"/>
  <c r="DH12" i="3"/>
  <c r="CX106" i="3"/>
  <c r="DF93" i="3"/>
  <c r="DJ93" i="3" s="1"/>
  <c r="DG93" i="3"/>
  <c r="DH93" i="3"/>
  <c r="DF91" i="3"/>
  <c r="DF76" i="3"/>
  <c r="DF62" i="3"/>
  <c r="DJ62" i="3" s="1"/>
  <c r="DG62" i="3"/>
  <c r="DG58" i="3"/>
  <c r="CX45" i="3"/>
  <c r="DI36" i="3"/>
  <c r="DF17" i="3"/>
  <c r="DG17" i="3"/>
  <c r="DH17" i="3"/>
  <c r="DF12" i="3"/>
  <c r="DF6" i="3"/>
  <c r="DJ6" i="3" s="1"/>
  <c r="DG6" i="3"/>
  <c r="DH6" i="3"/>
  <c r="CX83" i="3"/>
  <c r="CV80" i="3"/>
  <c r="DF58" i="3"/>
  <c r="DJ58" i="3" s="1"/>
  <c r="CV51" i="3"/>
  <c r="CX46" i="3"/>
  <c r="CX40" i="3"/>
  <c r="CX39" i="3"/>
  <c r="DG36" i="3"/>
  <c r="DI31" i="3"/>
  <c r="DJ31" i="3" s="1"/>
  <c r="DG3" i="3"/>
  <c r="DH3" i="3"/>
  <c r="DI3" i="3"/>
  <c r="DJ3" i="3" s="1"/>
  <c r="DI165" i="3"/>
  <c r="DJ165" i="3" s="1"/>
  <c r="DI161" i="3"/>
  <c r="DJ161" i="3" s="1"/>
  <c r="DI153" i="3"/>
  <c r="CX129" i="3"/>
  <c r="CX112" i="3"/>
  <c r="DG31" i="3"/>
  <c r="CX18" i="3"/>
  <c r="CX7" i="3"/>
  <c r="CX142" i="3"/>
  <c r="CW138" i="3"/>
  <c r="DG68" i="3"/>
  <c r="DI61" i="3"/>
  <c r="DJ61" i="3" s="1"/>
  <c r="DI60" i="3"/>
  <c r="DJ60" i="3" s="1"/>
  <c r="CV53" i="3"/>
  <c r="CX53" i="3"/>
  <c r="CV47" i="3"/>
  <c r="DF35" i="3"/>
  <c r="DG35" i="3"/>
  <c r="DH35" i="3"/>
  <c r="DF64" i="3"/>
  <c r="DJ64" i="3" s="1"/>
  <c r="DI64" i="3"/>
  <c r="DH61" i="3"/>
  <c r="DI38" i="3"/>
  <c r="DI32" i="3"/>
  <c r="DG2" i="3"/>
  <c r="DH2" i="3"/>
  <c r="DH70" i="3"/>
  <c r="CX47" i="3"/>
  <c r="DH30" i="3"/>
  <c r="CX22" i="3"/>
  <c r="CX15" i="3"/>
  <c r="DH11" i="3"/>
  <c r="CX1" i="3"/>
  <c r="CX102" i="3"/>
  <c r="DG70" i="3"/>
  <c r="DG30" i="3"/>
  <c r="DI16" i="3"/>
  <c r="DJ16" i="3" s="1"/>
  <c r="DG11" i="3"/>
  <c r="DH16" i="3"/>
  <c r="CX86" i="3"/>
  <c r="CV21" i="3"/>
  <c r="J454" i="7" l="1"/>
  <c r="H454" i="7"/>
  <c r="H409" i="7"/>
  <c r="P411" i="7"/>
  <c r="P454" i="7"/>
  <c r="H466" i="7" s="1"/>
  <c r="H452" i="7"/>
  <c r="Q519" i="7"/>
  <c r="J525" i="7" s="1"/>
  <c r="J519" i="7"/>
  <c r="H283" i="7"/>
  <c r="J505" i="7"/>
  <c r="J439" i="7"/>
  <c r="H439" i="7"/>
  <c r="J533" i="7"/>
  <c r="J189" i="7"/>
  <c r="J529" i="7"/>
  <c r="H343" i="7"/>
  <c r="J283" i="7"/>
  <c r="J343" i="7"/>
  <c r="H505" i="7"/>
  <c r="H529" i="7"/>
  <c r="H189" i="7"/>
  <c r="H533" i="7"/>
  <c r="X259" i="1"/>
  <c r="AK250" i="1"/>
  <c r="DY291" i="1"/>
  <c r="DL308" i="1"/>
  <c r="V355" i="1"/>
  <c r="AI340" i="1"/>
  <c r="Y400" i="1"/>
  <c r="AL387" i="1"/>
  <c r="ES308" i="1"/>
  <c r="GB291" i="1"/>
  <c r="AD432" i="1"/>
  <c r="Q441" i="1"/>
  <c r="EA291" i="1"/>
  <c r="DN308" i="1"/>
  <c r="T355" i="1"/>
  <c r="AG340" i="1"/>
  <c r="GM101" i="1"/>
  <c r="GO101" i="1" s="1"/>
  <c r="AJ291" i="1"/>
  <c r="W308" i="1"/>
  <c r="GM253" i="1"/>
  <c r="EB291" i="1"/>
  <c r="DO308" i="1"/>
  <c r="AZ308" i="1"/>
  <c r="CI291" i="1"/>
  <c r="U355" i="1"/>
  <c r="AH340" i="1"/>
  <c r="F419" i="1"/>
  <c r="AU387" i="1"/>
  <c r="DG14" i="3"/>
  <c r="DH14" i="3"/>
  <c r="DF14" i="3"/>
  <c r="DI14" i="3"/>
  <c r="DJ14" i="3" s="1"/>
  <c r="CP30" i="1"/>
  <c r="O30" i="1" s="1"/>
  <c r="GM30" i="1" s="1"/>
  <c r="GO30" i="1" s="1"/>
  <c r="AD59" i="1"/>
  <c r="GM34" i="1"/>
  <c r="GO34" i="1" s="1"/>
  <c r="X104" i="1"/>
  <c r="GM104" i="1" s="1"/>
  <c r="CY104" i="1"/>
  <c r="CZ104" i="1"/>
  <c r="Y104" i="1"/>
  <c r="AE340" i="1"/>
  <c r="R355" i="1"/>
  <c r="P319" i="1"/>
  <c r="ER291" i="1"/>
  <c r="BA308" i="1"/>
  <c r="CJ291" i="1"/>
  <c r="ES355" i="1"/>
  <c r="GB340" i="1"/>
  <c r="T250" i="1"/>
  <c r="F280" i="1"/>
  <c r="DF117" i="3"/>
  <c r="DJ117" i="3" s="1"/>
  <c r="DG117" i="3"/>
  <c r="DH117" i="3"/>
  <c r="DI117" i="3"/>
  <c r="DV59" i="1"/>
  <c r="DW59" i="1"/>
  <c r="DG113" i="3"/>
  <c r="DH113" i="3"/>
  <c r="DI113" i="3"/>
  <c r="DJ113" i="3" s="1"/>
  <c r="DF113" i="3"/>
  <c r="AE26" i="1"/>
  <c r="R59" i="1"/>
  <c r="DH25" i="3"/>
  <c r="DI25" i="3"/>
  <c r="DF25" i="3"/>
  <c r="DJ25" i="3" s="1"/>
  <c r="DG25" i="3"/>
  <c r="BC26" i="1"/>
  <c r="F75" i="1"/>
  <c r="BC471" i="1"/>
  <c r="BA26" i="1"/>
  <c r="F79" i="1"/>
  <c r="DF84" i="3"/>
  <c r="DI84" i="3"/>
  <c r="DJ84" i="3" s="1"/>
  <c r="DG84" i="3"/>
  <c r="DH84" i="3"/>
  <c r="AG91" i="1"/>
  <c r="T118" i="1"/>
  <c r="FR168" i="1"/>
  <c r="CP168" i="1"/>
  <c r="O168" i="1" s="1"/>
  <c r="AQ205" i="1"/>
  <c r="F228" i="1"/>
  <c r="CD205" i="1"/>
  <c r="AU218" i="1"/>
  <c r="DF123" i="3"/>
  <c r="DG123" i="3"/>
  <c r="DI123" i="3"/>
  <c r="DJ123" i="3" s="1"/>
  <c r="DH123" i="3"/>
  <c r="CY171" i="1"/>
  <c r="CZ171" i="1"/>
  <c r="X171" i="1"/>
  <c r="Y171" i="1"/>
  <c r="FR255" i="1"/>
  <c r="FQ259" i="1" s="1"/>
  <c r="FZ259" i="1" s="1"/>
  <c r="CP255" i="1"/>
  <c r="O255" i="1" s="1"/>
  <c r="GM255" i="1" s="1"/>
  <c r="CY293" i="1"/>
  <c r="Y293" i="1"/>
  <c r="AF308" i="1"/>
  <c r="X293" i="1"/>
  <c r="CZ293" i="1"/>
  <c r="AH91" i="1"/>
  <c r="U118" i="1"/>
  <c r="DW308" i="1"/>
  <c r="F235" i="1"/>
  <c r="AS205" i="1"/>
  <c r="FR345" i="1"/>
  <c r="CP345" i="1"/>
  <c r="O345" i="1" s="1"/>
  <c r="GM345" i="1" s="1"/>
  <c r="EA250" i="1"/>
  <c r="DN259" i="1"/>
  <c r="F238" i="1"/>
  <c r="BA205" i="1"/>
  <c r="DF143" i="3"/>
  <c r="DJ143" i="3" s="1"/>
  <c r="DG143" i="3"/>
  <c r="DH143" i="3"/>
  <c r="DI143" i="3"/>
  <c r="CP294" i="1"/>
  <c r="O294" i="1" s="1"/>
  <c r="DU308" i="1"/>
  <c r="GM348" i="1"/>
  <c r="AC308" i="1"/>
  <c r="CP293" i="1"/>
  <c r="O293" i="1" s="1"/>
  <c r="F365" i="1"/>
  <c r="AQ340" i="1"/>
  <c r="AH291" i="1"/>
  <c r="U308" i="1"/>
  <c r="AQ387" i="1"/>
  <c r="F410" i="1"/>
  <c r="GM398" i="1"/>
  <c r="GO398" i="1" s="1"/>
  <c r="EG432" i="1"/>
  <c r="P445" i="1"/>
  <c r="P460" i="1"/>
  <c r="EM432" i="1"/>
  <c r="AZ387" i="1"/>
  <c r="F411" i="1"/>
  <c r="GM94" i="1"/>
  <c r="AC250" i="1"/>
  <c r="CE259" i="1"/>
  <c r="P259" i="1"/>
  <c r="DI24" i="3"/>
  <c r="DF24" i="3"/>
  <c r="DJ24" i="3" s="1"/>
  <c r="DG24" i="3"/>
  <c r="DH24" i="3"/>
  <c r="AQ26" i="1"/>
  <c r="F69" i="1"/>
  <c r="FV91" i="1"/>
  <c r="EM118" i="1"/>
  <c r="CY207" i="1"/>
  <c r="CZ207" i="1"/>
  <c r="X207" i="1"/>
  <c r="AK218" i="1" s="1"/>
  <c r="AF218" i="1"/>
  <c r="Y207" i="1"/>
  <c r="AL218" i="1" s="1"/>
  <c r="FT387" i="1"/>
  <c r="EK400" i="1"/>
  <c r="P379" i="1"/>
  <c r="DO340" i="1"/>
  <c r="EG387" i="1"/>
  <c r="P404" i="1"/>
  <c r="DL432" i="1"/>
  <c r="P462" i="1"/>
  <c r="DF102" i="3"/>
  <c r="DJ102" i="3" s="1"/>
  <c r="DG102" i="3"/>
  <c r="DH102" i="3"/>
  <c r="DI102" i="3"/>
  <c r="DH13" i="3"/>
  <c r="DF13" i="3"/>
  <c r="DG13" i="3"/>
  <c r="DI13" i="3"/>
  <c r="DJ13" i="3" s="1"/>
  <c r="DG127" i="3"/>
  <c r="DH127" i="3"/>
  <c r="DF127" i="3"/>
  <c r="DJ127" i="3" s="1"/>
  <c r="DI127" i="3"/>
  <c r="DF138" i="3"/>
  <c r="DG138" i="3"/>
  <c r="DJ138" i="3" s="1"/>
  <c r="DH138" i="3"/>
  <c r="DI138" i="3"/>
  <c r="DI42" i="3"/>
  <c r="DH42" i="3"/>
  <c r="DF42" i="3"/>
  <c r="DJ42" i="3" s="1"/>
  <c r="DG42" i="3"/>
  <c r="DF29" i="3"/>
  <c r="DG29" i="3"/>
  <c r="DH29" i="3"/>
  <c r="DI29" i="3"/>
  <c r="DJ29" i="3" s="1"/>
  <c r="CP28" i="1"/>
  <c r="O28" i="1" s="1"/>
  <c r="AC59" i="1"/>
  <c r="GM40" i="1"/>
  <c r="GO40" i="1" s="1"/>
  <c r="CY38" i="1"/>
  <c r="CZ38" i="1"/>
  <c r="X38" i="1"/>
  <c r="GM38" i="1" s="1"/>
  <c r="GO38" i="1" s="1"/>
  <c r="Y38" i="1"/>
  <c r="DF164" i="3"/>
  <c r="DG164" i="3"/>
  <c r="DH164" i="3"/>
  <c r="DI164" i="3"/>
  <c r="DJ164" i="3" s="1"/>
  <c r="CY46" i="1"/>
  <c r="CZ46" i="1"/>
  <c r="X46" i="1"/>
  <c r="Y46" i="1"/>
  <c r="GM113" i="1"/>
  <c r="GO113" i="1" s="1"/>
  <c r="CY166" i="1"/>
  <c r="CZ166" i="1"/>
  <c r="X166" i="1"/>
  <c r="Y166" i="1"/>
  <c r="GB150" i="1"/>
  <c r="ES173" i="1"/>
  <c r="FR111" i="1"/>
  <c r="CP111" i="1"/>
  <c r="O111" i="1" s="1"/>
  <c r="GM111" i="1" s="1"/>
  <c r="EG91" i="1"/>
  <c r="P122" i="1"/>
  <c r="EI91" i="1"/>
  <c r="P128" i="1"/>
  <c r="FR171" i="1"/>
  <c r="CP171" i="1"/>
  <c r="O171" i="1" s="1"/>
  <c r="GM171" i="1" s="1"/>
  <c r="AX91" i="1"/>
  <c r="F125" i="1"/>
  <c r="DW218" i="1"/>
  <c r="DI125" i="3"/>
  <c r="DF125" i="3"/>
  <c r="DH125" i="3"/>
  <c r="DG125" i="3"/>
  <c r="DJ125" i="3" s="1"/>
  <c r="CG150" i="1"/>
  <c r="AX173" i="1"/>
  <c r="FR205" i="1"/>
  <c r="FY218" i="1"/>
  <c r="EI218" i="1"/>
  <c r="DZ91" i="1"/>
  <c r="DM118" i="1"/>
  <c r="AL250" i="1"/>
  <c r="Y259" i="1"/>
  <c r="EM250" i="1"/>
  <c r="P278" i="1"/>
  <c r="CP302" i="1"/>
  <c r="O302" i="1" s="1"/>
  <c r="GM302" i="1" s="1"/>
  <c r="GO302" i="1" s="1"/>
  <c r="FR347" i="1"/>
  <c r="CP347" i="1"/>
  <c r="O347" i="1" s="1"/>
  <c r="DF163" i="3"/>
  <c r="DH163" i="3"/>
  <c r="DI163" i="3"/>
  <c r="DJ163" i="3" s="1"/>
  <c r="DG163" i="3"/>
  <c r="CP390" i="1"/>
  <c r="O390" i="1" s="1"/>
  <c r="DU400" i="1"/>
  <c r="AX400" i="1"/>
  <c r="CG387" i="1"/>
  <c r="FR387" i="1"/>
  <c r="EI400" i="1"/>
  <c r="FY400" i="1"/>
  <c r="V291" i="1"/>
  <c r="F331" i="1"/>
  <c r="DV432" i="1"/>
  <c r="DI441" i="1"/>
  <c r="DO150" i="1"/>
  <c r="P197" i="1"/>
  <c r="AG432" i="1"/>
  <c r="T441" i="1"/>
  <c r="AH432" i="1"/>
  <c r="U441" i="1"/>
  <c r="CH432" i="1"/>
  <c r="AY441" i="1"/>
  <c r="DI121" i="3"/>
  <c r="DH121" i="3"/>
  <c r="DG121" i="3"/>
  <c r="DF121" i="3"/>
  <c r="DJ121" i="3" s="1"/>
  <c r="DW340" i="1"/>
  <c r="DJ355" i="1"/>
  <c r="DH141" i="3"/>
  <c r="DF141" i="3"/>
  <c r="DJ141" i="3" s="1"/>
  <c r="DG141" i="3"/>
  <c r="DI141" i="3"/>
  <c r="X43" i="1"/>
  <c r="Y43" i="1"/>
  <c r="CY43" i="1"/>
  <c r="CZ43" i="1"/>
  <c r="GM48" i="1"/>
  <c r="GO48" i="1" s="1"/>
  <c r="BC91" i="1"/>
  <c r="F134" i="1"/>
  <c r="CP116" i="1"/>
  <c r="O116" i="1" s="1"/>
  <c r="GM116" i="1" s="1"/>
  <c r="FR116" i="1"/>
  <c r="EA91" i="1"/>
  <c r="DN118" i="1"/>
  <c r="FR162" i="1"/>
  <c r="CP162" i="1"/>
  <c r="O162" i="1" s="1"/>
  <c r="DH126" i="3"/>
  <c r="DI126" i="3"/>
  <c r="DF126" i="3"/>
  <c r="DG126" i="3"/>
  <c r="DJ126" i="3" s="1"/>
  <c r="AO150" i="1"/>
  <c r="F177" i="1"/>
  <c r="AE308" i="1"/>
  <c r="EM150" i="1"/>
  <c r="P192" i="1"/>
  <c r="DF101" i="3"/>
  <c r="DJ101" i="3" s="1"/>
  <c r="DI101" i="3"/>
  <c r="DG101" i="3"/>
  <c r="DH101" i="3"/>
  <c r="CY103" i="1"/>
  <c r="CZ103" i="1"/>
  <c r="X103" i="1"/>
  <c r="Y103" i="1"/>
  <c r="BC205" i="1"/>
  <c r="F234" i="1"/>
  <c r="FR164" i="1"/>
  <c r="CP164" i="1"/>
  <c r="O164" i="1" s="1"/>
  <c r="GM164" i="1" s="1"/>
  <c r="DW259" i="1"/>
  <c r="EK250" i="1"/>
  <c r="P276" i="1"/>
  <c r="W259" i="1"/>
  <c r="AJ250" i="1"/>
  <c r="Y296" i="1"/>
  <c r="CP296" i="1"/>
  <c r="O296" i="1" s="1"/>
  <c r="X296" i="1"/>
  <c r="DX308" i="1"/>
  <c r="CY296" i="1"/>
  <c r="CZ296" i="1"/>
  <c r="P318" i="1"/>
  <c r="EI291" i="1"/>
  <c r="W150" i="1"/>
  <c r="F197" i="1"/>
  <c r="AX355" i="1"/>
  <c r="CG340" i="1"/>
  <c r="EG291" i="1"/>
  <c r="P312" i="1"/>
  <c r="DV400" i="1"/>
  <c r="CP392" i="1"/>
  <c r="O392" i="1" s="1"/>
  <c r="FR349" i="1"/>
  <c r="CP349" i="1"/>
  <c r="O349" i="1" s="1"/>
  <c r="X396" i="1"/>
  <c r="GM396" i="1" s="1"/>
  <c r="GO396" i="1" s="1"/>
  <c r="Y396" i="1"/>
  <c r="CY396" i="1"/>
  <c r="CZ396" i="1"/>
  <c r="BA400" i="1"/>
  <c r="CJ387" i="1"/>
  <c r="BB432" i="1"/>
  <c r="F454" i="1"/>
  <c r="DL400" i="1"/>
  <c r="DY387" i="1"/>
  <c r="F451" i="1"/>
  <c r="AQ432" i="1"/>
  <c r="P461" i="1"/>
  <c r="ES432" i="1"/>
  <c r="CF432" i="1"/>
  <c r="AW441" i="1"/>
  <c r="DF83" i="3"/>
  <c r="DJ83" i="3" s="1"/>
  <c r="DG83" i="3"/>
  <c r="DI83" i="3"/>
  <c r="DH83" i="3"/>
  <c r="CY168" i="1"/>
  <c r="CZ168" i="1"/>
  <c r="X168" i="1"/>
  <c r="Y168" i="1"/>
  <c r="DG21" i="3"/>
  <c r="DF21" i="3"/>
  <c r="DH21" i="3"/>
  <c r="DI21" i="3"/>
  <c r="DJ21" i="3" s="1"/>
  <c r="CY33" i="1"/>
  <c r="CZ33" i="1"/>
  <c r="X33" i="1"/>
  <c r="Y33" i="1"/>
  <c r="DX59" i="1"/>
  <c r="CZ153" i="1"/>
  <c r="X153" i="1"/>
  <c r="DX173" i="1"/>
  <c r="Y153" i="1"/>
  <c r="CY153" i="1"/>
  <c r="GM107" i="1"/>
  <c r="AD205" i="1"/>
  <c r="Q218" i="1"/>
  <c r="GM155" i="1"/>
  <c r="DG81" i="3"/>
  <c r="DF81" i="3"/>
  <c r="DH81" i="3"/>
  <c r="DI81" i="3"/>
  <c r="DJ81" i="3" s="1"/>
  <c r="GB91" i="1"/>
  <c r="ES118" i="1"/>
  <c r="DG100" i="3"/>
  <c r="DH100" i="3"/>
  <c r="DI100" i="3"/>
  <c r="DF100" i="3"/>
  <c r="DJ100" i="3" s="1"/>
  <c r="GM301" i="1"/>
  <c r="GO301" i="1" s="1"/>
  <c r="FR216" i="1"/>
  <c r="CP216" i="1"/>
  <c r="O216" i="1" s="1"/>
  <c r="GM216" i="1" s="1"/>
  <c r="F231" i="1"/>
  <c r="BB205" i="1"/>
  <c r="AS91" i="1"/>
  <c r="F135" i="1"/>
  <c r="DG104" i="3"/>
  <c r="DJ104" i="3" s="1"/>
  <c r="DF104" i="3"/>
  <c r="DH104" i="3"/>
  <c r="DI104" i="3"/>
  <c r="EV291" i="1"/>
  <c r="P333" i="1"/>
  <c r="FR256" i="1"/>
  <c r="CP256" i="1"/>
  <c r="O256" i="1" s="1"/>
  <c r="GM256" i="1" s="1"/>
  <c r="EA205" i="1"/>
  <c r="DN218" i="1"/>
  <c r="FY340" i="1"/>
  <c r="EP355" i="1"/>
  <c r="FY291" i="1"/>
  <c r="EP308" i="1"/>
  <c r="EV387" i="1"/>
  <c r="P425" i="1"/>
  <c r="DK441" i="1"/>
  <c r="DX432" i="1"/>
  <c r="CE400" i="1"/>
  <c r="CF400" i="1"/>
  <c r="CH400" i="1"/>
  <c r="P400" i="1"/>
  <c r="AC387" i="1"/>
  <c r="DM400" i="1"/>
  <c r="DZ387" i="1"/>
  <c r="GM397" i="1"/>
  <c r="GO397" i="1" s="1"/>
  <c r="BA355" i="1"/>
  <c r="BA471" i="1" s="1"/>
  <c r="CJ340" i="1"/>
  <c r="GM160" i="1"/>
  <c r="BD387" i="1"/>
  <c r="F425" i="1"/>
  <c r="AZ441" i="1"/>
  <c r="CI432" i="1"/>
  <c r="CE432" i="1"/>
  <c r="AV441" i="1"/>
  <c r="DG48" i="3"/>
  <c r="DH48" i="3"/>
  <c r="DI48" i="3"/>
  <c r="DJ48" i="3" s="1"/>
  <c r="DF48" i="3"/>
  <c r="BB150" i="1"/>
  <c r="F186" i="1"/>
  <c r="GM166" i="1"/>
  <c r="GO166" i="1" s="1"/>
  <c r="DI95" i="3"/>
  <c r="DJ95" i="3" s="1"/>
  <c r="DG95" i="3"/>
  <c r="DF95" i="3"/>
  <c r="DH95" i="3"/>
  <c r="CY52" i="1"/>
  <c r="X52" i="1"/>
  <c r="GM52" i="1" s="1"/>
  <c r="GN52" i="1" s="1"/>
  <c r="CB59" i="1" s="1"/>
  <c r="CZ52" i="1"/>
  <c r="Y52" i="1"/>
  <c r="CP211" i="1"/>
  <c r="O211" i="1" s="1"/>
  <c r="GM211" i="1" s="1"/>
  <c r="FR211" i="1"/>
  <c r="GM45" i="1"/>
  <c r="GO45" i="1" s="1"/>
  <c r="DF39" i="3"/>
  <c r="DI39" i="3"/>
  <c r="DJ39" i="3" s="1"/>
  <c r="DH39" i="3"/>
  <c r="DG39" i="3"/>
  <c r="DF106" i="3"/>
  <c r="DJ106" i="3" s="1"/>
  <c r="DG106" i="3"/>
  <c r="DH106" i="3"/>
  <c r="DI106" i="3"/>
  <c r="DF44" i="3"/>
  <c r="DJ44" i="3" s="1"/>
  <c r="DI44" i="3"/>
  <c r="DG44" i="3"/>
  <c r="DH44" i="3"/>
  <c r="DF43" i="3"/>
  <c r="DG43" i="3"/>
  <c r="DI43" i="3"/>
  <c r="DJ43" i="3" s="1"/>
  <c r="DH43" i="3"/>
  <c r="DI145" i="3"/>
  <c r="DG145" i="3"/>
  <c r="DH145" i="3"/>
  <c r="DF145" i="3"/>
  <c r="DJ145" i="3" s="1"/>
  <c r="DH85" i="3"/>
  <c r="DF85" i="3"/>
  <c r="DJ85" i="3" s="1"/>
  <c r="DG85" i="3"/>
  <c r="DI85" i="3"/>
  <c r="AJ59" i="1"/>
  <c r="X47" i="1"/>
  <c r="Y47" i="1"/>
  <c r="CY47" i="1"/>
  <c r="CZ47" i="1"/>
  <c r="CP29" i="1"/>
  <c r="O29" i="1" s="1"/>
  <c r="DU59" i="1"/>
  <c r="CP51" i="1"/>
  <c r="O51" i="1" s="1"/>
  <c r="EA26" i="1"/>
  <c r="DN59" i="1"/>
  <c r="FR154" i="1"/>
  <c r="BY173" i="1" s="1"/>
  <c r="CP154" i="1"/>
  <c r="O154" i="1" s="1"/>
  <c r="GM154" i="1" s="1"/>
  <c r="GM114" i="1"/>
  <c r="GO114" i="1" s="1"/>
  <c r="FR100" i="1"/>
  <c r="CP100" i="1"/>
  <c r="O100" i="1" s="1"/>
  <c r="GM100" i="1" s="1"/>
  <c r="CP97" i="1"/>
  <c r="O97" i="1" s="1"/>
  <c r="GM97" i="1" s="1"/>
  <c r="GO97" i="1" s="1"/>
  <c r="BD91" i="1"/>
  <c r="F143" i="1"/>
  <c r="BD471" i="1"/>
  <c r="DF108" i="3"/>
  <c r="DJ108" i="3" s="1"/>
  <c r="DH108" i="3"/>
  <c r="DG108" i="3"/>
  <c r="DI108" i="3"/>
  <c r="AD355" i="1"/>
  <c r="ED259" i="1"/>
  <c r="BD250" i="1"/>
  <c r="F284" i="1"/>
  <c r="AS291" i="1"/>
  <c r="F325" i="1"/>
  <c r="DU355" i="1"/>
  <c r="P359" i="1"/>
  <c r="EG340" i="1"/>
  <c r="V205" i="1"/>
  <c r="F241" i="1"/>
  <c r="EM291" i="1"/>
  <c r="P327" i="1"/>
  <c r="DW387" i="1"/>
  <c r="DJ400" i="1"/>
  <c r="P321" i="1"/>
  <c r="ET291" i="1"/>
  <c r="FR344" i="1"/>
  <c r="CP344" i="1"/>
  <c r="O344" i="1" s="1"/>
  <c r="ED441" i="1"/>
  <c r="AP432" i="1"/>
  <c r="F450" i="1"/>
  <c r="T387" i="1"/>
  <c r="F421" i="1"/>
  <c r="AD91" i="1"/>
  <c r="Q118" i="1"/>
  <c r="DL91" i="1"/>
  <c r="P139" i="1"/>
  <c r="EV250" i="1"/>
  <c r="P284" i="1"/>
  <c r="X400" i="1"/>
  <c r="AK387" i="1"/>
  <c r="DF98" i="3"/>
  <c r="DJ98" i="3" s="1"/>
  <c r="DH98" i="3"/>
  <c r="DG98" i="3"/>
  <c r="DI98" i="3"/>
  <c r="DW91" i="1"/>
  <c r="DJ118" i="1"/>
  <c r="FR165" i="1"/>
  <c r="CP165" i="1"/>
  <c r="O165" i="1" s="1"/>
  <c r="GM165" i="1" s="1"/>
  <c r="AQ91" i="1"/>
  <c r="F128" i="1"/>
  <c r="DH259" i="1"/>
  <c r="DU250" i="1"/>
  <c r="FW259" i="1"/>
  <c r="FX259" i="1"/>
  <c r="P240" i="1"/>
  <c r="DM205" i="1"/>
  <c r="DF137" i="3"/>
  <c r="DG137" i="3"/>
  <c r="DJ137" i="3" s="1"/>
  <c r="DH137" i="3"/>
  <c r="DI137" i="3"/>
  <c r="DF7" i="3"/>
  <c r="DH7" i="3"/>
  <c r="DG7" i="3"/>
  <c r="DI7" i="3"/>
  <c r="DJ7" i="3" s="1"/>
  <c r="DF15" i="3"/>
  <c r="DH15" i="3"/>
  <c r="DI15" i="3"/>
  <c r="DJ15" i="3" s="1"/>
  <c r="DG15" i="3"/>
  <c r="DG18" i="3"/>
  <c r="DH18" i="3"/>
  <c r="DF18" i="3"/>
  <c r="DI18" i="3"/>
  <c r="DJ18" i="3" s="1"/>
  <c r="DF118" i="3"/>
  <c r="DJ118" i="3" s="1"/>
  <c r="DI118" i="3"/>
  <c r="DG118" i="3"/>
  <c r="DH118" i="3"/>
  <c r="DG115" i="3"/>
  <c r="DJ115" i="3" s="1"/>
  <c r="DH115" i="3"/>
  <c r="DI115" i="3"/>
  <c r="DF115" i="3"/>
  <c r="DG22" i="3"/>
  <c r="DH22" i="3"/>
  <c r="DF22" i="3"/>
  <c r="DI22" i="3"/>
  <c r="DJ22" i="3" s="1"/>
  <c r="DF40" i="3"/>
  <c r="DJ40" i="3" s="1"/>
  <c r="DI40" i="3"/>
  <c r="DG40" i="3"/>
  <c r="DH40" i="3"/>
  <c r="DI128" i="3"/>
  <c r="DG128" i="3"/>
  <c r="DH128" i="3"/>
  <c r="DF128" i="3"/>
  <c r="DJ128" i="3" s="1"/>
  <c r="DF124" i="3"/>
  <c r="DG124" i="3"/>
  <c r="DJ124" i="3" s="1"/>
  <c r="DH124" i="3"/>
  <c r="DI124" i="3"/>
  <c r="DI135" i="3"/>
  <c r="DJ135" i="3" s="1"/>
  <c r="DF135" i="3"/>
  <c r="DG135" i="3"/>
  <c r="DH135" i="3"/>
  <c r="CY34" i="1"/>
  <c r="CZ34" i="1"/>
  <c r="X34" i="1"/>
  <c r="AK59" i="1" s="1"/>
  <c r="AF59" i="1"/>
  <c r="Y34" i="1"/>
  <c r="AL59" i="1" s="1"/>
  <c r="CP43" i="1"/>
  <c r="O43" i="1" s="1"/>
  <c r="DF144" i="3"/>
  <c r="DJ144" i="3" s="1"/>
  <c r="DG144" i="3"/>
  <c r="DH144" i="3"/>
  <c r="DI144" i="3"/>
  <c r="CP50" i="1"/>
  <c r="O50" i="1" s="1"/>
  <c r="GM50" i="1" s="1"/>
  <c r="GO50" i="1" s="1"/>
  <c r="CP42" i="1"/>
  <c r="O42" i="1" s="1"/>
  <c r="GM42" i="1" s="1"/>
  <c r="GO42" i="1" s="1"/>
  <c r="DH96" i="3"/>
  <c r="DG96" i="3"/>
  <c r="DF96" i="3"/>
  <c r="DJ96" i="3" s="1"/>
  <c r="DI96" i="3"/>
  <c r="AI26" i="1"/>
  <c r="V59" i="1"/>
  <c r="DF80" i="3"/>
  <c r="DG80" i="3"/>
  <c r="DH80" i="3"/>
  <c r="DI80" i="3"/>
  <c r="DJ80" i="3" s="1"/>
  <c r="T59" i="1"/>
  <c r="AG26" i="1"/>
  <c r="AI91" i="1"/>
  <c r="V118" i="1"/>
  <c r="EA150" i="1"/>
  <c r="DN173" i="1"/>
  <c r="AD173" i="1"/>
  <c r="X109" i="1"/>
  <c r="GM109" i="1" s="1"/>
  <c r="GO109" i="1" s="1"/>
  <c r="Y109" i="1"/>
  <c r="CY109" i="1"/>
  <c r="CZ109" i="1"/>
  <c r="X170" i="1"/>
  <c r="GM170" i="1" s="1"/>
  <c r="Y170" i="1"/>
  <c r="CY170" i="1"/>
  <c r="CZ170" i="1"/>
  <c r="FR215" i="1"/>
  <c r="CP215" i="1"/>
  <c r="O215" i="1" s="1"/>
  <c r="GM215" i="1" s="1"/>
  <c r="AE218" i="1"/>
  <c r="EP91" i="1"/>
  <c r="P125" i="1"/>
  <c r="DV259" i="1"/>
  <c r="DF105" i="3"/>
  <c r="DG105" i="3"/>
  <c r="DJ105" i="3" s="1"/>
  <c r="DH105" i="3"/>
  <c r="DI105" i="3"/>
  <c r="DX250" i="1"/>
  <c r="DK259" i="1"/>
  <c r="CD250" i="1"/>
  <c r="AU259" i="1"/>
  <c r="CP343" i="1"/>
  <c r="O343" i="1" s="1"/>
  <c r="U250" i="1"/>
  <c r="F281" i="1"/>
  <c r="AC355" i="1"/>
  <c r="CP342" i="1"/>
  <c r="O342" i="1" s="1"/>
  <c r="AQ308" i="1"/>
  <c r="BZ291" i="1"/>
  <c r="CG308" i="1"/>
  <c r="FR350" i="1"/>
  <c r="CP350" i="1"/>
  <c r="O350" i="1" s="1"/>
  <c r="GM350" i="1" s="1"/>
  <c r="X343" i="1"/>
  <c r="EC355" i="1" s="1"/>
  <c r="Y343" i="1"/>
  <c r="CY343" i="1"/>
  <c r="DX355" i="1"/>
  <c r="CZ343" i="1"/>
  <c r="EM340" i="1"/>
  <c r="P374" i="1"/>
  <c r="EA387" i="1"/>
  <c r="DN400" i="1"/>
  <c r="EA340" i="1"/>
  <c r="DN355" i="1"/>
  <c r="F374" i="1"/>
  <c r="AU340" i="1"/>
  <c r="X212" i="1"/>
  <c r="Y212" i="1"/>
  <c r="CY212" i="1"/>
  <c r="CZ212" i="1"/>
  <c r="DZ432" i="1"/>
  <c r="DM441" i="1"/>
  <c r="CP436" i="1"/>
  <c r="O436" i="1" s="1"/>
  <c r="GM436" i="1" s="1"/>
  <c r="GO436" i="1" s="1"/>
  <c r="P432" i="1"/>
  <c r="F444" i="1"/>
  <c r="BY259" i="1"/>
  <c r="CF259" i="1" s="1"/>
  <c r="DW432" i="1"/>
  <c r="DJ441" i="1"/>
  <c r="CP93" i="1"/>
  <c r="O93" i="1" s="1"/>
  <c r="CP207" i="1"/>
  <c r="O207" i="1" s="1"/>
  <c r="AC218" i="1"/>
  <c r="DI1" i="3"/>
  <c r="DJ1" i="3" s="1"/>
  <c r="DF1" i="3"/>
  <c r="DG1" i="3"/>
  <c r="DH1" i="3"/>
  <c r="DH99" i="3"/>
  <c r="DF99" i="3"/>
  <c r="DG99" i="3"/>
  <c r="DI99" i="3"/>
  <c r="DJ99" i="3" s="1"/>
  <c r="DY26" i="1"/>
  <c r="DL59" i="1"/>
  <c r="DH112" i="3"/>
  <c r="DF112" i="3"/>
  <c r="DJ112" i="3" s="1"/>
  <c r="DG112" i="3"/>
  <c r="DI112" i="3"/>
  <c r="DG132" i="3"/>
  <c r="DH132" i="3"/>
  <c r="DF132" i="3"/>
  <c r="DJ132" i="3" s="1"/>
  <c r="DI132" i="3"/>
  <c r="DG77" i="3"/>
  <c r="DI77" i="3"/>
  <c r="DJ77" i="3" s="1"/>
  <c r="DF77" i="3"/>
  <c r="DH77" i="3"/>
  <c r="DI140" i="3"/>
  <c r="DF140" i="3"/>
  <c r="DJ140" i="3" s="1"/>
  <c r="DG140" i="3"/>
  <c r="DH140" i="3"/>
  <c r="DF27" i="3"/>
  <c r="DJ27" i="3" s="1"/>
  <c r="DG27" i="3"/>
  <c r="DH27" i="3"/>
  <c r="DI27" i="3"/>
  <c r="GB26" i="1"/>
  <c r="ES59" i="1"/>
  <c r="DF51" i="3"/>
  <c r="DH51" i="3"/>
  <c r="DG51" i="3"/>
  <c r="DI51" i="3"/>
  <c r="DJ51" i="3" s="1"/>
  <c r="CY40" i="1"/>
  <c r="CZ40" i="1"/>
  <c r="X40" i="1"/>
  <c r="Y40" i="1"/>
  <c r="CY44" i="1"/>
  <c r="CZ44" i="1"/>
  <c r="X44" i="1"/>
  <c r="Y44" i="1"/>
  <c r="X51" i="1"/>
  <c r="Y51" i="1"/>
  <c r="CY51" i="1"/>
  <c r="CZ51" i="1"/>
  <c r="AP26" i="1"/>
  <c r="F68" i="1"/>
  <c r="GM99" i="1"/>
  <c r="DZ26" i="1"/>
  <c r="DM59" i="1"/>
  <c r="FR108" i="1"/>
  <c r="CP108" i="1"/>
  <c r="O108" i="1" s="1"/>
  <c r="GM108" i="1" s="1"/>
  <c r="GM156" i="1"/>
  <c r="CJ91" i="1"/>
  <c r="BA118" i="1"/>
  <c r="FR214" i="1"/>
  <c r="CP214" i="1"/>
  <c r="O214" i="1" s="1"/>
  <c r="GM214" i="1" s="1"/>
  <c r="DG133" i="3"/>
  <c r="DH133" i="3"/>
  <c r="DF133" i="3"/>
  <c r="DJ133" i="3" s="1"/>
  <c r="DI133" i="3"/>
  <c r="DZ150" i="1"/>
  <c r="DM173" i="1"/>
  <c r="DZ308" i="1"/>
  <c r="EU340" i="1"/>
  <c r="P371" i="1"/>
  <c r="EC259" i="1"/>
  <c r="ES218" i="1"/>
  <c r="GB205" i="1"/>
  <c r="GB250" i="1"/>
  <c r="ES259" i="1"/>
  <c r="X392" i="1"/>
  <c r="EC400" i="1" s="1"/>
  <c r="Y392" i="1"/>
  <c r="ED400" i="1" s="1"/>
  <c r="DX400" i="1"/>
  <c r="CY392" i="1"/>
  <c r="CZ392" i="1"/>
  <c r="F279" i="1"/>
  <c r="BA250" i="1"/>
  <c r="AO432" i="1"/>
  <c r="F445" i="1"/>
  <c r="AS387" i="1"/>
  <c r="F417" i="1"/>
  <c r="P377" i="1"/>
  <c r="DM340" i="1"/>
  <c r="EV340" i="1"/>
  <c r="P380" i="1"/>
  <c r="U387" i="1"/>
  <c r="F422" i="1"/>
  <c r="AJ432" i="1"/>
  <c r="W441" i="1"/>
  <c r="AE91" i="1"/>
  <c r="R118" i="1"/>
  <c r="AC91" i="1"/>
  <c r="CE118" i="1"/>
  <c r="P118" i="1"/>
  <c r="DI119" i="3"/>
  <c r="DF119" i="3"/>
  <c r="DJ119" i="3" s="1"/>
  <c r="DG119" i="3"/>
  <c r="DH119" i="3"/>
  <c r="AE432" i="1"/>
  <c r="R441" i="1"/>
  <c r="EU26" i="1"/>
  <c r="P75" i="1"/>
  <c r="EU471" i="1"/>
  <c r="X167" i="1"/>
  <c r="GM167" i="1" s="1"/>
  <c r="GO167" i="1" s="1"/>
  <c r="Y167" i="1"/>
  <c r="CY167" i="1"/>
  <c r="CZ167" i="1"/>
  <c r="CG205" i="1"/>
  <c r="AX218" i="1"/>
  <c r="FR213" i="1"/>
  <c r="CP213" i="1"/>
  <c r="O213" i="1" s="1"/>
  <c r="GM213" i="1" s="1"/>
  <c r="F276" i="1"/>
  <c r="AS250" i="1"/>
  <c r="DU441" i="1"/>
  <c r="CP435" i="1"/>
  <c r="O435" i="1" s="1"/>
  <c r="DG142" i="3"/>
  <c r="DF142" i="3"/>
  <c r="DJ142" i="3" s="1"/>
  <c r="DH142" i="3"/>
  <c r="DI142" i="3"/>
  <c r="DF131" i="3"/>
  <c r="DJ131" i="3" s="1"/>
  <c r="DH131" i="3"/>
  <c r="DI131" i="3"/>
  <c r="DG131" i="3"/>
  <c r="DG72" i="3"/>
  <c r="DF72" i="3"/>
  <c r="DH72" i="3"/>
  <c r="DI72" i="3"/>
  <c r="DJ72" i="3" s="1"/>
  <c r="DH46" i="3"/>
  <c r="DF46" i="3"/>
  <c r="DJ46" i="3" s="1"/>
  <c r="DG46" i="3"/>
  <c r="DI46" i="3"/>
  <c r="DF19" i="3"/>
  <c r="DH19" i="3"/>
  <c r="DG19" i="3"/>
  <c r="DI19" i="3"/>
  <c r="DJ19" i="3" s="1"/>
  <c r="DG130" i="3"/>
  <c r="DH130" i="3"/>
  <c r="DI130" i="3"/>
  <c r="DF130" i="3"/>
  <c r="DJ130" i="3" s="1"/>
  <c r="DF107" i="3"/>
  <c r="DJ107" i="3" s="1"/>
  <c r="DG107" i="3"/>
  <c r="DI107" i="3"/>
  <c r="DH107" i="3"/>
  <c r="DG109" i="3"/>
  <c r="DF109" i="3"/>
  <c r="DJ109" i="3" s="1"/>
  <c r="DH109" i="3"/>
  <c r="DI109" i="3"/>
  <c r="CY45" i="1"/>
  <c r="CZ45" i="1"/>
  <c r="X45" i="1"/>
  <c r="Y45" i="1"/>
  <c r="DH41" i="3"/>
  <c r="DF41" i="3"/>
  <c r="DJ41" i="3" s="1"/>
  <c r="DG41" i="3"/>
  <c r="DI41" i="3"/>
  <c r="DH146" i="3"/>
  <c r="DG146" i="3"/>
  <c r="DI146" i="3"/>
  <c r="DF146" i="3"/>
  <c r="DJ146" i="3" s="1"/>
  <c r="EV26" i="1"/>
  <c r="P84" i="1"/>
  <c r="EV471" i="1"/>
  <c r="U59" i="1"/>
  <c r="AH26" i="1"/>
  <c r="BB26" i="1"/>
  <c r="F72" i="1"/>
  <c r="BB471" i="1"/>
  <c r="CP47" i="1"/>
  <c r="O47" i="1" s="1"/>
  <c r="GM47" i="1" s="1"/>
  <c r="GO47" i="1" s="1"/>
  <c r="CP46" i="1"/>
  <c r="O46" i="1" s="1"/>
  <c r="DV118" i="1"/>
  <c r="CY101" i="1"/>
  <c r="X101" i="1"/>
  <c r="Y101" i="1"/>
  <c r="CZ101" i="1"/>
  <c r="EB26" i="1"/>
  <c r="DO59" i="1"/>
  <c r="FR157" i="1"/>
  <c r="FQ173" i="1" s="1"/>
  <c r="CP157" i="1"/>
  <c r="O157" i="1" s="1"/>
  <c r="GM157" i="1" s="1"/>
  <c r="DU173" i="1"/>
  <c r="BC150" i="1"/>
  <c r="F189" i="1"/>
  <c r="FT91" i="1"/>
  <c r="EK118" i="1"/>
  <c r="DO118" i="1"/>
  <c r="EB91" i="1"/>
  <c r="DF134" i="3"/>
  <c r="DJ134" i="3" s="1"/>
  <c r="DG134" i="3"/>
  <c r="DH134" i="3"/>
  <c r="DI134" i="3"/>
  <c r="AU91" i="1"/>
  <c r="F137" i="1"/>
  <c r="FT205" i="1"/>
  <c r="EK218" i="1"/>
  <c r="DH122" i="3"/>
  <c r="DI122" i="3"/>
  <c r="DF122" i="3"/>
  <c r="DJ122" i="3" s="1"/>
  <c r="DG122" i="3"/>
  <c r="AG150" i="1"/>
  <c r="T173" i="1"/>
  <c r="AU150" i="1"/>
  <c r="F192" i="1"/>
  <c r="DF111" i="3"/>
  <c r="DJ111" i="3" s="1"/>
  <c r="DI111" i="3"/>
  <c r="DG111" i="3"/>
  <c r="DH111" i="3"/>
  <c r="EM205" i="1"/>
  <c r="P237" i="1"/>
  <c r="CP389" i="1"/>
  <c r="O389" i="1" s="1"/>
  <c r="AD400" i="1"/>
  <c r="AE387" i="1"/>
  <c r="R400" i="1"/>
  <c r="BB291" i="1"/>
  <c r="F321" i="1"/>
  <c r="AF250" i="1"/>
  <c r="S259" i="1"/>
  <c r="AJ340" i="1"/>
  <c r="W355" i="1"/>
  <c r="DY340" i="1"/>
  <c r="DL355" i="1"/>
  <c r="AU291" i="1"/>
  <c r="F327" i="1"/>
  <c r="FT340" i="1"/>
  <c r="EK355" i="1"/>
  <c r="DM250" i="1"/>
  <c r="P281" i="1"/>
  <c r="EP441" i="1"/>
  <c r="FY432" i="1"/>
  <c r="DO205" i="1"/>
  <c r="P242" i="1"/>
  <c r="AI432" i="1"/>
  <c r="V441" i="1"/>
  <c r="EK432" i="1"/>
  <c r="P458" i="1"/>
  <c r="P424" i="1"/>
  <c r="DO387" i="1"/>
  <c r="EB432" i="1"/>
  <c r="DO441" i="1"/>
  <c r="CY96" i="1"/>
  <c r="X96" i="1"/>
  <c r="EC118" i="1" s="1"/>
  <c r="Y96" i="1"/>
  <c r="ED118" i="1" s="1"/>
  <c r="CZ96" i="1"/>
  <c r="DX118" i="1"/>
  <c r="DI23" i="3"/>
  <c r="DJ23" i="3" s="1"/>
  <c r="DG23" i="3"/>
  <c r="DH23" i="3"/>
  <c r="DF23" i="3"/>
  <c r="EU91" i="1"/>
  <c r="P134" i="1"/>
  <c r="FY150" i="1"/>
  <c r="EP173" i="1"/>
  <c r="DI308" i="1"/>
  <c r="DV291" i="1"/>
  <c r="CY344" i="1"/>
  <c r="CZ344" i="1"/>
  <c r="Y344" i="1"/>
  <c r="AL355" i="1" s="1"/>
  <c r="X344" i="1"/>
  <c r="AK355" i="1" s="1"/>
  <c r="AF355" i="1"/>
  <c r="FR353" i="1"/>
  <c r="CP353" i="1"/>
  <c r="O353" i="1" s="1"/>
  <c r="GM353" i="1" s="1"/>
  <c r="GB387" i="1"/>
  <c r="ES400" i="1"/>
  <c r="DH120" i="3"/>
  <c r="DF120" i="3"/>
  <c r="DJ120" i="3" s="1"/>
  <c r="DG120" i="3"/>
  <c r="DI120" i="3"/>
  <c r="DH20" i="3"/>
  <c r="DF20" i="3"/>
  <c r="DG20" i="3"/>
  <c r="DI20" i="3"/>
  <c r="DJ20" i="3" s="1"/>
  <c r="DH86" i="3"/>
  <c r="DF86" i="3"/>
  <c r="DJ86" i="3" s="1"/>
  <c r="DG86" i="3"/>
  <c r="DI86" i="3"/>
  <c r="DI47" i="3"/>
  <c r="DJ47" i="3" s="1"/>
  <c r="DF47" i="3"/>
  <c r="DG47" i="3"/>
  <c r="DH47" i="3"/>
  <c r="DH129" i="3"/>
  <c r="DG129" i="3"/>
  <c r="DI129" i="3"/>
  <c r="DF129" i="3"/>
  <c r="DJ129" i="3" s="1"/>
  <c r="DH45" i="3"/>
  <c r="DI45" i="3"/>
  <c r="DF45" i="3"/>
  <c r="DJ45" i="3" s="1"/>
  <c r="DG45" i="3"/>
  <c r="DG78" i="3"/>
  <c r="DF78" i="3"/>
  <c r="DH78" i="3"/>
  <c r="DI78" i="3"/>
  <c r="DJ78" i="3" s="1"/>
  <c r="DI28" i="3"/>
  <c r="DF28" i="3"/>
  <c r="DJ28" i="3" s="1"/>
  <c r="DG28" i="3"/>
  <c r="DH28" i="3"/>
  <c r="DH53" i="3"/>
  <c r="DF53" i="3"/>
  <c r="DG53" i="3"/>
  <c r="DI53" i="3"/>
  <c r="DJ53" i="3" s="1"/>
  <c r="DF65" i="3"/>
  <c r="DG65" i="3"/>
  <c r="DH65" i="3"/>
  <c r="DI65" i="3"/>
  <c r="DJ65" i="3" s="1"/>
  <c r="DG26" i="3"/>
  <c r="DH26" i="3"/>
  <c r="DI26" i="3"/>
  <c r="DJ26" i="3" s="1"/>
  <c r="DF26" i="3"/>
  <c r="GM41" i="1"/>
  <c r="GO41" i="1" s="1"/>
  <c r="DF139" i="3"/>
  <c r="DJ139" i="3" s="1"/>
  <c r="DG139" i="3"/>
  <c r="DH139" i="3"/>
  <c r="DI139" i="3"/>
  <c r="DG52" i="3"/>
  <c r="DF52" i="3"/>
  <c r="DJ52" i="3" s="1"/>
  <c r="DH52" i="3"/>
  <c r="DI52" i="3"/>
  <c r="AU26" i="1"/>
  <c r="F78" i="1"/>
  <c r="AU471" i="1"/>
  <c r="GM49" i="1"/>
  <c r="GO49" i="1" s="1"/>
  <c r="CY93" i="1"/>
  <c r="X93" i="1"/>
  <c r="Y93" i="1"/>
  <c r="AL118" i="1" s="1"/>
  <c r="AF118" i="1"/>
  <c r="CZ93" i="1"/>
  <c r="CY53" i="1"/>
  <c r="X53" i="1"/>
  <c r="GM53" i="1" s="1"/>
  <c r="GN53" i="1" s="1"/>
  <c r="FT59" i="1" s="1"/>
  <c r="Y53" i="1"/>
  <c r="CZ53" i="1"/>
  <c r="AO26" i="1"/>
  <c r="F63" i="1"/>
  <c r="AO471" i="1"/>
  <c r="CG26" i="1"/>
  <c r="AX59" i="1"/>
  <c r="GA26" i="1"/>
  <c r="ER59" i="1"/>
  <c r="AC173" i="1"/>
  <c r="CP152" i="1"/>
  <c r="O152" i="1" s="1"/>
  <c r="DH79" i="3"/>
  <c r="DI79" i="3"/>
  <c r="DJ79" i="3" s="1"/>
  <c r="DF79" i="3"/>
  <c r="DG79" i="3"/>
  <c r="GM159" i="1"/>
  <c r="GO159" i="1" s="1"/>
  <c r="Y208" i="1"/>
  <c r="ED218" i="1" s="1"/>
  <c r="CY208" i="1"/>
  <c r="CZ208" i="1"/>
  <c r="DX218" i="1"/>
  <c r="X208" i="1"/>
  <c r="EC218" i="1" s="1"/>
  <c r="DW173" i="1"/>
  <c r="T218" i="1"/>
  <c r="AG205" i="1"/>
  <c r="AD250" i="1"/>
  <c r="Q259" i="1"/>
  <c r="AH150" i="1"/>
  <c r="U173" i="1"/>
  <c r="FR210" i="1"/>
  <c r="CP210" i="1"/>
  <c r="O210" i="1" s="1"/>
  <c r="GM210" i="1" s="1"/>
  <c r="DU218" i="1"/>
  <c r="DI114" i="3"/>
  <c r="DG114" i="3"/>
  <c r="DJ114" i="3" s="1"/>
  <c r="DH114" i="3"/>
  <c r="DF114" i="3"/>
  <c r="W91" i="1"/>
  <c r="F142" i="1"/>
  <c r="V259" i="1"/>
  <c r="AI250" i="1"/>
  <c r="BA150" i="1"/>
  <c r="F193" i="1"/>
  <c r="W218" i="1"/>
  <c r="AJ205" i="1"/>
  <c r="P324" i="1"/>
  <c r="EU291" i="1"/>
  <c r="X305" i="1"/>
  <c r="GM305" i="1" s="1"/>
  <c r="GO305" i="1" s="1"/>
  <c r="Y305" i="1"/>
  <c r="CY305" i="1"/>
  <c r="CZ305" i="1"/>
  <c r="CY349" i="1"/>
  <c r="CZ349" i="1"/>
  <c r="X349" i="1"/>
  <c r="Y349" i="1"/>
  <c r="FR340" i="1"/>
  <c r="EI355" i="1"/>
  <c r="CB340" i="1"/>
  <c r="AS355" i="1"/>
  <c r="AX441" i="1"/>
  <c r="CG432" i="1"/>
  <c r="FR352" i="1"/>
  <c r="CP352" i="1"/>
  <c r="O352" i="1" s="1"/>
  <c r="GM352" i="1" s="1"/>
  <c r="GA400" i="1"/>
  <c r="GM395" i="1"/>
  <c r="GO395" i="1" s="1"/>
  <c r="AJ387" i="1"/>
  <c r="W400" i="1"/>
  <c r="AF387" i="1"/>
  <c r="S400" i="1"/>
  <c r="FQ432" i="1"/>
  <c r="GA441" i="1"/>
  <c r="EH441" i="1"/>
  <c r="X35" i="1"/>
  <c r="EC59" i="1" s="1"/>
  <c r="Y35" i="1"/>
  <c r="ED59" i="1" s="1"/>
  <c r="CY35" i="1"/>
  <c r="CZ35" i="1"/>
  <c r="CP35" i="1"/>
  <c r="O35" i="1" s="1"/>
  <c r="GM35" i="1" s="1"/>
  <c r="GO35" i="1" s="1"/>
  <c r="CP212" i="1"/>
  <c r="O212" i="1" s="1"/>
  <c r="GM212" i="1" s="1"/>
  <c r="FR212" i="1"/>
  <c r="DV340" i="1"/>
  <c r="DI355" i="1"/>
  <c r="CY304" i="1"/>
  <c r="CZ304" i="1"/>
  <c r="X304" i="1"/>
  <c r="EC308" i="1" s="1"/>
  <c r="Y304" i="1"/>
  <c r="ED308" i="1" s="1"/>
  <c r="EA432" i="1"/>
  <c r="DN441" i="1"/>
  <c r="AE173" i="1"/>
  <c r="AH205" i="1"/>
  <c r="U218" i="1"/>
  <c r="DG136" i="3"/>
  <c r="DJ136" i="3" s="1"/>
  <c r="DF136" i="3"/>
  <c r="DH136" i="3"/>
  <c r="DI136" i="3"/>
  <c r="AQ150" i="1"/>
  <c r="F183" i="1"/>
  <c r="DG110" i="3"/>
  <c r="DI110" i="3"/>
  <c r="DF110" i="3"/>
  <c r="DJ110" i="3" s="1"/>
  <c r="DH110" i="3"/>
  <c r="DG49" i="3"/>
  <c r="DF49" i="3"/>
  <c r="DH49" i="3"/>
  <c r="DI49" i="3"/>
  <c r="DJ49" i="3" s="1"/>
  <c r="DF82" i="3"/>
  <c r="DJ82" i="3" s="1"/>
  <c r="DG82" i="3"/>
  <c r="DH82" i="3"/>
  <c r="DI82" i="3"/>
  <c r="DG97" i="3"/>
  <c r="DH97" i="3"/>
  <c r="DF97" i="3"/>
  <c r="DJ97" i="3" s="1"/>
  <c r="DI97" i="3"/>
  <c r="DF147" i="3"/>
  <c r="DG147" i="3"/>
  <c r="DH147" i="3"/>
  <c r="DI147" i="3"/>
  <c r="DJ147" i="3" s="1"/>
  <c r="CP33" i="1"/>
  <c r="O33" i="1" s="1"/>
  <c r="GM33" i="1" s="1"/>
  <c r="GO33" i="1" s="1"/>
  <c r="EG26" i="1"/>
  <c r="P63" i="1"/>
  <c r="EG471" i="1"/>
  <c r="FY26" i="1"/>
  <c r="EP59" i="1"/>
  <c r="CP44" i="1"/>
  <c r="O44" i="1" s="1"/>
  <c r="GM103" i="1"/>
  <c r="EH26" i="1"/>
  <c r="P68" i="1"/>
  <c r="P72" i="1"/>
  <c r="ET26" i="1"/>
  <c r="ET471" i="1"/>
  <c r="BY118" i="1"/>
  <c r="CH118" i="1" s="1"/>
  <c r="FR209" i="1"/>
  <c r="CP209" i="1"/>
  <c r="O209" i="1" s="1"/>
  <c r="GM209" i="1" s="1"/>
  <c r="FR161" i="1"/>
  <c r="CP161" i="1"/>
  <c r="O161" i="1" s="1"/>
  <c r="GM161" i="1" s="1"/>
  <c r="DV173" i="1"/>
  <c r="DV218" i="1"/>
  <c r="DY150" i="1"/>
  <c r="DL173" i="1"/>
  <c r="Q308" i="1"/>
  <c r="AD291" i="1"/>
  <c r="AE250" i="1"/>
  <c r="R259" i="1"/>
  <c r="FT150" i="1"/>
  <c r="EK173" i="1"/>
  <c r="DF116" i="3"/>
  <c r="DJ116" i="3" s="1"/>
  <c r="DG116" i="3"/>
  <c r="DH116" i="3"/>
  <c r="DI116" i="3"/>
  <c r="CY162" i="1"/>
  <c r="CZ162" i="1"/>
  <c r="X162" i="1"/>
  <c r="AK173" i="1" s="1"/>
  <c r="Y162" i="1"/>
  <c r="AL173" i="1" s="1"/>
  <c r="AF173" i="1"/>
  <c r="DL218" i="1"/>
  <c r="DY205" i="1"/>
  <c r="FR169" i="1"/>
  <c r="CP169" i="1"/>
  <c r="O169" i="1" s="1"/>
  <c r="GM169" i="1" s="1"/>
  <c r="DU118" i="1"/>
  <c r="DI103" i="3"/>
  <c r="DJ103" i="3" s="1"/>
  <c r="DG103" i="3"/>
  <c r="DH103" i="3"/>
  <c r="DF103" i="3"/>
  <c r="GM257" i="1"/>
  <c r="FT291" i="1"/>
  <c r="EK308" i="1"/>
  <c r="EB250" i="1"/>
  <c r="DO259" i="1"/>
  <c r="AP291" i="1"/>
  <c r="F317" i="1"/>
  <c r="CP252" i="1"/>
  <c r="O252" i="1" s="1"/>
  <c r="CY347" i="1"/>
  <c r="X347" i="1"/>
  <c r="Y347" i="1"/>
  <c r="CZ347" i="1"/>
  <c r="GM254" i="1"/>
  <c r="AG291" i="1"/>
  <c r="T308" i="1"/>
  <c r="CZ434" i="1"/>
  <c r="X434" i="1"/>
  <c r="AK441" i="1" s="1"/>
  <c r="Y434" i="1"/>
  <c r="AL441" i="1" s="1"/>
  <c r="CP434" i="1"/>
  <c r="O434" i="1" s="1"/>
  <c r="CY434" i="1"/>
  <c r="AF441" i="1"/>
  <c r="BC387" i="1"/>
  <c r="F416" i="1"/>
  <c r="EC441" i="1"/>
  <c r="GM351" i="1"/>
  <c r="EI432" i="1"/>
  <c r="P451" i="1"/>
  <c r="CJ432" i="1"/>
  <c r="BA441" i="1"/>
  <c r="V387" i="1"/>
  <c r="F423" i="1"/>
  <c r="GM439" i="1"/>
  <c r="AK150" i="1" l="1"/>
  <c r="X173" i="1"/>
  <c r="AK26" i="1"/>
  <c r="X59" i="1"/>
  <c r="BA22" i="1"/>
  <c r="F491" i="1"/>
  <c r="BA501" i="1"/>
  <c r="AL150" i="1"/>
  <c r="Y173" i="1"/>
  <c r="AL26" i="1"/>
  <c r="Y59" i="1"/>
  <c r="AW259" i="1"/>
  <c r="CF250" i="1"/>
  <c r="CB26" i="1"/>
  <c r="AS59" i="1"/>
  <c r="FZ250" i="1"/>
  <c r="EQ259" i="1"/>
  <c r="EK59" i="1"/>
  <c r="FT26" i="1"/>
  <c r="ED26" i="1"/>
  <c r="DQ59" i="1"/>
  <c r="ED291" i="1"/>
  <c r="DQ308" i="1"/>
  <c r="EC26" i="1"/>
  <c r="DP59" i="1"/>
  <c r="ED91" i="1"/>
  <c r="DQ118" i="1"/>
  <c r="EC91" i="1"/>
  <c r="DP118" i="1"/>
  <c r="EC291" i="1"/>
  <c r="DP308" i="1"/>
  <c r="CH91" i="1"/>
  <c r="AY118" i="1"/>
  <c r="FQ150" i="1"/>
  <c r="EH173" i="1"/>
  <c r="GA173" i="1"/>
  <c r="P91" i="1"/>
  <c r="F121" i="1"/>
  <c r="DK432" i="1"/>
  <c r="P456" i="1"/>
  <c r="GM347" i="1"/>
  <c r="AX150" i="1"/>
  <c r="F180" i="1"/>
  <c r="GM293" i="1"/>
  <c r="AB308" i="1"/>
  <c r="R26" i="1"/>
  <c r="F73" i="1"/>
  <c r="R471" i="1"/>
  <c r="F377" i="1"/>
  <c r="U340" i="1"/>
  <c r="EC432" i="1"/>
  <c r="DP441" i="1"/>
  <c r="DL150" i="1"/>
  <c r="P194" i="1"/>
  <c r="W387" i="1"/>
  <c r="F424" i="1"/>
  <c r="FQ218" i="1"/>
  <c r="ED205" i="1"/>
  <c r="DQ218" i="1"/>
  <c r="AO22" i="1"/>
  <c r="F475" i="1"/>
  <c r="AO501" i="1"/>
  <c r="EK340" i="1"/>
  <c r="P372" i="1"/>
  <c r="DO26" i="1"/>
  <c r="P83" i="1"/>
  <c r="DO471" i="1"/>
  <c r="CF118" i="1"/>
  <c r="DP400" i="1"/>
  <c r="EC387" i="1"/>
  <c r="DM26" i="1"/>
  <c r="P81" i="1"/>
  <c r="DK250" i="1"/>
  <c r="P274" i="1"/>
  <c r="FW250" i="1"/>
  <c r="EN259" i="1"/>
  <c r="BY150" i="1"/>
  <c r="AP173" i="1"/>
  <c r="CI173" i="1"/>
  <c r="BA387" i="1"/>
  <c r="F420" i="1"/>
  <c r="F362" i="1"/>
  <c r="AX340" i="1"/>
  <c r="F283" i="1"/>
  <c r="W250" i="1"/>
  <c r="AY432" i="1"/>
  <c r="F449" i="1"/>
  <c r="FY387" i="1"/>
  <c r="EP400" i="1"/>
  <c r="Y218" i="1"/>
  <c r="AL205" i="1"/>
  <c r="CF308" i="1"/>
  <c r="CH308" i="1"/>
  <c r="AC291" i="1"/>
  <c r="CE308" i="1"/>
  <c r="P308" i="1"/>
  <c r="ES291" i="1"/>
  <c r="P328" i="1"/>
  <c r="P455" i="1"/>
  <c r="DJ432" i="1"/>
  <c r="ES26" i="1"/>
  <c r="P79" i="1"/>
  <c r="ES471" i="1"/>
  <c r="DI218" i="1"/>
  <c r="DV205" i="1"/>
  <c r="S355" i="1"/>
  <c r="AF340" i="1"/>
  <c r="U26" i="1"/>
  <c r="F81" i="1"/>
  <c r="U471" i="1"/>
  <c r="GM435" i="1"/>
  <c r="DT441" i="1"/>
  <c r="EU22" i="1"/>
  <c r="EU501" i="1"/>
  <c r="P487" i="1"/>
  <c r="AX308" i="1"/>
  <c r="CG291" i="1"/>
  <c r="T26" i="1"/>
  <c r="F80" i="1"/>
  <c r="T471" i="1"/>
  <c r="DH250" i="1"/>
  <c r="P262" i="1"/>
  <c r="ED432" i="1"/>
  <c r="DQ441" i="1"/>
  <c r="BD22" i="1"/>
  <c r="F496" i="1"/>
  <c r="BD501" i="1"/>
  <c r="EP291" i="1"/>
  <c r="P315" i="1"/>
  <c r="U432" i="1"/>
  <c r="F463" i="1"/>
  <c r="AC26" i="1"/>
  <c r="P59" i="1"/>
  <c r="CF59" i="1"/>
  <c r="CH59" i="1"/>
  <c r="CE59" i="1"/>
  <c r="X218" i="1"/>
  <c r="AK205" i="1"/>
  <c r="F262" i="1"/>
  <c r="P250" i="1"/>
  <c r="DU291" i="1"/>
  <c r="FX308" i="1"/>
  <c r="FZ308" i="1"/>
  <c r="DH308" i="1"/>
  <c r="FW308" i="1"/>
  <c r="GM168" i="1"/>
  <c r="BC22" i="1"/>
  <c r="BC501" i="1"/>
  <c r="F487" i="1"/>
  <c r="P375" i="1"/>
  <c r="ES340" i="1"/>
  <c r="AD26" i="1"/>
  <c r="Q59" i="1"/>
  <c r="DO291" i="1"/>
  <c r="P332" i="1"/>
  <c r="DQ400" i="1"/>
  <c r="ED387" i="1"/>
  <c r="AU22" i="1"/>
  <c r="F490" i="1"/>
  <c r="H16" i="2" s="1"/>
  <c r="AU501" i="1"/>
  <c r="P279" i="1"/>
  <c r="ES250" i="1"/>
  <c r="GM162" i="1"/>
  <c r="AE150" i="1"/>
  <c r="R173" i="1"/>
  <c r="GA387" i="1"/>
  <c r="ER400" i="1"/>
  <c r="F282" i="1"/>
  <c r="V250" i="1"/>
  <c r="Q250" i="1"/>
  <c r="F271" i="1"/>
  <c r="AK340" i="1"/>
  <c r="X355" i="1"/>
  <c r="AD387" i="1"/>
  <c r="Q400" i="1"/>
  <c r="EV22" i="1"/>
  <c r="P496" i="1"/>
  <c r="EV501" i="1"/>
  <c r="DU432" i="1"/>
  <c r="DH441" i="1"/>
  <c r="FX441" i="1"/>
  <c r="FW441" i="1"/>
  <c r="FZ441" i="1"/>
  <c r="P423" i="1"/>
  <c r="DN387" i="1"/>
  <c r="X387" i="1"/>
  <c r="F426" i="1"/>
  <c r="GM344" i="1"/>
  <c r="FZ355" i="1"/>
  <c r="DH355" i="1"/>
  <c r="DU340" i="1"/>
  <c r="FW355" i="1"/>
  <c r="GM51" i="1"/>
  <c r="GO51" i="1" s="1"/>
  <c r="ES91" i="1"/>
  <c r="P138" i="1"/>
  <c r="DW250" i="1"/>
  <c r="DJ259" i="1"/>
  <c r="DN91" i="1"/>
  <c r="P141" i="1"/>
  <c r="GM28" i="1"/>
  <c r="AB59" i="1"/>
  <c r="CH259" i="1"/>
  <c r="GM294" i="1"/>
  <c r="DT308" i="1"/>
  <c r="T340" i="1"/>
  <c r="F376" i="1"/>
  <c r="Y387" i="1"/>
  <c r="F427" i="1"/>
  <c r="FX250" i="1"/>
  <c r="EO259" i="1"/>
  <c r="U205" i="1"/>
  <c r="F240" i="1"/>
  <c r="GA259" i="1"/>
  <c r="FQ250" i="1"/>
  <c r="EH259" i="1"/>
  <c r="Y355" i="1"/>
  <c r="AL340" i="1"/>
  <c r="V432" i="1"/>
  <c r="F464" i="1"/>
  <c r="DL340" i="1"/>
  <c r="P376" i="1"/>
  <c r="AB400" i="1"/>
  <c r="GM389" i="1"/>
  <c r="DO91" i="1"/>
  <c r="P142" i="1"/>
  <c r="R91" i="1"/>
  <c r="F132" i="1"/>
  <c r="F318" i="1"/>
  <c r="AQ291" i="1"/>
  <c r="BY355" i="1"/>
  <c r="DU26" i="1"/>
  <c r="FW59" i="1"/>
  <c r="FX59" i="1"/>
  <c r="FZ59" i="1"/>
  <c r="DH59" i="1"/>
  <c r="DM387" i="1"/>
  <c r="P422" i="1"/>
  <c r="EP340" i="1"/>
  <c r="P362" i="1"/>
  <c r="ED173" i="1"/>
  <c r="T432" i="1"/>
  <c r="F462" i="1"/>
  <c r="AX387" i="1"/>
  <c r="F407" i="1"/>
  <c r="Y250" i="1"/>
  <c r="F286" i="1"/>
  <c r="DW291" i="1"/>
  <c r="DJ308" i="1"/>
  <c r="T91" i="1"/>
  <c r="F139" i="1"/>
  <c r="BA291" i="1"/>
  <c r="F328" i="1"/>
  <c r="DT259" i="1"/>
  <c r="DN291" i="1"/>
  <c r="P331" i="1"/>
  <c r="AZ291" i="1"/>
  <c r="F319" i="1"/>
  <c r="DX91" i="1"/>
  <c r="DK118" i="1"/>
  <c r="EK91" i="1"/>
  <c r="P135" i="1"/>
  <c r="R432" i="1"/>
  <c r="F455" i="1"/>
  <c r="ES205" i="1"/>
  <c r="P238" i="1"/>
  <c r="DM432" i="1"/>
  <c r="P463" i="1"/>
  <c r="AB355" i="1"/>
  <c r="GM342" i="1"/>
  <c r="GM29" i="1"/>
  <c r="DT59" i="1"/>
  <c r="AV432" i="1"/>
  <c r="F446" i="1"/>
  <c r="DX150" i="1"/>
  <c r="DK173" i="1"/>
  <c r="GM349" i="1"/>
  <c r="DH400" i="1"/>
  <c r="DU387" i="1"/>
  <c r="FW400" i="1"/>
  <c r="FX400" i="1"/>
  <c r="FZ400" i="1"/>
  <c r="DW205" i="1"/>
  <c r="DJ218" i="1"/>
  <c r="ES150" i="1"/>
  <c r="P193" i="1"/>
  <c r="P137" i="1"/>
  <c r="EM91" i="1"/>
  <c r="EM471" i="1"/>
  <c r="CE250" i="1"/>
  <c r="AV259" i="1"/>
  <c r="U91" i="1"/>
  <c r="F140" i="1"/>
  <c r="DW26" i="1"/>
  <c r="DJ59" i="1"/>
  <c r="GO253" i="1"/>
  <c r="FU259" i="1" s="1"/>
  <c r="FS259" i="1"/>
  <c r="F378" i="1"/>
  <c r="V340" i="1"/>
  <c r="CE91" i="1"/>
  <c r="AV118" i="1"/>
  <c r="DV150" i="1"/>
  <c r="DI173" i="1"/>
  <c r="AL432" i="1"/>
  <c r="Y441" i="1"/>
  <c r="EK150" i="1"/>
  <c r="P190" i="1"/>
  <c r="F239" i="1"/>
  <c r="T205" i="1"/>
  <c r="GM152" i="1"/>
  <c r="AB173" i="1"/>
  <c r="F379" i="1"/>
  <c r="W340" i="1"/>
  <c r="DV91" i="1"/>
  <c r="DI118" i="1"/>
  <c r="W432" i="1"/>
  <c r="F465" i="1"/>
  <c r="DP259" i="1"/>
  <c r="EC250" i="1"/>
  <c r="CF355" i="1"/>
  <c r="CH355" i="1"/>
  <c r="CE355" i="1"/>
  <c r="AC340" i="1"/>
  <c r="P355" i="1"/>
  <c r="DI259" i="1"/>
  <c r="DV250" i="1"/>
  <c r="P387" i="1"/>
  <c r="F403" i="1"/>
  <c r="DN205" i="1"/>
  <c r="P241" i="1"/>
  <c r="EC173" i="1"/>
  <c r="R308" i="1"/>
  <c r="AE291" i="1"/>
  <c r="DJ340" i="1"/>
  <c r="P369" i="1"/>
  <c r="GM390" i="1"/>
  <c r="DT400" i="1"/>
  <c r="DM91" i="1"/>
  <c r="P140" i="1"/>
  <c r="DV26" i="1"/>
  <c r="DI59" i="1"/>
  <c r="GM304" i="1"/>
  <c r="GO304" i="1" s="1"/>
  <c r="DT173" i="1"/>
  <c r="DL291" i="1"/>
  <c r="P329" i="1"/>
  <c r="DP355" i="1"/>
  <c r="EC340" i="1"/>
  <c r="R387" i="1"/>
  <c r="F414" i="1"/>
  <c r="CI259" i="1"/>
  <c r="BY250" i="1"/>
  <c r="AP259" i="1"/>
  <c r="EI387" i="1"/>
  <c r="P410" i="1"/>
  <c r="EP26" i="1"/>
  <c r="P66" i="1"/>
  <c r="BA432" i="1"/>
  <c r="F461" i="1"/>
  <c r="X441" i="1"/>
  <c r="AK432" i="1"/>
  <c r="DO250" i="1"/>
  <c r="P283" i="1"/>
  <c r="BY218" i="1"/>
  <c r="EG22" i="1"/>
  <c r="EG501" i="1"/>
  <c r="P475" i="1"/>
  <c r="P450" i="1"/>
  <c r="EH432" i="1"/>
  <c r="AX432" i="1"/>
  <c r="F448" i="1"/>
  <c r="DJ173" i="1"/>
  <c r="DW150" i="1"/>
  <c r="AC150" i="1"/>
  <c r="CE173" i="1"/>
  <c r="CF173" i="1"/>
  <c r="CH173" i="1"/>
  <c r="P173" i="1"/>
  <c r="EK205" i="1"/>
  <c r="P235" i="1"/>
  <c r="BA91" i="1"/>
  <c r="F138" i="1"/>
  <c r="CF218" i="1"/>
  <c r="AC205" i="1"/>
  <c r="CE218" i="1"/>
  <c r="P218" i="1"/>
  <c r="V26" i="1"/>
  <c r="F82" i="1"/>
  <c r="V471" i="1"/>
  <c r="GM43" i="1"/>
  <c r="GO43" i="1" s="1"/>
  <c r="DJ387" i="1"/>
  <c r="P414" i="1"/>
  <c r="CH387" i="1"/>
  <c r="AY400" i="1"/>
  <c r="GM392" i="1"/>
  <c r="GO392" i="1" s="1"/>
  <c r="DX291" i="1"/>
  <c r="DK308" i="1"/>
  <c r="AQ471" i="1"/>
  <c r="DT118" i="1"/>
  <c r="U291" i="1"/>
  <c r="F330" i="1"/>
  <c r="R340" i="1"/>
  <c r="F369" i="1"/>
  <c r="DT218" i="1"/>
  <c r="GM153" i="1"/>
  <c r="Q291" i="1"/>
  <c r="F320" i="1"/>
  <c r="FQ355" i="1"/>
  <c r="FX355" i="1" s="1"/>
  <c r="DU91" i="1"/>
  <c r="FW118" i="1"/>
  <c r="DH118" i="1"/>
  <c r="AB441" i="1"/>
  <c r="GM434" i="1"/>
  <c r="BY91" i="1"/>
  <c r="AP118" i="1"/>
  <c r="CI118" i="1"/>
  <c r="ER441" i="1"/>
  <c r="GA432" i="1"/>
  <c r="F372" i="1"/>
  <c r="AS340" i="1"/>
  <c r="EC205" i="1"/>
  <c r="DP218" i="1"/>
  <c r="ER26" i="1"/>
  <c r="P70" i="1"/>
  <c r="AF91" i="1"/>
  <c r="S118" i="1"/>
  <c r="DI291" i="1"/>
  <c r="P320" i="1"/>
  <c r="S250" i="1"/>
  <c r="F274" i="1"/>
  <c r="GM46" i="1"/>
  <c r="GO46" i="1" s="1"/>
  <c r="F225" i="1"/>
  <c r="AX205" i="1"/>
  <c r="GM207" i="1"/>
  <c r="AB218" i="1"/>
  <c r="DX340" i="1"/>
  <c r="DK355" i="1"/>
  <c r="AD150" i="1"/>
  <c r="Q173" i="1"/>
  <c r="DJ91" i="1"/>
  <c r="P132" i="1"/>
  <c r="Q91" i="1"/>
  <c r="F130" i="1"/>
  <c r="ED250" i="1"/>
  <c r="DQ259" i="1"/>
  <c r="AZ432" i="1"/>
  <c r="F452" i="1"/>
  <c r="CF387" i="1"/>
  <c r="AW400" i="1"/>
  <c r="DX26" i="1"/>
  <c r="DK59" i="1"/>
  <c r="DL387" i="1"/>
  <c r="P421" i="1"/>
  <c r="DV387" i="1"/>
  <c r="DI400" i="1"/>
  <c r="DI432" i="1"/>
  <c r="P453" i="1"/>
  <c r="EI205" i="1"/>
  <c r="P228" i="1"/>
  <c r="GO94" i="1"/>
  <c r="FU118" i="1" s="1"/>
  <c r="FS118" i="1"/>
  <c r="AK308" i="1"/>
  <c r="GM208" i="1"/>
  <c r="GM96" i="1"/>
  <c r="U150" i="1"/>
  <c r="F195" i="1"/>
  <c r="DN340" i="1"/>
  <c r="P378" i="1"/>
  <c r="DN26" i="1"/>
  <c r="P82" i="1"/>
  <c r="DN471" i="1"/>
  <c r="F375" i="1"/>
  <c r="BA340" i="1"/>
  <c r="AW432" i="1"/>
  <c r="F447" i="1"/>
  <c r="AF432" i="1"/>
  <c r="S441" i="1"/>
  <c r="GM252" i="1"/>
  <c r="AB259" i="1"/>
  <c r="GM44" i="1"/>
  <c r="GO44" i="1" s="1"/>
  <c r="DN432" i="1"/>
  <c r="P464" i="1"/>
  <c r="R250" i="1"/>
  <c r="F273" i="1"/>
  <c r="T291" i="1"/>
  <c r="F329" i="1"/>
  <c r="EK291" i="1"/>
  <c r="P325" i="1"/>
  <c r="ET22" i="1"/>
  <c r="ET501" i="1"/>
  <c r="P484" i="1"/>
  <c r="DK218" i="1"/>
  <c r="DX205" i="1"/>
  <c r="AL91" i="1"/>
  <c r="Y118" i="1"/>
  <c r="EP150" i="1"/>
  <c r="P180" i="1"/>
  <c r="P448" i="1"/>
  <c r="EP432" i="1"/>
  <c r="DU150" i="1"/>
  <c r="FW173" i="1"/>
  <c r="FX173" i="1"/>
  <c r="DH173" i="1"/>
  <c r="FZ173" i="1"/>
  <c r="DZ291" i="1"/>
  <c r="DM308" i="1"/>
  <c r="DL26" i="1"/>
  <c r="P80" i="1"/>
  <c r="DL471" i="1"/>
  <c r="GM93" i="1"/>
  <c r="AB118" i="1"/>
  <c r="GM343" i="1"/>
  <c r="DT355" i="1"/>
  <c r="AE205" i="1"/>
  <c r="R218" i="1"/>
  <c r="DN150" i="1"/>
  <c r="P196" i="1"/>
  <c r="AF26" i="1"/>
  <c r="S59" i="1"/>
  <c r="AD340" i="1"/>
  <c r="Q355" i="1"/>
  <c r="FQ118" i="1"/>
  <c r="FX118" i="1" s="1"/>
  <c r="CE387" i="1"/>
  <c r="AV400" i="1"/>
  <c r="GM296" i="1"/>
  <c r="GO296" i="1" s="1"/>
  <c r="FY205" i="1"/>
  <c r="EP218" i="1"/>
  <c r="EP471" i="1" s="1"/>
  <c r="AF291" i="1"/>
  <c r="S308" i="1"/>
  <c r="Q432" i="1"/>
  <c r="F453" i="1"/>
  <c r="W205" i="1"/>
  <c r="F242" i="1"/>
  <c r="V91" i="1"/>
  <c r="F141" i="1"/>
  <c r="T150" i="1"/>
  <c r="F194" i="1"/>
  <c r="S218" i="1"/>
  <c r="AF205" i="1"/>
  <c r="P239" i="1"/>
  <c r="DL205" i="1"/>
  <c r="AF150" i="1"/>
  <c r="S173" i="1"/>
  <c r="P367" i="1"/>
  <c r="DI340" i="1"/>
  <c r="S387" i="1"/>
  <c r="F415" i="1"/>
  <c r="EI340" i="1"/>
  <c r="P365" i="1"/>
  <c r="DU205" i="1"/>
  <c r="DH218" i="1"/>
  <c r="FZ218" i="1"/>
  <c r="FW218" i="1"/>
  <c r="FX218" i="1"/>
  <c r="AX26" i="1"/>
  <c r="F66" i="1"/>
  <c r="AX471" i="1"/>
  <c r="AK118" i="1"/>
  <c r="ES387" i="1"/>
  <c r="P420" i="1"/>
  <c r="DO432" i="1"/>
  <c r="P465" i="1"/>
  <c r="BB22" i="1"/>
  <c r="F484" i="1"/>
  <c r="BB501" i="1"/>
  <c r="DX387" i="1"/>
  <c r="DK400" i="1"/>
  <c r="DM150" i="1"/>
  <c r="P195" i="1"/>
  <c r="ED355" i="1"/>
  <c r="AU250" i="1"/>
  <c r="F278" i="1"/>
  <c r="AJ26" i="1"/>
  <c r="W59" i="1"/>
  <c r="Q205" i="1"/>
  <c r="F230" i="1"/>
  <c r="EI471" i="1"/>
  <c r="P417" i="1"/>
  <c r="EK387" i="1"/>
  <c r="P282" i="1"/>
  <c r="DN250" i="1"/>
  <c r="AL308" i="1"/>
  <c r="AU205" i="1"/>
  <c r="F237" i="1"/>
  <c r="W291" i="1"/>
  <c r="F332" i="1"/>
  <c r="X250" i="1"/>
  <c r="F285" i="1"/>
  <c r="FX340" i="1" l="1"/>
  <c r="EO355" i="1"/>
  <c r="EP22" i="1"/>
  <c r="P478" i="1"/>
  <c r="EP501" i="1"/>
  <c r="EO118" i="1"/>
  <c r="FX91" i="1"/>
  <c r="GO208" i="1"/>
  <c r="FU218" i="1" s="1"/>
  <c r="FS218" i="1"/>
  <c r="AY387" i="1"/>
  <c r="F408" i="1"/>
  <c r="AY259" i="1"/>
  <c r="CH250" i="1"/>
  <c r="P411" i="1"/>
  <c r="ER387" i="1"/>
  <c r="F265" i="1"/>
  <c r="AW250" i="1"/>
  <c r="S91" i="1"/>
  <c r="F133" i="1"/>
  <c r="DP340" i="1"/>
  <c r="P381" i="1"/>
  <c r="FZ340" i="1"/>
  <c r="EQ355" i="1"/>
  <c r="EV18" i="1"/>
  <c r="P526" i="1"/>
  <c r="S340" i="1"/>
  <c r="F370" i="1"/>
  <c r="EH150" i="1"/>
  <c r="P182" i="1"/>
  <c r="DQ291" i="1"/>
  <c r="P335" i="1"/>
  <c r="Y26" i="1"/>
  <c r="F86" i="1"/>
  <c r="Y471" i="1"/>
  <c r="AX22" i="1"/>
  <c r="F478" i="1"/>
  <c r="AX501" i="1"/>
  <c r="Q340" i="1"/>
  <c r="F367" i="1"/>
  <c r="DL22" i="1"/>
  <c r="P492" i="1"/>
  <c r="DL501" i="1"/>
  <c r="FS91" i="1"/>
  <c r="EJ118" i="1"/>
  <c r="AW387" i="1"/>
  <c r="F406" i="1"/>
  <c r="DK340" i="1"/>
  <c r="P370" i="1"/>
  <c r="DT205" i="1"/>
  <c r="DG218" i="1"/>
  <c r="CH340" i="1"/>
  <c r="AY355" i="1"/>
  <c r="FS250" i="1"/>
  <c r="EJ259" i="1"/>
  <c r="DJ291" i="1"/>
  <c r="P322" i="1"/>
  <c r="GO28" i="1"/>
  <c r="CC59" i="1" s="1"/>
  <c r="CA59" i="1"/>
  <c r="R150" i="1"/>
  <c r="F187" i="1"/>
  <c r="Q26" i="1"/>
  <c r="F71" i="1"/>
  <c r="Q471" i="1"/>
  <c r="CH291" i="1"/>
  <c r="AY308" i="1"/>
  <c r="AB150" i="1"/>
  <c r="O173" i="1"/>
  <c r="AK91" i="1"/>
  <c r="X118" i="1"/>
  <c r="FU91" i="1"/>
  <c r="EL118" i="1"/>
  <c r="CA441" i="1"/>
  <c r="GO434" i="1"/>
  <c r="CC441" i="1" s="1"/>
  <c r="F322" i="1"/>
  <c r="R291" i="1"/>
  <c r="AW355" i="1"/>
  <c r="CF340" i="1"/>
  <c r="FU250" i="1"/>
  <c r="EL259" i="1"/>
  <c r="DJ205" i="1"/>
  <c r="P232" i="1"/>
  <c r="DT26" i="1"/>
  <c r="DG59" i="1"/>
  <c r="DK91" i="1"/>
  <c r="P133" i="1"/>
  <c r="DH26" i="1"/>
  <c r="P62" i="1"/>
  <c r="DH471" i="1"/>
  <c r="GO389" i="1"/>
  <c r="CC400" i="1" s="1"/>
  <c r="CA400" i="1"/>
  <c r="AX291" i="1"/>
  <c r="F315" i="1"/>
  <c r="DI205" i="1"/>
  <c r="P230" i="1"/>
  <c r="CF291" i="1"/>
  <c r="AW308" i="1"/>
  <c r="DP387" i="1"/>
  <c r="P426" i="1"/>
  <c r="GA218" i="1"/>
  <c r="EH218" i="1"/>
  <c r="FQ205" i="1"/>
  <c r="O308" i="1"/>
  <c r="AB291" i="1"/>
  <c r="AY91" i="1"/>
  <c r="F126" i="1"/>
  <c r="DQ26" i="1"/>
  <c r="P86" i="1"/>
  <c r="DQ471" i="1"/>
  <c r="Y150" i="1"/>
  <c r="F200" i="1"/>
  <c r="R22" i="1"/>
  <c r="R501" i="1"/>
  <c r="F485" i="1"/>
  <c r="GO93" i="1"/>
  <c r="CC118" i="1" s="1"/>
  <c r="CA118" i="1"/>
  <c r="S150" i="1"/>
  <c r="F188" i="1"/>
  <c r="S26" i="1"/>
  <c r="F74" i="1"/>
  <c r="S471" i="1"/>
  <c r="Y91" i="1"/>
  <c r="F145" i="1"/>
  <c r="DN22" i="1"/>
  <c r="DN501" i="1"/>
  <c r="P494" i="1"/>
  <c r="O218" i="1"/>
  <c r="AB205" i="1"/>
  <c r="AB432" i="1"/>
  <c r="O441" i="1"/>
  <c r="DT150" i="1"/>
  <c r="DG173" i="1"/>
  <c r="EC150" i="1"/>
  <c r="DP173" i="1"/>
  <c r="DJ26" i="1"/>
  <c r="P73" i="1"/>
  <c r="DJ471" i="1"/>
  <c r="GO29" i="1"/>
  <c r="FU59" i="1" s="1"/>
  <c r="FS59" i="1"/>
  <c r="FZ26" i="1"/>
  <c r="EQ59" i="1"/>
  <c r="O400" i="1"/>
  <c r="AB387" i="1"/>
  <c r="P265" i="1"/>
  <c r="EO250" i="1"/>
  <c r="Q387" i="1"/>
  <c r="F412" i="1"/>
  <c r="BD18" i="1"/>
  <c r="F526" i="1"/>
  <c r="ES22" i="1"/>
  <c r="P491" i="1"/>
  <c r="ES501" i="1"/>
  <c r="AZ173" i="1"/>
  <c r="CI150" i="1"/>
  <c r="CF91" i="1"/>
  <c r="AW118" i="1"/>
  <c r="GO293" i="1"/>
  <c r="CC308" i="1" s="1"/>
  <c r="CA308" i="1"/>
  <c r="AB91" i="1"/>
  <c r="O118" i="1"/>
  <c r="GA150" i="1"/>
  <c r="ER173" i="1"/>
  <c r="AP91" i="1"/>
  <c r="F127" i="1"/>
  <c r="P150" i="1"/>
  <c r="F176" i="1"/>
  <c r="FZ387" i="1"/>
  <c r="EQ400" i="1"/>
  <c r="EU18" i="1"/>
  <c r="P517" i="1"/>
  <c r="Y205" i="1"/>
  <c r="F245" i="1"/>
  <c r="AP150" i="1"/>
  <c r="F182" i="1"/>
  <c r="DO22" i="1"/>
  <c r="P495" i="1"/>
  <c r="DO501" i="1"/>
  <c r="DP291" i="1"/>
  <c r="P334" i="1"/>
  <c r="BA18" i="1"/>
  <c r="F521" i="1"/>
  <c r="CF205" i="1"/>
  <c r="AW218" i="1"/>
  <c r="CE291" i="1"/>
  <c r="AV308" i="1"/>
  <c r="AK291" i="1"/>
  <c r="X308" i="1"/>
  <c r="X471" i="1" s="1"/>
  <c r="DM291" i="1"/>
  <c r="P330" i="1"/>
  <c r="GO207" i="1"/>
  <c r="CC218" i="1" s="1"/>
  <c r="CA218" i="1"/>
  <c r="V22" i="1"/>
  <c r="F494" i="1"/>
  <c r="V501" i="1"/>
  <c r="DP250" i="1"/>
  <c r="P285" i="1"/>
  <c r="CA355" i="1"/>
  <c r="GO342" i="1"/>
  <c r="CC355" i="1" s="1"/>
  <c r="P273" i="1"/>
  <c r="DJ250" i="1"/>
  <c r="EI22" i="1"/>
  <c r="P481" i="1"/>
  <c r="EI501" i="1"/>
  <c r="BB18" i="1"/>
  <c r="F514" i="1"/>
  <c r="FW205" i="1"/>
  <c r="EN218" i="1"/>
  <c r="S291" i="1"/>
  <c r="F323" i="1"/>
  <c r="P286" i="1"/>
  <c r="DQ250" i="1"/>
  <c r="DP205" i="1"/>
  <c r="P244" i="1"/>
  <c r="FZ118" i="1"/>
  <c r="CH150" i="1"/>
  <c r="AY173" i="1"/>
  <c r="DI26" i="1"/>
  <c r="P71" i="1"/>
  <c r="DI471" i="1"/>
  <c r="Y432" i="1"/>
  <c r="F468" i="1"/>
  <c r="FX387" i="1"/>
  <c r="EO400" i="1"/>
  <c r="O355" i="1"/>
  <c r="AB340" i="1"/>
  <c r="FW26" i="1"/>
  <c r="EN59" i="1"/>
  <c r="X340" i="1"/>
  <c r="F381" i="1"/>
  <c r="X205" i="1"/>
  <c r="F244" i="1"/>
  <c r="EP387" i="1"/>
  <c r="P407" i="1"/>
  <c r="EK26" i="1"/>
  <c r="P76" i="1"/>
  <c r="EK471" i="1"/>
  <c r="DK26" i="1"/>
  <c r="P74" i="1"/>
  <c r="DK471" i="1"/>
  <c r="CI91" i="1"/>
  <c r="AZ118" i="1"/>
  <c r="P358" i="1"/>
  <c r="DH340" i="1"/>
  <c r="GO152" i="1"/>
  <c r="CC173" i="1" s="1"/>
  <c r="CA173" i="1"/>
  <c r="DH91" i="1"/>
  <c r="P121" i="1"/>
  <c r="EG18" i="1"/>
  <c r="P505" i="1"/>
  <c r="FX26" i="1"/>
  <c r="EO59" i="1"/>
  <c r="FZ205" i="1"/>
  <c r="EQ218" i="1"/>
  <c r="FZ150" i="1"/>
  <c r="EQ173" i="1"/>
  <c r="DK205" i="1"/>
  <c r="P233" i="1"/>
  <c r="DT91" i="1"/>
  <c r="DG118" i="1"/>
  <c r="CF150" i="1"/>
  <c r="AW173" i="1"/>
  <c r="BY205" i="1"/>
  <c r="CI218" i="1"/>
  <c r="AP218" i="1"/>
  <c r="AP471" i="1" s="1"/>
  <c r="AP250" i="1"/>
  <c r="F268" i="1"/>
  <c r="FW387" i="1"/>
  <c r="EN400" i="1"/>
  <c r="AU18" i="1"/>
  <c r="F520" i="1"/>
  <c r="BC18" i="1"/>
  <c r="F517" i="1"/>
  <c r="CE26" i="1"/>
  <c r="AV59" i="1"/>
  <c r="DQ432" i="1"/>
  <c r="P468" i="1"/>
  <c r="DT432" i="1"/>
  <c r="DG441" i="1"/>
  <c r="P264" i="1"/>
  <c r="EN250" i="1"/>
  <c r="DP91" i="1"/>
  <c r="P144" i="1"/>
  <c r="EQ250" i="1"/>
  <c r="P267" i="1"/>
  <c r="Y308" i="1"/>
  <c r="AL291" i="1"/>
  <c r="DQ205" i="1"/>
  <c r="P245" i="1"/>
  <c r="DK387" i="1"/>
  <c r="P415" i="1"/>
  <c r="FX205" i="1"/>
  <c r="EO218" i="1"/>
  <c r="DH205" i="1"/>
  <c r="P221" i="1"/>
  <c r="EP205" i="1"/>
  <c r="P225" i="1"/>
  <c r="F232" i="1"/>
  <c r="R205" i="1"/>
  <c r="DH150" i="1"/>
  <c r="P176" i="1"/>
  <c r="O259" i="1"/>
  <c r="AB250" i="1"/>
  <c r="P412" i="1"/>
  <c r="DI387" i="1"/>
  <c r="FW91" i="1"/>
  <c r="EN118" i="1"/>
  <c r="AQ22" i="1"/>
  <c r="F481" i="1"/>
  <c r="AQ501" i="1"/>
  <c r="F221" i="1"/>
  <c r="P205" i="1"/>
  <c r="CE150" i="1"/>
  <c r="AV173" i="1"/>
  <c r="DI91" i="1"/>
  <c r="P130" i="1"/>
  <c r="DI150" i="1"/>
  <c r="P185" i="1"/>
  <c r="F264" i="1"/>
  <c r="AV250" i="1"/>
  <c r="AP355" i="1"/>
  <c r="CI355" i="1"/>
  <c r="BY340" i="1"/>
  <c r="FZ432" i="1"/>
  <c r="EQ441" i="1"/>
  <c r="CH26" i="1"/>
  <c r="AY59" i="1"/>
  <c r="FS441" i="1"/>
  <c r="GO435" i="1"/>
  <c r="FU441" i="1" s="1"/>
  <c r="P467" i="1"/>
  <c r="DP432" i="1"/>
  <c r="X26" i="1"/>
  <c r="F85" i="1"/>
  <c r="FQ91" i="1"/>
  <c r="GA118" i="1"/>
  <c r="EH118" i="1"/>
  <c r="GO153" i="1"/>
  <c r="FU173" i="1" s="1"/>
  <c r="FS173" i="1"/>
  <c r="AV355" i="1"/>
  <c r="CE340" i="1"/>
  <c r="DG259" i="1"/>
  <c r="DT250" i="1"/>
  <c r="EN441" i="1"/>
  <c r="FW432" i="1"/>
  <c r="U22" i="1"/>
  <c r="U501" i="1"/>
  <c r="F493" i="1"/>
  <c r="DQ91" i="1"/>
  <c r="P145" i="1"/>
  <c r="AS26" i="1"/>
  <c r="F76" i="1"/>
  <c r="AS471" i="1"/>
  <c r="DQ355" i="1"/>
  <c r="ED340" i="1"/>
  <c r="GA250" i="1"/>
  <c r="ER259" i="1"/>
  <c r="EO308" i="1"/>
  <c r="FX291" i="1"/>
  <c r="W26" i="1"/>
  <c r="F83" i="1"/>
  <c r="W471" i="1"/>
  <c r="S205" i="1"/>
  <c r="F233" i="1"/>
  <c r="FX150" i="1"/>
  <c r="EO173" i="1"/>
  <c r="ET18" i="1"/>
  <c r="P514" i="1"/>
  <c r="DK291" i="1"/>
  <c r="P323" i="1"/>
  <c r="DH387" i="1"/>
  <c r="P403" i="1"/>
  <c r="DG355" i="1"/>
  <c r="DT340" i="1"/>
  <c r="EH355" i="1"/>
  <c r="FQ340" i="1"/>
  <c r="GA355" i="1"/>
  <c r="DT387" i="1"/>
  <c r="DG400" i="1"/>
  <c r="P271" i="1"/>
  <c r="DI250" i="1"/>
  <c r="F123" i="1"/>
  <c r="AV91" i="1"/>
  <c r="EM22" i="1"/>
  <c r="P490" i="1"/>
  <c r="W16" i="2" s="1"/>
  <c r="EM501" i="1"/>
  <c r="ED150" i="1"/>
  <c r="DQ173" i="1"/>
  <c r="Y340" i="1"/>
  <c r="F382" i="1"/>
  <c r="DG308" i="1"/>
  <c r="DT291" i="1"/>
  <c r="FW340" i="1"/>
  <c r="EN355" i="1"/>
  <c r="FX432" i="1"/>
  <c r="EO441" i="1"/>
  <c r="FW291" i="1"/>
  <c r="EN308" i="1"/>
  <c r="P26" i="1"/>
  <c r="F62" i="1"/>
  <c r="P471" i="1"/>
  <c r="AO18" i="1"/>
  <c r="F505" i="1"/>
  <c r="X150" i="1"/>
  <c r="F199" i="1"/>
  <c r="Q150" i="1"/>
  <c r="F185" i="1"/>
  <c r="FZ291" i="1"/>
  <c r="EQ308" i="1"/>
  <c r="AB26" i="1"/>
  <c r="O59" i="1"/>
  <c r="GO252" i="1"/>
  <c r="CC259" i="1" s="1"/>
  <c r="CA259" i="1"/>
  <c r="CE205" i="1"/>
  <c r="AV218" i="1"/>
  <c r="AZ259" i="1"/>
  <c r="CI250" i="1"/>
  <c r="CF26" i="1"/>
  <c r="AW59" i="1"/>
  <c r="FW150" i="1"/>
  <c r="EN173" i="1"/>
  <c r="S432" i="1"/>
  <c r="F456" i="1"/>
  <c r="AV387" i="1"/>
  <c r="F405" i="1"/>
  <c r="GO343" i="1"/>
  <c r="FU355" i="1" s="1"/>
  <c r="FS355" i="1"/>
  <c r="ER432" i="1"/>
  <c r="P452" i="1"/>
  <c r="CH218" i="1"/>
  <c r="DJ150" i="1"/>
  <c r="P187" i="1"/>
  <c r="X432" i="1"/>
  <c r="F467" i="1"/>
  <c r="GO390" i="1"/>
  <c r="FU400" i="1" s="1"/>
  <c r="FS400" i="1"/>
  <c r="F358" i="1"/>
  <c r="P340" i="1"/>
  <c r="DK150" i="1"/>
  <c r="P188" i="1"/>
  <c r="P268" i="1"/>
  <c r="EH250" i="1"/>
  <c r="GO294" i="1"/>
  <c r="FU308" i="1" s="1"/>
  <c r="FS308" i="1"/>
  <c r="DH432" i="1"/>
  <c r="P444" i="1"/>
  <c r="DQ387" i="1"/>
  <c r="P427" i="1"/>
  <c r="DH291" i="1"/>
  <c r="P311" i="1"/>
  <c r="T22" i="1"/>
  <c r="T501" i="1"/>
  <c r="F492" i="1"/>
  <c r="P291" i="1"/>
  <c r="F311" i="1"/>
  <c r="DM471" i="1"/>
  <c r="DP26" i="1"/>
  <c r="P85" i="1"/>
  <c r="DP471" i="1"/>
  <c r="X22" i="1" l="1"/>
  <c r="X501" i="1"/>
  <c r="F497" i="1"/>
  <c r="AP22" i="1"/>
  <c r="AP501" i="1"/>
  <c r="F480" i="1"/>
  <c r="G16" i="2" s="1"/>
  <c r="EQ291" i="1"/>
  <c r="P316" i="1"/>
  <c r="EH91" i="1"/>
  <c r="P127" i="1"/>
  <c r="EH471" i="1"/>
  <c r="FS291" i="1"/>
  <c r="EJ308" i="1"/>
  <c r="CA205" i="1"/>
  <c r="AR218" i="1"/>
  <c r="DG150" i="1"/>
  <c r="P175" i="1"/>
  <c r="AT218" i="1"/>
  <c r="CC205" i="1"/>
  <c r="EN340" i="1"/>
  <c r="P360" i="1"/>
  <c r="CI340" i="1"/>
  <c r="AZ355" i="1"/>
  <c r="AQ18" i="1"/>
  <c r="F511" i="1"/>
  <c r="Y291" i="1"/>
  <c r="F335" i="1"/>
  <c r="F179" i="1"/>
  <c r="AW150" i="1"/>
  <c r="DO18" i="1"/>
  <c r="P525" i="1"/>
  <c r="O387" i="1"/>
  <c r="F402" i="1"/>
  <c r="F443" i="1"/>
  <c r="O432" i="1"/>
  <c r="X91" i="1"/>
  <c r="F144" i="1"/>
  <c r="CC26" i="1"/>
  <c r="AT59" i="1"/>
  <c r="EJ218" i="1"/>
  <c r="FS205" i="1"/>
  <c r="AR441" i="1"/>
  <c r="CA432" i="1"/>
  <c r="DM22" i="1"/>
  <c r="DM501" i="1"/>
  <c r="P493" i="1"/>
  <c r="EI18" i="1"/>
  <c r="P511" i="1"/>
  <c r="FZ91" i="1"/>
  <c r="EQ118" i="1"/>
  <c r="CA26" i="1"/>
  <c r="AR59" i="1"/>
  <c r="Y22" i="1"/>
  <c r="F498" i="1"/>
  <c r="Y501" i="1"/>
  <c r="AY218" i="1"/>
  <c r="CH205" i="1"/>
  <c r="P314" i="1"/>
  <c r="EO291" i="1"/>
  <c r="P270" i="1"/>
  <c r="ER250" i="1"/>
  <c r="AP340" i="1"/>
  <c r="F364" i="1"/>
  <c r="EK22" i="1"/>
  <c r="P488" i="1"/>
  <c r="T16" i="2" s="1"/>
  <c r="EK501" i="1"/>
  <c r="F357" i="1"/>
  <c r="O340" i="1"/>
  <c r="AZ150" i="1"/>
  <c r="F184" i="1"/>
  <c r="EQ26" i="1"/>
  <c r="P67" i="1"/>
  <c r="EJ91" i="1"/>
  <c r="P146" i="1"/>
  <c r="FU205" i="1"/>
  <c r="EL218" i="1"/>
  <c r="DQ22" i="1"/>
  <c r="P498" i="1"/>
  <c r="DQ501" i="1"/>
  <c r="GA91" i="1"/>
  <c r="ER118" i="1"/>
  <c r="P406" i="1"/>
  <c r="EO387" i="1"/>
  <c r="ES18" i="1"/>
  <c r="P521" i="1"/>
  <c r="CA91" i="1"/>
  <c r="AR118" i="1"/>
  <c r="EL250" i="1"/>
  <c r="P277" i="1"/>
  <c r="O150" i="1"/>
  <c r="F175" i="1"/>
  <c r="DG340" i="1"/>
  <c r="P357" i="1"/>
  <c r="F181" i="1"/>
  <c r="AY150" i="1"/>
  <c r="DK22" i="1"/>
  <c r="DK501" i="1"/>
  <c r="P486" i="1"/>
  <c r="EQ340" i="1"/>
  <c r="P363" i="1"/>
  <c r="AW26" i="1"/>
  <c r="F65" i="1"/>
  <c r="AW471" i="1"/>
  <c r="U18" i="1"/>
  <c r="F523" i="1"/>
  <c r="F270" i="1"/>
  <c r="AZ250" i="1"/>
  <c r="FS340" i="1"/>
  <c r="EJ355" i="1"/>
  <c r="AV205" i="1"/>
  <c r="F223" i="1"/>
  <c r="DG291" i="1"/>
  <c r="P310" i="1"/>
  <c r="DG387" i="1"/>
  <c r="P402" i="1"/>
  <c r="EN91" i="1"/>
  <c r="P123" i="1"/>
  <c r="CC340" i="1"/>
  <c r="AT355" i="1"/>
  <c r="FS26" i="1"/>
  <c r="EJ59" i="1"/>
  <c r="F220" i="1"/>
  <c r="O205" i="1"/>
  <c r="CC91" i="1"/>
  <c r="AT118" i="1"/>
  <c r="O291" i="1"/>
  <c r="F310" i="1"/>
  <c r="CA387" i="1"/>
  <c r="AR400" i="1"/>
  <c r="EJ250" i="1"/>
  <c r="P287" i="1"/>
  <c r="DL18" i="1"/>
  <c r="P522" i="1"/>
  <c r="EO91" i="1"/>
  <c r="P124" i="1"/>
  <c r="AW291" i="1"/>
  <c r="F314" i="1"/>
  <c r="EO26" i="1"/>
  <c r="P65" i="1"/>
  <c r="EO471" i="1"/>
  <c r="EN432" i="1"/>
  <c r="P446" i="1"/>
  <c r="DG91" i="1"/>
  <c r="P120" i="1"/>
  <c r="EO150" i="1"/>
  <c r="P179" i="1"/>
  <c r="P382" i="1"/>
  <c r="DQ340" i="1"/>
  <c r="DG250" i="1"/>
  <c r="P261" i="1"/>
  <c r="CA150" i="1"/>
  <c r="AR173" i="1"/>
  <c r="CA340" i="1"/>
  <c r="AR355" i="1"/>
  <c r="AV291" i="1"/>
  <c r="F313" i="1"/>
  <c r="ER150" i="1"/>
  <c r="P184" i="1"/>
  <c r="FU26" i="1"/>
  <c r="EL59" i="1"/>
  <c r="CC387" i="1"/>
  <c r="AT400" i="1"/>
  <c r="AY291" i="1"/>
  <c r="F316" i="1"/>
  <c r="EP18" i="1"/>
  <c r="P508" i="1"/>
  <c r="P449" i="1"/>
  <c r="EQ432" i="1"/>
  <c r="EQ387" i="1"/>
  <c r="P408" i="1"/>
  <c r="EO432" i="1"/>
  <c r="P447" i="1"/>
  <c r="EL91" i="1"/>
  <c r="P136" i="1"/>
  <c r="AV26" i="1"/>
  <c r="F64" i="1"/>
  <c r="AV471" i="1"/>
  <c r="T18" i="1"/>
  <c r="F522" i="1"/>
  <c r="X291" i="1"/>
  <c r="F334" i="1"/>
  <c r="FU340" i="1"/>
  <c r="EL355" i="1"/>
  <c r="CA250" i="1"/>
  <c r="AR259" i="1"/>
  <c r="P22" i="1"/>
  <c r="F474" i="1"/>
  <c r="P501" i="1"/>
  <c r="GA340" i="1"/>
  <c r="ER355" i="1"/>
  <c r="AS22" i="1"/>
  <c r="F488" i="1"/>
  <c r="E16" i="2" s="1"/>
  <c r="AS501" i="1"/>
  <c r="FU432" i="1"/>
  <c r="EL441" i="1"/>
  <c r="EO205" i="1"/>
  <c r="P224" i="1"/>
  <c r="P405" i="1"/>
  <c r="EN387" i="1"/>
  <c r="CC150" i="1"/>
  <c r="AT173" i="1"/>
  <c r="DJ22" i="1"/>
  <c r="P485" i="1"/>
  <c r="DJ501" i="1"/>
  <c r="DN18" i="1"/>
  <c r="P524" i="1"/>
  <c r="R18" i="1"/>
  <c r="F515" i="1"/>
  <c r="EH205" i="1"/>
  <c r="P227" i="1"/>
  <c r="DH22" i="1"/>
  <c r="P474" i="1"/>
  <c r="DH501" i="1"/>
  <c r="F361" i="1"/>
  <c r="AW340" i="1"/>
  <c r="F363" i="1"/>
  <c r="AY340" i="1"/>
  <c r="CC291" i="1"/>
  <c r="AT308" i="1"/>
  <c r="F267" i="1"/>
  <c r="AY250" i="1"/>
  <c r="AZ218" i="1"/>
  <c r="AZ471" i="1" s="1"/>
  <c r="CI205" i="1"/>
  <c r="AW91" i="1"/>
  <c r="F124" i="1"/>
  <c r="DG26" i="1"/>
  <c r="P61" i="1"/>
  <c r="DG471" i="1"/>
  <c r="EJ441" i="1"/>
  <c r="FS432" i="1"/>
  <c r="EN205" i="1"/>
  <c r="P223" i="1"/>
  <c r="O91" i="1"/>
  <c r="F120" i="1"/>
  <c r="ER218" i="1"/>
  <c r="GA205" i="1"/>
  <c r="Q22" i="1"/>
  <c r="F483" i="1"/>
  <c r="Q501" i="1"/>
  <c r="AP205" i="1"/>
  <c r="F227" i="1"/>
  <c r="FU291" i="1"/>
  <c r="EL308" i="1"/>
  <c r="FS387" i="1"/>
  <c r="EJ400" i="1"/>
  <c r="DI22" i="1"/>
  <c r="P483" i="1"/>
  <c r="DI501" i="1"/>
  <c r="DP22" i="1"/>
  <c r="P497" i="1"/>
  <c r="DP501" i="1"/>
  <c r="EL400" i="1"/>
  <c r="FU387" i="1"/>
  <c r="O26" i="1"/>
  <c r="F61" i="1"/>
  <c r="O471" i="1"/>
  <c r="EH340" i="1"/>
  <c r="P364" i="1"/>
  <c r="FS150" i="1"/>
  <c r="EJ173" i="1"/>
  <c r="AY26" i="1"/>
  <c r="F67" i="1"/>
  <c r="AY471" i="1"/>
  <c r="P443" i="1"/>
  <c r="DG432" i="1"/>
  <c r="V18" i="1"/>
  <c r="F524" i="1"/>
  <c r="P220" i="1"/>
  <c r="DG205" i="1"/>
  <c r="P361" i="1"/>
  <c r="EO340" i="1"/>
  <c r="EN150" i="1"/>
  <c r="P178" i="1"/>
  <c r="S22" i="1"/>
  <c r="S501" i="1"/>
  <c r="F486" i="1"/>
  <c r="J16" i="2" s="1"/>
  <c r="EN26" i="1"/>
  <c r="P64" i="1"/>
  <c r="EN471" i="1"/>
  <c r="CC250" i="1"/>
  <c r="AT259" i="1"/>
  <c r="DQ150" i="1"/>
  <c r="P200" i="1"/>
  <c r="F360" i="1"/>
  <c r="AV340" i="1"/>
  <c r="EQ150" i="1"/>
  <c r="P181" i="1"/>
  <c r="AW205" i="1"/>
  <c r="F224" i="1"/>
  <c r="EN291" i="1"/>
  <c r="P313" i="1"/>
  <c r="EM18" i="1"/>
  <c r="P520" i="1"/>
  <c r="W22" i="1"/>
  <c r="F495" i="1"/>
  <c r="W501" i="1"/>
  <c r="FU150" i="1"/>
  <c r="EL173" i="1"/>
  <c r="AV150" i="1"/>
  <c r="F178" i="1"/>
  <c r="F261" i="1"/>
  <c r="O250" i="1"/>
  <c r="P226" i="1"/>
  <c r="EQ205" i="1"/>
  <c r="AZ91" i="1"/>
  <c r="F129" i="1"/>
  <c r="CA291" i="1"/>
  <c r="AR308" i="1"/>
  <c r="DP150" i="1"/>
  <c r="P199" i="1"/>
  <c r="CC432" i="1"/>
  <c r="AT441" i="1"/>
  <c r="AX18" i="1"/>
  <c r="F508" i="1"/>
  <c r="AZ22" i="1" l="1"/>
  <c r="F482" i="1"/>
  <c r="AZ501" i="1"/>
  <c r="DP18" i="1"/>
  <c r="P527" i="1"/>
  <c r="ER340" i="1"/>
  <c r="P366" i="1"/>
  <c r="F366" i="1"/>
  <c r="AZ340" i="1"/>
  <c r="EH22" i="1"/>
  <c r="EH501" i="1"/>
  <c r="P480" i="1"/>
  <c r="V16" i="2" s="1"/>
  <c r="Q18" i="1"/>
  <c r="F513" i="1"/>
  <c r="F383" i="1"/>
  <c r="AR340" i="1"/>
  <c r="W18" i="1"/>
  <c r="F525" i="1"/>
  <c r="EJ150" i="1"/>
  <c r="P201" i="1"/>
  <c r="DI18" i="1"/>
  <c r="P513" i="1"/>
  <c r="P18" i="1"/>
  <c r="F504" i="1"/>
  <c r="AR150" i="1"/>
  <c r="F201" i="1"/>
  <c r="EO22" i="1"/>
  <c r="EO501" i="1"/>
  <c r="P477" i="1"/>
  <c r="DM18" i="1"/>
  <c r="P523" i="1"/>
  <c r="AY22" i="1"/>
  <c r="AY501" i="1"/>
  <c r="F479" i="1"/>
  <c r="AR387" i="1"/>
  <c r="F428" i="1"/>
  <c r="ER91" i="1"/>
  <c r="P129" i="1"/>
  <c r="ER471" i="1"/>
  <c r="ER205" i="1"/>
  <c r="P229" i="1"/>
  <c r="AW22" i="1"/>
  <c r="F477" i="1"/>
  <c r="AW501" i="1"/>
  <c r="DQ18" i="1"/>
  <c r="P528" i="1"/>
  <c r="F226" i="1"/>
  <c r="AY205" i="1"/>
  <c r="EL150" i="1"/>
  <c r="P191" i="1"/>
  <c r="DH18" i="1"/>
  <c r="P504" i="1"/>
  <c r="F229" i="1"/>
  <c r="AZ205" i="1"/>
  <c r="AT387" i="1"/>
  <c r="F418" i="1"/>
  <c r="Y18" i="1"/>
  <c r="F528" i="1"/>
  <c r="F277" i="1"/>
  <c r="AT250" i="1"/>
  <c r="EJ387" i="1"/>
  <c r="P428" i="1"/>
  <c r="AR250" i="1"/>
  <c r="F287" i="1"/>
  <c r="AT91" i="1"/>
  <c r="F136" i="1"/>
  <c r="EK18" i="1"/>
  <c r="P518" i="1"/>
  <c r="AR432" i="1"/>
  <c r="F469" i="1"/>
  <c r="AT205" i="1"/>
  <c r="F236" i="1"/>
  <c r="F191" i="1"/>
  <c r="AT150" i="1"/>
  <c r="O22" i="1"/>
  <c r="O501" i="1"/>
  <c r="F473" i="1"/>
  <c r="EL26" i="1"/>
  <c r="P77" i="1"/>
  <c r="EL471" i="1"/>
  <c r="EL205" i="1"/>
  <c r="P236" i="1"/>
  <c r="AP18" i="1"/>
  <c r="F510" i="1"/>
  <c r="S18" i="1"/>
  <c r="F516" i="1"/>
  <c r="AR291" i="1"/>
  <c r="F336" i="1"/>
  <c r="EN22" i="1"/>
  <c r="EN501" i="1"/>
  <c r="P476" i="1"/>
  <c r="EL291" i="1"/>
  <c r="P326" i="1"/>
  <c r="AT291" i="1"/>
  <c r="F326" i="1"/>
  <c r="EL432" i="1"/>
  <c r="P459" i="1"/>
  <c r="EL340" i="1"/>
  <c r="P373" i="1"/>
  <c r="AR91" i="1"/>
  <c r="F146" i="1"/>
  <c r="AR26" i="1"/>
  <c r="F87" i="1"/>
  <c r="AR471" i="1"/>
  <c r="P246" i="1"/>
  <c r="EJ205" i="1"/>
  <c r="AT340" i="1"/>
  <c r="F373" i="1"/>
  <c r="AT26" i="1"/>
  <c r="F77" i="1"/>
  <c r="AT471" i="1"/>
  <c r="F459" i="1"/>
  <c r="AT432" i="1"/>
  <c r="EJ432" i="1"/>
  <c r="P469" i="1"/>
  <c r="AS18" i="1"/>
  <c r="F518" i="1"/>
  <c r="EJ26" i="1"/>
  <c r="P87" i="1"/>
  <c r="EJ471" i="1"/>
  <c r="P383" i="1"/>
  <c r="EJ340" i="1"/>
  <c r="DK18" i="1"/>
  <c r="P516" i="1"/>
  <c r="EQ91" i="1"/>
  <c r="P126" i="1"/>
  <c r="X18" i="1"/>
  <c r="F527" i="1"/>
  <c r="AV22" i="1"/>
  <c r="F476" i="1"/>
  <c r="AV501" i="1"/>
  <c r="Y16" i="2"/>
  <c r="F246" i="1"/>
  <c r="AR205" i="1"/>
  <c r="P418" i="1"/>
  <c r="EL387" i="1"/>
  <c r="DG22" i="1"/>
  <c r="DG501" i="1"/>
  <c r="P473" i="1"/>
  <c r="DJ18" i="1"/>
  <c r="P515" i="1"/>
  <c r="EQ471" i="1"/>
  <c r="EJ291" i="1"/>
  <c r="P336" i="1"/>
  <c r="AR22" i="1" l="1"/>
  <c r="AR501" i="1"/>
  <c r="F499" i="1"/>
  <c r="AY18" i="1"/>
  <c r="F509" i="1"/>
  <c r="EL22" i="1"/>
  <c r="P489" i="1"/>
  <c r="U16" i="2" s="1"/>
  <c r="X16" i="2" s="1"/>
  <c r="AC16" i="2" s="1"/>
  <c r="EL501" i="1"/>
  <c r="AW18" i="1"/>
  <c r="F507" i="1"/>
  <c r="DG18" i="1"/>
  <c r="P503" i="1"/>
  <c r="EN18" i="1"/>
  <c r="P506" i="1"/>
  <c r="EH18" i="1"/>
  <c r="P510" i="1"/>
  <c r="AT22" i="1"/>
  <c r="F489" i="1"/>
  <c r="F16" i="2" s="1"/>
  <c r="I16" i="2" s="1"/>
  <c r="N16" i="2" s="1"/>
  <c r="AT501" i="1"/>
  <c r="O18" i="1"/>
  <c r="F503" i="1"/>
  <c r="EO18" i="1"/>
  <c r="P507" i="1"/>
  <c r="EQ22" i="1"/>
  <c r="P479" i="1"/>
  <c r="EQ501" i="1"/>
  <c r="ER22" i="1"/>
  <c r="P482" i="1"/>
  <c r="ER501" i="1"/>
  <c r="AZ18" i="1"/>
  <c r="F512" i="1"/>
  <c r="AV18" i="1"/>
  <c r="F506" i="1"/>
  <c r="EJ22" i="1"/>
  <c r="EJ501" i="1"/>
  <c r="P499" i="1"/>
  <c r="AT18" i="1" l="1"/>
  <c r="F519" i="1"/>
  <c r="EL18" i="1"/>
  <c r="P519" i="1"/>
  <c r="EJ18" i="1"/>
  <c r="P529" i="1"/>
  <c r="ER18" i="1"/>
  <c r="P512" i="1"/>
  <c r="EQ18" i="1"/>
  <c r="P509" i="1"/>
  <c r="AR18" i="1"/>
  <c r="F529" i="1"/>
</calcChain>
</file>

<file path=xl/sharedStrings.xml><?xml version="1.0" encoding="utf-8"?>
<sst xmlns="http://schemas.openxmlformats.org/spreadsheetml/2006/main" count="14141" uniqueCount="692">
  <si>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</si>
  <si>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</si>
  <si>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</si>
  <si>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</si>
  <si>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</si>
  <si>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02-01-10</t>
  </si>
  <si>
    <t>02-01-10 СОТС</t>
  </si>
  <si>
    <t>2024-00375-01-0-ИОС5.3</t>
  </si>
  <si>
    <t>Сметные нормы списания</t>
  </si>
  <si>
    <t>Коды ОКП для ТСН-2001 МГЭ Дополнение 81</t>
  </si>
  <si>
    <t>ТСН-2001 (МГЭ) Доп 81 - Новое строительство</t>
  </si>
  <si>
    <t>Типовой расчет для ТСН-2001 МГЭ, Дополнение 81, строительство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</si>
  <si>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</si>
  <si>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</si>
  <si>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</si>
  <si>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</si>
  <si>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Система охранной сигнализации</t>
  </si>
  <si>
    <t>Новый раздел</t>
  </si>
  <si>
    <t>Демонтажные работы</t>
  </si>
  <si>
    <t>1</t>
  </si>
  <si>
    <t>4.10-80-9</t>
  </si>
  <si>
    <t>Аппараты приемные, приборы приемно-контрольные объектовые на 2 луча / демонтаж контроллера адресных устрорйств</t>
  </si>
  <si>
    <t>1  ШТ.</t>
  </si>
  <si>
    <t>ТСН-2001.4. Доп. 1-42. Сб. 10, т. 80, поз. 9</t>
  </si>
  <si>
    <t>*1)*0</t>
  </si>
  <si>
    <t>*1,2)*0,3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</si>
  <si>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</si>
  <si>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</si>
  <si>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</si>
  <si>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3_12.00.01.11.001
Поправка: Гл.4.Прил.2.2.п.2.2.29_04.00.01.35.003</t>
  </si>
  <si>
    <t>2</t>
  </si>
  <si>
    <t>4.10-170-2</t>
  </si>
  <si>
    <t>Монтаж блока информационно-управляющего (БИУ) в диспетчерской / демонтаж БИУ</t>
  </si>
  <si>
    <t>ТСН-2001.4 Доп. 67, Сб. 10, т. 170, поз. 2</t>
  </si>
  <si>
    <t>3</t>
  </si>
  <si>
    <t>4.10-80-12</t>
  </si>
  <si>
    <t>Аппараты приемные, устройства промежуточные на 5 лучей / демонтаж модуля сопряжения</t>
  </si>
  <si>
    <t>ТСН-2001.4. Доп. 1-42. Сб. 10, т. 80, поз. 12</t>
  </si>
  <si>
    <t>4</t>
  </si>
  <si>
    <t>4.10-80-13</t>
  </si>
  <si>
    <t>Аппараты приемные, устройства промежуточные на 1 луч / демонтаж адресной метки</t>
  </si>
  <si>
    <t>ТСН-2001.4. Доп. 1-42. Сб. 10, т. 80, поз. 13</t>
  </si>
  <si>
    <t>5</t>
  </si>
  <si>
    <t>Аппараты приемные, приборы приемно-контрольные объектовые на 2 луча / демонтаж контроллера охранно-пожарного</t>
  </si>
  <si>
    <t>6</t>
  </si>
  <si>
    <t>4.10-80-5</t>
  </si>
  <si>
    <t>Аппараты приемные, приборы ПС приемно-контрольные, пусковые, прибор ПС на 1 луч / демонтаж устройства охранной сигнализации</t>
  </si>
  <si>
    <t>ТСН-2001.4. Доп. 1-42. Сб. 10, т. 80, поз. 5</t>
  </si>
  <si>
    <t>7</t>
  </si>
  <si>
    <t>4.10-81-4</t>
  </si>
  <si>
    <t>Извещатели ОС автоматические, контактный, магнито-контактный на открывание окон, дверей</t>
  </si>
  <si>
    <t>ТСН-2001.4. Доп. 1-42. Сб. 10, т. 81, поз. 4</t>
  </si>
  <si>
    <t>8</t>
  </si>
  <si>
    <t>4.10-81-5</t>
  </si>
  <si>
    <t>Извещатели ОС автоматические, ударно-контактный, бесконтактный электромагнитный или пьезоэлектрический, устанавливаемый на стекле / демонтаж извещателей</t>
  </si>
  <si>
    <t>ТСН-2001.4. Доп. 1-42. Сб. 10, т. 81, поз. 5</t>
  </si>
  <si>
    <t>9</t>
  </si>
  <si>
    <t>4.10-76-10</t>
  </si>
  <si>
    <t>Монтаж ключа или кнопки на панели / демонтаж кнопок тревожных</t>
  </si>
  <si>
    <t>ТСН-2001.4 Доп. 79, Сб. 10, т. 76, поз. 10</t>
  </si>
  <si>
    <t>ТСН-2001.4-10. Монтаж радиотелевизионного и электронного оборудования</t>
  </si>
  <si>
    <t>ТСН-2001.4-10-2</t>
  </si>
  <si>
    <t>10</t>
  </si>
  <si>
    <t>4.10-81-6</t>
  </si>
  <si>
    <t>Конструкция для установки извещателя / демонтаж кронштейна для извещателя</t>
  </si>
  <si>
    <t>ТСН-2001.4. Доп. 1-42. Сб. 10, т. 81, поз. 6</t>
  </si>
  <si>
    <t>11</t>
  </si>
  <si>
    <t>4.10-173-2</t>
  </si>
  <si>
    <t>Монтаж блока бесперебойного питания (ББП) в диспетчерской / демонтаж источников электропитания</t>
  </si>
  <si>
    <t>ТСН-2001.4 Доп. 67, Сб. 10, т. 173, поз. 2</t>
  </si>
  <si>
    <t>12</t>
  </si>
  <si>
    <t>Монтаж блока бесперебойного питания (ББП) в диспетчерской / демонтаж аккумуляторных батарей</t>
  </si>
  <si>
    <t>13</t>
  </si>
  <si>
    <t>6.67-6-1</t>
  </si>
  <si>
    <t>Демонтаж кабеля</t>
  </si>
  <si>
    <t>100 м</t>
  </si>
  <si>
    <t>ТСН-2001.6. Доп. 1-42. Сб. 67, т. 6, поз. 1</t>
  </si>
  <si>
    <t>*1</t>
  </si>
  <si>
    <t>*1,2</t>
  </si>
  <si>
    <t>Ремонтно-строительные работы</t>
  </si>
  <si>
    <t>ТСН-2001.6-67. Электромонтажные работы</t>
  </si>
  <si>
    <t>ТСН-2001.6-67-1</t>
  </si>
  <si>
    <t>Поправка: Гл.12.Прил.8.п.8. 3_12.00.01.11.001</t>
  </si>
  <si>
    <t>14</t>
  </si>
  <si>
    <t>6.67-5-12</t>
  </si>
  <si>
    <t>Демонтаж трубных проводок, трубы в борозде диаметром 25 мм / ПВХ</t>
  </si>
  <si>
    <t>ТСН-2001.6. Доп. 1-42. Сб. 67, т. 5, поз. 12</t>
  </si>
  <si>
    <t>15</t>
  </si>
  <si>
    <t>4.8-60-1</t>
  </si>
  <si>
    <t>Монтаж устройства сигнально-блокировочного / демонтаж изолятора шлейфа</t>
  </si>
  <si>
    <t>ТСН-2001.4 Доп. 79, Сб. 8, т. 60, поз. 1</t>
  </si>
  <si>
    <t>ТСН-2001.4-8. Электротехнические установки</t>
  </si>
  <si>
    <t>ТСН-2001.4-8-1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</si>
  <si>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</si>
  <si>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</si>
  <si>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</si>
  <si>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</si>
  <si>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</si>
  <si>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</si>
  <si>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</si>
  <si>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</si>
  <si>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</si>
  <si>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</si>
  <si>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</si>
  <si>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</si>
  <si>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</si>
  <si>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</si>
  <si>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</si>
  <si>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</si>
  <si>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</si>
  <si>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</si>
  <si>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</si>
  <si>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</si>
  <si>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</si>
  <si>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</si>
  <si>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</si>
  <si>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</si>
  <si>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</si>
  <si>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</si>
  <si>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</si>
  <si>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</si>
  <si>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</si>
  <si>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</si>
  <si>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</si>
  <si>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</si>
  <si>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</si>
  <si>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</si>
  <si>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</si>
  <si>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</si>
  <si>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</si>
  <si>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</si>
  <si>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</si>
  <si>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</si>
  <si>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</si>
  <si>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</si>
  <si>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</si>
  <si>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</si>
  <si>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</si>
  <si>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</si>
  <si>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</si>
  <si>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</si>
  <si>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</si>
  <si>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</si>
  <si>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</si>
  <si>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</si>
  <si>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</si>
  <si>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</si>
  <si>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Приборы управления</t>
  </si>
  <si>
    <t>16</t>
  </si>
  <si>
    <t>Аппараты приемные, приборы приемно-контрольные объектовые на 2 луча</t>
  </si>
  <si>
    <t>17</t>
  </si>
  <si>
    <t>КА, п.1</t>
  </si>
  <si>
    <t>Контроллер адресных устройств R3-КАУ2</t>
  </si>
  <si>
    <t>ШТ</t>
  </si>
  <si>
    <t>Оборудование, отсутствующие в СНБ</t>
  </si>
  <si>
    <t>Оборуд. КА</t>
  </si>
  <si>
    <t>[30 837 / 1,22 /  9,84] +  3% Трансп +  1,2% Заг.скл</t>
  </si>
  <si>
    <t>1,2</t>
  </si>
  <si>
    <t>18</t>
  </si>
  <si>
    <t>Монтаж блока информационно-управляющего (БИУ) в диспетчерской</t>
  </si>
  <si>
    <t>19</t>
  </si>
  <si>
    <t>КА, п.2</t>
  </si>
  <si>
    <t>Блок индикации и управления R3-Рубеж-БИУ</t>
  </si>
  <si>
    <t>[20 075 / 1,22 /  9,84] +  3% Трансп +  1,2% Заг.скл</t>
  </si>
  <si>
    <t>20</t>
  </si>
  <si>
    <t>Аппараты приемные, устройства промежуточные на 5 лучей</t>
  </si>
  <si>
    <t>21</t>
  </si>
  <si>
    <t>КА, п.3</t>
  </si>
  <si>
    <t>Модуль сопряжения R3-МС-Е</t>
  </si>
  <si>
    <t>[24 340 / 1,22 /  9,84] +  3% Трансп +  1,2% Заг.скл</t>
  </si>
  <si>
    <t>22</t>
  </si>
  <si>
    <t>Аппараты приемные, устройства промежуточные на 1 луч</t>
  </si>
  <si>
    <t>23</t>
  </si>
  <si>
    <t>КА, п.4</t>
  </si>
  <si>
    <t>Адресная метка AM-1-R3</t>
  </si>
  <si>
    <t>[942 / 1,22 /  9,84] +  3% Трансп +  1,2% Заг.скл</t>
  </si>
  <si>
    <t>24</t>
  </si>
  <si>
    <t>25</t>
  </si>
  <si>
    <t>КА, п.5</t>
  </si>
  <si>
    <t>Контроллер охранно-пожарный Приток-А-КОП-02</t>
  </si>
  <si>
    <t>[17 350,2 / 1,22 /  9,84] +  3% Трансп +  1,2% Заг.скл</t>
  </si>
  <si>
    <t>26</t>
  </si>
  <si>
    <t>Аппараты приемные, приборы ПС приемно-контрольные, пусковые, прибор ПС на 1 луч</t>
  </si>
  <si>
    <t>27</t>
  </si>
  <si>
    <t>КА, п.6</t>
  </si>
  <si>
    <t>Устрйство охранной беспроводной сигнализации Астра-Р</t>
  </si>
  <si>
    <t>[3 508 / 1,22 /  9,84] +  3% Трансп +  1,2% Заг.скл</t>
  </si>
  <si>
    <t>Извещатели</t>
  </si>
  <si>
    <t>28</t>
  </si>
  <si>
    <t>29</t>
  </si>
  <si>
    <t>13.1-2-141</t>
  </si>
  <si>
    <t>шт.</t>
  </si>
  <si>
    <t>ТСН-2001.13-2. Доп. 34. 13.1-2-141</t>
  </si>
  <si>
    <t>Сметная стоимость оборудования</t>
  </si>
  <si>
    <t>ТСН-2001.13. Сметная стоимость оборудования</t>
  </si>
  <si>
    <t>ТСН-2001.13</t>
  </si>
  <si>
    <t>30</t>
  </si>
  <si>
    <t>КА, п.7</t>
  </si>
  <si>
    <t>Извещатель охранный магнитоуправляемый адресный ИО 10220-2</t>
  </si>
  <si>
    <t>[629 / 1,22 /  9,84] +  3% Трансп +  1,2% Заг.скл</t>
  </si>
  <si>
    <t>31</t>
  </si>
  <si>
    <t>Извещатели ОС автоматические, ударно-контактный, бесконтактный электромагнитный или пьезоэлектрический, устанавливаемый на стекле</t>
  </si>
  <si>
    <t>32</t>
  </si>
  <si>
    <t>КА, п.8</t>
  </si>
  <si>
    <t>Извещатель охранный поверхностный звуковой адресный ИО 32920-2</t>
  </si>
  <si>
    <t>[2 208 / 1,22 /  9,84] +  3% Трансп +  1,2% Заг.скл</t>
  </si>
  <si>
    <t>33</t>
  </si>
  <si>
    <t>КА, п.9</t>
  </si>
  <si>
    <t>Извещатель охранный объемный оптико-электронный адресный ИО 40920-2</t>
  </si>
  <si>
    <t>[2 228 / 1,22 /  9,84] +  3% Трансп +  1,2% Заг.скл</t>
  </si>
  <si>
    <t>34</t>
  </si>
  <si>
    <t>КА, п.10</t>
  </si>
  <si>
    <t>Извещатель охранный объемный оптико-электронный адресный ИО 30920-2</t>
  </si>
  <si>
    <t>[2 182 / 1,22 /  9,84] +  3% Трансп +  1,2% Заг.скл</t>
  </si>
  <si>
    <t>35</t>
  </si>
  <si>
    <t>Монтаж ключа или кнопки на панели</t>
  </si>
  <si>
    <t>36</t>
  </si>
  <si>
    <t>13.1-2-401</t>
  </si>
  <si>
    <t>Извещатель охранный ручной точечный электроконтактный ИО 101-7. Максимальный ток, коммутируемый контактами 0,2 А, максимальное напряжение, коммутируемое контактами не более 72 В, диапазон рабочих температур от -30 до +50°С, габаритные размеры 85х60х25 мм</t>
  </si>
  <si>
    <t>ТСН-2001.13-2. Доп. 34. 13.1-2-401</t>
  </si>
  <si>
    <t>37</t>
  </si>
  <si>
    <t>КА, п.11</t>
  </si>
  <si>
    <t>Кнопка тревожная адресная KT-R3</t>
  </si>
  <si>
    <t>[1 632 / 1,22 /  9,84] +  3% Трансп +  1,2% Заг.скл</t>
  </si>
  <si>
    <t>РИП и боксы</t>
  </si>
  <si>
    <t>38</t>
  </si>
  <si>
    <t>Монтаж блока бесперебойного питания (ББП) в диспетчерской</t>
  </si>
  <si>
    <t>39</t>
  </si>
  <si>
    <t>КА, п.12</t>
  </si>
  <si>
    <t>Источник вторичного электропитания резервированный ИВЭПР 12/3,5 исп.2х17-Р БР</t>
  </si>
  <si>
    <t>[6 716 / 1,22 /  9,84] +  3% Трансп +  1,2% Заг.скл</t>
  </si>
  <si>
    <t>40</t>
  </si>
  <si>
    <t>КА, п.13</t>
  </si>
  <si>
    <t>Источник вторичного электропитания резервированный ИВЭПР 12/2 исп.2х7-Р БР</t>
  </si>
  <si>
    <t>[4 575 / 1,22 /  9,84] +  3% Трансп +  1,2% Заг.скл</t>
  </si>
  <si>
    <t>41</t>
  </si>
  <si>
    <t>КА, п.14</t>
  </si>
  <si>
    <t>Источник бесперебойного питания SKAT-UPS 1000/600</t>
  </si>
  <si>
    <t>[28 700 / 1,22 /  9,84] +  3% Трансп +  1,2% Заг.скл</t>
  </si>
  <si>
    <t>42</t>
  </si>
  <si>
    <t>КА, п.15</t>
  </si>
  <si>
    <t>Бокс резервного питания БР12 исп.2х17</t>
  </si>
  <si>
    <t>[5 521 / 1,22 /  9,84] +  3% Трансп +  1,2% Заг.скл</t>
  </si>
  <si>
    <t>АКБ</t>
  </si>
  <si>
    <t>43</t>
  </si>
  <si>
    <t>44</t>
  </si>
  <si>
    <t>КА, п.16</t>
  </si>
  <si>
    <t>Аккумуляторная батарея 18 Ач PTK-BATTERY 12-18</t>
  </si>
  <si>
    <t>[4 693,43 / 1,22 /  9,84] +  3% Трансп +  1,2% Заг.скл</t>
  </si>
  <si>
    <t>45</t>
  </si>
  <si>
    <t>13.1-1-20</t>
  </si>
  <si>
    <t>Батарея аккумуляторная, емкость 7 А·ч, напряжение 12 В</t>
  </si>
  <si>
    <t>ТСН-2001.13-2. Доп. 40. 13.1-1-20</t>
  </si>
  <si>
    <t>Кабельные изделия</t>
  </si>
  <si>
    <t>46</t>
  </si>
  <si>
    <t>4.10-186-5</t>
  </si>
  <si>
    <t>Прокладка кабеля связи симметричного для цифровых систем передачи в трубах гофрированных: по бетонным и кирпичным поверхностям стен и потолка</t>
  </si>
  <si>
    <t>ТСН-2001.4 Доп. 79, Сб. 10, т. 186, поз. 5</t>
  </si>
  <si>
    <t>46,1</t>
  </si>
  <si>
    <t>КА, п.17</t>
  </si>
  <si>
    <t>Гибкая гофрированная ПЛЛ труба без содержания галогенов, ДУ20, O 19.7 / 14.8 мм, протяжка, цвет белый</t>
  </si>
  <si>
    <t>м</t>
  </si>
  <si>
    <t>Материалы, отсутствующие в СНБ (Строительные)</t>
  </si>
  <si>
    <t>МР КА Строительные</t>
  </si>
  <si>
    <t>[133 / 1,22 /  7,57] +  2% Заг.скл</t>
  </si>
  <si>
    <t>0</t>
  </si>
  <si>
    <t>46,2</t>
  </si>
  <si>
    <t>1.21-5-1136</t>
  </si>
  <si>
    <t>Держатель пластиковый с защелкой для крепления труб, рукавов и гибких вводов диаметром 20 мм</t>
  </si>
  <si>
    <t>100 шт.</t>
  </si>
  <si>
    <t>ТСН-2001.1 Доп. 73, Р. 21, о. 5, поз. 1136</t>
  </si>
  <si>
    <t>47</t>
  </si>
  <si>
    <t>КА, п.18</t>
  </si>
  <si>
    <t>Кабель сигнальный КСВВнг(А)-LSLTx 1х2х0,8 мм</t>
  </si>
  <si>
    <t>[49,43 / 1,22 /  7,57] +  2% Заг.скл</t>
  </si>
  <si>
    <t>48</t>
  </si>
  <si>
    <t>4.8-79-1</t>
  </si>
  <si>
    <t>Прокладка кабеля напряжением до 35 кВ по установленным конструкциям и лоткам с креплением на поворотах и в конце трассы при массе 1 м до 1 кг</t>
  </si>
  <si>
    <t>100 М КАБЕЛЯ</t>
  </si>
  <si>
    <t>ТСН-2001.4 Доп. 79, Сб. 8, т. 79, поз. 1</t>
  </si>
  <si>
    <t>49</t>
  </si>
  <si>
    <t>50</t>
  </si>
  <si>
    <t>КА, п.19</t>
  </si>
  <si>
    <t>Кабель для СКС/IP  ParLan F/UTP Cat5e PVCLSнг(А)-LSLTx 2х2х0,52</t>
  </si>
  <si>
    <t>[128 / 1,22 /  7,57] +  2% Заг.скл</t>
  </si>
  <si>
    <t>АРМ</t>
  </si>
  <si>
    <t>51</t>
  </si>
  <si>
    <t>4.10-75-6</t>
  </si>
  <si>
    <t>Монтаж аппаратуры настольной массой до 20 кг</t>
  </si>
  <si>
    <t>ТСН-2001.4 Доп. 79, Сб. 10, т. 75, поз. 6</t>
  </si>
  <si>
    <t>51,1</t>
  </si>
  <si>
    <t>13.1-14-104</t>
  </si>
  <si>
    <t>Клавиатура компьютерная проводная, интерфейс USB. Материал корпуса пластик, влагозащищенная конструкция, индикатор Caps Lock, индикатор Num Lock</t>
  </si>
  <si>
    <t>ТСН-2001.13-2. Доп. 34. 13.1-14-104</t>
  </si>
  <si>
    <t>51,2</t>
  </si>
  <si>
    <t>13.1-14-105</t>
  </si>
  <si>
    <t>Мышь компьютерная проводная оптическая, интерфейс USB</t>
  </si>
  <si>
    <t>ТСН-2001.13-2. Доп. 34. 13.1-14-105</t>
  </si>
  <si>
    <t>52</t>
  </si>
  <si>
    <t>КА, п.20</t>
  </si>
  <si>
    <t>Моноблок AMD Ryzen 5/DDR4/8Gb/SSD-256Gb/HDD500Gb/500W RDW AMD 23,8"</t>
  </si>
  <si>
    <t>[58 615 / 1,22 /  9,84] +  3% Трансп +  1,2% Заг.скл</t>
  </si>
  <si>
    <t>53</t>
  </si>
  <si>
    <t>КА, п.21</t>
  </si>
  <si>
    <t>ПО "FireSec Оперативная задача ОПС"</t>
  </si>
  <si>
    <t>[22 488,13 / 1,22 /  9,84] +  3% Трансп +  1,2% Заг.скл</t>
  </si>
  <si>
    <t>54</t>
  </si>
  <si>
    <t>КА, п.22</t>
  </si>
  <si>
    <t>ПО "FireSec 3 Мультисерверная задача"</t>
  </si>
  <si>
    <t>[158 558 / 1,22 /  9,84] +  3% Трансп +  1,2% Заг.скл</t>
  </si>
  <si>
    <t>Материалы</t>
  </si>
  <si>
    <t>55</t>
  </si>
  <si>
    <t>Конструкция для установки извещателя</t>
  </si>
  <si>
    <t>56</t>
  </si>
  <si>
    <t>КА, п.23</t>
  </si>
  <si>
    <t>Кронштейн универсальный для охранных извещателей</t>
  </si>
  <si>
    <t>57</t>
  </si>
  <si>
    <t>4.8-86-2</t>
  </si>
  <si>
    <t>Герметизация прохода при вводе кабелей, заделка прохода при прокладке кабелей по стенам и потолкам</t>
  </si>
  <si>
    <t>100 М УЛОЖЕННОГО КАБЕЛЯ</t>
  </si>
  <si>
    <t>ТСН-2001.4 Доп. 67, Сб. 8, т. 86, поз. 2</t>
  </si>
  <si>
    <t>58</t>
  </si>
  <si>
    <t>1.1-1-7994</t>
  </si>
  <si>
    <t>Шнур асбестовый, общего назначения, типа ШАОН, диаметр от 3 до 5 мм</t>
  </si>
  <si>
    <t>т</t>
  </si>
  <si>
    <t>ТСН-2001.1 Доп. 79, Р. 1, о. 1, поз. 7994</t>
  </si>
  <si>
    <t>Материалы строительные</t>
  </si>
  <si>
    <t>ТСН-2001.1 Материалы строительные</t>
  </si>
  <si>
    <t>ТСН-2001.1-1</t>
  </si>
  <si>
    <t>59</t>
  </si>
  <si>
    <t>КА, п.24</t>
  </si>
  <si>
    <t>Пена однокомпонентная огнезащитная DF 1201, баллон 740 мл</t>
  </si>
  <si>
    <t>[2 934,83 / 1,22 /  7,57] +  2% Заг.скл</t>
  </si>
  <si>
    <t>Разное</t>
  </si>
  <si>
    <t>60</t>
  </si>
  <si>
    <t>Монтаж устройства сигнально-блокировочного</t>
  </si>
  <si>
    <t>60,1</t>
  </si>
  <si>
    <t>1.1-1-8146</t>
  </si>
  <si>
    <t>Болты стальные оцинкованные с шестигранной головкой, с полной резьбой, с гайкой оцинкованной, М6, длина от 12 до 60 мм</t>
  </si>
  <si>
    <t>кг</t>
  </si>
  <si>
    <t>ТСН-2001.1 Доп. 79, Р. 1, о. 1, поз. 8146</t>
  </si>
  <si>
    <t>61</t>
  </si>
  <si>
    <t>КА, п.25</t>
  </si>
  <si>
    <t>Изолятор шлейфа ИЗ-1-R3</t>
  </si>
  <si>
    <t>[632,88 / 1,22 /  9,84] +  3% Трансп +  1,2% Заг.скл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</si>
  <si>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</si>
  <si>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</si>
  <si>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</si>
  <si>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</si>
  <si>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</si>
  <si>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</si>
  <si>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</si>
  <si>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</si>
  <si>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</si>
  <si>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</si>
  <si>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Базовый уровень цен</t>
  </si>
  <si>
    <t>Сборник индексов</t>
  </si>
  <si>
    <t>Коэффициенты к ТСН-2001 МГЭ Дополнение 81, строительство</t>
  </si>
  <si>
    <t>Текущий уровень цен</t>
  </si>
  <si>
    <t>219/81</t>
  </si>
  <si>
    <t>Коэффициенты к ТСН-2001.13-2 Дополнение 47</t>
  </si>
  <si>
    <t>64/47</t>
  </si>
  <si>
    <t>_OBSM_</t>
  </si>
  <si>
    <t>9999990008</t>
  </si>
  <si>
    <t>Трудозатраты рабочих</t>
  </si>
  <si>
    <t>чел.-ч.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</si>
  <si>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</si>
  <si>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</si>
  <si>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</si>
  <si>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</si>
  <si>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</si>
  <si>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</si>
  <si>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</si>
  <si>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</si>
  <si>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</si>
  <si>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1.23-11-3</t>
  </si>
  <si>
    <t>ТСН-2001.1 Доп. 79, Р. 23, о. 11, поз. 3</t>
  </si>
  <si>
    <t>Провод монтажный с гибкой жилой из медной луженой проволоки с комбинированной волокнистой и поливинилхлоридной изоляцией, марка МГШВ, напряжение 1000 В, число жил и сечение 1х0,35 мм2</t>
  </si>
  <si>
    <t>км</t>
  </si>
  <si>
    <t>9999990001</t>
  </si>
  <si>
    <t>Масса мусора</t>
  </si>
  <si>
    <t>1.1-1-2633</t>
  </si>
  <si>
    <t>ТСН-2001.1 Доп. 79, Р. 1, о. 1, поз. 2633</t>
  </si>
  <si>
    <t>Шплинты оцинкованные, диаметр 2,5 мм</t>
  </si>
  <si>
    <t>1.3-4-124</t>
  </si>
  <si>
    <t>ТСН-2001.1 Доп. 80, Р. 3, о. 4, поз. 124</t>
  </si>
  <si>
    <t>Сталь арматурная для изготовления арматурных изделий на строительной площадке, ГОСТ 5781-82, ГОСТ 34028-2016, класс А-I (А240), диаметр 6 мм</t>
  </si>
  <si>
    <t>2.1-30-10</t>
  </si>
  <si>
    <t>ТСН-2001.2. Доп. 68. п.1-30-10 (304101)</t>
  </si>
  <si>
    <t>Перфораторы, мощность до 800 Вт</t>
  </si>
  <si>
    <t>маш.-ч</t>
  </si>
  <si>
    <t>2.1-30-56</t>
  </si>
  <si>
    <t>ТСН-2001.2. Доп. 68. п.1-30-56 (309101)</t>
  </si>
  <si>
    <t>Шуруповерты</t>
  </si>
  <si>
    <t>1.1-1-2494</t>
  </si>
  <si>
    <t>ТСН-2001.1 Доп. 79, Р. 1, о. 1, поз. 2494</t>
  </si>
  <si>
    <t>Шурупы-саморезы, диаметр 3,5 мм, длина 45 мм</t>
  </si>
  <si>
    <t>1.1-1-3693</t>
  </si>
  <si>
    <t>ТСН-2001.1 Доп. 80, Р. 1, о. 1, поз. 3693</t>
  </si>
  <si>
    <t>Дюбель распорный пластмассовый, диаметр 6 мм, длина 40 мм</t>
  </si>
  <si>
    <t>1.21-5-1180</t>
  </si>
  <si>
    <t>ТСН-2001.1 Доп. 79, Р. 21, о. 5, поз. 1180</t>
  </si>
  <si>
    <t>Бирка маркировочная для кабелей и проводов, типа У134 У3,5</t>
  </si>
  <si>
    <t>1000 шт.</t>
  </si>
  <si>
    <t>1.21-5-926</t>
  </si>
  <si>
    <t>ТСН-2001.1 Доп. 67, Р. 21, о. 5, поз. 926</t>
  </si>
  <si>
    <t>Хомут (стяжка) кабельный из полиамида, размеры 3,6х200 мм</t>
  </si>
  <si>
    <t>1.7-3-130</t>
  </si>
  <si>
    <t>ТСН-2001.1 Доп. 65, Р. 7, о. 3, поз. 130</t>
  </si>
  <si>
    <t>Бур с наконечником из твердого сплава, с хвостовиком SDS-plus, диаметр 6 мм, длина 210 мм</t>
  </si>
  <si>
    <t>22.21.29.120, п.17</t>
  </si>
  <si>
    <t>2.1-18-7</t>
  </si>
  <si>
    <t>ТСН-2001.2. Доп. 68. п.1-18-7 (183001)</t>
  </si>
  <si>
    <t>Автомобили грузовые бортовые, грузоподъемность до 5 т</t>
  </si>
  <si>
    <t>9999990009</t>
  </si>
  <si>
    <t>2.1-4-31</t>
  </si>
  <si>
    <t>ТСН-2001.2. Доп. 68. п.1-4-31 (042903)</t>
  </si>
  <si>
    <t>Лебедки электрические, тяговое усилие до 14,71 кН (1,5 тс)</t>
  </si>
  <si>
    <t>2.1-4-45</t>
  </si>
  <si>
    <t>ТСН-2001.2. Доп. 68. п.1-4-45 (043403)</t>
  </si>
  <si>
    <t>Домкраты гидравлические, грузоподъемность до 100 т</t>
  </si>
  <si>
    <t>1.1-1-3607</t>
  </si>
  <si>
    <t>ТСН-2001.1 Доп. 79, Р. 1, о. 1, поз. 3607</t>
  </si>
  <si>
    <t>Шурупы с полукруглой головкой, диаметр 4 мм, длина 40 мм</t>
  </si>
  <si>
    <t>1.1-1-491</t>
  </si>
  <si>
    <t>ТСН-2001.1 Доп. 79, Р. 1, о. 1, поз. 491</t>
  </si>
  <si>
    <t>Лак битумный, типа БТ-123</t>
  </si>
  <si>
    <t>1.1-1-8031</t>
  </si>
  <si>
    <t>ТСН-2001.1 Доп. 66, Р. 1, о. 1, поз. 8031</t>
  </si>
  <si>
    <t>Роль свинцовая, марка С1, толщина от 1 до 1,5 мм</t>
  </si>
  <si>
    <t>1.1-1-944</t>
  </si>
  <si>
    <t>ТСН-2001.1 Доп. 79, Р. 1, о. 1, поз. 944</t>
  </si>
  <si>
    <t>Припой оловянно-свинцовый, в прутках, диаметр 8 мм, типа ПОС-30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</si>
  <si>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</si>
  <si>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</si>
  <si>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</si>
  <si>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1.21-5-798</t>
  </si>
  <si>
    <t>ТСН-2001.1 Доп. 67, Р. 21, о. 5, поз. 798</t>
  </si>
  <si>
    <t>Лента монтажная, типа ЛМ-5</t>
  </si>
  <si>
    <t>1.21-5-800</t>
  </si>
  <si>
    <t>ТСН-2001.1 Доп. 67, Р. 21, о. 5, поз. 800</t>
  </si>
  <si>
    <t>Кнопка для ленты ЛМ, типа 3,5</t>
  </si>
  <si>
    <t>1.1-2-63</t>
  </si>
  <si>
    <t>ТСН-2001.1. Доп. 1-42. Р. 1, о. 2, поз. 63</t>
  </si>
  <si>
    <t>Нитки суровые</t>
  </si>
  <si>
    <t>г</t>
  </si>
  <si>
    <t>1.21-5-1229</t>
  </si>
  <si>
    <t>ТСН-2001.1 Доп. 67, Р. 21, о. 5, поз. 1229</t>
  </si>
  <si>
    <t>Лента электроизоляционная, термостойкая, ширина 26 мм, толщина от 0,5 до 0,8 мм, типа ЛЭТСАР</t>
  </si>
  <si>
    <t>4372420000</t>
  </si>
  <si>
    <t>Блоки информационно-управляющие (БИУ)</t>
  </si>
  <si>
    <t>3428400000</t>
  </si>
  <si>
    <t>Ключи или кнопки пусковые</t>
  </si>
  <si>
    <t>4372910000</t>
  </si>
  <si>
    <t>Блоки бесперебойного питания (ББП)</t>
  </si>
  <si>
    <t>1297020000</t>
  </si>
  <si>
    <t>Болты строительные с гайками и шайбами (1297030000, 1610000000, 1620000000, 1680000000)</t>
  </si>
  <si>
    <t>3428000000</t>
  </si>
  <si>
    <t>Устройства сигнально-блокировочные</t>
  </si>
  <si>
    <t>2248200000</t>
  </si>
  <si>
    <t>Трубы электротехнические гофрированные (2248100000)</t>
  </si>
  <si>
    <t>3449651000</t>
  </si>
  <si>
    <t>Держатели пластиковые для крепления труб</t>
  </si>
  <si>
    <t>3574100000</t>
  </si>
  <si>
    <t>Кабели связи симметричные (3573110000)</t>
  </si>
  <si>
    <t>3449950000</t>
  </si>
  <si>
    <t>Скобы кабельные (накладные)</t>
  </si>
  <si>
    <t>3500000000</t>
  </si>
  <si>
    <t>Кабели напряжением до 35 кВ</t>
  </si>
  <si>
    <t>3599190000</t>
  </si>
  <si>
    <t>Оконцеватели (капы) термоусаживаемые</t>
  </si>
  <si>
    <t>5291000000</t>
  </si>
  <si>
    <t>Крепежные изделия</t>
  </si>
  <si>
    <t>5295300000</t>
  </si>
  <si>
    <t>Столы аппаратные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</si>
  <si>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</si>
  <si>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</si>
  <si>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</si>
  <si>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</si>
  <si>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</si>
  <si>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</si>
  <si>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</si>
  <si>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</si>
  <si>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1.1</t>
  </si>
  <si>
    <t>КА</t>
  </si>
  <si>
    <t>ООО «ВИДЕОГЛАЗ ЦЕНТР»</t>
  </si>
  <si>
    <t>7719840097</t>
  </si>
  <si>
    <t>стр. п.</t>
  </si>
  <si>
    <t>1.2</t>
  </si>
  <si>
    <t>ООО «Системы видеонаблюдения»</t>
  </si>
  <si>
    <t>2221217421</t>
  </si>
  <si>
    <t>1.3</t>
  </si>
  <si>
    <t>ООО «ДЕАН СБ»</t>
  </si>
  <si>
    <t>0105070781</t>
  </si>
  <si>
    <t>2.1</t>
  </si>
  <si>
    <t>2.2</t>
  </si>
  <si>
    <t>2.3</t>
  </si>
  <si>
    <t>ООО «ДЕАН СБ» ОП Актив</t>
  </si>
  <si>
    <t>3.1</t>
  </si>
  <si>
    <t>3.2</t>
  </si>
  <si>
    <t>3.3</t>
  </si>
  <si>
    <t>4.1</t>
  </si>
  <si>
    <t>АО "ЧИП и ДИП"</t>
  </si>
  <si>
    <t>7729108750</t>
  </si>
  <si>
    <t>4.2</t>
  </si>
  <si>
    <t>ООО "Тантос"</t>
  </si>
  <si>
    <t>9721058155</t>
  </si>
  <si>
    <t>4.3</t>
  </si>
  <si>
    <t>АО «ТД ЭЛЕКТРОТЕХМОНТАЖ»</t>
  </si>
  <si>
    <t>7842224734</t>
  </si>
  <si>
    <t>5.1</t>
  </si>
  <si>
    <t>5.2</t>
  </si>
  <si>
    <t>ООО «ТД ТИНКО»</t>
  </si>
  <si>
    <t>7722753969</t>
  </si>
  <si>
    <t>5.3</t>
  </si>
  <si>
    <t>6.1</t>
  </si>
  <si>
    <t>6.2</t>
  </si>
  <si>
    <t>ООО "ТД Тинко"</t>
  </si>
  <si>
    <t>7702680818</t>
  </si>
  <si>
    <t>6.3</t>
  </si>
  <si>
    <t>7.1</t>
  </si>
  <si>
    <t>7.2</t>
  </si>
  <si>
    <t>7.3</t>
  </si>
  <si>
    <t>8.1</t>
  </si>
  <si>
    <t>8.2</t>
  </si>
  <si>
    <t>8.3</t>
  </si>
  <si>
    <t>9.1</t>
  </si>
  <si>
    <t>9.2</t>
  </si>
  <si>
    <t>9.3</t>
  </si>
  <si>
    <t>10.1</t>
  </si>
  <si>
    <t>10.2</t>
  </si>
  <si>
    <t>10.3</t>
  </si>
  <si>
    <t>11.1</t>
  </si>
  <si>
    <t>11.2</t>
  </si>
  <si>
    <t>11.3</t>
  </si>
  <si>
    <t>12.1</t>
  </si>
  <si>
    <t>12.2</t>
  </si>
  <si>
    <t>12.3</t>
  </si>
  <si>
    <t>13.1</t>
  </si>
  <si>
    <t>13.2</t>
  </si>
  <si>
    <t>13.3</t>
  </si>
  <si>
    <t>14.1</t>
  </si>
  <si>
    <t>14.2</t>
  </si>
  <si>
    <t>14.3</t>
  </si>
  <si>
    <t>15.1</t>
  </si>
  <si>
    <t>15.2</t>
  </si>
  <si>
    <t>15.3</t>
  </si>
  <si>
    <t>16.1</t>
  </si>
  <si>
    <t>16.2</t>
  </si>
  <si>
    <t>ООО «ЭНСИ»</t>
  </si>
  <si>
    <t>6658466063</t>
  </si>
  <si>
    <t>16.3</t>
  </si>
  <si>
    <t>ООО "Ай Ви ЭС Систем"</t>
  </si>
  <si>
    <t>7722389195</t>
  </si>
  <si>
    <t>17.1</t>
  </si>
  <si>
    <t>17.2</t>
  </si>
  <si>
    <t>АО «ТД Электротехмонтаж»</t>
  </si>
  <si>
    <t>17.3</t>
  </si>
  <si>
    <t>18.1</t>
  </si>
  <si>
    <t>18.2</t>
  </si>
  <si>
    <t>18.3</t>
  </si>
  <si>
    <t>19.1</t>
  </si>
  <si>
    <t>19.2</t>
  </si>
  <si>
    <t>ООО "ТД Твоя безопасность"</t>
  </si>
  <si>
    <t>9715308907</t>
  </si>
  <si>
    <t>19.3</t>
  </si>
  <si>
    <t>ООО «Торговый Дом Планета Безопасности»</t>
  </si>
  <si>
    <t>2723133221</t>
  </si>
  <si>
    <t>20.1</t>
  </si>
  <si>
    <t>ООО «Эпл Тэк»</t>
  </si>
  <si>
    <t>7724413799</t>
  </si>
  <si>
    <t>20.2</t>
  </si>
  <si>
    <t>ООО "Котофото"</t>
  </si>
  <si>
    <t>7811490430</t>
  </si>
  <si>
    <t>20.3</t>
  </si>
  <si>
    <t>ООО "СТАР"</t>
  </si>
  <si>
    <t>7725810559</t>
  </si>
  <si>
    <t>21.1</t>
  </si>
  <si>
    <t>ИП Калинина Ирина Владимировна</t>
  </si>
  <si>
    <t>500502255623</t>
  </si>
  <si>
    <t>21.2</t>
  </si>
  <si>
    <t>ООО "Системы Безопасности"</t>
  </si>
  <si>
    <t>4205416889</t>
  </si>
  <si>
    <t>21.3</t>
  </si>
  <si>
    <t>22.1</t>
  </si>
  <si>
    <t>ООО "ГОСТ МОНТАЖ"</t>
  </si>
  <si>
    <t>7722395590</t>
  </si>
  <si>
    <t>22.2</t>
  </si>
  <si>
    <t>ООО «ТД ИНТЕМС»</t>
  </si>
  <si>
    <t>7735150573</t>
  </si>
  <si>
    <t>22.3</t>
  </si>
  <si>
    <t>23.1</t>
  </si>
  <si>
    <t>23.2</t>
  </si>
  <si>
    <t>23.3</t>
  </si>
  <si>
    <t>24.1</t>
  </si>
  <si>
    <t>24.2</t>
  </si>
  <si>
    <t>24.3</t>
  </si>
  <si>
    <t>25.1</t>
  </si>
  <si>
    <t>ООО "ГРИНЛАЙН"</t>
  </si>
  <si>
    <t>7710944824</t>
  </si>
  <si>
    <t>25.2</t>
  </si>
  <si>
    <t>ООО ТД "Промэлектроника"</t>
  </si>
  <si>
    <t>6659197470</t>
  </si>
  <si>
    <t>25.3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</si>
  <si>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</si>
  <si>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</si>
  <si>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Извещатель охранный точечный, магнитноконтактный, накладной, типа ИО-102-20-Б2П. В составе: датчик магнитоуправляемый на основе геркона и магнит. Расстояние между герконом и магнитом при размыкании контактов - 65 мм и более, при замыкании - 30 мм и менее, степень защиты IP44, диапазон рабочих температур от -50 до +50°С, габаритные размеры корпусов 53х30х30 мм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</si>
  <si>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</si>
  <si>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</si>
  <si>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</si>
  <si>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</si>
  <si>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</si>
  <si>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</si>
  <si>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</si>
  <si>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</si>
  <si>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</si>
  <si>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</si>
  <si>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</si>
  <si>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</si>
  <si>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</si>
  <si>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</si>
  <si>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</si>
  <si>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</si>
  <si>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</si>
  <si>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</si>
  <si>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</si>
  <si>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</si>
  <si>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</si>
  <si>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</si>
  <si>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</si>
  <si>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</si>
  <si>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</si>
  <si>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</si>
  <si>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</si>
  <si>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02-01-10 СОТС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</si>
  <si>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</si>
  <si>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строительство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</si>
  <si>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</si>
  <si>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</si>
  <si>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</si>
  <si>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ЭМ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</si>
  <si>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</si>
  <si>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</si>
  <si>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</si>
  <si>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</si>
  <si>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</si>
  <si>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</si>
  <si>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</si>
  <si>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</si>
  <si>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в т.ч. ЗПМ</t>
  </si>
  <si>
    <t xml:space="preserve">   Итого по ТСН-2001.16</t>
  </si>
  <si>
    <t xml:space="preserve">   Итого возвратных сумм</t>
  </si>
  <si>
    <t>МР</t>
  </si>
  <si>
    <r>
      <t>ОБОРУДОВАНИЕ:_x000D_
Адресная метка AM-1-R3</t>
    </r>
    <r>
      <rPr>
        <i/>
        <sz val="10"/>
        <color rgb="FF821E82"/>
        <rFont val="Arial"/>
        <family val="2"/>
        <charset val="204"/>
      </rPr>
      <t xml:space="preserve">
81,79 = [942 / 1,22 /  9,84] +  3% Трансп +  1,2% Заг.скл</t>
    </r>
  </si>
  <si>
    <t>ОБОРУДОВАНИЕ:_x000D_
Извещатель охранный точечный, магнитноконтактный, накладной, типа ИО-102-20-Б2П. В составе: датчик магнитоуправляемый на основе геркона и магнит. Расстояние между герконом и магнитом при размыкании контактов - 65 мм и более, при замыкании - 30 мм и менее, степень защиты IP44, диапазон рабочих температур от -50 до +50°С, габаритные размеры корпусов 53х30х30 мм</t>
  </si>
  <si>
    <r>
      <t>ОБОРУДОВАНИЕ:_x000D_
Извещатель охранный магнитоуправляемый адресный ИО 10220-2</t>
    </r>
    <r>
      <rPr>
        <i/>
        <sz val="10"/>
        <color rgb="FF821E82"/>
        <rFont val="Arial"/>
        <family val="2"/>
        <charset val="204"/>
      </rPr>
      <t xml:space="preserve">
54,62 = [629 / 1,22 /  9,84] +  3% Трансп +  1,2% Заг.скл</t>
    </r>
  </si>
  <si>
    <r>
      <t>ОБОРУДОВАНИЕ:_x000D_
Извещатель охранный объемный оптико-электронный адресный ИО 40920-2</t>
    </r>
    <r>
      <rPr>
        <i/>
        <sz val="10"/>
        <color rgb="FF821E82"/>
        <rFont val="Arial"/>
        <family val="2"/>
        <charset val="204"/>
      </rPr>
      <t xml:space="preserve">
193,45 = [2 228 / 1,22 /  9,84] +  3% Трансп +  1,2% Заг.скл</t>
    </r>
  </si>
  <si>
    <r>
      <t>ОБОРУДОВАНИЕ:_x000D_
Извещатель охранный объемный оптико-электронный адресный ИО 30920-2</t>
    </r>
    <r>
      <rPr>
        <i/>
        <sz val="10"/>
        <color rgb="FF821E82"/>
        <rFont val="Arial"/>
        <family val="2"/>
        <charset val="204"/>
      </rPr>
      <t xml:space="preserve">
189,46 = [2 182 / 1,22 /  9,84] +  3% Трансп +  1,2% Заг.скл</t>
    </r>
  </si>
  <si>
    <t>ОБОРУДОВАНИЕ:_x000D_
Извещатель охранный ручной точечный электроконтактный ИО 101-7. Максимальный ток, коммутируемый контактами 0,2 А, максимальное напряжение, коммутируемое контактами не более 72 В, диапазон рабочих температур от -30 до +50°С, габаритные размеры 85х60х25 мм</t>
  </si>
  <si>
    <r>
      <t>ОБОРУДОВАНИЕ:_x000D_
Кнопка тревожная адресная KT-R3</t>
    </r>
    <r>
      <rPr>
        <i/>
        <sz val="10"/>
        <color rgb="FF821E82"/>
        <rFont val="Arial"/>
        <family val="2"/>
        <charset val="204"/>
      </rPr>
      <t xml:space="preserve">
141,71 = [1 632 / 1,22 /  9,84] +  3% Трансп +  1,2% Заг.скл</t>
    </r>
  </si>
  <si>
    <r>
      <t>ОБОРУДОВАНИЕ:_x000D_
Источник вторичного электропитания резервированный ИВЭПР 12/2 исп.2х7-Р БР</t>
    </r>
    <r>
      <rPr>
        <i/>
        <sz val="10"/>
        <color rgb="FF821E82"/>
        <rFont val="Arial"/>
        <family val="2"/>
        <charset val="204"/>
      </rPr>
      <t xml:space="preserve">
397,24 = [4 575 / 1,22 /  9,84] +  3% Трансп +  1,2% Заг.скл</t>
    </r>
  </si>
  <si>
    <r>
      <t>ОБОРУДОВАНИЕ:_x000D_
Бокс резервного питания БР12 исп.2х17</t>
    </r>
    <r>
      <rPr>
        <i/>
        <sz val="10"/>
        <color rgb="FF821E82"/>
        <rFont val="Arial"/>
        <family val="2"/>
        <charset val="204"/>
      </rPr>
      <t xml:space="preserve">
479,38 = [5 521 / 1,22 /  9,84] +  3% Трансп +  1,2% Заг.скл</t>
    </r>
  </si>
  <si>
    <t>ОБОРУДОВАНИЕ:_x000D_
Батарея аккумуляторная, емкость 7 А·ч, напряжение 12 В</t>
  </si>
  <si>
    <r>
      <t>Гибкая гофрированная ПЛЛ труба без содержания галогенов, ДУ20, O 19.7 / 14.8 мм, протяжка, цвет белый</t>
    </r>
    <r>
      <rPr>
        <i/>
        <sz val="10"/>
        <rFont val="Arial"/>
        <family val="2"/>
        <charset val="204"/>
      </rPr>
      <t xml:space="preserve">
14,69 = [133 / 1,22 /  7,57] +  2% Заг.скл</t>
    </r>
  </si>
  <si>
    <r>
      <t>Кабель сигнальный КСВВнг(А)-LSLTx 1х2х0,8 мм</t>
    </r>
    <r>
      <rPr>
        <i/>
        <sz val="10"/>
        <rFont val="Arial"/>
        <family val="2"/>
        <charset val="204"/>
      </rPr>
      <t xml:space="preserve">
5,46 = [49,43 / 1,22 /  7,57] +  2% Заг.скл</t>
    </r>
  </si>
  <si>
    <r>
      <t>Кабель для СКС/IP  ParLan F/UTP Cat5e PVCLSнг(А)-LSLTx 2х2х0,52</t>
    </r>
    <r>
      <rPr>
        <i/>
        <sz val="10"/>
        <rFont val="Arial"/>
        <family val="2"/>
        <charset val="204"/>
      </rPr>
      <t xml:space="preserve">
14,14 = [128 / 1,22 /  7,57] +  2% Заг.скл</t>
    </r>
  </si>
  <si>
    <t>ОБОРУДОВАНИЕ:_x000D_
Клавиатура компьютерная проводная, интерфейс USB. Материал корпуса пластик, влагозащищенная конструкция, индикатор Caps Lock, индикатор Num Lock</t>
  </si>
  <si>
    <t>ОБОРУДОВАНИЕ:_x000D_
Мышь компьютерная проводная оптическая, интерфейс USB</t>
  </si>
  <si>
    <r>
      <t>ОБОРУДОВАНИЕ:_x000D_
ПО "FireSec 3 Мультисерверная задача"</t>
    </r>
    <r>
      <rPr>
        <i/>
        <sz val="10"/>
        <color rgb="FF821E82"/>
        <rFont val="Arial"/>
        <family val="2"/>
        <charset val="204"/>
      </rPr>
      <t xml:space="preserve">
13 767,37 = [158 558 / 1,22 /  9,84] +  3% Трансп +  1,2% Заг.скл</t>
    </r>
  </si>
  <si>
    <r>
      <t>Кронштейн универсальный для охранных извещателей</t>
    </r>
    <r>
      <rPr>
        <i/>
        <sz val="10"/>
        <rFont val="Arial"/>
        <family val="2"/>
        <charset val="204"/>
      </rPr>
      <t xml:space="preserve">
14,69 = [133 / 1,22 /  7,57] +  2% Заг.скл</t>
    </r>
  </si>
  <si>
    <r>
      <t>Пена однокомпонентная огнезащитная DF 1201, баллон 740 мл</t>
    </r>
    <r>
      <rPr>
        <i/>
        <sz val="10"/>
        <rFont val="Arial"/>
        <family val="2"/>
        <charset val="204"/>
      </rPr>
      <t xml:space="preserve">
324,14 = [2 934,83 / 1,22 /  7,57] +  2% Заг.скл</t>
    </r>
  </si>
  <si>
    <r>
      <t>ОБОРУДОВАНИЕ:_x000D_
Изолятор шлейфа ИЗ-1-R3</t>
    </r>
    <r>
      <rPr>
        <i/>
        <sz val="10"/>
        <color rgb="FF821E82"/>
        <rFont val="Arial"/>
        <family val="2"/>
        <charset val="204"/>
      </rPr>
      <t xml:space="preserve">
54,95 = [632,88 / 1,22 /  9,84] +  3% Трансп +  1,2%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</si>
  <si>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</si>
  <si>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</si>
  <si>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</si>
  <si>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</si>
  <si>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</si>
  <si>
    <t>+</t>
  </si>
  <si>
    <t>отнести  вмат</t>
  </si>
  <si>
    <t>отнести в мат</t>
  </si>
  <si>
    <t>отнести  в оборуд</t>
  </si>
  <si>
    <r>
      <t>ОБОРУДОВАНИЕ:
Контроллер адресных устройств R3-КАУ2</t>
    </r>
    <r>
      <rPr>
        <i/>
        <sz val="10"/>
        <color rgb="FF821E82"/>
        <rFont val="Arial"/>
        <family val="2"/>
        <charset val="204"/>
      </rPr>
      <t xml:space="preserve">
2 677,53 = [30 837 / 1,22 /  9,84] +  3% Трансп +  1,2% Заг.скл</t>
    </r>
  </si>
  <si>
    <r>
      <t>ОБОРУДОВАНИЕ:
Блок индикации и управления R3-Рубеж-БИУ</t>
    </r>
    <r>
      <rPr>
        <i/>
        <sz val="10"/>
        <color rgb="FF821E82"/>
        <rFont val="Arial"/>
        <family val="2"/>
        <charset val="204"/>
      </rPr>
      <t xml:space="preserve">
1 743,09 = [20 075 / 1,22 /  9,84] +  3% Трансп +  1,2% Заг.скл</t>
    </r>
  </si>
  <si>
    <r>
      <t>ОБОРУДОВАНИЕ:
Модуль сопряжения R3-МС-Е</t>
    </r>
    <r>
      <rPr>
        <i/>
        <sz val="10"/>
        <color rgb="FF821E82"/>
        <rFont val="Arial"/>
        <family val="2"/>
        <charset val="204"/>
      </rPr>
      <t xml:space="preserve">
2 113,41 = [24 340 / 1,22 /  9,84] +  3% Трансп +  1,2% Заг.скл</t>
    </r>
  </si>
  <si>
    <r>
      <t>ОБОРУДОВАНИЕ:
Контроллер охранно-пожарный Приток-А-КОП-02</t>
    </r>
    <r>
      <rPr>
        <i/>
        <sz val="10"/>
        <color rgb="FF821E82"/>
        <rFont val="Arial"/>
        <family val="2"/>
        <charset val="204"/>
      </rPr>
      <t xml:space="preserve">
1 506,49 = [17 350,2 / 1,22 /  9,84] +  3% Трансп +  1,2% Заг.скл</t>
    </r>
  </si>
  <si>
    <r>
      <t>ОБОРУДОВАНИЕ:
Устрйство охранной беспроводной сигнализации Астра-Р</t>
    </r>
    <r>
      <rPr>
        <i/>
        <sz val="10"/>
        <color rgb="FF821E82"/>
        <rFont val="Arial"/>
        <family val="2"/>
        <charset val="204"/>
      </rPr>
      <t xml:space="preserve">
304,60 = [3 508 / 1,22 /  9,84] +  3% Трансп +  1,2% Заг.скл</t>
    </r>
  </si>
  <si>
    <r>
      <t>ОБОРУДОВАНИЕ:
Извещатель охранный поверхностный звуковой адресный ИО 32920-2</t>
    </r>
    <r>
      <rPr>
        <i/>
        <sz val="10"/>
        <color rgb="FF821E82"/>
        <rFont val="Arial"/>
        <family val="2"/>
        <charset val="204"/>
      </rPr>
      <t xml:space="preserve">
191,72 = [2 208 / 1,22 /  9,84] +  3% Трансп +  1,2% Заг.скл</t>
    </r>
  </si>
  <si>
    <r>
      <t>ОБОРУДОВАНИЕ:
Источник вторичного электропитания резервированный ИВЭПР 12/3,5 исп.2х17-Р БР</t>
    </r>
    <r>
      <rPr>
        <i/>
        <sz val="10"/>
        <color rgb="FF821E82"/>
        <rFont val="Arial"/>
        <family val="2"/>
        <charset val="204"/>
      </rPr>
      <t xml:space="preserve">
583,13 = [6 716 / 1,22 /  9,84] +  3% Трансп +  1,2% Заг.скл</t>
    </r>
  </si>
  <si>
    <r>
      <t>ОБОРУДОВАНИЕ:
Источник бесперебойного питания SKAT-UPS 1000/600</t>
    </r>
    <r>
      <rPr>
        <i/>
        <sz val="10"/>
        <color rgb="FF821E82"/>
        <rFont val="Arial"/>
        <family val="2"/>
        <charset val="204"/>
      </rPr>
      <t xml:space="preserve">
2 491,98 = [28 700 / 1,22 /  9,84] +  3% Трансп +  1,2% Заг.скл</t>
    </r>
  </si>
  <si>
    <r>
      <t>ОБОРУДОВАНИЕ:
Аккумуляторная батарея 18 Ач PTK-BATTERY 12-18</t>
    </r>
    <r>
      <rPr>
        <i/>
        <sz val="10"/>
        <color rgb="FF821E82"/>
        <rFont val="Arial"/>
        <family val="2"/>
        <charset val="204"/>
      </rPr>
      <t xml:space="preserve">
407,52 = [4 693,43 / 1,22 /  9,84] +  3% Трансп +  1,2% Заг.скл</t>
    </r>
  </si>
  <si>
    <r>
      <t>ОБОРУДОВАНИЕ:
Моноблок AMD Ryzen 5/DDR4/8Gb/SSD-256Gb/HDD500Gb/500W RDW AMD 23,8"</t>
    </r>
    <r>
      <rPr>
        <i/>
        <sz val="10"/>
        <color rgb="FF821E82"/>
        <rFont val="Arial"/>
        <family val="2"/>
        <charset val="204"/>
      </rPr>
      <t xml:space="preserve">
5 089,46 = [58 615 / 1,22 /  9,84] +  3% Трансп +  1,2% Заг.скл</t>
    </r>
  </si>
  <si>
    <r>
      <t>ОБОРУДОВАНИЕ:
ПО "FireSec Оперативная задача ОПС"</t>
    </r>
    <r>
      <rPr>
        <i/>
        <sz val="10"/>
        <color rgb="FF821E82"/>
        <rFont val="Arial"/>
        <family val="2"/>
        <charset val="204"/>
      </rPr>
      <t xml:space="preserve">
1 952,61 = [22 488,13 / 1,22 /  9,84] +  3% Трансп +  1,2% Заг.скл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</si>
</sst>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₽_-;\-* #,##0.00\ _₽_-;_-* &quot;-&quot;??\ _₽_-;_-@_-"/>
    <numFmt numFmtId="164" formatCode="#,##0.00;[Red]\-\ #,##0.00"/>
  </numFmts>
  <fonts count="27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C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0" fillId="0" borderId="0"/>
    <xf numFmtId="43" fontId="25" fillId="0" borderId="0" applyFont="0" applyFill="0" applyBorder="0" applyAlignment="0" applyProtection="0"/>
  </cellStyleXfs>
  <cellXfs count="101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0" fillId="0" borderId="0" xfId="0"/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7" fillId="0" borderId="0" xfId="0" applyFont="1" applyAlignment="1">
      <alignment vertical="top"/>
    </xf>
    <xf numFmtId="164" fontId="0" fillId="0" borderId="0" xfId="0" applyNumberFormat="1"/>
    <xf numFmtId="164" fontId="18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0" fontId="12" fillId="0" borderId="0" xfId="0" quotePrefix="1" applyFont="1" applyAlignment="1">
      <alignment horizontal="right" vertical="top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1" xfId="0" applyFont="1" applyBorder="1"/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164" fontId="17" fillId="0" borderId="0" xfId="0" applyNumberFormat="1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17" fillId="0" borderId="0" xfId="0" applyFont="1" applyAlignment="1">
      <alignment horizontal="left" wrapText="1"/>
    </xf>
    <xf numFmtId="164" fontId="23" fillId="0" borderId="2" xfId="0" applyNumberFormat="1" applyFont="1" applyBorder="1" applyAlignment="1">
      <alignment horizontal="right" vertical="top"/>
    </xf>
    <xf numFmtId="164" fontId="17" fillId="0" borderId="2" xfId="0" applyNumberFormat="1" applyFont="1" applyBorder="1" applyAlignment="1">
      <alignment horizontal="right" vertical="top"/>
    </xf>
    <xf numFmtId="0" fontId="13" fillId="0" borderId="0" xfId="0" applyFont="1" applyAlignment="1">
      <alignment horizontal="center" vertical="top" wrapText="1"/>
    </xf>
    <xf numFmtId="0" fontId="12" fillId="2" borderId="0" xfId="0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13" fillId="2" borderId="0" xfId="0" applyFont="1" applyFill="1"/>
    <xf numFmtId="0" fontId="14" fillId="2" borderId="0" xfId="0" applyFont="1" applyFill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left" wrapText="1"/>
    </xf>
    <xf numFmtId="0" fontId="0" fillId="2" borderId="0" xfId="0" applyFill="1"/>
    <xf numFmtId="0" fontId="14" fillId="2" borderId="1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0" fillId="2" borderId="0" xfId="0" applyFill="1"/>
    <xf numFmtId="0" fontId="12" fillId="2" borderId="1" xfId="0" applyFont="1" applyFill="1" applyBorder="1" applyAlignment="1">
      <alignment horizontal="left" wrapText="1"/>
    </xf>
    <xf numFmtId="0" fontId="12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center" vertical="top" wrapText="1"/>
    </xf>
    <xf numFmtId="0" fontId="17" fillId="2" borderId="0" xfId="0" applyFont="1" applyFill="1" applyAlignment="1">
      <alignment horizontal="left"/>
    </xf>
    <xf numFmtId="164" fontId="17" fillId="2" borderId="0" xfId="0" applyNumberFormat="1" applyFont="1" applyFill="1"/>
    <xf numFmtId="0" fontId="17" fillId="2" borderId="0" xfId="0" applyFont="1" applyFill="1"/>
    <xf numFmtId="164" fontId="12" fillId="2" borderId="0" xfId="0" applyNumberFormat="1" applyFont="1" applyFill="1"/>
    <xf numFmtId="0" fontId="12" fillId="2" borderId="0" xfId="1" applyFont="1" applyFill="1" applyAlignment="1">
      <alignment horizontal="left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top" wrapText="1"/>
    </xf>
    <xf numFmtId="0" fontId="19" fillId="2" borderId="1" xfId="0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horizontal="right" vertical="top" wrapText="1"/>
    </xf>
    <xf numFmtId="0" fontId="19" fillId="2" borderId="1" xfId="0" applyFont="1" applyFill="1" applyBorder="1" applyAlignment="1">
      <alignment horizontal="right" vertical="top"/>
    </xf>
    <xf numFmtId="164" fontId="19" fillId="2" borderId="1" xfId="0" applyNumberFormat="1" applyFont="1" applyFill="1" applyBorder="1" applyAlignment="1">
      <alignment horizontal="right" vertical="top"/>
    </xf>
    <xf numFmtId="0" fontId="19" fillId="2" borderId="1" xfId="0" applyFont="1" applyFill="1" applyBorder="1" applyAlignment="1">
      <alignment horizontal="right" vertical="top" wrapText="1"/>
    </xf>
    <xf numFmtId="0" fontId="19" fillId="2" borderId="0" xfId="0" applyFont="1" applyFill="1" applyAlignment="1">
      <alignment horizontal="left" vertical="top" wrapText="1"/>
    </xf>
    <xf numFmtId="0" fontId="20" fillId="2" borderId="0" xfId="0" applyFont="1" applyFill="1" applyAlignment="1">
      <alignment horizontal="right" vertical="top" wrapText="1"/>
    </xf>
    <xf numFmtId="0" fontId="19" fillId="2" borderId="0" xfId="0" applyFont="1" applyFill="1" applyAlignment="1">
      <alignment horizontal="right" vertical="top"/>
    </xf>
    <xf numFmtId="164" fontId="19" fillId="2" borderId="0" xfId="0" applyNumberFormat="1" applyFont="1" applyFill="1" applyAlignment="1">
      <alignment horizontal="right" vertical="top"/>
    </xf>
    <xf numFmtId="0" fontId="19" fillId="2" borderId="0" xfId="0" quotePrefix="1" applyFont="1" applyFill="1" applyAlignment="1">
      <alignment horizontal="right" vertical="top" wrapText="1"/>
    </xf>
    <xf numFmtId="0" fontId="12" fillId="2" borderId="0" xfId="0" applyFont="1" applyFill="1" applyAlignment="1">
      <alignment horizontal="left" vertical="top" wrapText="1"/>
    </xf>
    <xf numFmtId="0" fontId="18" fillId="2" borderId="0" xfId="0" applyFont="1" applyFill="1" applyAlignment="1">
      <alignment horizontal="right" vertical="top" wrapText="1"/>
    </xf>
    <xf numFmtId="0" fontId="12" fillId="2" borderId="0" xfId="0" applyFont="1" applyFill="1" applyAlignment="1">
      <alignment horizontal="right" vertical="top"/>
    </xf>
    <xf numFmtId="164" fontId="12" fillId="2" borderId="0" xfId="0" applyNumberFormat="1" applyFont="1" applyFill="1" applyAlignment="1">
      <alignment horizontal="right" vertical="top"/>
    </xf>
    <xf numFmtId="0" fontId="12" fillId="2" borderId="0" xfId="0" quotePrefix="1" applyFont="1" applyFill="1" applyAlignment="1">
      <alignment horizontal="right" vertical="top" wrapText="1"/>
    </xf>
    <xf numFmtId="0" fontId="12" fillId="2" borderId="0" xfId="0" applyFont="1" applyFill="1" applyAlignment="1">
      <alignment horizontal="right" vertical="top" wrapText="1"/>
    </xf>
    <xf numFmtId="0" fontId="12" fillId="2" borderId="1" xfId="0" applyFont="1" applyFill="1" applyBorder="1" applyAlignment="1">
      <alignment horizontal="left" vertical="top" wrapText="1"/>
    </xf>
    <xf numFmtId="0" fontId="18" fillId="2" borderId="1" xfId="0" applyFont="1" applyFill="1" applyBorder="1" applyAlignment="1">
      <alignment horizontal="right" vertical="top" wrapText="1"/>
    </xf>
    <xf numFmtId="0" fontId="12" fillId="2" borderId="1" xfId="0" applyFont="1" applyFill="1" applyBorder="1" applyAlignment="1">
      <alignment horizontal="right" vertical="top"/>
    </xf>
    <xf numFmtId="164" fontId="12" fillId="2" borderId="1" xfId="0" applyNumberFormat="1" applyFont="1" applyFill="1" applyBorder="1" applyAlignment="1">
      <alignment horizontal="right" vertical="top"/>
    </xf>
    <xf numFmtId="0" fontId="12" fillId="2" borderId="1" xfId="0" applyFont="1" applyFill="1" applyBorder="1" applyAlignment="1">
      <alignment horizontal="right" vertical="top" wrapText="1"/>
    </xf>
    <xf numFmtId="0" fontId="26" fillId="0" borderId="0" xfId="0" applyFont="1" applyAlignment="1">
      <alignment vertical="top"/>
    </xf>
    <xf numFmtId="0" fontId="26" fillId="0" borderId="0" xfId="0" applyFont="1"/>
    <xf numFmtId="43" fontId="26" fillId="0" borderId="0" xfId="2" applyFont="1" applyAlignment="1">
      <alignment vertical="top"/>
    </xf>
    <xf numFmtId="43" fontId="26" fillId="0" borderId="0" xfId="2" applyFont="1"/>
  </cellXfs>
  <cellStyles count="3">
    <cellStyle name="Обычный" xfId="0" builtinId="0"/>
    <cellStyle name="Обычный 4" xfId="1" xr:uid="{386BBBAD-FC72-4544-B530-F63AC0EEA4AB}"/>
    <cellStyle name="Финансовый" xfId="2" builtinId="3"/>
  </cellStyles>
  <dxfs count="1">
    <dxf>
      <fill>
        <patternFill patternType="solid">
          <fgColor rgb="FFD9E1F2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2D78-11ED-49A4-90B4-5C21EC17D4C0}">
  <sheetPr filterMode="1">
    <pageSetUpPr fitToPage="1"/>
  </sheetPr>
  <dimension ref="A1:AQ542"/>
  <sheetViews>
    <sheetView tabSelected="1" view="pageBreakPreview" topLeftCell="A7" zoomScaleNormal="100" zoomScaleSheetLayoutView="100" workbookViewId="0">
      <selection activeCell="N456" sqref="N456"/>
    </sheetView>
  </sheetViews>
  <sheetFormatPr defaultRowHeight="12.75" x14ac:dyDescent="0.2"/>
  <cols>
    <col min="1" max="1" width="5.5703125" customWidth="1"/>
    <col min="2" max="2" width="11.5703125" customWidth="1"/>
    <col min="3" max="3" width="40.5703125" customWidth="1"/>
    <col min="4" max="4" width="6.28515625" customWidth="1"/>
    <col min="5" max="5" width="11.42578125" bestFit="1" customWidth="1"/>
    <col min="6" max="6" width="10.5703125" customWidth="1"/>
    <col min="7" max="7" width="8.42578125" bestFit="1" customWidth="1"/>
    <col min="9" max="10" width="9.85546875" bestFit="1" customWidth="1"/>
    <col min="11" max="11" width="14.28515625" customWidth="1"/>
    <col min="12" max="12" width="11.85546875" style="99" bestFit="1" customWidth="1"/>
    <col min="14" max="14" width="9.140625" style="17"/>
    <col min="15" max="15" width="9.140625" style="98"/>
    <col min="16" max="42" width="0" hidden="1" customWidth="1"/>
    <col min="43" max="43" width="127.28515625" hidden="1" customWidth="1"/>
    <col min="44" max="48" width="0" hidden="1" customWidth="1"/>
  </cols>
  <sheetData>
    <row r="1" spans="1:43" x14ac:dyDescent="0.2">
      <c r="A1" s="15" t="str">
        <f>Source!B1</f>
        <v>Smeta.RU  (495) 974-1589</v>
      </c>
    </row>
    <row r="2" spans="1:43" ht="14.25" x14ac:dyDescent="0.2">
      <c r="A2" s="49"/>
      <c r="B2" s="49"/>
      <c r="C2" s="49"/>
      <c r="D2" s="49"/>
      <c r="E2" s="49"/>
      <c r="F2" s="49"/>
      <c r="G2" s="49"/>
      <c r="H2" s="49"/>
      <c r="I2" s="49"/>
      <c r="J2" s="50" t="s">
        <v>610</v>
      </c>
      <c r="K2" s="50"/>
      <c r="L2" s="98"/>
      <c r="O2"/>
    </row>
    <row r="3" spans="1:43" ht="16.5" x14ac:dyDescent="0.25">
      <c r="A3" s="51"/>
      <c r="B3" s="52" t="s">
        <v>608</v>
      </c>
      <c r="C3" s="52"/>
      <c r="D3" s="52"/>
      <c r="E3" s="52"/>
      <c r="F3" s="53"/>
      <c r="G3" s="52" t="s">
        <v>609</v>
      </c>
      <c r="H3" s="52"/>
      <c r="I3" s="52"/>
      <c r="J3" s="52"/>
      <c r="K3" s="52"/>
      <c r="L3" s="98"/>
      <c r="O3"/>
    </row>
    <row r="4" spans="1:43" ht="14.25" x14ac:dyDescent="0.2">
      <c r="A4" s="53"/>
      <c r="B4" s="54"/>
      <c r="C4" s="54"/>
      <c r="D4" s="54"/>
      <c r="E4" s="54"/>
      <c r="F4" s="53"/>
      <c r="G4" s="54"/>
      <c r="H4" s="54"/>
      <c r="I4" s="54"/>
      <c r="J4" s="54"/>
      <c r="K4" s="54"/>
      <c r="L4" s="98"/>
      <c r="O4"/>
    </row>
    <row r="5" spans="1:43" ht="14.25" x14ac:dyDescent="0.2">
      <c r="A5" s="53"/>
      <c r="B5" s="53"/>
      <c r="C5" s="55"/>
      <c r="D5" s="55"/>
      <c r="E5" s="55"/>
      <c r="F5" s="53"/>
      <c r="G5" s="55"/>
      <c r="H5" s="55"/>
      <c r="I5" s="55"/>
      <c r="J5" s="55"/>
      <c r="K5" s="55"/>
      <c r="L5" s="98"/>
      <c r="O5"/>
    </row>
    <row r="6" spans="1:43" ht="14.25" x14ac:dyDescent="0.2">
      <c r="A6" s="55"/>
      <c r="B6" s="54" t="str">
        <f>CONCATENATE("______________________ ", IF(Source!AL12&lt;&gt;"", Source!AL12, ""))</f>
        <v xml:space="preserve">______________________ </v>
      </c>
      <c r="C6" s="54"/>
      <c r="D6" s="54"/>
      <c r="E6" s="54"/>
      <c r="F6" s="53"/>
      <c r="G6" s="54" t="str">
        <f>CONCATENATE("______________________ ", IF(Source!AH12&lt;&gt;"", Source!AH12, ""))</f>
        <v xml:space="preserve">______________________ </v>
      </c>
      <c r="H6" s="54"/>
      <c r="I6" s="54"/>
      <c r="J6" s="54"/>
      <c r="K6" s="54"/>
      <c r="L6" s="98"/>
      <c r="O6"/>
    </row>
    <row r="7" spans="1:43" ht="14.25" x14ac:dyDescent="0.2">
      <c r="A7" s="56"/>
      <c r="B7" s="57" t="s">
        <v>611</v>
      </c>
      <c r="C7" s="57"/>
      <c r="D7" s="57"/>
      <c r="E7" s="57"/>
      <c r="F7" s="53"/>
      <c r="G7" s="57" t="s">
        <v>611</v>
      </c>
      <c r="H7" s="57"/>
      <c r="I7" s="57"/>
      <c r="J7" s="57"/>
      <c r="K7" s="57"/>
      <c r="L7" s="98"/>
      <c r="O7"/>
    </row>
    <row r="8" spans="1:43" x14ac:dyDescent="0.2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98"/>
      <c r="O8"/>
    </row>
    <row r="9" spans="1:43" ht="14.25" x14ac:dyDescent="0.2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98"/>
      <c r="O9"/>
    </row>
    <row r="10" spans="1:43" ht="47.25" x14ac:dyDescent="0.25">
      <c r="A10" s="59" t="s">
        <v>676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98"/>
      <c r="O10"/>
      <c r="AQ10" s="18" t="s">
        <v>634</v>
      </c>
    </row>
    <row r="11" spans="1:43" x14ac:dyDescent="0.2">
      <c r="A11" s="60" t="s">
        <v>612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98"/>
      <c r="O11"/>
    </row>
    <row r="12" spans="1:43" ht="14.25" x14ac:dyDescent="0.2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98"/>
      <c r="O12"/>
    </row>
    <row r="13" spans="1:43" ht="15.75" x14ac:dyDescent="0.25">
      <c r="A13" s="59" t="str">
        <f>CONCATENATE( "ЛОКАЛЬНАЯ СМЕТА № ",IF(Source!F12&lt;&gt;"Новый объект", Source!F12, ""))</f>
        <v>ЛОКАЛЬНАЯ СМЕТА № 02-01-10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98"/>
      <c r="O13"/>
    </row>
    <row r="14" spans="1:43" ht="14.25" x14ac:dyDescent="0.2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98"/>
      <c r="O14"/>
    </row>
    <row r="15" spans="1:43" ht="18" x14ac:dyDescent="0.25">
      <c r="A15" s="62" t="str">
        <f>Source!G20</f>
        <v>Система охранной сигнализации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98"/>
      <c r="O15"/>
    </row>
    <row r="16" spans="1:43" x14ac:dyDescent="0.2">
      <c r="A16" s="63" t="s">
        <v>613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98"/>
      <c r="O16"/>
    </row>
    <row r="17" spans="1:43" ht="14.25" x14ac:dyDescent="0.2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98"/>
      <c r="O17"/>
    </row>
    <row r="18" spans="1:43" ht="14.25" x14ac:dyDescent="0.2">
      <c r="A18" s="65" t="str">
        <f>CONCATENATE( "Основание: чертежи № ", Source!J12)</f>
        <v>Основание: чертежи № 2024-00375-01-0-ИОС5.3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98"/>
      <c r="O18"/>
    </row>
    <row r="19" spans="1:43" ht="14.25" x14ac:dyDescent="0.2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98"/>
      <c r="O19"/>
    </row>
    <row r="20" spans="1:43" ht="71.25" x14ac:dyDescent="0.2">
      <c r="A20" s="53"/>
      <c r="B20" s="53"/>
      <c r="C20" s="53"/>
      <c r="D20" s="53"/>
      <c r="E20" s="53"/>
      <c r="F20" s="53"/>
      <c r="G20" s="53"/>
      <c r="H20" s="53"/>
      <c r="I20" s="67" t="s">
        <v>614</v>
      </c>
      <c r="J20" s="67" t="s">
        <v>615</v>
      </c>
      <c r="K20" s="53"/>
      <c r="L20" s="98"/>
      <c r="O20"/>
    </row>
    <row r="21" spans="1:43" ht="15" x14ac:dyDescent="0.25">
      <c r="A21" s="53"/>
      <c r="B21" s="53"/>
      <c r="C21" s="53"/>
      <c r="D21" s="53"/>
      <c r="E21" s="68" t="s">
        <v>616</v>
      </c>
      <c r="F21" s="68"/>
      <c r="G21" s="68"/>
      <c r="H21" s="68"/>
      <c r="I21" s="69">
        <f>I22+I23+I24+I25</f>
        <v>200.57999999999998</v>
      </c>
      <c r="J21" s="69">
        <f>J22+J23+J24+J25</f>
        <v>4913.17</v>
      </c>
      <c r="K21" s="70" t="s">
        <v>672</v>
      </c>
      <c r="L21" s="98"/>
      <c r="O21"/>
    </row>
    <row r="22" spans="1:43" ht="14.25" x14ac:dyDescent="0.2">
      <c r="A22" s="53"/>
      <c r="B22" s="53"/>
      <c r="C22" s="53"/>
      <c r="D22" s="53"/>
      <c r="E22" s="54" t="s">
        <v>617</v>
      </c>
      <c r="F22" s="54"/>
      <c r="G22" s="54"/>
      <c r="H22" s="54"/>
      <c r="I22" s="71">
        <f>ROUND((Source!F518)/1000, 2)</f>
        <v>30.62</v>
      </c>
      <c r="J22" s="71">
        <f>ROUND((Source!P518)/1000, 2)</f>
        <v>1725.57</v>
      </c>
      <c r="K22" s="53" t="s">
        <v>672</v>
      </c>
      <c r="L22" s="98"/>
      <c r="O22"/>
    </row>
    <row r="23" spans="1:43" ht="14.25" x14ac:dyDescent="0.2">
      <c r="A23" s="53"/>
      <c r="B23" s="53"/>
      <c r="C23" s="53"/>
      <c r="D23" s="53"/>
      <c r="E23" s="54" t="s">
        <v>618</v>
      </c>
      <c r="F23" s="54"/>
      <c r="G23" s="54"/>
      <c r="H23" s="54"/>
      <c r="I23" s="71">
        <f>ROUND((Source!F519)/1000, 2)</f>
        <v>100.95</v>
      </c>
      <c r="J23" s="71">
        <f>ROUND((Source!P519)/1000, 2)</f>
        <v>2521.9</v>
      </c>
      <c r="K23" s="53" t="s">
        <v>672</v>
      </c>
      <c r="L23" s="98"/>
      <c r="O23"/>
    </row>
    <row r="24" spans="1:43" ht="14.25" x14ac:dyDescent="0.2">
      <c r="A24" s="53"/>
      <c r="B24" s="53"/>
      <c r="C24" s="53"/>
      <c r="D24" s="53"/>
      <c r="E24" s="54" t="s">
        <v>619</v>
      </c>
      <c r="F24" s="54"/>
      <c r="G24" s="54"/>
      <c r="H24" s="54"/>
      <c r="I24" s="71">
        <f>ROUND((Source!F510)/1000, 2)</f>
        <v>69.010000000000005</v>
      </c>
      <c r="J24" s="71">
        <f>ROUND((Source!P510)/1000, 2)</f>
        <v>665.7</v>
      </c>
      <c r="K24" s="53" t="s">
        <v>672</v>
      </c>
      <c r="L24" s="98"/>
      <c r="O24"/>
    </row>
    <row r="25" spans="1:43" ht="14.25" x14ac:dyDescent="0.2">
      <c r="A25" s="53"/>
      <c r="B25" s="53"/>
      <c r="C25" s="53"/>
      <c r="D25" s="53"/>
      <c r="E25" s="54" t="s">
        <v>620</v>
      </c>
      <c r="F25" s="54"/>
      <c r="G25" s="54"/>
      <c r="H25" s="54"/>
      <c r="I25" s="71">
        <f>ROUND((Source!F520+Source!F521)/1000, 2)</f>
        <v>0</v>
      </c>
      <c r="J25" s="71">
        <f>ROUND((Source!P520+Source!P521)/1000, 2)</f>
        <v>0</v>
      </c>
      <c r="K25" s="53" t="s">
        <v>672</v>
      </c>
      <c r="L25" s="98"/>
      <c r="O25"/>
    </row>
    <row r="26" spans="1:43" ht="14.25" x14ac:dyDescent="0.2">
      <c r="A26" s="53"/>
      <c r="B26" s="53"/>
      <c r="C26" s="53"/>
      <c r="D26" s="53"/>
      <c r="E26" s="54" t="s">
        <v>621</v>
      </c>
      <c r="F26" s="54"/>
      <c r="G26" s="54"/>
      <c r="H26" s="54"/>
      <c r="I26" s="71">
        <f>(Source!F516+ Source!F515)/1000</f>
        <v>28.312540000000002</v>
      </c>
      <c r="J26" s="71">
        <f>((Source!P516 + Source!P515)/1000)</f>
        <v>1595.4116299999998</v>
      </c>
      <c r="K26" s="53" t="s">
        <v>672</v>
      </c>
      <c r="L26" s="98"/>
      <c r="O26"/>
    </row>
    <row r="27" spans="1:43" ht="14.25" x14ac:dyDescent="0.2">
      <c r="A27" s="53"/>
      <c r="B27" s="53"/>
      <c r="C27" s="53"/>
      <c r="D27" s="53"/>
      <c r="E27" s="54" t="s">
        <v>622</v>
      </c>
      <c r="F27" s="54"/>
      <c r="G27" s="54"/>
      <c r="H27" s="54"/>
      <c r="I27" s="71">
        <f>Source!F523</f>
        <v>2479.6719986400003</v>
      </c>
      <c r="J27" s="71"/>
      <c r="K27" s="53" t="s">
        <v>365</v>
      </c>
      <c r="L27" s="98"/>
      <c r="O27"/>
    </row>
    <row r="28" spans="1:43" ht="14.25" x14ac:dyDescent="0.2">
      <c r="A28" s="53"/>
      <c r="B28" s="53"/>
      <c r="C28" s="53"/>
      <c r="D28" s="53"/>
      <c r="E28" s="54" t="s">
        <v>623</v>
      </c>
      <c r="F28" s="54"/>
      <c r="G28" s="54"/>
      <c r="H28" s="54"/>
      <c r="I28" s="71"/>
      <c r="J28" s="71"/>
      <c r="K28" s="53"/>
      <c r="L28" s="98"/>
      <c r="O28"/>
    </row>
    <row r="29" spans="1:43" ht="14.25" x14ac:dyDescent="0.2">
      <c r="A29" s="53"/>
      <c r="B29" s="53"/>
      <c r="C29" s="53"/>
      <c r="D29" s="53"/>
      <c r="E29" s="72" t="s">
        <v>132</v>
      </c>
      <c r="F29" s="72"/>
      <c r="G29" s="72"/>
      <c r="H29" s="72"/>
      <c r="I29" s="71">
        <f>SUM(Z1:Z535)/1000</f>
        <v>0</v>
      </c>
      <c r="J29" s="71">
        <f>SUM(AA1:AA535)/1000</f>
        <v>0</v>
      </c>
      <c r="K29" s="53" t="s">
        <v>672</v>
      </c>
      <c r="L29" s="98"/>
      <c r="O29"/>
    </row>
    <row r="30" spans="1:43" ht="14.25" x14ac:dyDescent="0.2">
      <c r="A30" s="53"/>
      <c r="B30" s="53"/>
      <c r="C30" s="53"/>
      <c r="D30" s="53"/>
      <c r="E30" s="53"/>
      <c r="F30" s="55"/>
      <c r="G30" s="55"/>
      <c r="H30" s="55"/>
      <c r="I30" s="71"/>
      <c r="J30" s="71"/>
      <c r="K30" s="53"/>
      <c r="L30" s="98"/>
      <c r="O30"/>
    </row>
    <row r="31" spans="1:43" ht="14.25" x14ac:dyDescent="0.2">
      <c r="A31" s="53" t="s">
        <v>635</v>
      </c>
      <c r="B31" s="53"/>
      <c r="C31" s="53"/>
      <c r="D31" s="53"/>
      <c r="E31" s="53"/>
      <c r="F31" s="55"/>
      <c r="G31" s="55"/>
      <c r="H31" s="55"/>
      <c r="I31" s="71"/>
      <c r="J31" s="71"/>
      <c r="K31" s="53"/>
      <c r="L31" s="98"/>
      <c r="O31"/>
    </row>
    <row r="32" spans="1:43" ht="28.5" x14ac:dyDescent="0.2">
      <c r="A32" s="65" t="s">
        <v>636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98"/>
      <c r="O32"/>
      <c r="AQ32" s="19" t="s">
        <v>636</v>
      </c>
    </row>
    <row r="33" spans="1:30" ht="99.75" x14ac:dyDescent="0.2">
      <c r="A33" s="73" t="s">
        <v>624</v>
      </c>
      <c r="B33" s="73" t="s">
        <v>625</v>
      </c>
      <c r="C33" s="73" t="s">
        <v>626</v>
      </c>
      <c r="D33" s="73" t="s">
        <v>627</v>
      </c>
      <c r="E33" s="73" t="s">
        <v>628</v>
      </c>
      <c r="F33" s="73" t="s">
        <v>629</v>
      </c>
      <c r="G33" s="74" t="s">
        <v>630</v>
      </c>
      <c r="H33" s="74" t="s">
        <v>631</v>
      </c>
      <c r="I33" s="73" t="s">
        <v>637</v>
      </c>
      <c r="J33" s="75" t="s">
        <v>632</v>
      </c>
      <c r="K33" s="73" t="s">
        <v>633</v>
      </c>
      <c r="L33" s="98"/>
      <c r="O33"/>
    </row>
    <row r="34" spans="1:30" ht="14.25" x14ac:dyDescent="0.2">
      <c r="A34" s="73">
        <v>1</v>
      </c>
      <c r="B34" s="73">
        <v>2</v>
      </c>
      <c r="C34" s="73">
        <v>3</v>
      </c>
      <c r="D34" s="73">
        <v>4</v>
      </c>
      <c r="E34" s="73">
        <v>5</v>
      </c>
      <c r="F34" s="73">
        <v>6</v>
      </c>
      <c r="G34" s="73">
        <v>7</v>
      </c>
      <c r="H34" s="73">
        <v>8</v>
      </c>
      <c r="I34" s="73">
        <v>9</v>
      </c>
      <c r="J34" s="73">
        <v>10</v>
      </c>
      <c r="K34" s="73">
        <v>11</v>
      </c>
      <c r="L34" s="98"/>
      <c r="O34"/>
    </row>
    <row r="35" spans="1:30" hidden="1" x14ac:dyDescent="0.2">
      <c r="L35"/>
      <c r="O35"/>
    </row>
    <row r="36" spans="1:30" ht="16.5" hidden="1" x14ac:dyDescent="0.2">
      <c r="A36" s="48" t="str">
        <f>CONCATENATE("Локальная смета: ",IF(Source!G20&lt;&gt;"Новая локальная смета", Source!G20, ""))</f>
        <v>Локальная смета: Система охранной сигнализации</v>
      </c>
      <c r="B36" s="48"/>
      <c r="C36" s="48"/>
      <c r="D36" s="48"/>
      <c r="E36" s="48"/>
      <c r="F36" s="48"/>
      <c r="G36" s="48"/>
      <c r="H36" s="48"/>
      <c r="I36" s="48"/>
      <c r="J36" s="48"/>
      <c r="K36" s="48"/>
      <c r="L36"/>
      <c r="O36"/>
    </row>
    <row r="37" spans="1:30" hidden="1" x14ac:dyDescent="0.2">
      <c r="L37"/>
      <c r="O37"/>
    </row>
    <row r="38" spans="1:30" ht="16.5" hidden="1" x14ac:dyDescent="0.2">
      <c r="A38" s="48" t="str">
        <f>CONCATENATE("Раздел: ",IF(Source!G24&lt;&gt;"Новый раздел", Source!G24, ""))</f>
        <v>Раздел: Демонтажные работы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/>
      <c r="O38"/>
    </row>
    <row r="39" spans="1:30" ht="57" hidden="1" x14ac:dyDescent="0.2">
      <c r="A39" s="20">
        <v>1</v>
      </c>
      <c r="B39" s="20" t="str">
        <f>Source!F28</f>
        <v>4.10-80-9</v>
      </c>
      <c r="C39" s="20" t="s">
        <v>21</v>
      </c>
      <c r="D39" s="22" t="str">
        <f>Source!H28</f>
        <v>1  ШТ.</v>
      </c>
      <c r="E39" s="21">
        <f>Source!I28</f>
        <v>1</v>
      </c>
      <c r="F39" s="24"/>
      <c r="G39" s="23"/>
      <c r="H39" s="21"/>
      <c r="I39" s="24"/>
      <c r="J39" s="21"/>
      <c r="K39" s="24"/>
      <c r="L39"/>
      <c r="O39"/>
      <c r="R39">
        <f>Source!X28</f>
        <v>26.24</v>
      </c>
      <c r="S39">
        <f>Source!X29</f>
        <v>1478.34</v>
      </c>
      <c r="T39">
        <f>Source!Y28</f>
        <v>13.41</v>
      </c>
      <c r="U39">
        <f>Source!Y29</f>
        <v>755.6</v>
      </c>
      <c r="V39">
        <f>ROUND((175/100)*ROUND(Source!R28, 2), 2)</f>
        <v>0</v>
      </c>
      <c r="W39">
        <f>ROUND((0/100)*ROUND(Source!R29, 2), 2)</f>
        <v>0</v>
      </c>
      <c r="AD39">
        <v>0</v>
      </c>
    </row>
    <row r="40" spans="1:30" ht="14.25" hidden="1" x14ac:dyDescent="0.2">
      <c r="A40" s="20"/>
      <c r="B40" s="20"/>
      <c r="C40" s="20" t="s">
        <v>638</v>
      </c>
      <c r="D40" s="22"/>
      <c r="E40" s="21"/>
      <c r="F40" s="24">
        <f>Source!AO28</f>
        <v>77.349999999999994</v>
      </c>
      <c r="G40" s="23" t="s">
        <v>639</v>
      </c>
      <c r="H40" s="21">
        <f>Source!AV29</f>
        <v>1.0469999999999999</v>
      </c>
      <c r="I40" s="24">
        <f>Source!S28</f>
        <v>29.15</v>
      </c>
      <c r="J40" s="21">
        <f>IF(Source!BA29&lt;&gt; 0, Source!BA29, 1)</f>
        <v>56.35</v>
      </c>
      <c r="K40" s="24">
        <f>Source!S29</f>
        <v>1642.6</v>
      </c>
      <c r="L40"/>
      <c r="O40"/>
    </row>
    <row r="41" spans="1:30" ht="14.25" hidden="1" x14ac:dyDescent="0.2">
      <c r="A41" s="20"/>
      <c r="B41" s="20"/>
      <c r="C41" s="20" t="s">
        <v>640</v>
      </c>
      <c r="D41" s="22"/>
      <c r="E41" s="21"/>
      <c r="F41" s="24">
        <f>Source!AM28</f>
        <v>0.05</v>
      </c>
      <c r="G41" s="23" t="s">
        <v>639</v>
      </c>
      <c r="H41" s="21">
        <f>Source!AV29</f>
        <v>1.0469999999999999</v>
      </c>
      <c r="I41" s="24">
        <f>Source!Q28</f>
        <v>0.02</v>
      </c>
      <c r="J41" s="21">
        <f>IF(Source!BB29&lt;&gt; 0, Source!BB29, 1)</f>
        <v>20</v>
      </c>
      <c r="K41" s="24">
        <f>Source!Q29</f>
        <v>0.4</v>
      </c>
      <c r="L41"/>
      <c r="O41"/>
    </row>
    <row r="42" spans="1:30" ht="14.25" hidden="1" x14ac:dyDescent="0.2">
      <c r="A42" s="20"/>
      <c r="B42" s="20"/>
      <c r="C42" s="20" t="s">
        <v>641</v>
      </c>
      <c r="D42" s="22" t="s">
        <v>642</v>
      </c>
      <c r="E42" s="21">
        <f>Source!BZ29</f>
        <v>90</v>
      </c>
      <c r="F42" s="24"/>
      <c r="G42" s="23"/>
      <c r="H42" s="21"/>
      <c r="I42" s="24">
        <f>SUM(R39:R41)</f>
        <v>26.24</v>
      </c>
      <c r="J42" s="21">
        <f>Source!AT29</f>
        <v>90</v>
      </c>
      <c r="K42" s="24">
        <f>SUM(S39:S41)</f>
        <v>1478.34</v>
      </c>
      <c r="L42"/>
      <c r="O42"/>
    </row>
    <row r="43" spans="1:30" ht="14.25" hidden="1" x14ac:dyDescent="0.2">
      <c r="A43" s="20"/>
      <c r="B43" s="20"/>
      <c r="C43" s="20" t="s">
        <v>643</v>
      </c>
      <c r="D43" s="22" t="s">
        <v>642</v>
      </c>
      <c r="E43" s="21">
        <f>Source!CA29</f>
        <v>46</v>
      </c>
      <c r="F43" s="24"/>
      <c r="G43" s="23"/>
      <c r="H43" s="21"/>
      <c r="I43" s="24">
        <f>SUM(T39:T42)</f>
        <v>13.41</v>
      </c>
      <c r="J43" s="21">
        <f>Source!AU29</f>
        <v>46</v>
      </c>
      <c r="K43" s="24">
        <f>SUM(U39:U42)</f>
        <v>755.6</v>
      </c>
      <c r="L43"/>
      <c r="O43"/>
    </row>
    <row r="44" spans="1:30" ht="14.25" hidden="1" x14ac:dyDescent="0.2">
      <c r="A44" s="25"/>
      <c r="B44" s="25"/>
      <c r="C44" s="25" t="s">
        <v>644</v>
      </c>
      <c r="D44" s="26" t="s">
        <v>645</v>
      </c>
      <c r="E44" s="27">
        <f>Source!AQ28</f>
        <v>5.7</v>
      </c>
      <c r="F44" s="28"/>
      <c r="G44" s="29" t="s">
        <v>639</v>
      </c>
      <c r="H44" s="27">
        <f>Source!AV29</f>
        <v>1.0469999999999999</v>
      </c>
      <c r="I44" s="28">
        <f>Source!U28</f>
        <v>2.148444</v>
      </c>
      <c r="J44" s="27"/>
      <c r="K44" s="28"/>
      <c r="L44"/>
      <c r="O44"/>
    </row>
    <row r="45" spans="1:30" ht="15" hidden="1" x14ac:dyDescent="0.2">
      <c r="C45" s="30" t="s">
        <v>646</v>
      </c>
      <c r="H45" s="47">
        <f>I40+I41+I42+I43+0-0-0</f>
        <v>68.819999999999993</v>
      </c>
      <c r="I45" s="47"/>
      <c r="J45" s="47">
        <f>K40+K41+K42+K43+0-0-0</f>
        <v>3876.94</v>
      </c>
      <c r="K45" s="47"/>
      <c r="L45"/>
      <c r="O45"/>
    </row>
    <row r="46" spans="1:30" ht="15" hidden="1" x14ac:dyDescent="0.2">
      <c r="C46" s="30" t="s">
        <v>647</v>
      </c>
      <c r="H46" s="43">
        <f>0+0</f>
        <v>0</v>
      </c>
      <c r="I46" s="43"/>
      <c r="J46" s="43">
        <f>0+0</f>
        <v>0</v>
      </c>
      <c r="K46" s="43"/>
      <c r="L46"/>
      <c r="O46"/>
    </row>
    <row r="47" spans="1:30" ht="15" hidden="1" x14ac:dyDescent="0.2">
      <c r="C47" s="30" t="s">
        <v>648</v>
      </c>
      <c r="H47" s="43">
        <f>I40+I41+I42+I43+0</f>
        <v>68.819999999999993</v>
      </c>
      <c r="I47" s="43"/>
      <c r="J47" s="43">
        <f>K40+K41+K42+K43+0</f>
        <v>3876.94</v>
      </c>
      <c r="K47" s="43"/>
      <c r="L47"/>
      <c r="O47"/>
      <c r="P47" s="31">
        <f>I40+I41+I42+I43+0</f>
        <v>68.819999999999993</v>
      </c>
      <c r="Q47" s="31">
        <f>K40+K41+K42+K43+0</f>
        <v>3876.94</v>
      </c>
    </row>
    <row r="48" spans="1:30" hidden="1" x14ac:dyDescent="0.2">
      <c r="L48"/>
      <c r="O48"/>
    </row>
    <row r="49" spans="1:30" ht="42.75" hidden="1" x14ac:dyDescent="0.2">
      <c r="A49" s="20">
        <v>2</v>
      </c>
      <c r="B49" s="20" t="str">
        <f>Source!F30</f>
        <v>4.10-170-2</v>
      </c>
      <c r="C49" s="20" t="s">
        <v>32</v>
      </c>
      <c r="D49" s="22" t="str">
        <f>Source!H30</f>
        <v>1  ШТ.</v>
      </c>
      <c r="E49" s="21">
        <f>Source!I30</f>
        <v>1</v>
      </c>
      <c r="F49" s="24"/>
      <c r="G49" s="23"/>
      <c r="H49" s="21"/>
      <c r="I49" s="24"/>
      <c r="J49" s="21"/>
      <c r="K49" s="24"/>
      <c r="L49"/>
      <c r="O49"/>
      <c r="R49">
        <f>Source!X30</f>
        <v>11.36</v>
      </c>
      <c r="S49">
        <f>Source!X31</f>
        <v>640.03</v>
      </c>
      <c r="T49">
        <f>Source!Y30</f>
        <v>5.81</v>
      </c>
      <c r="U49">
        <f>Source!Y31</f>
        <v>327.12</v>
      </c>
      <c r="V49">
        <f>ROUND((175/100)*ROUND(Source!R30, 2), 2)</f>
        <v>0</v>
      </c>
      <c r="W49">
        <f>ROUND((0/100)*ROUND(Source!R31, 2), 2)</f>
        <v>0</v>
      </c>
      <c r="AD49">
        <v>0</v>
      </c>
    </row>
    <row r="50" spans="1:30" ht="14.25" hidden="1" x14ac:dyDescent="0.2">
      <c r="A50" s="20"/>
      <c r="B50" s="20"/>
      <c r="C50" s="20" t="s">
        <v>638</v>
      </c>
      <c r="D50" s="22"/>
      <c r="E50" s="21"/>
      <c r="F50" s="24">
        <f>Source!AO30</f>
        <v>33.47</v>
      </c>
      <c r="G50" s="23" t="s">
        <v>639</v>
      </c>
      <c r="H50" s="21">
        <f>Source!AV31</f>
        <v>1.0469999999999999</v>
      </c>
      <c r="I50" s="24">
        <f>Source!S30</f>
        <v>12.62</v>
      </c>
      <c r="J50" s="21">
        <f>IF(Source!BA31&lt;&gt; 0, Source!BA31, 1)</f>
        <v>56.35</v>
      </c>
      <c r="K50" s="24">
        <f>Source!S31</f>
        <v>711.14</v>
      </c>
      <c r="L50"/>
      <c r="O50"/>
    </row>
    <row r="51" spans="1:30" ht="14.25" hidden="1" x14ac:dyDescent="0.2">
      <c r="A51" s="20"/>
      <c r="B51" s="20"/>
      <c r="C51" s="20" t="s">
        <v>641</v>
      </c>
      <c r="D51" s="22" t="s">
        <v>642</v>
      </c>
      <c r="E51" s="21">
        <f>Source!BZ31</f>
        <v>90</v>
      </c>
      <c r="F51" s="24"/>
      <c r="G51" s="23"/>
      <c r="H51" s="21"/>
      <c r="I51" s="24">
        <f>SUM(R49:R50)</f>
        <v>11.36</v>
      </c>
      <c r="J51" s="21">
        <f>Source!AT31</f>
        <v>90</v>
      </c>
      <c r="K51" s="24">
        <f>SUM(S49:S50)</f>
        <v>640.03</v>
      </c>
      <c r="L51"/>
      <c r="O51"/>
    </row>
    <row r="52" spans="1:30" ht="14.25" hidden="1" x14ac:dyDescent="0.2">
      <c r="A52" s="20"/>
      <c r="B52" s="20"/>
      <c r="C52" s="20" t="s">
        <v>643</v>
      </c>
      <c r="D52" s="22" t="s">
        <v>642</v>
      </c>
      <c r="E52" s="21">
        <f>Source!CA31</f>
        <v>46</v>
      </c>
      <c r="F52" s="24"/>
      <c r="G52" s="23"/>
      <c r="H52" s="21"/>
      <c r="I52" s="24">
        <f>SUM(T49:T51)</f>
        <v>5.81</v>
      </c>
      <c r="J52" s="21">
        <f>Source!AU31</f>
        <v>46</v>
      </c>
      <c r="K52" s="24">
        <f>SUM(U49:U51)</f>
        <v>327.12</v>
      </c>
      <c r="L52"/>
      <c r="O52"/>
    </row>
    <row r="53" spans="1:30" ht="14.25" hidden="1" x14ac:dyDescent="0.2">
      <c r="A53" s="25"/>
      <c r="B53" s="25"/>
      <c r="C53" s="25" t="s">
        <v>644</v>
      </c>
      <c r="D53" s="26" t="s">
        <v>645</v>
      </c>
      <c r="E53" s="27">
        <f>Source!AQ30</f>
        <v>2.65</v>
      </c>
      <c r="F53" s="28"/>
      <c r="G53" s="29" t="s">
        <v>639</v>
      </c>
      <c r="H53" s="27">
        <f>Source!AV31</f>
        <v>1.0469999999999999</v>
      </c>
      <c r="I53" s="28">
        <f>Source!U30</f>
        <v>0.99883799999999978</v>
      </c>
      <c r="J53" s="27"/>
      <c r="K53" s="28"/>
      <c r="L53"/>
      <c r="O53"/>
    </row>
    <row r="54" spans="1:30" ht="15" hidden="1" x14ac:dyDescent="0.2">
      <c r="C54" s="30" t="s">
        <v>646</v>
      </c>
      <c r="H54" s="47">
        <f>I50+I51+I52+0-0-0</f>
        <v>29.789999999999996</v>
      </c>
      <c r="I54" s="47"/>
      <c r="J54" s="47">
        <f>K50+K51+K52+0-0-0</f>
        <v>1678.29</v>
      </c>
      <c r="K54" s="47"/>
      <c r="L54"/>
      <c r="O54"/>
    </row>
    <row r="55" spans="1:30" ht="15" hidden="1" x14ac:dyDescent="0.2">
      <c r="C55" s="30" t="s">
        <v>647</v>
      </c>
      <c r="H55" s="43">
        <f>0+0</f>
        <v>0</v>
      </c>
      <c r="I55" s="43"/>
      <c r="J55" s="43">
        <f>0+0</f>
        <v>0</v>
      </c>
      <c r="K55" s="43"/>
      <c r="L55"/>
      <c r="O55"/>
    </row>
    <row r="56" spans="1:30" ht="15" hidden="1" x14ac:dyDescent="0.2">
      <c r="C56" s="30" t="s">
        <v>648</v>
      </c>
      <c r="H56" s="43">
        <f>I50+I51+I52+0</f>
        <v>29.789999999999996</v>
      </c>
      <c r="I56" s="43"/>
      <c r="J56" s="43">
        <f>K50+K51+K52+0</f>
        <v>1678.29</v>
      </c>
      <c r="K56" s="43"/>
      <c r="L56"/>
      <c r="O56"/>
      <c r="P56" s="31">
        <f>I50+I51+I52+0</f>
        <v>29.789999999999996</v>
      </c>
      <c r="Q56" s="31">
        <f>K50+K51+K52+0</f>
        <v>1678.29</v>
      </c>
    </row>
    <row r="57" spans="1:30" hidden="1" x14ac:dyDescent="0.2">
      <c r="L57"/>
      <c r="O57"/>
    </row>
    <row r="58" spans="1:30" ht="42.75" hidden="1" x14ac:dyDescent="0.2">
      <c r="A58" s="20">
        <v>3</v>
      </c>
      <c r="B58" s="20" t="str">
        <f>Source!F32</f>
        <v>4.10-80-12</v>
      </c>
      <c r="C58" s="20" t="s">
        <v>36</v>
      </c>
      <c r="D58" s="22" t="str">
        <f>Source!H32</f>
        <v>1  ШТ.</v>
      </c>
      <c r="E58" s="21">
        <f>Source!I32</f>
        <v>1</v>
      </c>
      <c r="F58" s="24"/>
      <c r="G58" s="23"/>
      <c r="H58" s="21"/>
      <c r="I58" s="24"/>
      <c r="J58" s="21"/>
      <c r="K58" s="24"/>
      <c r="L58"/>
      <c r="O58"/>
      <c r="R58">
        <f>Source!X32</f>
        <v>11.05</v>
      </c>
      <c r="S58">
        <f>Source!X33</f>
        <v>622.78</v>
      </c>
      <c r="T58">
        <f>Source!Y32</f>
        <v>5.65</v>
      </c>
      <c r="U58">
        <f>Source!Y33</f>
        <v>318.31</v>
      </c>
      <c r="V58">
        <f>ROUND((175/100)*ROUND(Source!R32, 2), 2)</f>
        <v>0</v>
      </c>
      <c r="W58">
        <f>ROUND((0/100)*ROUND(Source!R33, 2), 2)</f>
        <v>0</v>
      </c>
      <c r="AD58">
        <v>0</v>
      </c>
    </row>
    <row r="59" spans="1:30" ht="14.25" hidden="1" x14ac:dyDescent="0.2">
      <c r="A59" s="20"/>
      <c r="B59" s="20"/>
      <c r="C59" s="20" t="s">
        <v>638</v>
      </c>
      <c r="D59" s="22"/>
      <c r="E59" s="21"/>
      <c r="F59" s="24">
        <f>Source!AO32</f>
        <v>32.57</v>
      </c>
      <c r="G59" s="23" t="s">
        <v>639</v>
      </c>
      <c r="H59" s="21">
        <f>Source!AV33</f>
        <v>1.0469999999999999</v>
      </c>
      <c r="I59" s="24">
        <f>Source!S32</f>
        <v>12.28</v>
      </c>
      <c r="J59" s="21">
        <f>IF(Source!BA33&lt;&gt; 0, Source!BA33, 1)</f>
        <v>56.35</v>
      </c>
      <c r="K59" s="24">
        <f>Source!S33</f>
        <v>691.98</v>
      </c>
      <c r="L59"/>
      <c r="O59"/>
    </row>
    <row r="60" spans="1:30" ht="14.25" hidden="1" x14ac:dyDescent="0.2">
      <c r="A60" s="20"/>
      <c r="B60" s="20"/>
      <c r="C60" s="20" t="s">
        <v>640</v>
      </c>
      <c r="D60" s="22"/>
      <c r="E60" s="21"/>
      <c r="F60" s="24">
        <f>Source!AM32</f>
        <v>0.05</v>
      </c>
      <c r="G60" s="23" t="s">
        <v>639</v>
      </c>
      <c r="H60" s="21">
        <f>Source!AV33</f>
        <v>1.0469999999999999</v>
      </c>
      <c r="I60" s="24">
        <f>Source!Q32</f>
        <v>0.02</v>
      </c>
      <c r="J60" s="21">
        <f>IF(Source!BB33&lt;&gt; 0, Source!BB33, 1)</f>
        <v>20</v>
      </c>
      <c r="K60" s="24">
        <f>Source!Q33</f>
        <v>0.4</v>
      </c>
      <c r="L60"/>
      <c r="O60"/>
    </row>
    <row r="61" spans="1:30" ht="14.25" hidden="1" x14ac:dyDescent="0.2">
      <c r="A61" s="20"/>
      <c r="B61" s="20"/>
      <c r="C61" s="20" t="s">
        <v>641</v>
      </c>
      <c r="D61" s="22" t="s">
        <v>642</v>
      </c>
      <c r="E61" s="21">
        <f>Source!BZ33</f>
        <v>90</v>
      </c>
      <c r="F61" s="24"/>
      <c r="G61" s="23"/>
      <c r="H61" s="21"/>
      <c r="I61" s="24">
        <f>SUM(R58:R60)</f>
        <v>11.05</v>
      </c>
      <c r="J61" s="21">
        <f>Source!AT33</f>
        <v>90</v>
      </c>
      <c r="K61" s="24">
        <f>SUM(S58:S60)</f>
        <v>622.78</v>
      </c>
      <c r="L61"/>
      <c r="O61"/>
    </row>
    <row r="62" spans="1:30" ht="14.25" hidden="1" x14ac:dyDescent="0.2">
      <c r="A62" s="20"/>
      <c r="B62" s="20"/>
      <c r="C62" s="20" t="s">
        <v>643</v>
      </c>
      <c r="D62" s="22" t="s">
        <v>642</v>
      </c>
      <c r="E62" s="21">
        <f>Source!CA33</f>
        <v>46</v>
      </c>
      <c r="F62" s="24"/>
      <c r="G62" s="23"/>
      <c r="H62" s="21"/>
      <c r="I62" s="24">
        <f>SUM(T58:T61)</f>
        <v>5.65</v>
      </c>
      <c r="J62" s="21">
        <f>Source!AU33</f>
        <v>46</v>
      </c>
      <c r="K62" s="24">
        <f>SUM(U58:U61)</f>
        <v>318.31</v>
      </c>
      <c r="L62"/>
      <c r="O62"/>
    </row>
    <row r="63" spans="1:30" ht="14.25" hidden="1" x14ac:dyDescent="0.2">
      <c r="A63" s="25"/>
      <c r="B63" s="25"/>
      <c r="C63" s="25" t="s">
        <v>644</v>
      </c>
      <c r="D63" s="26" t="s">
        <v>645</v>
      </c>
      <c r="E63" s="27">
        <f>Source!AQ32</f>
        <v>2.4</v>
      </c>
      <c r="F63" s="28"/>
      <c r="G63" s="29" t="s">
        <v>639</v>
      </c>
      <c r="H63" s="27">
        <f>Source!AV33</f>
        <v>1.0469999999999999</v>
      </c>
      <c r="I63" s="28">
        <f>Source!U32</f>
        <v>0.90460799999999997</v>
      </c>
      <c r="J63" s="27"/>
      <c r="K63" s="28"/>
      <c r="L63"/>
      <c r="O63"/>
    </row>
    <row r="64" spans="1:30" ht="15" hidden="1" x14ac:dyDescent="0.2">
      <c r="C64" s="30" t="s">
        <v>646</v>
      </c>
      <c r="H64" s="47">
        <f>I59+I60+I61+I62+0-0-0</f>
        <v>29</v>
      </c>
      <c r="I64" s="47"/>
      <c r="J64" s="47">
        <f>K59+K60+K61+K62+0-0-0</f>
        <v>1633.4699999999998</v>
      </c>
      <c r="K64" s="47"/>
      <c r="L64"/>
      <c r="O64"/>
    </row>
    <row r="65" spans="1:30" ht="15" hidden="1" x14ac:dyDescent="0.2">
      <c r="C65" s="30" t="s">
        <v>647</v>
      </c>
      <c r="H65" s="43">
        <f>0+0</f>
        <v>0</v>
      </c>
      <c r="I65" s="43"/>
      <c r="J65" s="43">
        <f>0+0</f>
        <v>0</v>
      </c>
      <c r="K65" s="43"/>
      <c r="L65"/>
      <c r="O65"/>
    </row>
    <row r="66" spans="1:30" ht="15" hidden="1" x14ac:dyDescent="0.2">
      <c r="C66" s="30" t="s">
        <v>648</v>
      </c>
      <c r="H66" s="43">
        <f>I59+I60+I61+I62+0</f>
        <v>29</v>
      </c>
      <c r="I66" s="43"/>
      <c r="J66" s="43">
        <f>K59+K60+K61+K62+0</f>
        <v>1633.4699999999998</v>
      </c>
      <c r="K66" s="43"/>
      <c r="L66"/>
      <c r="O66"/>
      <c r="P66" s="31">
        <f>I59+I60+I61+I62+0</f>
        <v>29</v>
      </c>
      <c r="Q66" s="31">
        <f>K59+K60+K61+K62+0</f>
        <v>1633.4699999999998</v>
      </c>
    </row>
    <row r="67" spans="1:30" hidden="1" x14ac:dyDescent="0.2">
      <c r="L67"/>
      <c r="O67"/>
    </row>
    <row r="68" spans="1:30" ht="42.75" hidden="1" x14ac:dyDescent="0.2">
      <c r="A68" s="20">
        <v>4</v>
      </c>
      <c r="B68" s="20" t="str">
        <f>Source!F34</f>
        <v>4.10-80-13</v>
      </c>
      <c r="C68" s="20" t="s">
        <v>40</v>
      </c>
      <c r="D68" s="22" t="str">
        <f>Source!H34</f>
        <v>1  ШТ.</v>
      </c>
      <c r="E68" s="21">
        <f>Source!I34</f>
        <v>31</v>
      </c>
      <c r="F68" s="24"/>
      <c r="G68" s="23"/>
      <c r="H68" s="21"/>
      <c r="I68" s="24"/>
      <c r="J68" s="21"/>
      <c r="K68" s="24"/>
      <c r="L68"/>
      <c r="O68"/>
      <c r="R68">
        <f>Source!X34</f>
        <v>169.1</v>
      </c>
      <c r="S68">
        <f>Source!X35</f>
        <v>9528.84</v>
      </c>
      <c r="T68">
        <f>Source!Y34</f>
        <v>86.43</v>
      </c>
      <c r="U68">
        <f>Source!Y35</f>
        <v>4870.3</v>
      </c>
      <c r="V68">
        <f>ROUND((175/100)*ROUND(Source!R34, 2), 2)</f>
        <v>0.21</v>
      </c>
      <c r="W68">
        <f>ROUND((0/100)*ROUND(Source!R35, 2), 2)</f>
        <v>0</v>
      </c>
      <c r="AD68">
        <v>0</v>
      </c>
    </row>
    <row r="69" spans="1:30" ht="14.25" hidden="1" x14ac:dyDescent="0.2">
      <c r="A69" s="20"/>
      <c r="B69" s="20"/>
      <c r="C69" s="20" t="s">
        <v>638</v>
      </c>
      <c r="D69" s="22"/>
      <c r="E69" s="21"/>
      <c r="F69" s="24">
        <f>Source!AO34</f>
        <v>16.07</v>
      </c>
      <c r="G69" s="23" t="s">
        <v>639</v>
      </c>
      <c r="H69" s="21">
        <f>Source!AV35</f>
        <v>1.0469999999999999</v>
      </c>
      <c r="I69" s="24">
        <f>Source!S34</f>
        <v>187.77</v>
      </c>
      <c r="J69" s="21">
        <f>IF(Source!BA35&lt;&gt; 0, Source!BA35, 1)</f>
        <v>56.35</v>
      </c>
      <c r="K69" s="24">
        <f>Source!S35</f>
        <v>10580.84</v>
      </c>
      <c r="L69"/>
      <c r="O69"/>
    </row>
    <row r="70" spans="1:30" ht="14.25" hidden="1" x14ac:dyDescent="0.2">
      <c r="A70" s="20"/>
      <c r="B70" s="20"/>
      <c r="C70" s="20" t="s">
        <v>640</v>
      </c>
      <c r="D70" s="22"/>
      <c r="E70" s="21"/>
      <c r="F70" s="24">
        <f>Source!AM34</f>
        <v>0.05</v>
      </c>
      <c r="G70" s="23" t="s">
        <v>639</v>
      </c>
      <c r="H70" s="21">
        <f>Source!AV35</f>
        <v>1.0469999999999999</v>
      </c>
      <c r="I70" s="24">
        <f>Source!Q34</f>
        <v>0.57999999999999996</v>
      </c>
      <c r="J70" s="21">
        <f>IF(Source!BB35&lt;&gt; 0, Source!BB35, 1)</f>
        <v>20</v>
      </c>
      <c r="K70" s="24">
        <f>Source!Q35</f>
        <v>11.6</v>
      </c>
      <c r="L70"/>
      <c r="O70"/>
    </row>
    <row r="71" spans="1:30" ht="14.25" hidden="1" x14ac:dyDescent="0.2">
      <c r="A71" s="20"/>
      <c r="B71" s="20"/>
      <c r="C71" s="20" t="s">
        <v>649</v>
      </c>
      <c r="D71" s="22"/>
      <c r="E71" s="21"/>
      <c r="F71" s="24">
        <f>Source!AN34</f>
        <v>0.01</v>
      </c>
      <c r="G71" s="23" t="s">
        <v>639</v>
      </c>
      <c r="H71" s="21">
        <f>Source!AV35</f>
        <v>1.0469999999999999</v>
      </c>
      <c r="I71" s="32">
        <f>Source!R34</f>
        <v>0.12</v>
      </c>
      <c r="J71" s="21">
        <f>IF(Source!BS35&lt;&gt; 0, Source!BS35, 1)</f>
        <v>56.35</v>
      </c>
      <c r="K71" s="32">
        <f>Source!R35</f>
        <v>6.76</v>
      </c>
      <c r="L71"/>
      <c r="O71"/>
    </row>
    <row r="72" spans="1:30" ht="14.25" hidden="1" x14ac:dyDescent="0.2">
      <c r="A72" s="20"/>
      <c r="B72" s="20"/>
      <c r="C72" s="20" t="s">
        <v>641</v>
      </c>
      <c r="D72" s="22" t="s">
        <v>642</v>
      </c>
      <c r="E72" s="21">
        <f>Source!BZ35</f>
        <v>90</v>
      </c>
      <c r="F72" s="24"/>
      <c r="G72" s="23"/>
      <c r="H72" s="21"/>
      <c r="I72" s="24">
        <f>SUM(R68:R71)</f>
        <v>169.1</v>
      </c>
      <c r="J72" s="21">
        <f>Source!AT35</f>
        <v>90</v>
      </c>
      <c r="K72" s="24">
        <f>SUM(S68:S71)</f>
        <v>9528.84</v>
      </c>
      <c r="L72"/>
      <c r="O72"/>
    </row>
    <row r="73" spans="1:30" ht="14.25" hidden="1" x14ac:dyDescent="0.2">
      <c r="A73" s="20"/>
      <c r="B73" s="20"/>
      <c r="C73" s="20" t="s">
        <v>643</v>
      </c>
      <c r="D73" s="22" t="s">
        <v>642</v>
      </c>
      <c r="E73" s="21">
        <f>Source!CA35</f>
        <v>46</v>
      </c>
      <c r="F73" s="24"/>
      <c r="G73" s="23"/>
      <c r="H73" s="21"/>
      <c r="I73" s="24">
        <f>SUM(T68:T72)</f>
        <v>86.43</v>
      </c>
      <c r="J73" s="21">
        <f>Source!AU35</f>
        <v>46</v>
      </c>
      <c r="K73" s="24">
        <f>SUM(U68:U72)</f>
        <v>4870.3</v>
      </c>
      <c r="L73"/>
      <c r="O73"/>
    </row>
    <row r="74" spans="1:30" ht="14.25" hidden="1" x14ac:dyDescent="0.2">
      <c r="A74" s="25"/>
      <c r="B74" s="25"/>
      <c r="C74" s="25" t="s">
        <v>644</v>
      </c>
      <c r="D74" s="26" t="s">
        <v>645</v>
      </c>
      <c r="E74" s="27">
        <f>Source!AQ34</f>
        <v>1.2</v>
      </c>
      <c r="F74" s="28"/>
      <c r="G74" s="29" t="s">
        <v>639</v>
      </c>
      <c r="H74" s="27">
        <f>Source!AV35</f>
        <v>1.0469999999999999</v>
      </c>
      <c r="I74" s="28">
        <f>Source!U34</f>
        <v>14.021424</v>
      </c>
      <c r="J74" s="27"/>
      <c r="K74" s="28"/>
      <c r="L74"/>
      <c r="O74"/>
    </row>
    <row r="75" spans="1:30" ht="15" hidden="1" x14ac:dyDescent="0.2">
      <c r="C75" s="30" t="s">
        <v>646</v>
      </c>
      <c r="H75" s="47">
        <f>I69+I70+I72+I73+0-0-0</f>
        <v>443.88000000000005</v>
      </c>
      <c r="I75" s="47"/>
      <c r="J75" s="47">
        <f>K69+K70+K72+K73+0-0-0</f>
        <v>24991.579999999998</v>
      </c>
      <c r="K75" s="47"/>
      <c r="L75"/>
      <c r="O75"/>
    </row>
    <row r="76" spans="1:30" ht="15" hidden="1" x14ac:dyDescent="0.2">
      <c r="C76" s="30" t="s">
        <v>647</v>
      </c>
      <c r="H76" s="43">
        <f>0+0</f>
        <v>0</v>
      </c>
      <c r="I76" s="43"/>
      <c r="J76" s="43">
        <f>0+0</f>
        <v>0</v>
      </c>
      <c r="K76" s="43"/>
      <c r="L76"/>
      <c r="O76"/>
    </row>
    <row r="77" spans="1:30" ht="15" hidden="1" x14ac:dyDescent="0.2">
      <c r="C77" s="30" t="s">
        <v>648</v>
      </c>
      <c r="H77" s="43">
        <f>I69+I70+I72+I73+0</f>
        <v>443.88000000000005</v>
      </c>
      <c r="I77" s="43"/>
      <c r="J77" s="43">
        <f>K69+K70+K72+K73+0</f>
        <v>24991.579999999998</v>
      </c>
      <c r="K77" s="43"/>
      <c r="L77"/>
      <c r="O77"/>
      <c r="P77" s="31">
        <f>I69+I70+I72+I73+0</f>
        <v>443.88000000000005</v>
      </c>
      <c r="Q77" s="31">
        <f>K69+K70+K72+K73+0</f>
        <v>24991.579999999998</v>
      </c>
    </row>
    <row r="78" spans="1:30" hidden="1" x14ac:dyDescent="0.2">
      <c r="L78"/>
      <c r="O78"/>
    </row>
    <row r="79" spans="1:30" ht="57" hidden="1" x14ac:dyDescent="0.2">
      <c r="A79" s="20">
        <v>5</v>
      </c>
      <c r="B79" s="20" t="str">
        <f>Source!F36</f>
        <v>4.10-80-9</v>
      </c>
      <c r="C79" s="20" t="s">
        <v>43</v>
      </c>
      <c r="D79" s="22" t="str">
        <f>Source!H36</f>
        <v>1  ШТ.</v>
      </c>
      <c r="E79" s="21">
        <f>Source!I36</f>
        <v>1</v>
      </c>
      <c r="F79" s="24"/>
      <c r="G79" s="23"/>
      <c r="H79" s="21"/>
      <c r="I79" s="24"/>
      <c r="J79" s="21"/>
      <c r="K79" s="24"/>
      <c r="L79"/>
      <c r="O79"/>
      <c r="R79">
        <f>Source!X36</f>
        <v>26.24</v>
      </c>
      <c r="S79">
        <f>Source!X37</f>
        <v>1478.34</v>
      </c>
      <c r="T79">
        <f>Source!Y36</f>
        <v>13.41</v>
      </c>
      <c r="U79">
        <f>Source!Y37</f>
        <v>755.6</v>
      </c>
      <c r="V79">
        <f>ROUND((175/100)*ROUND(Source!R36, 2), 2)</f>
        <v>0</v>
      </c>
      <c r="W79">
        <f>ROUND((0/100)*ROUND(Source!R37, 2), 2)</f>
        <v>0</v>
      </c>
      <c r="AD79">
        <v>0</v>
      </c>
    </row>
    <row r="80" spans="1:30" ht="14.25" hidden="1" x14ac:dyDescent="0.2">
      <c r="A80" s="20"/>
      <c r="B80" s="20"/>
      <c r="C80" s="20" t="s">
        <v>638</v>
      </c>
      <c r="D80" s="22"/>
      <c r="E80" s="21"/>
      <c r="F80" s="24">
        <f>Source!AO36</f>
        <v>77.349999999999994</v>
      </c>
      <c r="G80" s="23" t="s">
        <v>639</v>
      </c>
      <c r="H80" s="21">
        <f>Source!AV37</f>
        <v>1.0469999999999999</v>
      </c>
      <c r="I80" s="24">
        <f>Source!S36</f>
        <v>29.15</v>
      </c>
      <c r="J80" s="21">
        <f>IF(Source!BA37&lt;&gt; 0, Source!BA37, 1)</f>
        <v>56.35</v>
      </c>
      <c r="K80" s="24">
        <f>Source!S37</f>
        <v>1642.6</v>
      </c>
      <c r="L80"/>
      <c r="O80"/>
    </row>
    <row r="81" spans="1:30" ht="14.25" hidden="1" x14ac:dyDescent="0.2">
      <c r="A81" s="20"/>
      <c r="B81" s="20"/>
      <c r="C81" s="20" t="s">
        <v>640</v>
      </c>
      <c r="D81" s="22"/>
      <c r="E81" s="21"/>
      <c r="F81" s="24">
        <f>Source!AM36</f>
        <v>0.05</v>
      </c>
      <c r="G81" s="23" t="s">
        <v>639</v>
      </c>
      <c r="H81" s="21">
        <f>Source!AV37</f>
        <v>1.0469999999999999</v>
      </c>
      <c r="I81" s="24">
        <f>Source!Q36</f>
        <v>0.02</v>
      </c>
      <c r="J81" s="21">
        <f>IF(Source!BB37&lt;&gt; 0, Source!BB37, 1)</f>
        <v>20</v>
      </c>
      <c r="K81" s="24">
        <f>Source!Q37</f>
        <v>0.4</v>
      </c>
      <c r="L81"/>
      <c r="O81"/>
    </row>
    <row r="82" spans="1:30" ht="14.25" hidden="1" x14ac:dyDescent="0.2">
      <c r="A82" s="20"/>
      <c r="B82" s="20"/>
      <c r="C82" s="20" t="s">
        <v>641</v>
      </c>
      <c r="D82" s="22" t="s">
        <v>642</v>
      </c>
      <c r="E82" s="21">
        <f>Source!BZ37</f>
        <v>90</v>
      </c>
      <c r="F82" s="24"/>
      <c r="G82" s="23"/>
      <c r="H82" s="21"/>
      <c r="I82" s="24">
        <f>SUM(R79:R81)</f>
        <v>26.24</v>
      </c>
      <c r="J82" s="21">
        <f>Source!AT37</f>
        <v>90</v>
      </c>
      <c r="K82" s="24">
        <f>SUM(S79:S81)</f>
        <v>1478.34</v>
      </c>
      <c r="L82"/>
      <c r="O82"/>
    </row>
    <row r="83" spans="1:30" ht="14.25" hidden="1" x14ac:dyDescent="0.2">
      <c r="A83" s="20"/>
      <c r="B83" s="20"/>
      <c r="C83" s="20" t="s">
        <v>643</v>
      </c>
      <c r="D83" s="22" t="s">
        <v>642</v>
      </c>
      <c r="E83" s="21">
        <f>Source!CA37</f>
        <v>46</v>
      </c>
      <c r="F83" s="24"/>
      <c r="G83" s="23"/>
      <c r="H83" s="21"/>
      <c r="I83" s="24">
        <f>SUM(T79:T82)</f>
        <v>13.41</v>
      </c>
      <c r="J83" s="21">
        <f>Source!AU37</f>
        <v>46</v>
      </c>
      <c r="K83" s="24">
        <f>SUM(U79:U82)</f>
        <v>755.6</v>
      </c>
      <c r="L83"/>
      <c r="O83"/>
    </row>
    <row r="84" spans="1:30" ht="14.25" hidden="1" x14ac:dyDescent="0.2">
      <c r="A84" s="25"/>
      <c r="B84" s="25"/>
      <c r="C84" s="25" t="s">
        <v>644</v>
      </c>
      <c r="D84" s="26" t="s">
        <v>645</v>
      </c>
      <c r="E84" s="27">
        <f>Source!AQ36</f>
        <v>5.7</v>
      </c>
      <c r="F84" s="28"/>
      <c r="G84" s="29" t="s">
        <v>639</v>
      </c>
      <c r="H84" s="27">
        <f>Source!AV37</f>
        <v>1.0469999999999999</v>
      </c>
      <c r="I84" s="28">
        <f>Source!U36</f>
        <v>2.148444</v>
      </c>
      <c r="J84" s="27"/>
      <c r="K84" s="28"/>
      <c r="L84"/>
      <c r="O84"/>
    </row>
    <row r="85" spans="1:30" ht="15" hidden="1" x14ac:dyDescent="0.2">
      <c r="C85" s="30" t="s">
        <v>646</v>
      </c>
      <c r="H85" s="47">
        <f>I80+I81+I82+I83+0-0-0</f>
        <v>68.819999999999993</v>
      </c>
      <c r="I85" s="47"/>
      <c r="J85" s="47">
        <f>K80+K81+K82+K83+0-0-0</f>
        <v>3876.94</v>
      </c>
      <c r="K85" s="47"/>
      <c r="L85"/>
      <c r="O85"/>
    </row>
    <row r="86" spans="1:30" ht="15" hidden="1" x14ac:dyDescent="0.2">
      <c r="C86" s="30" t="s">
        <v>647</v>
      </c>
      <c r="H86" s="43">
        <f>0+0</f>
        <v>0</v>
      </c>
      <c r="I86" s="43"/>
      <c r="J86" s="43">
        <f>0+0</f>
        <v>0</v>
      </c>
      <c r="K86" s="43"/>
      <c r="L86"/>
      <c r="O86"/>
    </row>
    <row r="87" spans="1:30" ht="15" hidden="1" x14ac:dyDescent="0.2">
      <c r="C87" s="30" t="s">
        <v>648</v>
      </c>
      <c r="H87" s="43">
        <f>I80+I81+I82+I83+0</f>
        <v>68.819999999999993</v>
      </c>
      <c r="I87" s="43"/>
      <c r="J87" s="43">
        <f>K80+K81+K82+K83+0</f>
        <v>3876.94</v>
      </c>
      <c r="K87" s="43"/>
      <c r="L87"/>
      <c r="O87"/>
      <c r="P87" s="31">
        <f>I80+I81+I82+I83+0</f>
        <v>68.819999999999993</v>
      </c>
      <c r="Q87" s="31">
        <f>K80+K81+K82+K83+0</f>
        <v>3876.94</v>
      </c>
    </row>
    <row r="88" spans="1:30" hidden="1" x14ac:dyDescent="0.2">
      <c r="L88"/>
      <c r="O88"/>
    </row>
    <row r="89" spans="1:30" ht="57" hidden="1" x14ac:dyDescent="0.2">
      <c r="A89" s="20">
        <v>6</v>
      </c>
      <c r="B89" s="20" t="str">
        <f>Source!F38</f>
        <v>4.10-80-5</v>
      </c>
      <c r="C89" s="20" t="s">
        <v>46</v>
      </c>
      <c r="D89" s="22" t="str">
        <f>Source!H38</f>
        <v>1  ШТ.</v>
      </c>
      <c r="E89" s="21">
        <f>Source!I38</f>
        <v>1</v>
      </c>
      <c r="F89" s="24"/>
      <c r="G89" s="23"/>
      <c r="H89" s="21"/>
      <c r="I89" s="24"/>
      <c r="J89" s="21"/>
      <c r="K89" s="24"/>
      <c r="L89"/>
      <c r="O89"/>
      <c r="R89">
        <f>Source!X38</f>
        <v>7.81</v>
      </c>
      <c r="S89">
        <f>Source!X39</f>
        <v>440.21</v>
      </c>
      <c r="T89">
        <f>Source!Y38</f>
        <v>3.99</v>
      </c>
      <c r="U89">
        <f>Source!Y39</f>
        <v>225</v>
      </c>
      <c r="V89">
        <f>ROUND((175/100)*ROUND(Source!R38, 2), 2)</f>
        <v>0</v>
      </c>
      <c r="W89">
        <f>ROUND((0/100)*ROUND(Source!R39, 2), 2)</f>
        <v>0</v>
      </c>
      <c r="AD89">
        <v>0</v>
      </c>
    </row>
    <row r="90" spans="1:30" ht="14.25" hidden="1" x14ac:dyDescent="0.2">
      <c r="A90" s="20"/>
      <c r="B90" s="20"/>
      <c r="C90" s="20" t="s">
        <v>638</v>
      </c>
      <c r="D90" s="22"/>
      <c r="E90" s="21"/>
      <c r="F90" s="24">
        <f>Source!AO38</f>
        <v>23.04</v>
      </c>
      <c r="G90" s="23" t="s">
        <v>639</v>
      </c>
      <c r="H90" s="21">
        <f>Source!AV39</f>
        <v>1.0469999999999999</v>
      </c>
      <c r="I90" s="24">
        <f>Source!S38</f>
        <v>8.68</v>
      </c>
      <c r="J90" s="21">
        <f>IF(Source!BA39&lt;&gt; 0, Source!BA39, 1)</f>
        <v>56.35</v>
      </c>
      <c r="K90" s="24">
        <f>Source!S39</f>
        <v>489.12</v>
      </c>
      <c r="L90"/>
      <c r="O90"/>
    </row>
    <row r="91" spans="1:30" ht="14.25" hidden="1" x14ac:dyDescent="0.2">
      <c r="A91" s="20"/>
      <c r="B91" s="20"/>
      <c r="C91" s="20" t="s">
        <v>640</v>
      </c>
      <c r="D91" s="22"/>
      <c r="E91" s="21"/>
      <c r="F91" s="24">
        <f>Source!AM38</f>
        <v>0.05</v>
      </c>
      <c r="G91" s="23" t="s">
        <v>639</v>
      </c>
      <c r="H91" s="21">
        <f>Source!AV39</f>
        <v>1.0469999999999999</v>
      </c>
      <c r="I91" s="24">
        <f>Source!Q38</f>
        <v>0.02</v>
      </c>
      <c r="J91" s="21">
        <f>IF(Source!BB39&lt;&gt; 0, Source!BB39, 1)</f>
        <v>20</v>
      </c>
      <c r="K91" s="24">
        <f>Source!Q39</f>
        <v>0.4</v>
      </c>
      <c r="L91"/>
      <c r="O91"/>
    </row>
    <row r="92" spans="1:30" ht="14.25" hidden="1" x14ac:dyDescent="0.2">
      <c r="A92" s="20"/>
      <c r="B92" s="20"/>
      <c r="C92" s="20" t="s">
        <v>641</v>
      </c>
      <c r="D92" s="22" t="s">
        <v>642</v>
      </c>
      <c r="E92" s="21">
        <f>Source!BZ39</f>
        <v>90</v>
      </c>
      <c r="F92" s="24"/>
      <c r="G92" s="23"/>
      <c r="H92" s="21"/>
      <c r="I92" s="24">
        <f>SUM(R89:R91)</f>
        <v>7.81</v>
      </c>
      <c r="J92" s="21">
        <f>Source!AT39</f>
        <v>90</v>
      </c>
      <c r="K92" s="24">
        <f>SUM(S89:S91)</f>
        <v>440.21</v>
      </c>
      <c r="L92"/>
      <c r="O92"/>
    </row>
    <row r="93" spans="1:30" ht="14.25" hidden="1" x14ac:dyDescent="0.2">
      <c r="A93" s="20"/>
      <c r="B93" s="20"/>
      <c r="C93" s="20" t="s">
        <v>643</v>
      </c>
      <c r="D93" s="22" t="s">
        <v>642</v>
      </c>
      <c r="E93" s="21">
        <f>Source!CA39</f>
        <v>46</v>
      </c>
      <c r="F93" s="24"/>
      <c r="G93" s="23"/>
      <c r="H93" s="21"/>
      <c r="I93" s="24">
        <f>SUM(T89:T92)</f>
        <v>3.99</v>
      </c>
      <c r="J93" s="21">
        <f>Source!AU39</f>
        <v>46</v>
      </c>
      <c r="K93" s="24">
        <f>SUM(U89:U92)</f>
        <v>225</v>
      </c>
      <c r="L93"/>
      <c r="O93"/>
    </row>
    <row r="94" spans="1:30" ht="14.25" hidden="1" x14ac:dyDescent="0.2">
      <c r="A94" s="25"/>
      <c r="B94" s="25"/>
      <c r="C94" s="25" t="s">
        <v>644</v>
      </c>
      <c r="D94" s="26" t="s">
        <v>645</v>
      </c>
      <c r="E94" s="27">
        <f>Source!AQ38</f>
        <v>1.8</v>
      </c>
      <c r="F94" s="28"/>
      <c r="G94" s="29" t="s">
        <v>639</v>
      </c>
      <c r="H94" s="27">
        <f>Source!AV39</f>
        <v>1.0469999999999999</v>
      </c>
      <c r="I94" s="28">
        <f>Source!U38</f>
        <v>0.67845599999999995</v>
      </c>
      <c r="J94" s="27"/>
      <c r="K94" s="28"/>
      <c r="L94"/>
      <c r="O94"/>
    </row>
    <row r="95" spans="1:30" ht="15" hidden="1" x14ac:dyDescent="0.2">
      <c r="C95" s="30" t="s">
        <v>646</v>
      </c>
      <c r="H95" s="47">
        <f>I90+I91+I92+I93+0-0-0</f>
        <v>20.5</v>
      </c>
      <c r="I95" s="47"/>
      <c r="J95" s="47">
        <f>K90+K91+K92+K93+0-0-0</f>
        <v>1154.73</v>
      </c>
      <c r="K95" s="47"/>
      <c r="L95"/>
      <c r="O95"/>
    </row>
    <row r="96" spans="1:30" ht="15" hidden="1" x14ac:dyDescent="0.2">
      <c r="C96" s="30" t="s">
        <v>647</v>
      </c>
      <c r="H96" s="43">
        <f>0+0</f>
        <v>0</v>
      </c>
      <c r="I96" s="43"/>
      <c r="J96" s="43">
        <f>0+0</f>
        <v>0</v>
      </c>
      <c r="K96" s="43"/>
      <c r="L96"/>
      <c r="O96"/>
    </row>
    <row r="97" spans="1:30" ht="15" hidden="1" x14ac:dyDescent="0.2">
      <c r="C97" s="30" t="s">
        <v>648</v>
      </c>
      <c r="H97" s="43">
        <f>I90+I91+I92+I93+0</f>
        <v>20.5</v>
      </c>
      <c r="I97" s="43"/>
      <c r="J97" s="43">
        <f>K90+K91+K92+K93+0</f>
        <v>1154.73</v>
      </c>
      <c r="K97" s="43"/>
      <c r="L97"/>
      <c r="O97"/>
      <c r="P97" s="31">
        <f>I90+I91+I92+I93+0</f>
        <v>20.5</v>
      </c>
      <c r="Q97" s="31">
        <f>K90+K91+K92+K93+0</f>
        <v>1154.73</v>
      </c>
    </row>
    <row r="98" spans="1:30" hidden="1" x14ac:dyDescent="0.2">
      <c r="L98"/>
      <c r="O98"/>
    </row>
    <row r="99" spans="1:30" ht="42.75" hidden="1" x14ac:dyDescent="0.2">
      <c r="A99" s="20">
        <v>7</v>
      </c>
      <c r="B99" s="20" t="str">
        <f>Source!F40</f>
        <v>4.10-81-4</v>
      </c>
      <c r="C99" s="20" t="s">
        <v>50</v>
      </c>
      <c r="D99" s="22" t="str">
        <f>Source!H40</f>
        <v>1  ШТ.</v>
      </c>
      <c r="E99" s="21">
        <f>Source!I40</f>
        <v>155</v>
      </c>
      <c r="F99" s="24"/>
      <c r="G99" s="23"/>
      <c r="H99" s="21"/>
      <c r="I99" s="24"/>
      <c r="J99" s="21"/>
      <c r="K99" s="24"/>
      <c r="L99"/>
      <c r="O99"/>
      <c r="R99">
        <f>Source!X40</f>
        <v>557.35</v>
      </c>
      <c r="S99">
        <f>Source!X41</f>
        <v>31406.79</v>
      </c>
      <c r="T99">
        <f>Source!Y40</f>
        <v>284.87</v>
      </c>
      <c r="U99">
        <f>Source!Y41</f>
        <v>16052.36</v>
      </c>
      <c r="V99">
        <f>ROUND((175/100)*ROUND(Source!R40, 2), 2)</f>
        <v>0</v>
      </c>
      <c r="W99">
        <f>ROUND((0/100)*ROUND(Source!R41, 2), 2)</f>
        <v>0</v>
      </c>
      <c r="AD99">
        <v>0</v>
      </c>
    </row>
    <row r="100" spans="1:30" hidden="1" x14ac:dyDescent="0.2">
      <c r="C100" s="33" t="str">
        <f>"Объем: "&amp;Source!I40&amp;"=57+"&amp;"98"</f>
        <v>Объем: 155=57+98</v>
      </c>
      <c r="L100"/>
      <c r="O100"/>
    </row>
    <row r="101" spans="1:30" ht="14.25" hidden="1" x14ac:dyDescent="0.2">
      <c r="A101" s="20"/>
      <c r="B101" s="20"/>
      <c r="C101" s="20" t="s">
        <v>638</v>
      </c>
      <c r="D101" s="22"/>
      <c r="E101" s="21"/>
      <c r="F101" s="24">
        <f>Source!AO40</f>
        <v>10.6</v>
      </c>
      <c r="G101" s="23" t="s">
        <v>639</v>
      </c>
      <c r="H101" s="21">
        <f>Source!AV41</f>
        <v>1.0469999999999999</v>
      </c>
      <c r="I101" s="24">
        <f>Source!S40</f>
        <v>619.28</v>
      </c>
      <c r="J101" s="21">
        <f>IF(Source!BA41&lt;&gt; 0, Source!BA41, 1)</f>
        <v>56.35</v>
      </c>
      <c r="K101" s="24">
        <f>Source!S41</f>
        <v>34896.43</v>
      </c>
      <c r="L101"/>
      <c r="O101"/>
    </row>
    <row r="102" spans="1:30" ht="14.25" hidden="1" x14ac:dyDescent="0.2">
      <c r="A102" s="20"/>
      <c r="B102" s="20"/>
      <c r="C102" s="20" t="s">
        <v>641</v>
      </c>
      <c r="D102" s="22" t="s">
        <v>642</v>
      </c>
      <c r="E102" s="21">
        <f>Source!BZ41</f>
        <v>90</v>
      </c>
      <c r="F102" s="24"/>
      <c r="G102" s="23"/>
      <c r="H102" s="21"/>
      <c r="I102" s="24">
        <f>SUM(R99:R101)</f>
        <v>557.35</v>
      </c>
      <c r="J102" s="21">
        <f>Source!AT41</f>
        <v>90</v>
      </c>
      <c r="K102" s="24">
        <f>SUM(S99:S101)</f>
        <v>31406.79</v>
      </c>
      <c r="L102"/>
      <c r="O102"/>
    </row>
    <row r="103" spans="1:30" ht="14.25" hidden="1" x14ac:dyDescent="0.2">
      <c r="A103" s="20"/>
      <c r="B103" s="20"/>
      <c r="C103" s="20" t="s">
        <v>643</v>
      </c>
      <c r="D103" s="22" t="s">
        <v>642</v>
      </c>
      <c r="E103" s="21">
        <f>Source!CA41</f>
        <v>46</v>
      </c>
      <c r="F103" s="24"/>
      <c r="G103" s="23"/>
      <c r="H103" s="21"/>
      <c r="I103" s="24">
        <f>SUM(T99:T102)</f>
        <v>284.87</v>
      </c>
      <c r="J103" s="21">
        <f>Source!AU41</f>
        <v>46</v>
      </c>
      <c r="K103" s="24">
        <f>SUM(U99:U102)</f>
        <v>16052.36</v>
      </c>
      <c r="L103"/>
      <c r="O103"/>
    </row>
    <row r="104" spans="1:30" ht="14.25" hidden="1" x14ac:dyDescent="0.2">
      <c r="A104" s="25"/>
      <c r="B104" s="25"/>
      <c r="C104" s="25" t="s">
        <v>644</v>
      </c>
      <c r="D104" s="26" t="s">
        <v>645</v>
      </c>
      <c r="E104" s="27">
        <f>Source!AQ40</f>
        <v>0.84</v>
      </c>
      <c r="F104" s="28"/>
      <c r="G104" s="29" t="s">
        <v>639</v>
      </c>
      <c r="H104" s="27">
        <f>Source!AV41</f>
        <v>1.0469999999999999</v>
      </c>
      <c r="I104" s="28">
        <f>Source!U40</f>
        <v>49.074983999999994</v>
      </c>
      <c r="J104" s="27"/>
      <c r="K104" s="28"/>
      <c r="L104"/>
      <c r="O104"/>
    </row>
    <row r="105" spans="1:30" ht="15" hidden="1" x14ac:dyDescent="0.2">
      <c r="C105" s="30" t="s">
        <v>646</v>
      </c>
      <c r="H105" s="47">
        <f>I101+I102+I103+0-0-0</f>
        <v>1461.5</v>
      </c>
      <c r="I105" s="47"/>
      <c r="J105" s="47">
        <f>K101+K102+K103+0-0-0</f>
        <v>82355.58</v>
      </c>
      <c r="K105" s="47"/>
      <c r="L105"/>
      <c r="O105"/>
    </row>
    <row r="106" spans="1:30" ht="15" hidden="1" x14ac:dyDescent="0.2">
      <c r="C106" s="30" t="s">
        <v>647</v>
      </c>
      <c r="H106" s="43">
        <f>0+0</f>
        <v>0</v>
      </c>
      <c r="I106" s="43"/>
      <c r="J106" s="43">
        <f>0+0</f>
        <v>0</v>
      </c>
      <c r="K106" s="43"/>
      <c r="L106"/>
      <c r="O106"/>
    </row>
    <row r="107" spans="1:30" ht="15" hidden="1" x14ac:dyDescent="0.2">
      <c r="C107" s="30" t="s">
        <v>648</v>
      </c>
      <c r="H107" s="43">
        <f>I101+I102+I103+0</f>
        <v>1461.5</v>
      </c>
      <c r="I107" s="43"/>
      <c r="J107" s="43">
        <f>K101+K102+K103+0</f>
        <v>82355.58</v>
      </c>
      <c r="K107" s="43"/>
      <c r="L107"/>
      <c r="O107"/>
      <c r="P107" s="31">
        <f>I101+I102+I103+0</f>
        <v>1461.5</v>
      </c>
      <c r="Q107" s="31">
        <f>K101+K102+K103+0</f>
        <v>82355.58</v>
      </c>
    </row>
    <row r="108" spans="1:30" hidden="1" x14ac:dyDescent="0.2">
      <c r="L108"/>
      <c r="O108"/>
    </row>
    <row r="109" spans="1:30" ht="85.5" hidden="1" x14ac:dyDescent="0.2">
      <c r="A109" s="20">
        <v>8</v>
      </c>
      <c r="B109" s="20" t="str">
        <f>Source!F42</f>
        <v>4.10-81-5</v>
      </c>
      <c r="C109" s="20" t="s">
        <v>54</v>
      </c>
      <c r="D109" s="22" t="str">
        <f>Source!H42</f>
        <v>1  ШТ.</v>
      </c>
      <c r="E109" s="21">
        <f>Source!I42</f>
        <v>116</v>
      </c>
      <c r="F109" s="24"/>
      <c r="G109" s="23"/>
      <c r="H109" s="21"/>
      <c r="I109" s="24"/>
      <c r="J109" s="21"/>
      <c r="K109" s="24"/>
      <c r="L109"/>
      <c r="O109"/>
      <c r="R109">
        <f>Source!X42</f>
        <v>417.11</v>
      </c>
      <c r="S109">
        <f>Source!X43</f>
        <v>23504.37</v>
      </c>
      <c r="T109">
        <f>Source!Y42</f>
        <v>213.19</v>
      </c>
      <c r="U109">
        <f>Source!Y43</f>
        <v>12013.35</v>
      </c>
      <c r="V109">
        <f>ROUND((175/100)*ROUND(Source!R42, 2), 2)</f>
        <v>0</v>
      </c>
      <c r="W109">
        <f>ROUND((0/100)*ROUND(Source!R43, 2), 2)</f>
        <v>0</v>
      </c>
      <c r="AD109">
        <v>0</v>
      </c>
    </row>
    <row r="110" spans="1:30" hidden="1" x14ac:dyDescent="0.2">
      <c r="C110" s="33" t="str">
        <f>"Объем: "&amp;Source!I42&amp;"=79+"&amp;"15+"&amp;"22"</f>
        <v>Объем: 116=79+15+22</v>
      </c>
      <c r="L110"/>
      <c r="O110"/>
    </row>
    <row r="111" spans="1:30" ht="14.25" hidden="1" x14ac:dyDescent="0.2">
      <c r="A111" s="20"/>
      <c r="B111" s="20"/>
      <c r="C111" s="20" t="s">
        <v>638</v>
      </c>
      <c r="D111" s="22"/>
      <c r="E111" s="21"/>
      <c r="F111" s="24">
        <f>Source!AO42</f>
        <v>10.6</v>
      </c>
      <c r="G111" s="23" t="s">
        <v>639</v>
      </c>
      <c r="H111" s="21">
        <f>Source!AV43</f>
        <v>1.0469999999999999</v>
      </c>
      <c r="I111" s="24">
        <f>Source!S42</f>
        <v>463.46</v>
      </c>
      <c r="J111" s="21">
        <f>IF(Source!BA43&lt;&gt; 0, Source!BA43, 1)</f>
        <v>56.35</v>
      </c>
      <c r="K111" s="24">
        <f>Source!S43</f>
        <v>26115.97</v>
      </c>
      <c r="L111"/>
      <c r="O111"/>
    </row>
    <row r="112" spans="1:30" ht="14.25" hidden="1" x14ac:dyDescent="0.2">
      <c r="A112" s="20"/>
      <c r="B112" s="20"/>
      <c r="C112" s="20" t="s">
        <v>641</v>
      </c>
      <c r="D112" s="22" t="s">
        <v>642</v>
      </c>
      <c r="E112" s="21">
        <f>Source!BZ43</f>
        <v>90</v>
      </c>
      <c r="F112" s="24"/>
      <c r="G112" s="23"/>
      <c r="H112" s="21"/>
      <c r="I112" s="24">
        <f>SUM(R109:R111)</f>
        <v>417.11</v>
      </c>
      <c r="J112" s="21">
        <f>Source!AT43</f>
        <v>90</v>
      </c>
      <c r="K112" s="24">
        <f>SUM(S109:S111)</f>
        <v>23504.37</v>
      </c>
      <c r="L112"/>
      <c r="O112"/>
    </row>
    <row r="113" spans="1:30" ht="14.25" hidden="1" x14ac:dyDescent="0.2">
      <c r="A113" s="20"/>
      <c r="B113" s="20"/>
      <c r="C113" s="20" t="s">
        <v>643</v>
      </c>
      <c r="D113" s="22" t="s">
        <v>642</v>
      </c>
      <c r="E113" s="21">
        <f>Source!CA43</f>
        <v>46</v>
      </c>
      <c r="F113" s="24"/>
      <c r="G113" s="23"/>
      <c r="H113" s="21"/>
      <c r="I113" s="24">
        <f>SUM(T109:T112)</f>
        <v>213.19</v>
      </c>
      <c r="J113" s="21">
        <f>Source!AU43</f>
        <v>46</v>
      </c>
      <c r="K113" s="24">
        <f>SUM(U109:U112)</f>
        <v>12013.35</v>
      </c>
      <c r="L113"/>
      <c r="O113"/>
    </row>
    <row r="114" spans="1:30" ht="14.25" hidden="1" x14ac:dyDescent="0.2">
      <c r="A114" s="25"/>
      <c r="B114" s="25"/>
      <c r="C114" s="25" t="s">
        <v>644</v>
      </c>
      <c r="D114" s="26" t="s">
        <v>645</v>
      </c>
      <c r="E114" s="27">
        <f>Source!AQ42</f>
        <v>0.84</v>
      </c>
      <c r="F114" s="28"/>
      <c r="G114" s="29" t="s">
        <v>639</v>
      </c>
      <c r="H114" s="27">
        <f>Source!AV43</f>
        <v>1.0469999999999999</v>
      </c>
      <c r="I114" s="28">
        <f>Source!U42</f>
        <v>36.7270848</v>
      </c>
      <c r="J114" s="27"/>
      <c r="K114" s="28"/>
      <c r="L114"/>
      <c r="O114"/>
    </row>
    <row r="115" spans="1:30" ht="15" hidden="1" x14ac:dyDescent="0.2">
      <c r="C115" s="30" t="s">
        <v>646</v>
      </c>
      <c r="H115" s="47">
        <f>I111+I112+I113+0-0-0</f>
        <v>1093.76</v>
      </c>
      <c r="I115" s="47"/>
      <c r="J115" s="47">
        <f>K111+K112+K113+0-0-0</f>
        <v>61633.689999999995</v>
      </c>
      <c r="K115" s="47"/>
      <c r="L115"/>
      <c r="O115"/>
    </row>
    <row r="116" spans="1:30" ht="15" hidden="1" x14ac:dyDescent="0.2">
      <c r="C116" s="30" t="s">
        <v>647</v>
      </c>
      <c r="H116" s="43">
        <f>0+0</f>
        <v>0</v>
      </c>
      <c r="I116" s="43"/>
      <c r="J116" s="43">
        <f>0+0</f>
        <v>0</v>
      </c>
      <c r="K116" s="43"/>
      <c r="L116"/>
      <c r="O116"/>
    </row>
    <row r="117" spans="1:30" ht="15" hidden="1" x14ac:dyDescent="0.2">
      <c r="C117" s="30" t="s">
        <v>648</v>
      </c>
      <c r="H117" s="43">
        <f>I111+I112+I113+0</f>
        <v>1093.76</v>
      </c>
      <c r="I117" s="43"/>
      <c r="J117" s="43">
        <f>K111+K112+K113+0</f>
        <v>61633.689999999995</v>
      </c>
      <c r="K117" s="43"/>
      <c r="L117"/>
      <c r="O117"/>
      <c r="P117" s="31">
        <f>I111+I112+I113+0</f>
        <v>1093.76</v>
      </c>
      <c r="Q117" s="31">
        <f>K111+K112+K113+0</f>
        <v>61633.689999999995</v>
      </c>
    </row>
    <row r="118" spans="1:30" hidden="1" x14ac:dyDescent="0.2">
      <c r="L118"/>
      <c r="O118"/>
    </row>
    <row r="119" spans="1:30" ht="28.5" hidden="1" x14ac:dyDescent="0.2">
      <c r="A119" s="20">
        <v>9</v>
      </c>
      <c r="B119" s="20" t="str">
        <f>Source!F44</f>
        <v>4.10-76-10</v>
      </c>
      <c r="C119" s="20" t="s">
        <v>58</v>
      </c>
      <c r="D119" s="22" t="str">
        <f>Source!H44</f>
        <v>1  ШТ.</v>
      </c>
      <c r="E119" s="21">
        <f>Source!I44</f>
        <v>10</v>
      </c>
      <c r="F119" s="24"/>
      <c r="G119" s="23"/>
      <c r="H119" s="21"/>
      <c r="I119" s="24"/>
      <c r="J119" s="21"/>
      <c r="K119" s="24"/>
      <c r="L119"/>
      <c r="O119"/>
      <c r="R119">
        <f>Source!X44</f>
        <v>42.58</v>
      </c>
      <c r="S119">
        <f>Source!X45</f>
        <v>2399.33</v>
      </c>
      <c r="T119">
        <f>Source!Y44</f>
        <v>23.75</v>
      </c>
      <c r="U119">
        <f>Source!Y45</f>
        <v>1338.57</v>
      </c>
      <c r="V119">
        <f>ROUND((175/100)*ROUND(Source!R44, 2), 2)</f>
        <v>0</v>
      </c>
      <c r="W119">
        <f>ROUND((0/100)*ROUND(Source!R45, 2), 2)</f>
        <v>0</v>
      </c>
      <c r="AD119">
        <v>0</v>
      </c>
    </row>
    <row r="120" spans="1:30" hidden="1" x14ac:dyDescent="0.2">
      <c r="C120" s="33" t="str">
        <f>"Объем: "&amp;Source!I44&amp;"=1+"&amp;"9"</f>
        <v>Объем: 10=1+9</v>
      </c>
      <c r="L120"/>
      <c r="O120"/>
    </row>
    <row r="121" spans="1:30" ht="14.25" hidden="1" x14ac:dyDescent="0.2">
      <c r="A121" s="20"/>
      <c r="B121" s="20"/>
      <c r="C121" s="20" t="s">
        <v>638</v>
      </c>
      <c r="D121" s="22"/>
      <c r="E121" s="21"/>
      <c r="F121" s="24">
        <f>Source!AO44</f>
        <v>11.89</v>
      </c>
      <c r="G121" s="23" t="s">
        <v>639</v>
      </c>
      <c r="H121" s="21">
        <f>Source!AV45</f>
        <v>1.0469999999999999</v>
      </c>
      <c r="I121" s="24">
        <f>Source!S44</f>
        <v>44.82</v>
      </c>
      <c r="J121" s="21">
        <f>IF(Source!BA45&lt;&gt; 0, Source!BA45, 1)</f>
        <v>56.35</v>
      </c>
      <c r="K121" s="24">
        <f>Source!S45</f>
        <v>2525.61</v>
      </c>
      <c r="L121"/>
      <c r="O121"/>
    </row>
    <row r="122" spans="1:30" ht="14.25" hidden="1" x14ac:dyDescent="0.2">
      <c r="A122" s="20"/>
      <c r="B122" s="20"/>
      <c r="C122" s="20" t="s">
        <v>641</v>
      </c>
      <c r="D122" s="22" t="s">
        <v>642</v>
      </c>
      <c r="E122" s="21">
        <f>Source!BZ45</f>
        <v>95</v>
      </c>
      <c r="F122" s="24"/>
      <c r="G122" s="23"/>
      <c r="H122" s="21"/>
      <c r="I122" s="24">
        <f>SUM(R119:R121)</f>
        <v>42.58</v>
      </c>
      <c r="J122" s="21">
        <f>Source!AT45</f>
        <v>95</v>
      </c>
      <c r="K122" s="24">
        <f>SUM(S119:S121)</f>
        <v>2399.33</v>
      </c>
      <c r="L122"/>
      <c r="O122"/>
    </row>
    <row r="123" spans="1:30" ht="14.25" hidden="1" x14ac:dyDescent="0.2">
      <c r="A123" s="20"/>
      <c r="B123" s="20"/>
      <c r="C123" s="20" t="s">
        <v>643</v>
      </c>
      <c r="D123" s="22" t="s">
        <v>642</v>
      </c>
      <c r="E123" s="21">
        <f>Source!CA45</f>
        <v>53</v>
      </c>
      <c r="F123" s="24"/>
      <c r="G123" s="23"/>
      <c r="H123" s="21"/>
      <c r="I123" s="24">
        <f>SUM(T119:T122)</f>
        <v>23.75</v>
      </c>
      <c r="J123" s="21">
        <f>Source!AU45</f>
        <v>53</v>
      </c>
      <c r="K123" s="24">
        <f>SUM(U119:U122)</f>
        <v>1338.57</v>
      </c>
      <c r="L123"/>
      <c r="O123"/>
    </row>
    <row r="124" spans="1:30" ht="14.25" hidden="1" x14ac:dyDescent="0.2">
      <c r="A124" s="25"/>
      <c r="B124" s="25"/>
      <c r="C124" s="25" t="s">
        <v>644</v>
      </c>
      <c r="D124" s="26" t="s">
        <v>645</v>
      </c>
      <c r="E124" s="27">
        <f>Source!AQ44</f>
        <v>1</v>
      </c>
      <c r="F124" s="28"/>
      <c r="G124" s="29" t="s">
        <v>639</v>
      </c>
      <c r="H124" s="27">
        <f>Source!AV45</f>
        <v>1.0469999999999999</v>
      </c>
      <c r="I124" s="28">
        <f>Source!U44</f>
        <v>3.7691999999999997</v>
      </c>
      <c r="J124" s="27"/>
      <c r="K124" s="28"/>
      <c r="L124"/>
      <c r="O124"/>
    </row>
    <row r="125" spans="1:30" ht="15" hidden="1" x14ac:dyDescent="0.2">
      <c r="C125" s="30" t="s">
        <v>646</v>
      </c>
      <c r="H125" s="47">
        <f>I121+I122+I123+0-0-0</f>
        <v>111.15</v>
      </c>
      <c r="I125" s="47"/>
      <c r="J125" s="47">
        <f>K121+K122+K123+0-0-0</f>
        <v>6263.51</v>
      </c>
      <c r="K125" s="47"/>
      <c r="L125"/>
      <c r="O125"/>
    </row>
    <row r="126" spans="1:30" ht="15" hidden="1" x14ac:dyDescent="0.2">
      <c r="C126" s="30" t="s">
        <v>647</v>
      </c>
      <c r="H126" s="43">
        <f>0+0</f>
        <v>0</v>
      </c>
      <c r="I126" s="43"/>
      <c r="J126" s="43">
        <f>0+0</f>
        <v>0</v>
      </c>
      <c r="K126" s="43"/>
      <c r="L126"/>
      <c r="O126"/>
    </row>
    <row r="127" spans="1:30" ht="15" hidden="1" x14ac:dyDescent="0.2">
      <c r="C127" s="30" t="s">
        <v>648</v>
      </c>
      <c r="H127" s="43">
        <f>I121+I122+I123+0</f>
        <v>111.15</v>
      </c>
      <c r="I127" s="43"/>
      <c r="J127" s="43">
        <f>K121+K122+K123+0</f>
        <v>6263.51</v>
      </c>
      <c r="K127" s="43"/>
      <c r="L127"/>
      <c r="O127"/>
      <c r="P127" s="31">
        <f>I121+I122+I123+0</f>
        <v>111.15</v>
      </c>
      <c r="Q127" s="31">
        <f>K121+K122+K123+0</f>
        <v>6263.51</v>
      </c>
    </row>
    <row r="128" spans="1:30" hidden="1" x14ac:dyDescent="0.2">
      <c r="L128"/>
      <c r="O128"/>
    </row>
    <row r="129" spans="1:30" ht="42.75" hidden="1" x14ac:dyDescent="0.2">
      <c r="A129" s="20">
        <v>10</v>
      </c>
      <c r="B129" s="20" t="str">
        <f>Source!F46</f>
        <v>4.10-81-6</v>
      </c>
      <c r="C129" s="20" t="s">
        <v>64</v>
      </c>
      <c r="D129" s="22" t="str">
        <f>Source!H46</f>
        <v>1  ШТ.</v>
      </c>
      <c r="E129" s="21">
        <f>Source!I46</f>
        <v>42</v>
      </c>
      <c r="F129" s="24"/>
      <c r="G129" s="23"/>
      <c r="H129" s="21"/>
      <c r="I129" s="24"/>
      <c r="J129" s="21"/>
      <c r="K129" s="24"/>
      <c r="L129"/>
      <c r="O129"/>
      <c r="R129">
        <f>Source!X46</f>
        <v>66.959999999999994</v>
      </c>
      <c r="S129">
        <f>Source!X47</f>
        <v>3773.2</v>
      </c>
      <c r="T129">
        <f>Source!Y46</f>
        <v>34.22</v>
      </c>
      <c r="U129">
        <f>Source!Y47</f>
        <v>1928.52</v>
      </c>
      <c r="V129">
        <f>ROUND((175/100)*ROUND(Source!R46, 2), 2)</f>
        <v>7.75</v>
      </c>
      <c r="W129">
        <f>ROUND((0/100)*ROUND(Source!R47, 2), 2)</f>
        <v>0</v>
      </c>
      <c r="AD129">
        <v>0</v>
      </c>
    </row>
    <row r="130" spans="1:30" ht="14.25" hidden="1" x14ac:dyDescent="0.2">
      <c r="A130" s="20"/>
      <c r="B130" s="20"/>
      <c r="C130" s="20" t="s">
        <v>638</v>
      </c>
      <c r="D130" s="22"/>
      <c r="E130" s="21"/>
      <c r="F130" s="24">
        <f>Source!AO46</f>
        <v>4.42</v>
      </c>
      <c r="G130" s="23" t="s">
        <v>639</v>
      </c>
      <c r="H130" s="21">
        <f>Source!AV47</f>
        <v>1.0469999999999999</v>
      </c>
      <c r="I130" s="24">
        <f>Source!S46</f>
        <v>69.97</v>
      </c>
      <c r="J130" s="21">
        <f>IF(Source!BA47&lt;&gt; 0, Source!BA47, 1)</f>
        <v>56.35</v>
      </c>
      <c r="K130" s="24">
        <f>Source!S47</f>
        <v>3942.81</v>
      </c>
      <c r="L130"/>
      <c r="O130"/>
    </row>
    <row r="131" spans="1:30" ht="14.25" hidden="1" x14ac:dyDescent="0.2">
      <c r="A131" s="20"/>
      <c r="B131" s="20"/>
      <c r="C131" s="20" t="s">
        <v>640</v>
      </c>
      <c r="D131" s="22"/>
      <c r="E131" s="21"/>
      <c r="F131" s="24">
        <f>Source!AM46</f>
        <v>4.5599999999999996</v>
      </c>
      <c r="G131" s="23" t="s">
        <v>639</v>
      </c>
      <c r="H131" s="21">
        <f>Source!AV47</f>
        <v>1.0469999999999999</v>
      </c>
      <c r="I131" s="24">
        <f>Source!Q46</f>
        <v>72.19</v>
      </c>
      <c r="J131" s="21">
        <f>IF(Source!BB47&lt;&gt; 0, Source!BB47, 1)</f>
        <v>13.75</v>
      </c>
      <c r="K131" s="24">
        <f>Source!Q47</f>
        <v>992.61</v>
      </c>
      <c r="L131"/>
      <c r="O131"/>
    </row>
    <row r="132" spans="1:30" ht="14.25" hidden="1" x14ac:dyDescent="0.2">
      <c r="A132" s="20"/>
      <c r="B132" s="20"/>
      <c r="C132" s="20" t="s">
        <v>649</v>
      </c>
      <c r="D132" s="22"/>
      <c r="E132" s="21"/>
      <c r="F132" s="24">
        <f>Source!AN46</f>
        <v>0.28000000000000003</v>
      </c>
      <c r="G132" s="23" t="s">
        <v>639</v>
      </c>
      <c r="H132" s="21">
        <f>Source!AV47</f>
        <v>1.0469999999999999</v>
      </c>
      <c r="I132" s="32">
        <f>Source!R46</f>
        <v>4.43</v>
      </c>
      <c r="J132" s="21">
        <f>IF(Source!BS47&lt;&gt; 0, Source!BS47, 1)</f>
        <v>56.35</v>
      </c>
      <c r="K132" s="32">
        <f>Source!R47</f>
        <v>249.63</v>
      </c>
      <c r="L132"/>
      <c r="O132"/>
    </row>
    <row r="133" spans="1:30" ht="14.25" hidden="1" x14ac:dyDescent="0.2">
      <c r="A133" s="20"/>
      <c r="B133" s="20"/>
      <c r="C133" s="20" t="s">
        <v>641</v>
      </c>
      <c r="D133" s="22" t="s">
        <v>642</v>
      </c>
      <c r="E133" s="21">
        <f>Source!BZ47</f>
        <v>90</v>
      </c>
      <c r="F133" s="24"/>
      <c r="G133" s="23"/>
      <c r="H133" s="21"/>
      <c r="I133" s="24">
        <f>SUM(R129:R132)</f>
        <v>66.959999999999994</v>
      </c>
      <c r="J133" s="21">
        <f>Source!AT47</f>
        <v>90</v>
      </c>
      <c r="K133" s="24">
        <f>SUM(S129:S132)</f>
        <v>3773.2</v>
      </c>
      <c r="L133"/>
      <c r="O133"/>
    </row>
    <row r="134" spans="1:30" ht="14.25" hidden="1" x14ac:dyDescent="0.2">
      <c r="A134" s="20"/>
      <c r="B134" s="20"/>
      <c r="C134" s="20" t="s">
        <v>643</v>
      </c>
      <c r="D134" s="22" t="s">
        <v>642</v>
      </c>
      <c r="E134" s="21">
        <f>Source!CA47</f>
        <v>46</v>
      </c>
      <c r="F134" s="24"/>
      <c r="G134" s="23"/>
      <c r="H134" s="21"/>
      <c r="I134" s="24">
        <f>SUM(T129:T133)</f>
        <v>34.22</v>
      </c>
      <c r="J134" s="21">
        <f>Source!AU47</f>
        <v>46</v>
      </c>
      <c r="K134" s="24">
        <f>SUM(U129:U133)</f>
        <v>1928.52</v>
      </c>
      <c r="L134"/>
      <c r="O134"/>
    </row>
    <row r="135" spans="1:30" ht="14.25" hidden="1" x14ac:dyDescent="0.2">
      <c r="A135" s="25"/>
      <c r="B135" s="25"/>
      <c r="C135" s="25" t="s">
        <v>644</v>
      </c>
      <c r="D135" s="26" t="s">
        <v>645</v>
      </c>
      <c r="E135" s="27">
        <f>Source!AQ46</f>
        <v>0.35</v>
      </c>
      <c r="F135" s="28"/>
      <c r="G135" s="29" t="s">
        <v>639</v>
      </c>
      <c r="H135" s="27">
        <f>Source!AV47</f>
        <v>1.0469999999999999</v>
      </c>
      <c r="I135" s="28">
        <f>Source!U46</f>
        <v>5.5407239999999991</v>
      </c>
      <c r="J135" s="27"/>
      <c r="K135" s="28"/>
      <c r="L135"/>
      <c r="O135"/>
    </row>
    <row r="136" spans="1:30" ht="15" hidden="1" x14ac:dyDescent="0.2">
      <c r="C136" s="30" t="s">
        <v>646</v>
      </c>
      <c r="H136" s="47">
        <f>I130+I131+I133+I134+0-0-0</f>
        <v>243.34</v>
      </c>
      <c r="I136" s="47"/>
      <c r="J136" s="47">
        <f>K130+K131+K133+K134+0-0-0</f>
        <v>10637.14</v>
      </c>
      <c r="K136" s="47"/>
      <c r="L136"/>
      <c r="O136"/>
    </row>
    <row r="137" spans="1:30" ht="15" hidden="1" x14ac:dyDescent="0.2">
      <c r="C137" s="30" t="s">
        <v>647</v>
      </c>
      <c r="H137" s="43">
        <f>0+0</f>
        <v>0</v>
      </c>
      <c r="I137" s="43"/>
      <c r="J137" s="43">
        <f>0+0</f>
        <v>0</v>
      </c>
      <c r="K137" s="43"/>
      <c r="L137"/>
      <c r="O137"/>
    </row>
    <row r="138" spans="1:30" ht="15" hidden="1" x14ac:dyDescent="0.2">
      <c r="C138" s="30" t="s">
        <v>648</v>
      </c>
      <c r="H138" s="43">
        <f>I130+I131+I133+I134+0</f>
        <v>243.34</v>
      </c>
      <c r="I138" s="43"/>
      <c r="J138" s="43">
        <f>K130+K131+K133+K134+0</f>
        <v>10637.14</v>
      </c>
      <c r="K138" s="43"/>
      <c r="L138"/>
      <c r="O138"/>
      <c r="P138" s="31">
        <f>I130+I131+I133+I134+0</f>
        <v>243.34</v>
      </c>
      <c r="Q138" s="31">
        <f>K130+K131+K133+K134+0</f>
        <v>10637.14</v>
      </c>
    </row>
    <row r="139" spans="1:30" hidden="1" x14ac:dyDescent="0.2">
      <c r="L139"/>
      <c r="O139"/>
    </row>
    <row r="140" spans="1:30" ht="42.75" hidden="1" x14ac:dyDescent="0.2">
      <c r="A140" s="20">
        <v>11</v>
      </c>
      <c r="B140" s="20" t="str">
        <f>Source!F48</f>
        <v>4.10-173-2</v>
      </c>
      <c r="C140" s="20" t="s">
        <v>68</v>
      </c>
      <c r="D140" s="22" t="str">
        <f>Source!H48</f>
        <v>1  ШТ.</v>
      </c>
      <c r="E140" s="21">
        <f>Source!I48</f>
        <v>4</v>
      </c>
      <c r="F140" s="24"/>
      <c r="G140" s="23"/>
      <c r="H140" s="21"/>
      <c r="I140" s="24"/>
      <c r="J140" s="21"/>
      <c r="K140" s="24"/>
      <c r="L140"/>
      <c r="O140"/>
      <c r="R140">
        <f>Source!X48</f>
        <v>54.5</v>
      </c>
      <c r="S140">
        <f>Source!X49</f>
        <v>3071.3</v>
      </c>
      <c r="T140">
        <f>Source!Y48</f>
        <v>27.86</v>
      </c>
      <c r="U140">
        <f>Source!Y49</f>
        <v>1569.78</v>
      </c>
      <c r="V140">
        <f>ROUND((175/100)*ROUND(Source!R48, 2), 2)</f>
        <v>0</v>
      </c>
      <c r="W140">
        <f>ROUND((0/100)*ROUND(Source!R49, 2), 2)</f>
        <v>0</v>
      </c>
      <c r="AD140">
        <v>0</v>
      </c>
    </row>
    <row r="141" spans="1:30" ht="14.25" hidden="1" x14ac:dyDescent="0.2">
      <c r="A141" s="20"/>
      <c r="B141" s="20"/>
      <c r="C141" s="20" t="s">
        <v>638</v>
      </c>
      <c r="D141" s="22"/>
      <c r="E141" s="21"/>
      <c r="F141" s="24">
        <f>Source!AO48</f>
        <v>40.17</v>
      </c>
      <c r="G141" s="23" t="s">
        <v>639</v>
      </c>
      <c r="H141" s="21">
        <f>Source!AV49</f>
        <v>1.0469999999999999</v>
      </c>
      <c r="I141" s="24">
        <f>Source!S48</f>
        <v>60.56</v>
      </c>
      <c r="J141" s="21">
        <f>IF(Source!BA49&lt;&gt; 0, Source!BA49, 1)</f>
        <v>56.35</v>
      </c>
      <c r="K141" s="24">
        <f>Source!S49</f>
        <v>3412.56</v>
      </c>
      <c r="L141"/>
      <c r="O141"/>
    </row>
    <row r="142" spans="1:30" ht="14.25" hidden="1" x14ac:dyDescent="0.2">
      <c r="A142" s="20"/>
      <c r="B142" s="20"/>
      <c r="C142" s="20" t="s">
        <v>641</v>
      </c>
      <c r="D142" s="22" t="s">
        <v>642</v>
      </c>
      <c r="E142" s="21">
        <f>Source!BZ49</f>
        <v>90</v>
      </c>
      <c r="F142" s="24"/>
      <c r="G142" s="23"/>
      <c r="H142" s="21"/>
      <c r="I142" s="24">
        <f>SUM(R140:R141)</f>
        <v>54.5</v>
      </c>
      <c r="J142" s="21">
        <f>Source!AT49</f>
        <v>90</v>
      </c>
      <c r="K142" s="24">
        <f>SUM(S140:S141)</f>
        <v>3071.3</v>
      </c>
      <c r="L142"/>
      <c r="O142"/>
    </row>
    <row r="143" spans="1:30" ht="14.25" hidden="1" x14ac:dyDescent="0.2">
      <c r="A143" s="20"/>
      <c r="B143" s="20"/>
      <c r="C143" s="20" t="s">
        <v>643</v>
      </c>
      <c r="D143" s="22" t="s">
        <v>642</v>
      </c>
      <c r="E143" s="21">
        <f>Source!CA49</f>
        <v>46</v>
      </c>
      <c r="F143" s="24"/>
      <c r="G143" s="23"/>
      <c r="H143" s="21"/>
      <c r="I143" s="24">
        <f>SUM(T140:T142)</f>
        <v>27.86</v>
      </c>
      <c r="J143" s="21">
        <f>Source!AU49</f>
        <v>46</v>
      </c>
      <c r="K143" s="24">
        <f>SUM(U140:U142)</f>
        <v>1569.78</v>
      </c>
      <c r="L143"/>
      <c r="O143"/>
    </row>
    <row r="144" spans="1:30" ht="14.25" hidden="1" x14ac:dyDescent="0.2">
      <c r="A144" s="25"/>
      <c r="B144" s="25"/>
      <c r="C144" s="25" t="s">
        <v>644</v>
      </c>
      <c r="D144" s="26" t="s">
        <v>645</v>
      </c>
      <c r="E144" s="27">
        <f>Source!AQ48</f>
        <v>3.18</v>
      </c>
      <c r="F144" s="28"/>
      <c r="G144" s="29" t="s">
        <v>639</v>
      </c>
      <c r="H144" s="27">
        <f>Source!AV49</f>
        <v>1.0469999999999999</v>
      </c>
      <c r="I144" s="28">
        <f>Source!U48</f>
        <v>4.7944223999999993</v>
      </c>
      <c r="J144" s="27"/>
      <c r="K144" s="28"/>
      <c r="L144"/>
      <c r="O144"/>
    </row>
    <row r="145" spans="1:30" ht="15" hidden="1" x14ac:dyDescent="0.2">
      <c r="C145" s="30" t="s">
        <v>646</v>
      </c>
      <c r="H145" s="47">
        <f>I141+I142+I143+0-0-0</f>
        <v>142.92000000000002</v>
      </c>
      <c r="I145" s="47"/>
      <c r="J145" s="47">
        <f>K141+K142+K143+0-0-0</f>
        <v>8053.64</v>
      </c>
      <c r="K145" s="47"/>
      <c r="L145"/>
      <c r="O145"/>
    </row>
    <row r="146" spans="1:30" ht="15" hidden="1" x14ac:dyDescent="0.2">
      <c r="C146" s="30" t="s">
        <v>647</v>
      </c>
      <c r="H146" s="43">
        <f>0+0</f>
        <v>0</v>
      </c>
      <c r="I146" s="43"/>
      <c r="J146" s="43">
        <f>0+0</f>
        <v>0</v>
      </c>
      <c r="K146" s="43"/>
      <c r="L146"/>
      <c r="O146"/>
    </row>
    <row r="147" spans="1:30" ht="15" hidden="1" x14ac:dyDescent="0.2">
      <c r="C147" s="30" t="s">
        <v>648</v>
      </c>
      <c r="H147" s="43">
        <f>I141+I142+I143+0</f>
        <v>142.92000000000002</v>
      </c>
      <c r="I147" s="43"/>
      <c r="J147" s="43">
        <f>K141+K142+K143+0</f>
        <v>8053.64</v>
      </c>
      <c r="K147" s="43"/>
      <c r="L147"/>
      <c r="O147"/>
      <c r="P147" s="31">
        <f>I141+I142+I143+0</f>
        <v>142.92000000000002</v>
      </c>
      <c r="Q147" s="31">
        <f>K141+K142+K143+0</f>
        <v>8053.64</v>
      </c>
    </row>
    <row r="148" spans="1:30" hidden="1" x14ac:dyDescent="0.2">
      <c r="L148"/>
      <c r="O148"/>
    </row>
    <row r="149" spans="1:30" ht="42.75" hidden="1" x14ac:dyDescent="0.2">
      <c r="A149" s="20">
        <v>12</v>
      </c>
      <c r="B149" s="20" t="str">
        <f>Source!F50</f>
        <v>4.10-173-2</v>
      </c>
      <c r="C149" s="20" t="s">
        <v>71</v>
      </c>
      <c r="D149" s="22" t="str">
        <f>Source!H50</f>
        <v>1  ШТ.</v>
      </c>
      <c r="E149" s="21">
        <f>Source!I50</f>
        <v>5</v>
      </c>
      <c r="F149" s="24"/>
      <c r="G149" s="23"/>
      <c r="H149" s="21"/>
      <c r="I149" s="24"/>
      <c r="J149" s="21"/>
      <c r="K149" s="24"/>
      <c r="L149"/>
      <c r="O149"/>
      <c r="R149">
        <f>Source!X50</f>
        <v>68.13</v>
      </c>
      <c r="S149">
        <f>Source!X51</f>
        <v>3839.13</v>
      </c>
      <c r="T149">
        <f>Source!Y50</f>
        <v>34.82</v>
      </c>
      <c r="U149">
        <f>Source!Y51</f>
        <v>1962.22</v>
      </c>
      <c r="V149">
        <f>ROUND((175/100)*ROUND(Source!R50, 2), 2)</f>
        <v>0</v>
      </c>
      <c r="W149">
        <f>ROUND((0/100)*ROUND(Source!R51, 2), 2)</f>
        <v>0</v>
      </c>
      <c r="AD149">
        <v>0</v>
      </c>
    </row>
    <row r="150" spans="1:30" hidden="1" x14ac:dyDescent="0.2">
      <c r="C150" s="33" t="str">
        <f>"Объем: "&amp;Source!I50&amp;"=3+"&amp;"2"</f>
        <v>Объем: 5=3+2</v>
      </c>
      <c r="L150"/>
      <c r="O150"/>
    </row>
    <row r="151" spans="1:30" ht="14.25" hidden="1" x14ac:dyDescent="0.2">
      <c r="A151" s="20"/>
      <c r="B151" s="20"/>
      <c r="C151" s="20" t="s">
        <v>638</v>
      </c>
      <c r="D151" s="22"/>
      <c r="E151" s="21"/>
      <c r="F151" s="24">
        <f>Source!AO50</f>
        <v>40.17</v>
      </c>
      <c r="G151" s="23" t="s">
        <v>639</v>
      </c>
      <c r="H151" s="21">
        <f>Source!AV51</f>
        <v>1.0469999999999999</v>
      </c>
      <c r="I151" s="24">
        <f>Source!S50</f>
        <v>75.7</v>
      </c>
      <c r="J151" s="21">
        <f>IF(Source!BA51&lt;&gt; 0, Source!BA51, 1)</f>
        <v>56.35</v>
      </c>
      <c r="K151" s="24">
        <f>Source!S51</f>
        <v>4265.7</v>
      </c>
      <c r="L151"/>
      <c r="O151"/>
    </row>
    <row r="152" spans="1:30" ht="14.25" hidden="1" x14ac:dyDescent="0.2">
      <c r="A152" s="20"/>
      <c r="B152" s="20"/>
      <c r="C152" s="20" t="s">
        <v>641</v>
      </c>
      <c r="D152" s="22" t="s">
        <v>642</v>
      </c>
      <c r="E152" s="21">
        <f>Source!BZ51</f>
        <v>90</v>
      </c>
      <c r="F152" s="24"/>
      <c r="G152" s="23"/>
      <c r="H152" s="21"/>
      <c r="I152" s="24">
        <f>SUM(R149:R151)</f>
        <v>68.13</v>
      </c>
      <c r="J152" s="21">
        <f>Source!AT51</f>
        <v>90</v>
      </c>
      <c r="K152" s="24">
        <f>SUM(S149:S151)</f>
        <v>3839.13</v>
      </c>
      <c r="L152"/>
      <c r="O152"/>
    </row>
    <row r="153" spans="1:30" ht="14.25" hidden="1" x14ac:dyDescent="0.2">
      <c r="A153" s="20"/>
      <c r="B153" s="20"/>
      <c r="C153" s="20" t="s">
        <v>643</v>
      </c>
      <c r="D153" s="22" t="s">
        <v>642</v>
      </c>
      <c r="E153" s="21">
        <f>Source!CA51</f>
        <v>46</v>
      </c>
      <c r="F153" s="24"/>
      <c r="G153" s="23"/>
      <c r="H153" s="21"/>
      <c r="I153" s="24">
        <f>SUM(T149:T152)</f>
        <v>34.82</v>
      </c>
      <c r="J153" s="21">
        <f>Source!AU51</f>
        <v>46</v>
      </c>
      <c r="K153" s="24">
        <f>SUM(U149:U152)</f>
        <v>1962.22</v>
      </c>
      <c r="L153"/>
      <c r="O153"/>
    </row>
    <row r="154" spans="1:30" ht="14.25" hidden="1" x14ac:dyDescent="0.2">
      <c r="A154" s="25"/>
      <c r="B154" s="25"/>
      <c r="C154" s="25" t="s">
        <v>644</v>
      </c>
      <c r="D154" s="26" t="s">
        <v>645</v>
      </c>
      <c r="E154" s="27">
        <f>Source!AQ50</f>
        <v>3.18</v>
      </c>
      <c r="F154" s="28"/>
      <c r="G154" s="29" t="s">
        <v>639</v>
      </c>
      <c r="H154" s="27">
        <f>Source!AV51</f>
        <v>1.0469999999999999</v>
      </c>
      <c r="I154" s="28">
        <f>Source!U50</f>
        <v>5.9930279999999989</v>
      </c>
      <c r="J154" s="27"/>
      <c r="K154" s="28"/>
      <c r="L154"/>
      <c r="O154"/>
    </row>
    <row r="155" spans="1:30" ht="15" hidden="1" x14ac:dyDescent="0.2">
      <c r="C155" s="30" t="s">
        <v>646</v>
      </c>
      <c r="H155" s="47">
        <f>I151+I152+I153+0-0-0</f>
        <v>178.64999999999998</v>
      </c>
      <c r="I155" s="47"/>
      <c r="J155" s="47">
        <f>K151+K152+K153+0-0-0</f>
        <v>10067.049999999999</v>
      </c>
      <c r="K155" s="47"/>
      <c r="L155"/>
      <c r="O155"/>
    </row>
    <row r="156" spans="1:30" ht="15" hidden="1" x14ac:dyDescent="0.2">
      <c r="C156" s="30" t="s">
        <v>647</v>
      </c>
      <c r="H156" s="43">
        <f>0+0</f>
        <v>0</v>
      </c>
      <c r="I156" s="43"/>
      <c r="J156" s="43">
        <f>0+0</f>
        <v>0</v>
      </c>
      <c r="K156" s="43"/>
      <c r="L156"/>
      <c r="O156"/>
    </row>
    <row r="157" spans="1:30" ht="15" hidden="1" x14ac:dyDescent="0.2">
      <c r="C157" s="30" t="s">
        <v>648</v>
      </c>
      <c r="H157" s="43">
        <f>I151+I152+I153+0</f>
        <v>178.64999999999998</v>
      </c>
      <c r="I157" s="43"/>
      <c r="J157" s="43">
        <f>K151+K152+K153+0</f>
        <v>10067.049999999999</v>
      </c>
      <c r="K157" s="43"/>
      <c r="L157"/>
      <c r="O157"/>
      <c r="P157" s="31">
        <f>I151+I152+I153+0</f>
        <v>178.64999999999998</v>
      </c>
      <c r="Q157" s="31">
        <f>K151+K152+K153+0</f>
        <v>10067.049999999999</v>
      </c>
    </row>
    <row r="158" spans="1:30" hidden="1" x14ac:dyDescent="0.2">
      <c r="L158"/>
      <c r="O158"/>
    </row>
    <row r="159" spans="1:30" ht="14.25" hidden="1" x14ac:dyDescent="0.2">
      <c r="A159" s="20">
        <v>13</v>
      </c>
      <c r="B159" s="20" t="str">
        <f>Source!F52</f>
        <v>6.67-6-1</v>
      </c>
      <c r="C159" s="20" t="s">
        <v>74</v>
      </c>
      <c r="D159" s="22" t="str">
        <f>Source!H52</f>
        <v>100 м</v>
      </c>
      <c r="E159" s="21">
        <f>Source!I52</f>
        <v>32.36</v>
      </c>
      <c r="F159" s="24"/>
      <c r="G159" s="23"/>
      <c r="H159" s="21"/>
      <c r="I159" s="24"/>
      <c r="J159" s="21"/>
      <c r="K159" s="24"/>
      <c r="L159"/>
      <c r="O159"/>
      <c r="R159">
        <f>Source!X52</f>
        <v>3645.04</v>
      </c>
      <c r="S159">
        <f>Source!X53</f>
        <v>205398.08</v>
      </c>
      <c r="T159">
        <f>Source!Y52</f>
        <v>1922.66</v>
      </c>
      <c r="U159">
        <f>Source!Y53</f>
        <v>108341.85</v>
      </c>
      <c r="V159">
        <f>ROUND((175/100)*ROUND(Source!R52, 2), 2)</f>
        <v>0</v>
      </c>
      <c r="W159">
        <f>ROUND((0/100)*ROUND(Source!R53, 2), 2)</f>
        <v>0</v>
      </c>
      <c r="AD159">
        <v>0</v>
      </c>
    </row>
    <row r="160" spans="1:30" hidden="1" x14ac:dyDescent="0.2">
      <c r="C160" s="33" t="str">
        <f>"Объем: "&amp;Source!I52&amp;"=(3181+"&amp;"55)/"&amp;"100"</f>
        <v>Объем: 32,36=(3181+55)/100</v>
      </c>
      <c r="L160"/>
      <c r="O160"/>
    </row>
    <row r="161" spans="1:30" ht="14.25" hidden="1" x14ac:dyDescent="0.2">
      <c r="A161" s="20"/>
      <c r="B161" s="20"/>
      <c r="C161" s="20" t="s">
        <v>638</v>
      </c>
      <c r="D161" s="22"/>
      <c r="E161" s="21"/>
      <c r="F161" s="24">
        <f>Source!AO52</f>
        <v>98.52</v>
      </c>
      <c r="G161" s="23" t="s">
        <v>157</v>
      </c>
      <c r="H161" s="21">
        <f>Source!AV53</f>
        <v>1.0469999999999999</v>
      </c>
      <c r="I161" s="24">
        <f>Source!S52</f>
        <v>4005.54</v>
      </c>
      <c r="J161" s="21">
        <f>IF(Source!BA53&lt;&gt; 0, Source!BA53, 1)</f>
        <v>56.35</v>
      </c>
      <c r="K161" s="24">
        <f>Source!S53</f>
        <v>225712.18</v>
      </c>
      <c r="L161"/>
      <c r="O161"/>
    </row>
    <row r="162" spans="1:30" ht="14.25" hidden="1" x14ac:dyDescent="0.2">
      <c r="A162" s="20"/>
      <c r="B162" s="20"/>
      <c r="C162" s="20" t="s">
        <v>641</v>
      </c>
      <c r="D162" s="22" t="s">
        <v>642</v>
      </c>
      <c r="E162" s="21">
        <f>Source!BZ53</f>
        <v>91</v>
      </c>
      <c r="F162" s="24"/>
      <c r="G162" s="23"/>
      <c r="H162" s="21"/>
      <c r="I162" s="24">
        <f>SUM(R159:R161)</f>
        <v>3645.04</v>
      </c>
      <c r="J162" s="21">
        <f>Source!AT53</f>
        <v>91</v>
      </c>
      <c r="K162" s="24">
        <f>SUM(S159:S161)</f>
        <v>205398.08</v>
      </c>
      <c r="L162"/>
      <c r="O162"/>
    </row>
    <row r="163" spans="1:30" ht="14.25" hidden="1" x14ac:dyDescent="0.2">
      <c r="A163" s="20"/>
      <c r="B163" s="20"/>
      <c r="C163" s="20" t="s">
        <v>643</v>
      </c>
      <c r="D163" s="22" t="s">
        <v>642</v>
      </c>
      <c r="E163" s="21">
        <f>Source!CA53</f>
        <v>48</v>
      </c>
      <c r="F163" s="24"/>
      <c r="G163" s="23"/>
      <c r="H163" s="21"/>
      <c r="I163" s="24">
        <f>SUM(T159:T162)</f>
        <v>1922.66</v>
      </c>
      <c r="J163" s="21">
        <f>Source!AU53</f>
        <v>48</v>
      </c>
      <c r="K163" s="24">
        <f>SUM(U159:U162)</f>
        <v>108341.85</v>
      </c>
      <c r="L163"/>
      <c r="O163"/>
    </row>
    <row r="164" spans="1:30" ht="14.25" hidden="1" x14ac:dyDescent="0.2">
      <c r="A164" s="25"/>
      <c r="B164" s="25"/>
      <c r="C164" s="25" t="s">
        <v>644</v>
      </c>
      <c r="D164" s="26" t="s">
        <v>645</v>
      </c>
      <c r="E164" s="27">
        <f>Source!AQ52</f>
        <v>9.64</v>
      </c>
      <c r="F164" s="28"/>
      <c r="G164" s="29" t="s">
        <v>157</v>
      </c>
      <c r="H164" s="27">
        <f>Source!AV53</f>
        <v>1.0469999999999999</v>
      </c>
      <c r="I164" s="28">
        <f>Source!U52</f>
        <v>391.93448255999994</v>
      </c>
      <c r="J164" s="27"/>
      <c r="K164" s="28"/>
      <c r="L164"/>
      <c r="O164"/>
    </row>
    <row r="165" spans="1:30" ht="15" hidden="1" x14ac:dyDescent="0.2">
      <c r="C165" s="30" t="s">
        <v>646</v>
      </c>
      <c r="H165" s="47">
        <f>I161+I162+I163+0-0-0</f>
        <v>9573.24</v>
      </c>
      <c r="I165" s="47"/>
      <c r="J165" s="47">
        <f>K161+K162+K163+0-0-0</f>
        <v>539452.11</v>
      </c>
      <c r="K165" s="47"/>
      <c r="L165"/>
      <c r="O165"/>
    </row>
    <row r="166" spans="1:30" ht="15" hidden="1" x14ac:dyDescent="0.2">
      <c r="C166" s="30" t="s">
        <v>647</v>
      </c>
      <c r="H166" s="43">
        <f>0+0</f>
        <v>0</v>
      </c>
      <c r="I166" s="43"/>
      <c r="J166" s="43">
        <f>0+0</f>
        <v>0</v>
      </c>
      <c r="K166" s="43"/>
      <c r="L166"/>
      <c r="O166"/>
    </row>
    <row r="167" spans="1:30" ht="15" hidden="1" x14ac:dyDescent="0.2">
      <c r="C167" s="30" t="s">
        <v>648</v>
      </c>
      <c r="H167" s="43">
        <f>I161+I162+I163+0</f>
        <v>9573.24</v>
      </c>
      <c r="I167" s="43"/>
      <c r="J167" s="43">
        <f>K161+K162+K163+0</f>
        <v>539452.11</v>
      </c>
      <c r="K167" s="43"/>
      <c r="L167"/>
      <c r="O167"/>
      <c r="P167" s="31">
        <f>I161+I162+I163+0</f>
        <v>9573.24</v>
      </c>
      <c r="Q167" s="31">
        <f>K161+K162+K163+0</f>
        <v>539452.11</v>
      </c>
    </row>
    <row r="168" spans="1:30" hidden="1" x14ac:dyDescent="0.2">
      <c r="L168"/>
      <c r="O168"/>
    </row>
    <row r="169" spans="1:30" ht="28.5" hidden="1" x14ac:dyDescent="0.2">
      <c r="A169" s="20">
        <v>14</v>
      </c>
      <c r="B169" s="20" t="str">
        <f>Source!F54</f>
        <v>6.67-5-12</v>
      </c>
      <c r="C169" s="20" t="s">
        <v>85</v>
      </c>
      <c r="D169" s="22" t="str">
        <f>Source!H54</f>
        <v>100 м</v>
      </c>
      <c r="E169" s="21">
        <f>Source!I54</f>
        <v>21.89</v>
      </c>
      <c r="F169" s="24"/>
      <c r="G169" s="23"/>
      <c r="H169" s="21"/>
      <c r="I169" s="24"/>
      <c r="J169" s="21"/>
      <c r="K169" s="24"/>
      <c r="L169"/>
      <c r="O169"/>
      <c r="R169">
        <f>Source!X54</f>
        <v>8014.52</v>
      </c>
      <c r="S169">
        <f>Source!X55</f>
        <v>451617.96</v>
      </c>
      <c r="T169">
        <f>Source!Y54</f>
        <v>4227.4399999999996</v>
      </c>
      <c r="U169">
        <f>Source!Y55</f>
        <v>238216.07</v>
      </c>
      <c r="V169">
        <f>ROUND((175/100)*ROUND(Source!R54, 2), 2)</f>
        <v>0</v>
      </c>
      <c r="W169">
        <f>ROUND((0/100)*ROUND(Source!R55, 2), 2)</f>
        <v>0</v>
      </c>
      <c r="AD169">
        <v>0</v>
      </c>
    </row>
    <row r="170" spans="1:30" hidden="1" x14ac:dyDescent="0.2">
      <c r="C170" s="33" t="str">
        <f>"Объем: "&amp;Source!I54&amp;"=2189/"&amp;"100"</f>
        <v>Объем: 21,89=2189/100</v>
      </c>
      <c r="L170"/>
      <c r="O170"/>
    </row>
    <row r="171" spans="1:30" ht="14.25" hidden="1" x14ac:dyDescent="0.2">
      <c r="A171" s="20"/>
      <c r="B171" s="20"/>
      <c r="C171" s="20" t="s">
        <v>638</v>
      </c>
      <c r="D171" s="22"/>
      <c r="E171" s="21"/>
      <c r="F171" s="24">
        <f>Source!AO54</f>
        <v>320.23</v>
      </c>
      <c r="G171" s="23" t="s">
        <v>157</v>
      </c>
      <c r="H171" s="21">
        <f>Source!AV55</f>
        <v>1.0469999999999999</v>
      </c>
      <c r="I171" s="24">
        <f>Source!S54</f>
        <v>8807.16</v>
      </c>
      <c r="J171" s="21">
        <f>IF(Source!BA55&lt;&gt; 0, Source!BA55, 1)</f>
        <v>56.35</v>
      </c>
      <c r="K171" s="24">
        <f>Source!S55</f>
        <v>496283.47</v>
      </c>
      <c r="L171"/>
      <c r="O171"/>
    </row>
    <row r="172" spans="1:30" ht="14.25" hidden="1" x14ac:dyDescent="0.2">
      <c r="A172" s="20"/>
      <c r="B172" s="20"/>
      <c r="C172" s="20" t="s">
        <v>641</v>
      </c>
      <c r="D172" s="22" t="s">
        <v>642</v>
      </c>
      <c r="E172" s="21">
        <f>Source!BZ55</f>
        <v>91</v>
      </c>
      <c r="F172" s="24"/>
      <c r="G172" s="23"/>
      <c r="H172" s="21"/>
      <c r="I172" s="24">
        <f>SUM(R169:R171)</f>
        <v>8014.52</v>
      </c>
      <c r="J172" s="21">
        <f>Source!AT55</f>
        <v>91</v>
      </c>
      <c r="K172" s="24">
        <f>SUM(S169:S171)</f>
        <v>451617.96</v>
      </c>
      <c r="L172"/>
      <c r="O172"/>
    </row>
    <row r="173" spans="1:30" ht="14.25" hidden="1" x14ac:dyDescent="0.2">
      <c r="A173" s="20"/>
      <c r="B173" s="20"/>
      <c r="C173" s="20" t="s">
        <v>643</v>
      </c>
      <c r="D173" s="22" t="s">
        <v>642</v>
      </c>
      <c r="E173" s="21">
        <f>Source!CA55</f>
        <v>48</v>
      </c>
      <c r="F173" s="24"/>
      <c r="G173" s="23"/>
      <c r="H173" s="21"/>
      <c r="I173" s="24">
        <f>SUM(T169:T172)</f>
        <v>4227.4399999999996</v>
      </c>
      <c r="J173" s="21">
        <f>Source!AU55</f>
        <v>48</v>
      </c>
      <c r="K173" s="24">
        <f>SUM(U169:U172)</f>
        <v>238216.07</v>
      </c>
      <c r="L173"/>
      <c r="O173"/>
    </row>
    <row r="174" spans="1:30" ht="14.25" hidden="1" x14ac:dyDescent="0.2">
      <c r="A174" s="25"/>
      <c r="B174" s="25"/>
      <c r="C174" s="25" t="s">
        <v>644</v>
      </c>
      <c r="D174" s="26" t="s">
        <v>645</v>
      </c>
      <c r="E174" s="27">
        <f>Source!AQ54</f>
        <v>30.44</v>
      </c>
      <c r="F174" s="28"/>
      <c r="G174" s="29" t="s">
        <v>157</v>
      </c>
      <c r="H174" s="27">
        <f>Source!AV55</f>
        <v>1.0469999999999999</v>
      </c>
      <c r="I174" s="28">
        <f>Source!U54</f>
        <v>837.17902223999988</v>
      </c>
      <c r="J174" s="27"/>
      <c r="K174" s="28"/>
      <c r="L174"/>
      <c r="O174"/>
    </row>
    <row r="175" spans="1:30" ht="15" hidden="1" x14ac:dyDescent="0.2">
      <c r="C175" s="30" t="s">
        <v>646</v>
      </c>
      <c r="H175" s="47">
        <f>I171+I172+I173+0-0-0</f>
        <v>21049.119999999999</v>
      </c>
      <c r="I175" s="47"/>
      <c r="J175" s="47">
        <f>K171+K172+K173+0-0-0</f>
        <v>1186117.5</v>
      </c>
      <c r="K175" s="47"/>
      <c r="L175"/>
      <c r="O175"/>
    </row>
    <row r="176" spans="1:30" ht="15" hidden="1" x14ac:dyDescent="0.2">
      <c r="C176" s="30" t="s">
        <v>647</v>
      </c>
      <c r="H176" s="43">
        <f>0+0</f>
        <v>0</v>
      </c>
      <c r="I176" s="43"/>
      <c r="J176" s="43">
        <f>0+0</f>
        <v>0</v>
      </c>
      <c r="K176" s="43"/>
      <c r="L176"/>
      <c r="O176"/>
    </row>
    <row r="177" spans="1:30" ht="15" hidden="1" x14ac:dyDescent="0.2">
      <c r="C177" s="30" t="s">
        <v>648</v>
      </c>
      <c r="H177" s="43">
        <f>I171+I172+I173+0</f>
        <v>21049.119999999999</v>
      </c>
      <c r="I177" s="43"/>
      <c r="J177" s="43">
        <f>K171+K172+K173+0</f>
        <v>1186117.5</v>
      </c>
      <c r="K177" s="43"/>
      <c r="L177"/>
      <c r="O177"/>
      <c r="P177" s="31">
        <f>I171+I172+I173+0</f>
        <v>21049.119999999999</v>
      </c>
      <c r="Q177" s="31">
        <f>K171+K172+K173+0</f>
        <v>1186117.5</v>
      </c>
    </row>
    <row r="178" spans="1:30" hidden="1" x14ac:dyDescent="0.2">
      <c r="L178"/>
      <c r="O178"/>
    </row>
    <row r="179" spans="1:30" ht="42.75" hidden="1" x14ac:dyDescent="0.2">
      <c r="A179" s="20">
        <v>15</v>
      </c>
      <c r="B179" s="20" t="str">
        <f>Source!F56</f>
        <v>4.8-60-1</v>
      </c>
      <c r="C179" s="20" t="s">
        <v>89</v>
      </c>
      <c r="D179" s="22" t="str">
        <f>Source!H56</f>
        <v>1  ШТ.</v>
      </c>
      <c r="E179" s="21">
        <f>Source!I56</f>
        <v>15</v>
      </c>
      <c r="F179" s="24"/>
      <c r="G179" s="23"/>
      <c r="H179" s="21"/>
      <c r="I179" s="24"/>
      <c r="J179" s="21"/>
      <c r="K179" s="24"/>
      <c r="L179"/>
      <c r="O179"/>
      <c r="R179">
        <f>Source!X56</f>
        <v>142.59</v>
      </c>
      <c r="S179">
        <f>Source!X57</f>
        <v>8034.95</v>
      </c>
      <c r="T179">
        <f>Source!Y56</f>
        <v>74.97</v>
      </c>
      <c r="U179">
        <f>Source!Y57</f>
        <v>4224.5600000000004</v>
      </c>
      <c r="V179">
        <f>ROUND((175/100)*ROUND(Source!R56, 2), 2)</f>
        <v>0</v>
      </c>
      <c r="W179">
        <f>ROUND((0/100)*ROUND(Source!R57, 2), 2)</f>
        <v>0</v>
      </c>
      <c r="AD179">
        <v>0</v>
      </c>
    </row>
    <row r="180" spans="1:30" ht="14.25" hidden="1" x14ac:dyDescent="0.2">
      <c r="A180" s="20"/>
      <c r="B180" s="20"/>
      <c r="C180" s="20" t="s">
        <v>638</v>
      </c>
      <c r="D180" s="22"/>
      <c r="E180" s="21"/>
      <c r="F180" s="24">
        <f>Source!AO56</f>
        <v>26</v>
      </c>
      <c r="G180" s="23" t="s">
        <v>639</v>
      </c>
      <c r="H180" s="21">
        <f>Source!AV57</f>
        <v>1.0469999999999999</v>
      </c>
      <c r="I180" s="24">
        <f>Source!S56</f>
        <v>147</v>
      </c>
      <c r="J180" s="21">
        <f>IF(Source!BA57&lt;&gt; 0, Source!BA57, 1)</f>
        <v>56.35</v>
      </c>
      <c r="K180" s="24">
        <f>Source!S57</f>
        <v>8283.4500000000007</v>
      </c>
      <c r="L180"/>
      <c r="O180"/>
    </row>
    <row r="181" spans="1:30" ht="14.25" hidden="1" x14ac:dyDescent="0.2">
      <c r="A181" s="20"/>
      <c r="B181" s="20"/>
      <c r="C181" s="20" t="s">
        <v>641</v>
      </c>
      <c r="D181" s="22" t="s">
        <v>642</v>
      </c>
      <c r="E181" s="21">
        <f>Source!BZ57</f>
        <v>97</v>
      </c>
      <c r="F181" s="24"/>
      <c r="G181" s="23"/>
      <c r="H181" s="21"/>
      <c r="I181" s="24">
        <f>SUM(R179:R180)</f>
        <v>142.59</v>
      </c>
      <c r="J181" s="21">
        <f>Source!AT57</f>
        <v>97</v>
      </c>
      <c r="K181" s="24">
        <f>SUM(S179:S180)</f>
        <v>8034.95</v>
      </c>
      <c r="L181"/>
      <c r="O181"/>
    </row>
    <row r="182" spans="1:30" ht="14.25" hidden="1" x14ac:dyDescent="0.2">
      <c r="A182" s="20"/>
      <c r="B182" s="20"/>
      <c r="C182" s="20" t="s">
        <v>643</v>
      </c>
      <c r="D182" s="22" t="s">
        <v>642</v>
      </c>
      <c r="E182" s="21">
        <f>Source!CA57</f>
        <v>51</v>
      </c>
      <c r="F182" s="24"/>
      <c r="G182" s="23"/>
      <c r="H182" s="21"/>
      <c r="I182" s="24">
        <f>SUM(T179:T181)</f>
        <v>74.97</v>
      </c>
      <c r="J182" s="21">
        <f>Source!AU57</f>
        <v>51</v>
      </c>
      <c r="K182" s="24">
        <f>SUM(U179:U181)</f>
        <v>4224.5600000000004</v>
      </c>
      <c r="L182"/>
      <c r="O182"/>
    </row>
    <row r="183" spans="1:30" ht="14.25" hidden="1" x14ac:dyDescent="0.2">
      <c r="A183" s="25"/>
      <c r="B183" s="25"/>
      <c r="C183" s="25" t="s">
        <v>644</v>
      </c>
      <c r="D183" s="26" t="s">
        <v>645</v>
      </c>
      <c r="E183" s="27">
        <f>Source!AQ56</f>
        <v>2.06</v>
      </c>
      <c r="F183" s="28"/>
      <c r="G183" s="29" t="s">
        <v>639</v>
      </c>
      <c r="H183" s="27">
        <f>Source!AV57</f>
        <v>1.0469999999999999</v>
      </c>
      <c r="I183" s="28">
        <f>Source!U56</f>
        <v>11.646827999999999</v>
      </c>
      <c r="J183" s="27"/>
      <c r="K183" s="28"/>
      <c r="L183"/>
      <c r="O183"/>
    </row>
    <row r="184" spans="1:30" ht="15" hidden="1" x14ac:dyDescent="0.2">
      <c r="C184" s="30" t="s">
        <v>646</v>
      </c>
      <c r="H184" s="47">
        <f>I180+I181+I182+0-0-0</f>
        <v>364.56000000000006</v>
      </c>
      <c r="I184" s="47"/>
      <c r="J184" s="47">
        <f>K180+K181+K182+0-0-0</f>
        <v>20542.960000000003</v>
      </c>
      <c r="K184" s="47"/>
      <c r="L184"/>
      <c r="O184"/>
    </row>
    <row r="185" spans="1:30" ht="15" hidden="1" x14ac:dyDescent="0.2">
      <c r="C185" s="30" t="s">
        <v>647</v>
      </c>
      <c r="H185" s="43">
        <f>0+0</f>
        <v>0</v>
      </c>
      <c r="I185" s="43"/>
      <c r="J185" s="43">
        <f>0+0</f>
        <v>0</v>
      </c>
      <c r="K185" s="43"/>
      <c r="L185"/>
      <c r="O185"/>
    </row>
    <row r="186" spans="1:30" ht="15" hidden="1" x14ac:dyDescent="0.2">
      <c r="C186" s="30" t="s">
        <v>648</v>
      </c>
      <c r="H186" s="43">
        <f>I180+I181+I182+0</f>
        <v>364.56000000000006</v>
      </c>
      <c r="I186" s="43"/>
      <c r="J186" s="43">
        <f>K180+K181+K182+0</f>
        <v>20542.960000000003</v>
      </c>
      <c r="K186" s="43"/>
      <c r="L186"/>
      <c r="O186"/>
      <c r="P186" s="31">
        <f>I180+I181+I182+0</f>
        <v>364.56000000000006</v>
      </c>
      <c r="Q186" s="31">
        <f>K180+K181+K182+0</f>
        <v>20542.960000000003</v>
      </c>
    </row>
    <row r="187" spans="1:30" hidden="1" x14ac:dyDescent="0.2">
      <c r="L187"/>
      <c r="O187"/>
    </row>
    <row r="188" spans="1:30" hidden="1" x14ac:dyDescent="0.2">
      <c r="L188"/>
      <c r="O188"/>
    </row>
    <row r="189" spans="1:30" ht="15" hidden="1" x14ac:dyDescent="0.25">
      <c r="A189" s="45" t="str">
        <f>CONCATENATE("Итого по разделу: ",IF(Source!G59&lt;&gt;"Новый раздел", Source!G59, ""))</f>
        <v>Итого по разделу: Демонтажные работы</v>
      </c>
      <c r="B189" s="45"/>
      <c r="C189" s="45"/>
      <c r="D189" s="45"/>
      <c r="E189" s="45"/>
      <c r="F189" s="45"/>
      <c r="G189" s="45"/>
      <c r="H189" s="43">
        <f>SUM(P38:P188)</f>
        <v>34879.049999999996</v>
      </c>
      <c r="I189" s="44"/>
      <c r="J189" s="43">
        <f>SUM(Q38:Q188)</f>
        <v>1962335.13</v>
      </c>
      <c r="K189" s="44"/>
      <c r="L189"/>
      <c r="O189"/>
    </row>
    <row r="190" spans="1:30" hidden="1" x14ac:dyDescent="0.2">
      <c r="A190" t="s">
        <v>650</v>
      </c>
      <c r="I190">
        <f>SUM(X38:X189)</f>
        <v>0</v>
      </c>
      <c r="J190">
        <f>SUM(Y38:Y189)</f>
        <v>0</v>
      </c>
      <c r="L190"/>
      <c r="O190"/>
    </row>
    <row r="191" spans="1:30" hidden="1" x14ac:dyDescent="0.2">
      <c r="A191" t="s">
        <v>651</v>
      </c>
      <c r="I191">
        <f>SUM(Z38:Z190)</f>
        <v>0</v>
      </c>
      <c r="J191">
        <f>SUM(AA38:AA190)</f>
        <v>0</v>
      </c>
      <c r="L191"/>
      <c r="O191"/>
    </row>
    <row r="192" spans="1:30" hidden="1" x14ac:dyDescent="0.2">
      <c r="L192"/>
      <c r="O192"/>
    </row>
    <row r="193" spans="1:30" ht="16.5" hidden="1" x14ac:dyDescent="0.2">
      <c r="A193" s="48" t="str">
        <f>CONCATENATE("Раздел: ",IF(Source!G89&lt;&gt;"Новый раздел", Source!G89, ""))</f>
        <v>Раздел: Приборы управления</v>
      </c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/>
      <c r="O193"/>
    </row>
    <row r="194" spans="1:30" ht="28.5" hidden="1" x14ac:dyDescent="0.2">
      <c r="A194" s="20">
        <v>16</v>
      </c>
      <c r="B194" s="20" t="str">
        <f>Source!F93</f>
        <v>4.10-80-9</v>
      </c>
      <c r="C194" s="20" t="s">
        <v>149</v>
      </c>
      <c r="D194" s="22" t="str">
        <f>Source!H93</f>
        <v>1  ШТ.</v>
      </c>
      <c r="E194" s="21">
        <f>Source!I93</f>
        <v>1</v>
      </c>
      <c r="F194" s="24"/>
      <c r="G194" s="23"/>
      <c r="H194" s="21"/>
      <c r="I194" s="24"/>
      <c r="J194" s="21"/>
      <c r="K194" s="24"/>
      <c r="L194"/>
      <c r="O194"/>
      <c r="R194">
        <f>Source!X93</f>
        <v>87.47</v>
      </c>
      <c r="S194">
        <f>Source!X94</f>
        <v>4928.99</v>
      </c>
      <c r="T194">
        <f>Source!Y93</f>
        <v>44.71</v>
      </c>
      <c r="U194">
        <f>Source!Y94</f>
        <v>2519.2600000000002</v>
      </c>
      <c r="V194">
        <f>ROUND((175/100)*ROUND(Source!R93, 2), 2)</f>
        <v>0.02</v>
      </c>
      <c r="W194">
        <f>ROUND((0/100)*ROUND(Source!R94, 2), 2)</f>
        <v>0</v>
      </c>
      <c r="AD194">
        <v>0</v>
      </c>
    </row>
    <row r="195" spans="1:30" ht="14.25" hidden="1" x14ac:dyDescent="0.2">
      <c r="A195" s="20"/>
      <c r="B195" s="20"/>
      <c r="C195" s="20" t="s">
        <v>638</v>
      </c>
      <c r="D195" s="22"/>
      <c r="E195" s="21"/>
      <c r="F195" s="24">
        <f>Source!AO93</f>
        <v>77.349999999999994</v>
      </c>
      <c r="G195" s="23" t="s">
        <v>157</v>
      </c>
      <c r="H195" s="21">
        <f>Source!AV94</f>
        <v>1.0469999999999999</v>
      </c>
      <c r="I195" s="24">
        <f>Source!S93</f>
        <v>97.18</v>
      </c>
      <c r="J195" s="21">
        <f>IF(Source!BA94&lt;&gt; 0, Source!BA94, 1)</f>
        <v>56.35</v>
      </c>
      <c r="K195" s="24">
        <f>Source!S94</f>
        <v>5476.09</v>
      </c>
      <c r="L195"/>
      <c r="O195"/>
    </row>
    <row r="196" spans="1:30" ht="14.25" hidden="1" x14ac:dyDescent="0.2">
      <c r="A196" s="20"/>
      <c r="B196" s="20"/>
      <c r="C196" s="20" t="s">
        <v>640</v>
      </c>
      <c r="D196" s="22"/>
      <c r="E196" s="21"/>
      <c r="F196" s="24">
        <f>Source!AM93</f>
        <v>0.05</v>
      </c>
      <c r="G196" s="23" t="s">
        <v>157</v>
      </c>
      <c r="H196" s="21">
        <f>Source!AV94</f>
        <v>1.0469999999999999</v>
      </c>
      <c r="I196" s="24">
        <f>Source!Q93</f>
        <v>0.06</v>
      </c>
      <c r="J196" s="21">
        <f>IF(Source!BB94&lt;&gt; 0, Source!BB94, 1)</f>
        <v>20</v>
      </c>
      <c r="K196" s="24">
        <f>Source!Q94</f>
        <v>1.2</v>
      </c>
      <c r="L196"/>
      <c r="O196"/>
    </row>
    <row r="197" spans="1:30" ht="14.25" hidden="1" x14ac:dyDescent="0.2">
      <c r="A197" s="20"/>
      <c r="B197" s="20"/>
      <c r="C197" s="20" t="s">
        <v>649</v>
      </c>
      <c r="D197" s="22"/>
      <c r="E197" s="21"/>
      <c r="F197" s="24">
        <f>Source!AN93</f>
        <v>0.01</v>
      </c>
      <c r="G197" s="23" t="s">
        <v>157</v>
      </c>
      <c r="H197" s="21">
        <f>Source!AV94</f>
        <v>1.0469999999999999</v>
      </c>
      <c r="I197" s="32">
        <f>Source!R93</f>
        <v>0.01</v>
      </c>
      <c r="J197" s="21">
        <f>IF(Source!BS94&lt;&gt; 0, Source!BS94, 1)</f>
        <v>56.35</v>
      </c>
      <c r="K197" s="32">
        <f>Source!R94</f>
        <v>0.56000000000000005</v>
      </c>
      <c r="L197"/>
      <c r="O197"/>
    </row>
    <row r="198" spans="1:30" ht="14.25" hidden="1" x14ac:dyDescent="0.2">
      <c r="A198" s="20"/>
      <c r="B198" s="20"/>
      <c r="C198" s="20" t="s">
        <v>652</v>
      </c>
      <c r="D198" s="22"/>
      <c r="E198" s="21"/>
      <c r="F198" s="24">
        <f>Source!AL93</f>
        <v>4.83</v>
      </c>
      <c r="G198" s="23"/>
      <c r="H198" s="21">
        <f>Source!AW94</f>
        <v>1</v>
      </c>
      <c r="I198" s="24">
        <f>Source!P93</f>
        <v>4.83</v>
      </c>
      <c r="J198" s="21">
        <f>IF(Source!BC94&lt;&gt; 0, Source!BC94, 1)</f>
        <v>9.84</v>
      </c>
      <c r="K198" s="24">
        <f>Source!P94</f>
        <v>47.53</v>
      </c>
      <c r="L198"/>
      <c r="O198"/>
    </row>
    <row r="199" spans="1:30" ht="14.25" hidden="1" x14ac:dyDescent="0.2">
      <c r="A199" s="20"/>
      <c r="B199" s="20"/>
      <c r="C199" s="20" t="s">
        <v>641</v>
      </c>
      <c r="D199" s="22" t="s">
        <v>642</v>
      </c>
      <c r="E199" s="21">
        <f>Source!BZ94</f>
        <v>90</v>
      </c>
      <c r="F199" s="24"/>
      <c r="G199" s="23"/>
      <c r="H199" s="21"/>
      <c r="I199" s="24">
        <f>SUM(R194:R198)</f>
        <v>87.47</v>
      </c>
      <c r="J199" s="21">
        <f>Source!AT94</f>
        <v>90</v>
      </c>
      <c r="K199" s="24">
        <f>SUM(S194:S198)</f>
        <v>4928.99</v>
      </c>
      <c r="L199"/>
      <c r="O199"/>
    </row>
    <row r="200" spans="1:30" ht="14.25" hidden="1" x14ac:dyDescent="0.2">
      <c r="A200" s="20"/>
      <c r="B200" s="20"/>
      <c r="C200" s="20" t="s">
        <v>643</v>
      </c>
      <c r="D200" s="22" t="s">
        <v>642</v>
      </c>
      <c r="E200" s="21">
        <f>Source!CA94</f>
        <v>46</v>
      </c>
      <c r="F200" s="24"/>
      <c r="G200" s="23"/>
      <c r="H200" s="21"/>
      <c r="I200" s="24">
        <f>SUM(T194:T199)</f>
        <v>44.71</v>
      </c>
      <c r="J200" s="21">
        <f>Source!AU94</f>
        <v>46</v>
      </c>
      <c r="K200" s="24">
        <f>SUM(U194:U199)</f>
        <v>2519.2600000000002</v>
      </c>
      <c r="L200"/>
      <c r="O200"/>
    </row>
    <row r="201" spans="1:30" ht="14.25" hidden="1" x14ac:dyDescent="0.2">
      <c r="A201" s="25"/>
      <c r="B201" s="25"/>
      <c r="C201" s="25" t="s">
        <v>644</v>
      </c>
      <c r="D201" s="26" t="s">
        <v>645</v>
      </c>
      <c r="E201" s="27">
        <f>Source!AQ93</f>
        <v>5.7</v>
      </c>
      <c r="F201" s="28"/>
      <c r="G201" s="29" t="s">
        <v>157</v>
      </c>
      <c r="H201" s="27">
        <f>Source!AV94</f>
        <v>1.0469999999999999</v>
      </c>
      <c r="I201" s="28">
        <f>Source!U93</f>
        <v>7.1614799999999992</v>
      </c>
      <c r="J201" s="27"/>
      <c r="K201" s="28"/>
      <c r="L201"/>
      <c r="O201"/>
    </row>
    <row r="202" spans="1:30" ht="15" hidden="1" x14ac:dyDescent="0.2">
      <c r="C202" s="30" t="s">
        <v>646</v>
      </c>
      <c r="H202" s="47">
        <f>I195+I196+I198+I199+I200+0-0-0</f>
        <v>234.25000000000003</v>
      </c>
      <c r="I202" s="47"/>
      <c r="J202" s="47">
        <f>K195+K196+K198+K199+K200+0-0-0</f>
        <v>12973.07</v>
      </c>
      <c r="K202" s="47"/>
      <c r="L202"/>
      <c r="O202"/>
    </row>
    <row r="203" spans="1:30" ht="15" hidden="1" x14ac:dyDescent="0.2">
      <c r="C203" s="30" t="s">
        <v>647</v>
      </c>
      <c r="H203" s="43">
        <f>0+0</f>
        <v>0</v>
      </c>
      <c r="I203" s="43"/>
      <c r="J203" s="43">
        <f>0+0</f>
        <v>0</v>
      </c>
      <c r="K203" s="43"/>
      <c r="L203"/>
      <c r="O203"/>
    </row>
    <row r="204" spans="1:30" ht="15" hidden="1" x14ac:dyDescent="0.2">
      <c r="C204" s="30" t="s">
        <v>648</v>
      </c>
      <c r="H204" s="43">
        <f>I195+I196+I198+I199+I200+0</f>
        <v>234.25000000000003</v>
      </c>
      <c r="I204" s="43"/>
      <c r="J204" s="43">
        <f>K195+K196+K198+K199+K200+0</f>
        <v>12973.07</v>
      </c>
      <c r="K204" s="43"/>
      <c r="L204"/>
      <c r="O204"/>
      <c r="P204" s="31">
        <f>I195+I196+I198+I199+I200+0</f>
        <v>234.25000000000003</v>
      </c>
      <c r="Q204" s="31">
        <f>K195+K196+K198+K199+K200+0</f>
        <v>12973.07</v>
      </c>
    </row>
    <row r="205" spans="1:30" hidden="1" x14ac:dyDescent="0.2">
      <c r="L205"/>
      <c r="O205"/>
    </row>
    <row r="206" spans="1:30" ht="68.25" x14ac:dyDescent="0.2">
      <c r="A206" s="76">
        <v>17</v>
      </c>
      <c r="B206" s="76" t="str">
        <f>Source!F95</f>
        <v>КА, п.1</v>
      </c>
      <c r="C206" s="76" t="s">
        <v>681</v>
      </c>
      <c r="D206" s="77" t="str">
        <f>Source!H95</f>
        <v>ШТ</v>
      </c>
      <c r="E206" s="78">
        <f>Source!I95</f>
        <v>1</v>
      </c>
      <c r="F206" s="79">
        <f>Source!AL95</f>
        <v>2677.5299999999997</v>
      </c>
      <c r="G206" s="80"/>
      <c r="H206" s="78">
        <f>Source!AW96</f>
        <v>1</v>
      </c>
      <c r="I206" s="79">
        <f>Source!P95</f>
        <v>2677.53</v>
      </c>
      <c r="J206" s="78">
        <f>IF(Source!BC96&lt;&gt; 0, Source!BC96, 1)</f>
        <v>9.84</v>
      </c>
      <c r="K206" s="79">
        <f>Source!P96</f>
        <v>26346.9</v>
      </c>
      <c r="L206" s="100">
        <v>27960</v>
      </c>
      <c r="O206" s="98" t="s">
        <v>680</v>
      </c>
      <c r="R206">
        <f>Source!X95</f>
        <v>0</v>
      </c>
      <c r="S206">
        <f>Source!X96</f>
        <v>0</v>
      </c>
      <c r="T206">
        <f>Source!Y95</f>
        <v>0</v>
      </c>
      <c r="U206">
        <f>Source!Y96</f>
        <v>0</v>
      </c>
      <c r="V206">
        <f>ROUND((175/100)*ROUND(Source!R95, 2), 2)</f>
        <v>0</v>
      </c>
      <c r="W206">
        <f>ROUND((0/100)*ROUND(Source!R96, 2), 2)</f>
        <v>0</v>
      </c>
      <c r="AD206">
        <v>5</v>
      </c>
    </row>
    <row r="207" spans="1:30" ht="15" hidden="1" x14ac:dyDescent="0.2">
      <c r="A207" s="34"/>
      <c r="B207" s="34"/>
      <c r="C207" s="35" t="s">
        <v>648</v>
      </c>
      <c r="D207" s="34"/>
      <c r="E207" s="34"/>
      <c r="F207" s="34"/>
      <c r="G207" s="34"/>
      <c r="H207" s="46">
        <f>I206+0</f>
        <v>2677.53</v>
      </c>
      <c r="I207" s="46"/>
      <c r="J207" s="46">
        <f>K206+0</f>
        <v>26346.9</v>
      </c>
      <c r="K207" s="46"/>
      <c r="L207"/>
      <c r="O207"/>
      <c r="P207" s="31">
        <f>I206+0</f>
        <v>2677.53</v>
      </c>
      <c r="Q207" s="31">
        <f>K206+0</f>
        <v>26346.9</v>
      </c>
    </row>
    <row r="208" spans="1:30" hidden="1" x14ac:dyDescent="0.2">
      <c r="L208"/>
      <c r="O208"/>
    </row>
    <row r="209" spans="1:30" ht="28.5" hidden="1" x14ac:dyDescent="0.2">
      <c r="A209" s="20">
        <v>18</v>
      </c>
      <c r="B209" s="20" t="str">
        <f>Source!F97</f>
        <v>4.10-170-2</v>
      </c>
      <c r="C209" s="20" t="s">
        <v>159</v>
      </c>
      <c r="D209" s="22" t="str">
        <f>Source!H97</f>
        <v>1  ШТ.</v>
      </c>
      <c r="E209" s="21">
        <f>Source!I97</f>
        <v>1</v>
      </c>
      <c r="F209" s="24"/>
      <c r="G209" s="23"/>
      <c r="H209" s="21"/>
      <c r="I209" s="24"/>
      <c r="J209" s="21"/>
      <c r="K209" s="24"/>
      <c r="L209"/>
      <c r="O209"/>
      <c r="R209">
        <f>Source!X97</f>
        <v>37.85</v>
      </c>
      <c r="S209">
        <f>Source!X98</f>
        <v>2132.5700000000002</v>
      </c>
      <c r="T209">
        <f>Source!Y97</f>
        <v>19.34</v>
      </c>
      <c r="U209">
        <f>Source!Y98</f>
        <v>1089.98</v>
      </c>
      <c r="V209">
        <f>ROUND((175/100)*ROUND(Source!R97, 2), 2)</f>
        <v>0</v>
      </c>
      <c r="W209">
        <f>ROUND((0/100)*ROUND(Source!R98, 2), 2)</f>
        <v>0</v>
      </c>
      <c r="AD209">
        <v>0</v>
      </c>
    </row>
    <row r="210" spans="1:30" ht="14.25" hidden="1" x14ac:dyDescent="0.2">
      <c r="A210" s="20"/>
      <c r="B210" s="20"/>
      <c r="C210" s="20" t="s">
        <v>638</v>
      </c>
      <c r="D210" s="22"/>
      <c r="E210" s="21"/>
      <c r="F210" s="24">
        <f>Source!AO97</f>
        <v>33.47</v>
      </c>
      <c r="G210" s="23" t="s">
        <v>157</v>
      </c>
      <c r="H210" s="21">
        <f>Source!AV98</f>
        <v>1.0469999999999999</v>
      </c>
      <c r="I210" s="24">
        <f>Source!S97</f>
        <v>42.05</v>
      </c>
      <c r="J210" s="21">
        <f>IF(Source!BA98&lt;&gt; 0, Source!BA98, 1)</f>
        <v>56.35</v>
      </c>
      <c r="K210" s="24">
        <f>Source!S98</f>
        <v>2369.52</v>
      </c>
      <c r="L210"/>
      <c r="O210"/>
    </row>
    <row r="211" spans="1:30" ht="14.25" hidden="1" x14ac:dyDescent="0.2">
      <c r="A211" s="20"/>
      <c r="B211" s="20"/>
      <c r="C211" s="20" t="s">
        <v>652</v>
      </c>
      <c r="D211" s="22"/>
      <c r="E211" s="21"/>
      <c r="F211" s="24">
        <f>Source!AL97</f>
        <v>2.34</v>
      </c>
      <c r="G211" s="23"/>
      <c r="H211" s="21">
        <f>Source!AW98</f>
        <v>1</v>
      </c>
      <c r="I211" s="24">
        <f>Source!P97</f>
        <v>2.34</v>
      </c>
      <c r="J211" s="21">
        <f>IF(Source!BC98&lt;&gt; 0, Source!BC98, 1)</f>
        <v>10.24</v>
      </c>
      <c r="K211" s="24">
        <f>Source!P98</f>
        <v>23.96</v>
      </c>
      <c r="L211"/>
      <c r="O211"/>
    </row>
    <row r="212" spans="1:30" ht="14.25" hidden="1" x14ac:dyDescent="0.2">
      <c r="A212" s="20"/>
      <c r="B212" s="20"/>
      <c r="C212" s="20" t="s">
        <v>641</v>
      </c>
      <c r="D212" s="22" t="s">
        <v>642</v>
      </c>
      <c r="E212" s="21">
        <f>Source!BZ98</f>
        <v>90</v>
      </c>
      <c r="F212" s="24"/>
      <c r="G212" s="23"/>
      <c r="H212" s="21"/>
      <c r="I212" s="24">
        <f>SUM(R209:R211)</f>
        <v>37.85</v>
      </c>
      <c r="J212" s="21">
        <f>Source!AT98</f>
        <v>90</v>
      </c>
      <c r="K212" s="24">
        <f>SUM(S209:S211)</f>
        <v>2132.5700000000002</v>
      </c>
      <c r="L212"/>
      <c r="O212"/>
    </row>
    <row r="213" spans="1:30" ht="14.25" hidden="1" x14ac:dyDescent="0.2">
      <c r="A213" s="20"/>
      <c r="B213" s="20"/>
      <c r="C213" s="20" t="s">
        <v>643</v>
      </c>
      <c r="D213" s="22" t="s">
        <v>642</v>
      </c>
      <c r="E213" s="21">
        <f>Source!CA98</f>
        <v>46</v>
      </c>
      <c r="F213" s="24"/>
      <c r="G213" s="23"/>
      <c r="H213" s="21"/>
      <c r="I213" s="24">
        <f>SUM(T209:T212)</f>
        <v>19.34</v>
      </c>
      <c r="J213" s="21">
        <f>Source!AU98</f>
        <v>46</v>
      </c>
      <c r="K213" s="24">
        <f>SUM(U209:U212)</f>
        <v>1089.98</v>
      </c>
      <c r="L213"/>
      <c r="O213"/>
    </row>
    <row r="214" spans="1:30" ht="14.25" hidden="1" x14ac:dyDescent="0.2">
      <c r="A214" s="25"/>
      <c r="B214" s="25"/>
      <c r="C214" s="25" t="s">
        <v>644</v>
      </c>
      <c r="D214" s="26" t="s">
        <v>645</v>
      </c>
      <c r="E214" s="27">
        <f>Source!AQ97</f>
        <v>2.65</v>
      </c>
      <c r="F214" s="28"/>
      <c r="G214" s="29" t="s">
        <v>157</v>
      </c>
      <c r="H214" s="27">
        <f>Source!AV98</f>
        <v>1.0469999999999999</v>
      </c>
      <c r="I214" s="28">
        <f>Source!U97</f>
        <v>3.3294599999999996</v>
      </c>
      <c r="J214" s="27"/>
      <c r="K214" s="28"/>
      <c r="L214"/>
      <c r="O214"/>
    </row>
    <row r="215" spans="1:30" ht="15" hidden="1" x14ac:dyDescent="0.2">
      <c r="C215" s="30" t="s">
        <v>646</v>
      </c>
      <c r="H215" s="47">
        <f>I210+I211+I212+I213+0-0-0</f>
        <v>101.58000000000001</v>
      </c>
      <c r="I215" s="47"/>
      <c r="J215" s="47">
        <f>K210+K211+K212+K213+0-0-0</f>
        <v>5616.0300000000007</v>
      </c>
      <c r="K215" s="47"/>
      <c r="L215"/>
      <c r="O215"/>
    </row>
    <row r="216" spans="1:30" ht="15" hidden="1" x14ac:dyDescent="0.2">
      <c r="C216" s="30" t="s">
        <v>647</v>
      </c>
      <c r="H216" s="43">
        <f>0+0</f>
        <v>0</v>
      </c>
      <c r="I216" s="43"/>
      <c r="J216" s="43">
        <f>0+0</f>
        <v>0</v>
      </c>
      <c r="K216" s="43"/>
      <c r="L216"/>
      <c r="O216"/>
    </row>
    <row r="217" spans="1:30" ht="15" hidden="1" x14ac:dyDescent="0.2">
      <c r="C217" s="30" t="s">
        <v>648</v>
      </c>
      <c r="H217" s="43">
        <f>I210+I211+I212+I213+0</f>
        <v>101.58000000000001</v>
      </c>
      <c r="I217" s="43"/>
      <c r="J217" s="43">
        <f>K210+K211+K212+K213+0</f>
        <v>5616.0300000000007</v>
      </c>
      <c r="K217" s="43"/>
      <c r="L217"/>
      <c r="O217"/>
      <c r="P217" s="31">
        <f>I210+I211+I212+I213+0</f>
        <v>101.58000000000001</v>
      </c>
      <c r="Q217" s="31">
        <f>K210+K211+K212+K213+0</f>
        <v>5616.0300000000007</v>
      </c>
    </row>
    <row r="218" spans="1:30" hidden="1" x14ac:dyDescent="0.2">
      <c r="L218"/>
      <c r="O218"/>
    </row>
    <row r="219" spans="1:30" ht="68.25" x14ac:dyDescent="0.2">
      <c r="A219" s="76">
        <v>19</v>
      </c>
      <c r="B219" s="76" t="str">
        <f>Source!F99</f>
        <v>КА, п.2</v>
      </c>
      <c r="C219" s="76" t="s">
        <v>682</v>
      </c>
      <c r="D219" s="77" t="str">
        <f>Source!H99</f>
        <v>ШТ</v>
      </c>
      <c r="E219" s="78">
        <f>Source!I99</f>
        <v>1</v>
      </c>
      <c r="F219" s="79">
        <f>Source!AL99</f>
        <v>1743.0900000000001</v>
      </c>
      <c r="G219" s="80"/>
      <c r="H219" s="78">
        <f>Source!AW100</f>
        <v>1</v>
      </c>
      <c r="I219" s="79">
        <f>Source!P99</f>
        <v>1743.09</v>
      </c>
      <c r="J219" s="78">
        <f>IF(Source!BC100&lt;&gt; 0, Source!BC100, 1)</f>
        <v>9.84</v>
      </c>
      <c r="K219" s="79">
        <f>Source!P100</f>
        <v>17152.009999999998</v>
      </c>
      <c r="L219" s="100" t="s">
        <v>677</v>
      </c>
      <c r="O219" s="98" t="s">
        <v>680</v>
      </c>
      <c r="R219">
        <f>Source!X99</f>
        <v>0</v>
      </c>
      <c r="S219">
        <f>Source!X100</f>
        <v>0</v>
      </c>
      <c r="T219">
        <f>Source!Y99</f>
        <v>0</v>
      </c>
      <c r="U219">
        <f>Source!Y100</f>
        <v>0</v>
      </c>
      <c r="V219">
        <f>ROUND((175/100)*ROUND(Source!R99, 2), 2)</f>
        <v>0</v>
      </c>
      <c r="W219">
        <f>ROUND((0/100)*ROUND(Source!R100, 2), 2)</f>
        <v>0</v>
      </c>
      <c r="AD219">
        <v>5</v>
      </c>
    </row>
    <row r="220" spans="1:30" ht="15" hidden="1" x14ac:dyDescent="0.2">
      <c r="A220" s="34"/>
      <c r="B220" s="34"/>
      <c r="C220" s="35" t="s">
        <v>648</v>
      </c>
      <c r="D220" s="34"/>
      <c r="E220" s="34"/>
      <c r="F220" s="34"/>
      <c r="G220" s="34"/>
      <c r="H220" s="46">
        <f>I219+0</f>
        <v>1743.09</v>
      </c>
      <c r="I220" s="46"/>
      <c r="J220" s="46">
        <f>K219+0</f>
        <v>17152.009999999998</v>
      </c>
      <c r="K220" s="46"/>
      <c r="L220"/>
      <c r="O220"/>
      <c r="P220" s="31">
        <f>I219+0</f>
        <v>1743.09</v>
      </c>
      <c r="Q220" s="31">
        <f>K219+0</f>
        <v>17152.009999999998</v>
      </c>
    </row>
    <row r="221" spans="1:30" hidden="1" x14ac:dyDescent="0.2">
      <c r="L221"/>
      <c r="O221"/>
    </row>
    <row r="222" spans="1:30" ht="28.5" hidden="1" x14ac:dyDescent="0.2">
      <c r="A222" s="20">
        <v>20</v>
      </c>
      <c r="B222" s="20" t="str">
        <f>Source!F101</f>
        <v>4.10-80-12</v>
      </c>
      <c r="C222" s="20" t="s">
        <v>165</v>
      </c>
      <c r="D222" s="22" t="str">
        <f>Source!H101</f>
        <v>1  ШТ.</v>
      </c>
      <c r="E222" s="21">
        <f>Source!I101</f>
        <v>1</v>
      </c>
      <c r="F222" s="24"/>
      <c r="G222" s="23"/>
      <c r="H222" s="21"/>
      <c r="I222" s="24"/>
      <c r="J222" s="21"/>
      <c r="K222" s="24"/>
      <c r="L222"/>
      <c r="O222"/>
      <c r="R222">
        <f>Source!X101</f>
        <v>36.840000000000003</v>
      </c>
      <c r="S222">
        <f>Source!X102</f>
        <v>2075.7600000000002</v>
      </c>
      <c r="T222">
        <f>Source!Y101</f>
        <v>18.829999999999998</v>
      </c>
      <c r="U222">
        <f>Source!Y102</f>
        <v>1060.94</v>
      </c>
      <c r="V222">
        <f>ROUND((175/100)*ROUND(Source!R101, 2), 2)</f>
        <v>0.02</v>
      </c>
      <c r="W222">
        <f>ROUND((0/100)*ROUND(Source!R102, 2), 2)</f>
        <v>0</v>
      </c>
      <c r="AD222">
        <v>0</v>
      </c>
    </row>
    <row r="223" spans="1:30" ht="14.25" hidden="1" x14ac:dyDescent="0.2">
      <c r="A223" s="20"/>
      <c r="B223" s="20"/>
      <c r="C223" s="20" t="s">
        <v>638</v>
      </c>
      <c r="D223" s="22"/>
      <c r="E223" s="21"/>
      <c r="F223" s="24">
        <f>Source!AO101</f>
        <v>32.57</v>
      </c>
      <c r="G223" s="23" t="s">
        <v>157</v>
      </c>
      <c r="H223" s="21">
        <f>Source!AV102</f>
        <v>1.0469999999999999</v>
      </c>
      <c r="I223" s="24">
        <f>Source!S101</f>
        <v>40.92</v>
      </c>
      <c r="J223" s="21">
        <f>IF(Source!BA102&lt;&gt; 0, Source!BA102, 1)</f>
        <v>56.35</v>
      </c>
      <c r="K223" s="24">
        <f>Source!S102</f>
        <v>2305.84</v>
      </c>
      <c r="L223"/>
      <c r="O223"/>
    </row>
    <row r="224" spans="1:30" ht="14.25" hidden="1" x14ac:dyDescent="0.2">
      <c r="A224" s="20"/>
      <c r="B224" s="20"/>
      <c r="C224" s="20" t="s">
        <v>640</v>
      </c>
      <c r="D224" s="22"/>
      <c r="E224" s="21"/>
      <c r="F224" s="24">
        <f>Source!AM101</f>
        <v>0.05</v>
      </c>
      <c r="G224" s="23" t="s">
        <v>157</v>
      </c>
      <c r="H224" s="21">
        <f>Source!AV102</f>
        <v>1.0469999999999999</v>
      </c>
      <c r="I224" s="24">
        <f>Source!Q101</f>
        <v>0.06</v>
      </c>
      <c r="J224" s="21">
        <f>IF(Source!BB102&lt;&gt; 0, Source!BB102, 1)</f>
        <v>20</v>
      </c>
      <c r="K224" s="24">
        <f>Source!Q102</f>
        <v>1.2</v>
      </c>
      <c r="L224"/>
      <c r="O224"/>
    </row>
    <row r="225" spans="1:30" ht="14.25" hidden="1" x14ac:dyDescent="0.2">
      <c r="A225" s="20"/>
      <c r="B225" s="20"/>
      <c r="C225" s="20" t="s">
        <v>649</v>
      </c>
      <c r="D225" s="22"/>
      <c r="E225" s="21"/>
      <c r="F225" s="24">
        <f>Source!AN101</f>
        <v>0.01</v>
      </c>
      <c r="G225" s="23" t="s">
        <v>157</v>
      </c>
      <c r="H225" s="21">
        <f>Source!AV102</f>
        <v>1.0469999999999999</v>
      </c>
      <c r="I225" s="32">
        <f>Source!R101</f>
        <v>0.01</v>
      </c>
      <c r="J225" s="21">
        <f>IF(Source!BS102&lt;&gt; 0, Source!BS102, 1)</f>
        <v>56.35</v>
      </c>
      <c r="K225" s="32">
        <f>Source!R102</f>
        <v>0.56000000000000005</v>
      </c>
      <c r="L225"/>
      <c r="O225"/>
    </row>
    <row r="226" spans="1:30" ht="14.25" hidden="1" x14ac:dyDescent="0.2">
      <c r="A226" s="20"/>
      <c r="B226" s="20"/>
      <c r="C226" s="20" t="s">
        <v>652</v>
      </c>
      <c r="D226" s="22"/>
      <c r="E226" s="21"/>
      <c r="F226" s="24">
        <f>Source!AL101</f>
        <v>3.71</v>
      </c>
      <c r="G226" s="23"/>
      <c r="H226" s="21">
        <f>Source!AW102</f>
        <v>1</v>
      </c>
      <c r="I226" s="24">
        <f>Source!P101</f>
        <v>3.71</v>
      </c>
      <c r="J226" s="21">
        <f>IF(Source!BC102&lt;&gt; 0, Source!BC102, 1)</f>
        <v>9.84</v>
      </c>
      <c r="K226" s="24">
        <f>Source!P102</f>
        <v>36.51</v>
      </c>
      <c r="L226"/>
      <c r="O226"/>
    </row>
    <row r="227" spans="1:30" ht="14.25" hidden="1" x14ac:dyDescent="0.2">
      <c r="A227" s="20"/>
      <c r="B227" s="20"/>
      <c r="C227" s="20" t="s">
        <v>641</v>
      </c>
      <c r="D227" s="22" t="s">
        <v>642</v>
      </c>
      <c r="E227" s="21">
        <f>Source!BZ102</f>
        <v>90</v>
      </c>
      <c r="F227" s="24"/>
      <c r="G227" s="23"/>
      <c r="H227" s="21"/>
      <c r="I227" s="24">
        <f>SUM(R222:R226)</f>
        <v>36.840000000000003</v>
      </c>
      <c r="J227" s="21">
        <f>Source!AT102</f>
        <v>90</v>
      </c>
      <c r="K227" s="24">
        <f>SUM(S222:S226)</f>
        <v>2075.7600000000002</v>
      </c>
      <c r="L227"/>
      <c r="O227"/>
    </row>
    <row r="228" spans="1:30" ht="14.25" hidden="1" x14ac:dyDescent="0.2">
      <c r="A228" s="20"/>
      <c r="B228" s="20"/>
      <c r="C228" s="20" t="s">
        <v>643</v>
      </c>
      <c r="D228" s="22" t="s">
        <v>642</v>
      </c>
      <c r="E228" s="21">
        <f>Source!CA102</f>
        <v>46</v>
      </c>
      <c r="F228" s="24"/>
      <c r="G228" s="23"/>
      <c r="H228" s="21"/>
      <c r="I228" s="24">
        <f>SUM(T222:T227)</f>
        <v>18.829999999999998</v>
      </c>
      <c r="J228" s="21">
        <f>Source!AU102</f>
        <v>46</v>
      </c>
      <c r="K228" s="24">
        <f>SUM(U222:U227)</f>
        <v>1060.94</v>
      </c>
      <c r="L228"/>
      <c r="O228"/>
    </row>
    <row r="229" spans="1:30" ht="14.25" hidden="1" x14ac:dyDescent="0.2">
      <c r="A229" s="25"/>
      <c r="B229" s="25"/>
      <c r="C229" s="25" t="s">
        <v>644</v>
      </c>
      <c r="D229" s="26" t="s">
        <v>645</v>
      </c>
      <c r="E229" s="27">
        <f>Source!AQ101</f>
        <v>2.4</v>
      </c>
      <c r="F229" s="28"/>
      <c r="G229" s="29" t="s">
        <v>157</v>
      </c>
      <c r="H229" s="27">
        <f>Source!AV102</f>
        <v>1.0469999999999999</v>
      </c>
      <c r="I229" s="28">
        <f>Source!U101</f>
        <v>3.0153599999999998</v>
      </c>
      <c r="J229" s="27"/>
      <c r="K229" s="28"/>
      <c r="L229"/>
      <c r="O229"/>
    </row>
    <row r="230" spans="1:30" ht="15" hidden="1" x14ac:dyDescent="0.2">
      <c r="C230" s="30" t="s">
        <v>646</v>
      </c>
      <c r="H230" s="47">
        <f>I223+I224+I226+I227+I228+0-0-0</f>
        <v>100.36</v>
      </c>
      <c r="I230" s="47"/>
      <c r="J230" s="47">
        <f>K223+K224+K226+K227+K228+0-0-0</f>
        <v>5480.25</v>
      </c>
      <c r="K230" s="47"/>
      <c r="L230"/>
      <c r="O230"/>
    </row>
    <row r="231" spans="1:30" ht="15" hidden="1" x14ac:dyDescent="0.2">
      <c r="C231" s="30" t="s">
        <v>647</v>
      </c>
      <c r="H231" s="43">
        <f>0+0</f>
        <v>0</v>
      </c>
      <c r="I231" s="43"/>
      <c r="J231" s="43">
        <f>0+0</f>
        <v>0</v>
      </c>
      <c r="K231" s="43"/>
      <c r="L231"/>
      <c r="O231"/>
    </row>
    <row r="232" spans="1:30" ht="15" hidden="1" x14ac:dyDescent="0.2">
      <c r="C232" s="30" t="s">
        <v>648</v>
      </c>
      <c r="H232" s="43">
        <f>I223+I224+I226+I227+I228+0</f>
        <v>100.36</v>
      </c>
      <c r="I232" s="43"/>
      <c r="J232" s="43">
        <f>K223+K224+K226+K227+K228+0</f>
        <v>5480.25</v>
      </c>
      <c r="K232" s="43"/>
      <c r="L232"/>
      <c r="O232"/>
      <c r="P232" s="31">
        <f>I223+I224+I226+I227+I228+0</f>
        <v>100.36</v>
      </c>
      <c r="Q232" s="31">
        <f>K223+K224+K226+K227+K228+0</f>
        <v>5480.25</v>
      </c>
    </row>
    <row r="233" spans="1:30" hidden="1" x14ac:dyDescent="0.2">
      <c r="L233"/>
      <c r="O233"/>
    </row>
    <row r="234" spans="1:30" ht="54" x14ac:dyDescent="0.2">
      <c r="A234" s="76">
        <v>21</v>
      </c>
      <c r="B234" s="76" t="str">
        <f>Source!F103</f>
        <v>КА, п.3</v>
      </c>
      <c r="C234" s="76" t="s">
        <v>683</v>
      </c>
      <c r="D234" s="77" t="str">
        <f>Source!H103</f>
        <v>ШТ</v>
      </c>
      <c r="E234" s="78">
        <f>Source!I103</f>
        <v>1</v>
      </c>
      <c r="F234" s="79">
        <f>Source!AL103</f>
        <v>2113.41</v>
      </c>
      <c r="G234" s="80"/>
      <c r="H234" s="78">
        <f>Source!AW104</f>
        <v>1</v>
      </c>
      <c r="I234" s="79">
        <f>Source!P103</f>
        <v>2113.41</v>
      </c>
      <c r="J234" s="78">
        <f>IF(Source!BC104&lt;&gt; 0, Source!BC104, 1)</f>
        <v>9.84</v>
      </c>
      <c r="K234" s="79">
        <f>Source!P104</f>
        <v>20795.95</v>
      </c>
      <c r="L234" s="100" t="s">
        <v>677</v>
      </c>
      <c r="O234" s="98" t="s">
        <v>680</v>
      </c>
      <c r="R234">
        <f>Source!X103</f>
        <v>0</v>
      </c>
      <c r="S234">
        <f>Source!X104</f>
        <v>0</v>
      </c>
      <c r="T234">
        <f>Source!Y103</f>
        <v>0</v>
      </c>
      <c r="U234">
        <f>Source!Y104</f>
        <v>0</v>
      </c>
      <c r="V234">
        <f>ROUND((175/100)*ROUND(Source!R103, 2), 2)</f>
        <v>0</v>
      </c>
      <c r="W234">
        <f>ROUND((0/100)*ROUND(Source!R104, 2), 2)</f>
        <v>0</v>
      </c>
      <c r="AD234">
        <v>5</v>
      </c>
    </row>
    <row r="235" spans="1:30" ht="15" hidden="1" x14ac:dyDescent="0.2">
      <c r="A235" s="34"/>
      <c r="B235" s="34"/>
      <c r="C235" s="35" t="s">
        <v>648</v>
      </c>
      <c r="D235" s="34"/>
      <c r="E235" s="34"/>
      <c r="F235" s="34"/>
      <c r="G235" s="34"/>
      <c r="H235" s="46">
        <f>I234+0</f>
        <v>2113.41</v>
      </c>
      <c r="I235" s="46"/>
      <c r="J235" s="46">
        <f>K234+0</f>
        <v>20795.95</v>
      </c>
      <c r="K235" s="46"/>
      <c r="L235"/>
      <c r="O235"/>
      <c r="P235" s="31">
        <f>I234+0</f>
        <v>2113.41</v>
      </c>
      <c r="Q235" s="31">
        <f>K234+0</f>
        <v>20795.95</v>
      </c>
    </row>
    <row r="236" spans="1:30" hidden="1" x14ac:dyDescent="0.2">
      <c r="L236"/>
      <c r="O236"/>
    </row>
    <row r="237" spans="1:30" ht="28.5" hidden="1" x14ac:dyDescent="0.2">
      <c r="A237" s="20">
        <v>22</v>
      </c>
      <c r="B237" s="20" t="str">
        <f>Source!F105</f>
        <v>4.10-80-13</v>
      </c>
      <c r="C237" s="20" t="s">
        <v>171</v>
      </c>
      <c r="D237" s="22" t="str">
        <f>Source!H105</f>
        <v>1  ШТ.</v>
      </c>
      <c r="E237" s="21">
        <f>Source!I105</f>
        <v>31</v>
      </c>
      <c r="F237" s="24"/>
      <c r="G237" s="23"/>
      <c r="H237" s="21"/>
      <c r="I237" s="24"/>
      <c r="J237" s="21"/>
      <c r="K237" s="24"/>
      <c r="L237"/>
      <c r="O237"/>
      <c r="R237">
        <f>Source!X105</f>
        <v>563.66</v>
      </c>
      <c r="S237">
        <f>Source!X106</f>
        <v>31762.31</v>
      </c>
      <c r="T237">
        <f>Source!Y105</f>
        <v>288.08999999999997</v>
      </c>
      <c r="U237">
        <f>Source!Y106</f>
        <v>16234.07</v>
      </c>
      <c r="V237">
        <f>ROUND((175/100)*ROUND(Source!R105, 2), 2)</f>
        <v>0.68</v>
      </c>
      <c r="W237">
        <f>ROUND((0/100)*ROUND(Source!R106, 2), 2)</f>
        <v>0</v>
      </c>
      <c r="AD237">
        <v>0</v>
      </c>
    </row>
    <row r="238" spans="1:30" ht="14.25" hidden="1" x14ac:dyDescent="0.2">
      <c r="A238" s="20"/>
      <c r="B238" s="20"/>
      <c r="C238" s="20" t="s">
        <v>638</v>
      </c>
      <c r="D238" s="22"/>
      <c r="E238" s="21"/>
      <c r="F238" s="24">
        <f>Source!AO105</f>
        <v>16.07</v>
      </c>
      <c r="G238" s="23" t="s">
        <v>157</v>
      </c>
      <c r="H238" s="21">
        <f>Source!AV106</f>
        <v>1.0469999999999999</v>
      </c>
      <c r="I238" s="24">
        <f>Source!S105</f>
        <v>625.9</v>
      </c>
      <c r="J238" s="21">
        <f>IF(Source!BA106&lt;&gt; 0, Source!BA106, 1)</f>
        <v>56.35</v>
      </c>
      <c r="K238" s="24">
        <f>Source!S106</f>
        <v>35269.47</v>
      </c>
      <c r="L238"/>
      <c r="O238"/>
    </row>
    <row r="239" spans="1:30" ht="14.25" hidden="1" x14ac:dyDescent="0.2">
      <c r="A239" s="20"/>
      <c r="B239" s="20"/>
      <c r="C239" s="20" t="s">
        <v>640</v>
      </c>
      <c r="D239" s="22"/>
      <c r="E239" s="21"/>
      <c r="F239" s="24">
        <f>Source!AM105</f>
        <v>0.05</v>
      </c>
      <c r="G239" s="23" t="s">
        <v>157</v>
      </c>
      <c r="H239" s="21">
        <f>Source!AV106</f>
        <v>1.0469999999999999</v>
      </c>
      <c r="I239" s="24">
        <f>Source!Q105</f>
        <v>1.95</v>
      </c>
      <c r="J239" s="21">
        <f>IF(Source!BB106&lt;&gt; 0, Source!BB106, 1)</f>
        <v>20</v>
      </c>
      <c r="K239" s="24">
        <f>Source!Q106</f>
        <v>39</v>
      </c>
      <c r="L239"/>
      <c r="O239"/>
    </row>
    <row r="240" spans="1:30" ht="14.25" hidden="1" x14ac:dyDescent="0.2">
      <c r="A240" s="20"/>
      <c r="B240" s="20"/>
      <c r="C240" s="20" t="s">
        <v>649</v>
      </c>
      <c r="D240" s="22"/>
      <c r="E240" s="21"/>
      <c r="F240" s="24">
        <f>Source!AN105</f>
        <v>0.01</v>
      </c>
      <c r="G240" s="23" t="s">
        <v>157</v>
      </c>
      <c r="H240" s="21">
        <f>Source!AV106</f>
        <v>1.0469999999999999</v>
      </c>
      <c r="I240" s="32">
        <f>Source!R105</f>
        <v>0.39</v>
      </c>
      <c r="J240" s="21">
        <f>IF(Source!BS106&lt;&gt; 0, Source!BS106, 1)</f>
        <v>56.35</v>
      </c>
      <c r="K240" s="32">
        <f>Source!R106</f>
        <v>21.98</v>
      </c>
      <c r="L240"/>
      <c r="O240"/>
    </row>
    <row r="241" spans="1:30" ht="14.25" hidden="1" x14ac:dyDescent="0.2">
      <c r="A241" s="20"/>
      <c r="B241" s="20"/>
      <c r="C241" s="20" t="s">
        <v>652</v>
      </c>
      <c r="D241" s="22"/>
      <c r="E241" s="21"/>
      <c r="F241" s="24">
        <f>Source!AL105</f>
        <v>1.96</v>
      </c>
      <c r="G241" s="23"/>
      <c r="H241" s="21">
        <f>Source!AW106</f>
        <v>1</v>
      </c>
      <c r="I241" s="24">
        <f>Source!P105</f>
        <v>60.76</v>
      </c>
      <c r="J241" s="21">
        <f>IF(Source!BC106&lt;&gt; 0, Source!BC106, 1)</f>
        <v>9.84</v>
      </c>
      <c r="K241" s="24">
        <f>Source!P106</f>
        <v>597.88</v>
      </c>
      <c r="L241"/>
      <c r="O241"/>
    </row>
    <row r="242" spans="1:30" ht="14.25" hidden="1" x14ac:dyDescent="0.2">
      <c r="A242" s="20"/>
      <c r="B242" s="20"/>
      <c r="C242" s="20" t="s">
        <v>641</v>
      </c>
      <c r="D242" s="22" t="s">
        <v>642</v>
      </c>
      <c r="E242" s="21">
        <f>Source!BZ106</f>
        <v>90</v>
      </c>
      <c r="F242" s="24"/>
      <c r="G242" s="23"/>
      <c r="H242" s="21"/>
      <c r="I242" s="24">
        <f>SUM(R237:R241)</f>
        <v>563.66</v>
      </c>
      <c r="J242" s="21">
        <f>Source!AT106</f>
        <v>90</v>
      </c>
      <c r="K242" s="24">
        <f>SUM(S237:S241)</f>
        <v>31762.31</v>
      </c>
      <c r="L242"/>
      <c r="O242"/>
    </row>
    <row r="243" spans="1:30" ht="14.25" hidden="1" x14ac:dyDescent="0.2">
      <c r="A243" s="20"/>
      <c r="B243" s="20"/>
      <c r="C243" s="20" t="s">
        <v>643</v>
      </c>
      <c r="D243" s="22" t="s">
        <v>642</v>
      </c>
      <c r="E243" s="21">
        <f>Source!CA106</f>
        <v>46</v>
      </c>
      <c r="F243" s="24"/>
      <c r="G243" s="23"/>
      <c r="H243" s="21"/>
      <c r="I243" s="24">
        <f>SUM(T237:T242)</f>
        <v>288.08999999999997</v>
      </c>
      <c r="J243" s="21">
        <f>Source!AU106</f>
        <v>46</v>
      </c>
      <c r="K243" s="24">
        <f>SUM(U237:U242)</f>
        <v>16234.07</v>
      </c>
      <c r="L243"/>
      <c r="O243"/>
    </row>
    <row r="244" spans="1:30" ht="14.25" hidden="1" x14ac:dyDescent="0.2">
      <c r="A244" s="25"/>
      <c r="B244" s="25"/>
      <c r="C244" s="25" t="s">
        <v>644</v>
      </c>
      <c r="D244" s="26" t="s">
        <v>645</v>
      </c>
      <c r="E244" s="27">
        <f>Source!AQ105</f>
        <v>1.2</v>
      </c>
      <c r="F244" s="28"/>
      <c r="G244" s="29" t="s">
        <v>157</v>
      </c>
      <c r="H244" s="27">
        <f>Source!AV106</f>
        <v>1.0469999999999999</v>
      </c>
      <c r="I244" s="28">
        <f>Source!U105</f>
        <v>46.738079999999997</v>
      </c>
      <c r="J244" s="27"/>
      <c r="K244" s="28"/>
      <c r="L244"/>
      <c r="O244"/>
    </row>
    <row r="245" spans="1:30" ht="15" hidden="1" x14ac:dyDescent="0.2">
      <c r="C245" s="30" t="s">
        <v>646</v>
      </c>
      <c r="H245" s="47">
        <f>I238+I239+I241+I242+I243+0-0-0</f>
        <v>1540.36</v>
      </c>
      <c r="I245" s="47"/>
      <c r="J245" s="47">
        <f>K238+K239+K241+K242+K243+0-0-0</f>
        <v>83902.73000000001</v>
      </c>
      <c r="K245" s="47"/>
      <c r="L245"/>
      <c r="O245"/>
    </row>
    <row r="246" spans="1:30" ht="15" hidden="1" x14ac:dyDescent="0.2">
      <c r="C246" s="30" t="s">
        <v>647</v>
      </c>
      <c r="H246" s="43">
        <f>0+0</f>
        <v>0</v>
      </c>
      <c r="I246" s="43"/>
      <c r="J246" s="43">
        <f>0+0</f>
        <v>0</v>
      </c>
      <c r="K246" s="43"/>
      <c r="L246"/>
      <c r="O246"/>
    </row>
    <row r="247" spans="1:30" ht="15" hidden="1" x14ac:dyDescent="0.2">
      <c r="C247" s="30" t="s">
        <v>648</v>
      </c>
      <c r="H247" s="43">
        <f>I238+I239+I241+I242+I243+0</f>
        <v>1540.36</v>
      </c>
      <c r="I247" s="43"/>
      <c r="J247" s="43">
        <f>K238+K239+K241+K242+K243+0</f>
        <v>83902.73000000001</v>
      </c>
      <c r="K247" s="43"/>
      <c r="L247"/>
      <c r="O247"/>
      <c r="P247" s="31">
        <f>I238+I239+I241+I242+I243+0</f>
        <v>1540.36</v>
      </c>
      <c r="Q247" s="31">
        <f>K238+K239+K241+K242+K243+0</f>
        <v>83902.73000000001</v>
      </c>
    </row>
    <row r="248" spans="1:30" hidden="1" x14ac:dyDescent="0.2">
      <c r="L248"/>
      <c r="O248"/>
    </row>
    <row r="249" spans="1:30" ht="54" x14ac:dyDescent="0.2">
      <c r="A249" s="76">
        <v>23</v>
      </c>
      <c r="B249" s="76" t="str">
        <f>Source!F107</f>
        <v>КА, п.4</v>
      </c>
      <c r="C249" s="76" t="s">
        <v>653</v>
      </c>
      <c r="D249" s="77" t="str">
        <f>Source!H107</f>
        <v>ШТ</v>
      </c>
      <c r="E249" s="78">
        <f>Source!I107</f>
        <v>31</v>
      </c>
      <c r="F249" s="79">
        <f>Source!AL107</f>
        <v>81.789999999999992</v>
      </c>
      <c r="G249" s="80"/>
      <c r="H249" s="78">
        <f>Source!AW108</f>
        <v>1</v>
      </c>
      <c r="I249" s="79">
        <f>Source!P107</f>
        <v>2535.4899999999998</v>
      </c>
      <c r="J249" s="78">
        <f>IF(Source!BC108&lt;&gt; 0, Source!BC108, 1)</f>
        <v>9.84</v>
      </c>
      <c r="K249" s="79">
        <f>Source!P108</f>
        <v>24949.22</v>
      </c>
      <c r="L249" s="100" t="s">
        <v>677</v>
      </c>
      <c r="O249" s="98" t="s">
        <v>680</v>
      </c>
      <c r="R249">
        <f>Source!X107</f>
        <v>0</v>
      </c>
      <c r="S249">
        <f>Source!X108</f>
        <v>0</v>
      </c>
      <c r="T249">
        <f>Source!Y107</f>
        <v>0</v>
      </c>
      <c r="U249">
        <f>Source!Y108</f>
        <v>0</v>
      </c>
      <c r="V249">
        <f>ROUND((175/100)*ROUND(Source!R107, 2), 2)</f>
        <v>0</v>
      </c>
      <c r="W249">
        <f>ROUND((0/100)*ROUND(Source!R108, 2), 2)</f>
        <v>0</v>
      </c>
      <c r="AD249">
        <v>5</v>
      </c>
    </row>
    <row r="250" spans="1:30" ht="15" hidden="1" x14ac:dyDescent="0.2">
      <c r="A250" s="34"/>
      <c r="B250" s="34"/>
      <c r="C250" s="35" t="s">
        <v>648</v>
      </c>
      <c r="D250" s="34"/>
      <c r="E250" s="34"/>
      <c r="F250" s="34"/>
      <c r="G250" s="34"/>
      <c r="H250" s="46">
        <f>I249+0</f>
        <v>2535.4899999999998</v>
      </c>
      <c r="I250" s="46"/>
      <c r="J250" s="46">
        <f>K249+0</f>
        <v>24949.22</v>
      </c>
      <c r="K250" s="46"/>
      <c r="L250"/>
      <c r="O250"/>
      <c r="P250" s="31">
        <f>I249+0</f>
        <v>2535.4899999999998</v>
      </c>
      <c r="Q250" s="31">
        <f>K249+0</f>
        <v>24949.22</v>
      </c>
    </row>
    <row r="251" spans="1:30" hidden="1" x14ac:dyDescent="0.2">
      <c r="L251"/>
      <c r="O251"/>
    </row>
    <row r="252" spans="1:30" ht="28.5" hidden="1" x14ac:dyDescent="0.2">
      <c r="A252" s="20">
        <v>24</v>
      </c>
      <c r="B252" s="20" t="str">
        <f>Source!F109</f>
        <v>4.10-80-9</v>
      </c>
      <c r="C252" s="20" t="s">
        <v>149</v>
      </c>
      <c r="D252" s="22" t="str">
        <f>Source!H109</f>
        <v>1  ШТ.</v>
      </c>
      <c r="E252" s="21">
        <f>Source!I109</f>
        <v>1</v>
      </c>
      <c r="F252" s="24"/>
      <c r="G252" s="23"/>
      <c r="H252" s="21"/>
      <c r="I252" s="24"/>
      <c r="J252" s="21"/>
      <c r="K252" s="24"/>
      <c r="L252"/>
      <c r="O252"/>
      <c r="R252">
        <f>Source!X109</f>
        <v>87.47</v>
      </c>
      <c r="S252">
        <f>Source!X110</f>
        <v>4928.99</v>
      </c>
      <c r="T252">
        <f>Source!Y109</f>
        <v>44.71</v>
      </c>
      <c r="U252">
        <f>Source!Y110</f>
        <v>2519.2600000000002</v>
      </c>
      <c r="V252">
        <f>ROUND((175/100)*ROUND(Source!R109, 2), 2)</f>
        <v>0.02</v>
      </c>
      <c r="W252">
        <f>ROUND((0/100)*ROUND(Source!R110, 2), 2)</f>
        <v>0</v>
      </c>
      <c r="AD252">
        <v>0</v>
      </c>
    </row>
    <row r="253" spans="1:30" ht="14.25" hidden="1" x14ac:dyDescent="0.2">
      <c r="A253" s="20"/>
      <c r="B253" s="20"/>
      <c r="C253" s="20" t="s">
        <v>638</v>
      </c>
      <c r="D253" s="22"/>
      <c r="E253" s="21"/>
      <c r="F253" s="24">
        <f>Source!AO109</f>
        <v>77.349999999999994</v>
      </c>
      <c r="G253" s="23" t="s">
        <v>157</v>
      </c>
      <c r="H253" s="21">
        <f>Source!AV110</f>
        <v>1.0469999999999999</v>
      </c>
      <c r="I253" s="24">
        <f>Source!S109</f>
        <v>97.18</v>
      </c>
      <c r="J253" s="21">
        <f>IF(Source!BA110&lt;&gt; 0, Source!BA110, 1)</f>
        <v>56.35</v>
      </c>
      <c r="K253" s="24">
        <f>Source!S110</f>
        <v>5476.09</v>
      </c>
      <c r="L253"/>
      <c r="O253"/>
    </row>
    <row r="254" spans="1:30" ht="14.25" hidden="1" x14ac:dyDescent="0.2">
      <c r="A254" s="20"/>
      <c r="B254" s="20"/>
      <c r="C254" s="20" t="s">
        <v>640</v>
      </c>
      <c r="D254" s="22"/>
      <c r="E254" s="21"/>
      <c r="F254" s="24">
        <f>Source!AM109</f>
        <v>0.05</v>
      </c>
      <c r="G254" s="23" t="s">
        <v>157</v>
      </c>
      <c r="H254" s="21">
        <f>Source!AV110</f>
        <v>1.0469999999999999</v>
      </c>
      <c r="I254" s="24">
        <f>Source!Q109</f>
        <v>0.06</v>
      </c>
      <c r="J254" s="21">
        <f>IF(Source!BB110&lt;&gt; 0, Source!BB110, 1)</f>
        <v>20</v>
      </c>
      <c r="K254" s="24">
        <f>Source!Q110</f>
        <v>1.2</v>
      </c>
      <c r="L254"/>
      <c r="O254"/>
    </row>
    <row r="255" spans="1:30" ht="14.25" hidden="1" x14ac:dyDescent="0.2">
      <c r="A255" s="20"/>
      <c r="B255" s="20"/>
      <c r="C255" s="20" t="s">
        <v>649</v>
      </c>
      <c r="D255" s="22"/>
      <c r="E255" s="21"/>
      <c r="F255" s="24">
        <f>Source!AN109</f>
        <v>0.01</v>
      </c>
      <c r="G255" s="23" t="s">
        <v>157</v>
      </c>
      <c r="H255" s="21">
        <f>Source!AV110</f>
        <v>1.0469999999999999</v>
      </c>
      <c r="I255" s="32">
        <f>Source!R109</f>
        <v>0.01</v>
      </c>
      <c r="J255" s="21">
        <f>IF(Source!BS110&lt;&gt; 0, Source!BS110, 1)</f>
        <v>56.35</v>
      </c>
      <c r="K255" s="32">
        <f>Source!R110</f>
        <v>0.56000000000000005</v>
      </c>
      <c r="L255"/>
      <c r="O255"/>
    </row>
    <row r="256" spans="1:30" ht="14.25" hidden="1" x14ac:dyDescent="0.2">
      <c r="A256" s="20"/>
      <c r="B256" s="20"/>
      <c r="C256" s="20" t="s">
        <v>652</v>
      </c>
      <c r="D256" s="22"/>
      <c r="E256" s="21"/>
      <c r="F256" s="24">
        <f>Source!AL109</f>
        <v>4.83</v>
      </c>
      <c r="G256" s="23"/>
      <c r="H256" s="21">
        <f>Source!AW110</f>
        <v>1</v>
      </c>
      <c r="I256" s="24">
        <f>Source!P109</f>
        <v>4.83</v>
      </c>
      <c r="J256" s="21">
        <f>IF(Source!BC110&lt;&gt; 0, Source!BC110, 1)</f>
        <v>9.84</v>
      </c>
      <c r="K256" s="24">
        <f>Source!P110</f>
        <v>47.53</v>
      </c>
      <c r="L256"/>
      <c r="O256"/>
    </row>
    <row r="257" spans="1:30" ht="14.25" hidden="1" x14ac:dyDescent="0.2">
      <c r="A257" s="20"/>
      <c r="B257" s="20"/>
      <c r="C257" s="20" t="s">
        <v>641</v>
      </c>
      <c r="D257" s="22" t="s">
        <v>642</v>
      </c>
      <c r="E257" s="21">
        <f>Source!BZ110</f>
        <v>90</v>
      </c>
      <c r="F257" s="24"/>
      <c r="G257" s="23"/>
      <c r="H257" s="21"/>
      <c r="I257" s="24">
        <f>SUM(R252:R256)</f>
        <v>87.47</v>
      </c>
      <c r="J257" s="21">
        <f>Source!AT110</f>
        <v>90</v>
      </c>
      <c r="K257" s="24">
        <f>SUM(S252:S256)</f>
        <v>4928.99</v>
      </c>
      <c r="L257"/>
      <c r="O257"/>
    </row>
    <row r="258" spans="1:30" ht="14.25" hidden="1" x14ac:dyDescent="0.2">
      <c r="A258" s="20"/>
      <c r="B258" s="20"/>
      <c r="C258" s="20" t="s">
        <v>643</v>
      </c>
      <c r="D258" s="22" t="s">
        <v>642</v>
      </c>
      <c r="E258" s="21">
        <f>Source!CA110</f>
        <v>46</v>
      </c>
      <c r="F258" s="24"/>
      <c r="G258" s="23"/>
      <c r="H258" s="21"/>
      <c r="I258" s="24">
        <f>SUM(T252:T257)</f>
        <v>44.71</v>
      </c>
      <c r="J258" s="21">
        <f>Source!AU110</f>
        <v>46</v>
      </c>
      <c r="K258" s="24">
        <f>SUM(U252:U257)</f>
        <v>2519.2600000000002</v>
      </c>
      <c r="L258"/>
      <c r="O258"/>
    </row>
    <row r="259" spans="1:30" ht="14.25" hidden="1" x14ac:dyDescent="0.2">
      <c r="A259" s="25"/>
      <c r="B259" s="25"/>
      <c r="C259" s="25" t="s">
        <v>644</v>
      </c>
      <c r="D259" s="26" t="s">
        <v>645</v>
      </c>
      <c r="E259" s="27">
        <f>Source!AQ109</f>
        <v>5.7</v>
      </c>
      <c r="F259" s="28"/>
      <c r="G259" s="29" t="s">
        <v>157</v>
      </c>
      <c r="H259" s="27">
        <f>Source!AV110</f>
        <v>1.0469999999999999</v>
      </c>
      <c r="I259" s="28">
        <f>Source!U109</f>
        <v>7.1614799999999992</v>
      </c>
      <c r="J259" s="27"/>
      <c r="K259" s="28"/>
      <c r="L259"/>
      <c r="O259"/>
    </row>
    <row r="260" spans="1:30" ht="15" hidden="1" x14ac:dyDescent="0.2">
      <c r="C260" s="30" t="s">
        <v>646</v>
      </c>
      <c r="H260" s="47">
        <f>I253+I254+I256+I257+I258+0-0-0</f>
        <v>234.25000000000003</v>
      </c>
      <c r="I260" s="47"/>
      <c r="J260" s="47">
        <f>K253+K254+K256+K257+K258+0-0-0</f>
        <v>12973.07</v>
      </c>
      <c r="K260" s="47"/>
      <c r="L260"/>
      <c r="O260"/>
    </row>
    <row r="261" spans="1:30" ht="15" hidden="1" x14ac:dyDescent="0.2">
      <c r="C261" s="30" t="s">
        <v>647</v>
      </c>
      <c r="H261" s="43">
        <f>0+0</f>
        <v>0</v>
      </c>
      <c r="I261" s="43"/>
      <c r="J261" s="43">
        <f>0+0</f>
        <v>0</v>
      </c>
      <c r="K261" s="43"/>
      <c r="L261"/>
      <c r="O261"/>
    </row>
    <row r="262" spans="1:30" ht="15" hidden="1" x14ac:dyDescent="0.2">
      <c r="C262" s="30" t="s">
        <v>648</v>
      </c>
      <c r="H262" s="43">
        <f>I253+I254+I256+I257+I258+0</f>
        <v>234.25000000000003</v>
      </c>
      <c r="I262" s="43"/>
      <c r="J262" s="43">
        <f>K253+K254+K256+K257+K258+0</f>
        <v>12973.07</v>
      </c>
      <c r="K262" s="43"/>
      <c r="L262"/>
      <c r="O262"/>
      <c r="P262" s="31">
        <f>I253+I254+I256+I257+I258+0</f>
        <v>234.25000000000003</v>
      </c>
      <c r="Q262" s="31">
        <f>K253+K254+K256+K257+K258+0</f>
        <v>12973.07</v>
      </c>
    </row>
    <row r="263" spans="1:30" hidden="1" x14ac:dyDescent="0.2">
      <c r="L263"/>
      <c r="O263"/>
    </row>
    <row r="264" spans="1:30" ht="68.25" x14ac:dyDescent="0.2">
      <c r="A264" s="76">
        <v>25</v>
      </c>
      <c r="B264" s="76" t="str">
        <f>Source!F111</f>
        <v>КА, п.5</v>
      </c>
      <c r="C264" s="76" t="s">
        <v>684</v>
      </c>
      <c r="D264" s="77" t="str">
        <f>Source!H111</f>
        <v>ШТ</v>
      </c>
      <c r="E264" s="78">
        <f>Source!I111</f>
        <v>1</v>
      </c>
      <c r="F264" s="79">
        <f>Source!AL111</f>
        <v>1506.4899999999998</v>
      </c>
      <c r="G264" s="80"/>
      <c r="H264" s="78">
        <f>Source!AW112</f>
        <v>1</v>
      </c>
      <c r="I264" s="79">
        <f>Source!P111</f>
        <v>1506.49</v>
      </c>
      <c r="J264" s="78">
        <f>IF(Source!BC112&lt;&gt; 0, Source!BC112, 1)</f>
        <v>9.84</v>
      </c>
      <c r="K264" s="79">
        <f>Source!P112</f>
        <v>14823.86</v>
      </c>
      <c r="L264" s="100" t="s">
        <v>677</v>
      </c>
      <c r="O264" s="98" t="s">
        <v>680</v>
      </c>
      <c r="R264">
        <f>Source!X111</f>
        <v>0</v>
      </c>
      <c r="S264">
        <f>Source!X112</f>
        <v>0</v>
      </c>
      <c r="T264">
        <f>Source!Y111</f>
        <v>0</v>
      </c>
      <c r="U264">
        <f>Source!Y112</f>
        <v>0</v>
      </c>
      <c r="V264">
        <f>ROUND((175/100)*ROUND(Source!R111, 2), 2)</f>
        <v>0</v>
      </c>
      <c r="W264">
        <f>ROUND((0/100)*ROUND(Source!R112, 2), 2)</f>
        <v>0</v>
      </c>
      <c r="AD264">
        <v>5</v>
      </c>
    </row>
    <row r="265" spans="1:30" ht="15" hidden="1" x14ac:dyDescent="0.2">
      <c r="A265" s="34"/>
      <c r="B265" s="34"/>
      <c r="C265" s="35" t="s">
        <v>648</v>
      </c>
      <c r="D265" s="34"/>
      <c r="E265" s="34"/>
      <c r="F265" s="34"/>
      <c r="G265" s="34"/>
      <c r="H265" s="46">
        <f>I264+0</f>
        <v>1506.49</v>
      </c>
      <c r="I265" s="46"/>
      <c r="J265" s="46">
        <f>K264+0</f>
        <v>14823.86</v>
      </c>
      <c r="K265" s="46"/>
      <c r="L265"/>
      <c r="O265"/>
      <c r="P265" s="31">
        <f>I264+0</f>
        <v>1506.49</v>
      </c>
      <c r="Q265" s="31">
        <f>K264+0</f>
        <v>14823.86</v>
      </c>
    </row>
    <row r="266" spans="1:30" hidden="1" x14ac:dyDescent="0.2">
      <c r="L266"/>
      <c r="O266"/>
    </row>
    <row r="267" spans="1:30" ht="42.75" hidden="1" x14ac:dyDescent="0.2">
      <c r="A267" s="20">
        <v>26</v>
      </c>
      <c r="B267" s="20" t="str">
        <f>Source!F113</f>
        <v>4.10-80-5</v>
      </c>
      <c r="C267" s="20" t="s">
        <v>182</v>
      </c>
      <c r="D267" s="22" t="str">
        <f>Source!H113</f>
        <v>1  ШТ.</v>
      </c>
      <c r="E267" s="21">
        <f>Source!I113</f>
        <v>1</v>
      </c>
      <c r="F267" s="24"/>
      <c r="G267" s="23"/>
      <c r="H267" s="21"/>
      <c r="I267" s="24"/>
      <c r="J267" s="21"/>
      <c r="K267" s="24"/>
      <c r="L267"/>
      <c r="O267"/>
      <c r="R267">
        <f>Source!X113</f>
        <v>26.06</v>
      </c>
      <c r="S267">
        <f>Source!X114</f>
        <v>1468.7</v>
      </c>
      <c r="T267">
        <f>Source!Y113</f>
        <v>13.32</v>
      </c>
      <c r="U267">
        <f>Source!Y114</f>
        <v>750.67</v>
      </c>
      <c r="V267">
        <f>ROUND((175/100)*ROUND(Source!R113, 2), 2)</f>
        <v>0.02</v>
      </c>
      <c r="W267">
        <f>ROUND((0/100)*ROUND(Source!R114, 2), 2)</f>
        <v>0</v>
      </c>
      <c r="AD267">
        <v>0</v>
      </c>
    </row>
    <row r="268" spans="1:30" ht="14.25" hidden="1" x14ac:dyDescent="0.2">
      <c r="A268" s="20"/>
      <c r="B268" s="20"/>
      <c r="C268" s="20" t="s">
        <v>638</v>
      </c>
      <c r="D268" s="22"/>
      <c r="E268" s="21"/>
      <c r="F268" s="24">
        <f>Source!AO113</f>
        <v>23.04</v>
      </c>
      <c r="G268" s="23" t="s">
        <v>157</v>
      </c>
      <c r="H268" s="21">
        <f>Source!AV114</f>
        <v>1.0469999999999999</v>
      </c>
      <c r="I268" s="24">
        <f>Source!S113</f>
        <v>28.95</v>
      </c>
      <c r="J268" s="21">
        <f>IF(Source!BA114&lt;&gt; 0, Source!BA114, 1)</f>
        <v>56.35</v>
      </c>
      <c r="K268" s="24">
        <f>Source!S114</f>
        <v>1631.33</v>
      </c>
      <c r="L268"/>
      <c r="O268"/>
    </row>
    <row r="269" spans="1:30" ht="14.25" hidden="1" x14ac:dyDescent="0.2">
      <c r="A269" s="20"/>
      <c r="B269" s="20"/>
      <c r="C269" s="20" t="s">
        <v>640</v>
      </c>
      <c r="D269" s="22"/>
      <c r="E269" s="21"/>
      <c r="F269" s="24">
        <f>Source!AM113</f>
        <v>0.05</v>
      </c>
      <c r="G269" s="23" t="s">
        <v>157</v>
      </c>
      <c r="H269" s="21">
        <f>Source!AV114</f>
        <v>1.0469999999999999</v>
      </c>
      <c r="I269" s="24">
        <f>Source!Q113</f>
        <v>0.06</v>
      </c>
      <c r="J269" s="21">
        <f>IF(Source!BB114&lt;&gt; 0, Source!BB114, 1)</f>
        <v>20</v>
      </c>
      <c r="K269" s="24">
        <f>Source!Q114</f>
        <v>1.2</v>
      </c>
      <c r="L269"/>
      <c r="O269"/>
    </row>
    <row r="270" spans="1:30" ht="14.25" hidden="1" x14ac:dyDescent="0.2">
      <c r="A270" s="20"/>
      <c r="B270" s="20"/>
      <c r="C270" s="20" t="s">
        <v>649</v>
      </c>
      <c r="D270" s="22"/>
      <c r="E270" s="21"/>
      <c r="F270" s="24">
        <f>Source!AN113</f>
        <v>0.01</v>
      </c>
      <c r="G270" s="23" t="s">
        <v>157</v>
      </c>
      <c r="H270" s="21">
        <f>Source!AV114</f>
        <v>1.0469999999999999</v>
      </c>
      <c r="I270" s="32">
        <f>Source!R113</f>
        <v>0.01</v>
      </c>
      <c r="J270" s="21">
        <f>IF(Source!BS114&lt;&gt; 0, Source!BS114, 1)</f>
        <v>56.35</v>
      </c>
      <c r="K270" s="32">
        <f>Source!R114</f>
        <v>0.56000000000000005</v>
      </c>
      <c r="L270"/>
      <c r="O270"/>
    </row>
    <row r="271" spans="1:30" ht="14.25" hidden="1" x14ac:dyDescent="0.2">
      <c r="A271" s="20"/>
      <c r="B271" s="20"/>
      <c r="C271" s="20" t="s">
        <v>652</v>
      </c>
      <c r="D271" s="22"/>
      <c r="E271" s="21"/>
      <c r="F271" s="24">
        <f>Source!AL113</f>
        <v>3.43</v>
      </c>
      <c r="G271" s="23"/>
      <c r="H271" s="21">
        <f>Source!AW114</f>
        <v>1</v>
      </c>
      <c r="I271" s="24">
        <f>Source!P113</f>
        <v>3.43</v>
      </c>
      <c r="J271" s="21">
        <f>IF(Source!BC114&lt;&gt; 0, Source!BC114, 1)</f>
        <v>9.84</v>
      </c>
      <c r="K271" s="24">
        <f>Source!P114</f>
        <v>33.75</v>
      </c>
      <c r="L271"/>
      <c r="O271"/>
    </row>
    <row r="272" spans="1:30" ht="14.25" hidden="1" x14ac:dyDescent="0.2">
      <c r="A272" s="20"/>
      <c r="B272" s="20"/>
      <c r="C272" s="20" t="s">
        <v>641</v>
      </c>
      <c r="D272" s="22" t="s">
        <v>642</v>
      </c>
      <c r="E272" s="21">
        <f>Source!BZ114</f>
        <v>90</v>
      </c>
      <c r="F272" s="24"/>
      <c r="G272" s="23"/>
      <c r="H272" s="21"/>
      <c r="I272" s="24">
        <f>SUM(R267:R271)</f>
        <v>26.06</v>
      </c>
      <c r="J272" s="21">
        <f>Source!AT114</f>
        <v>90</v>
      </c>
      <c r="K272" s="24">
        <f>SUM(S267:S271)</f>
        <v>1468.7</v>
      </c>
      <c r="L272"/>
      <c r="O272"/>
    </row>
    <row r="273" spans="1:30" ht="14.25" hidden="1" x14ac:dyDescent="0.2">
      <c r="A273" s="20"/>
      <c r="B273" s="20"/>
      <c r="C273" s="20" t="s">
        <v>643</v>
      </c>
      <c r="D273" s="22" t="s">
        <v>642</v>
      </c>
      <c r="E273" s="21">
        <f>Source!CA114</f>
        <v>46</v>
      </c>
      <c r="F273" s="24"/>
      <c r="G273" s="23"/>
      <c r="H273" s="21"/>
      <c r="I273" s="24">
        <f>SUM(T267:T272)</f>
        <v>13.32</v>
      </c>
      <c r="J273" s="21">
        <f>Source!AU114</f>
        <v>46</v>
      </c>
      <c r="K273" s="24">
        <f>SUM(U267:U272)</f>
        <v>750.67</v>
      </c>
      <c r="L273"/>
      <c r="O273"/>
    </row>
    <row r="274" spans="1:30" ht="14.25" hidden="1" x14ac:dyDescent="0.2">
      <c r="A274" s="25"/>
      <c r="B274" s="25"/>
      <c r="C274" s="25" t="s">
        <v>644</v>
      </c>
      <c r="D274" s="26" t="s">
        <v>645</v>
      </c>
      <c r="E274" s="27">
        <f>Source!AQ113</f>
        <v>1.8</v>
      </c>
      <c r="F274" s="28"/>
      <c r="G274" s="29" t="s">
        <v>157</v>
      </c>
      <c r="H274" s="27">
        <f>Source!AV114</f>
        <v>1.0469999999999999</v>
      </c>
      <c r="I274" s="28">
        <f>Source!U113</f>
        <v>2.26152</v>
      </c>
      <c r="J274" s="27"/>
      <c r="K274" s="28"/>
      <c r="L274"/>
      <c r="O274"/>
    </row>
    <row r="275" spans="1:30" ht="15" hidden="1" x14ac:dyDescent="0.2">
      <c r="C275" s="30" t="s">
        <v>646</v>
      </c>
      <c r="H275" s="47">
        <f>I268+I269+I271+I272+I273+0-0-0</f>
        <v>71.819999999999993</v>
      </c>
      <c r="I275" s="47"/>
      <c r="J275" s="47">
        <f>K268+K269+K271+K272+K273+0-0-0</f>
        <v>3885.65</v>
      </c>
      <c r="K275" s="47"/>
      <c r="L275"/>
      <c r="O275"/>
    </row>
    <row r="276" spans="1:30" ht="15" hidden="1" x14ac:dyDescent="0.2">
      <c r="C276" s="30" t="s">
        <v>647</v>
      </c>
      <c r="H276" s="43">
        <f>0+0</f>
        <v>0</v>
      </c>
      <c r="I276" s="43"/>
      <c r="J276" s="43">
        <f>0+0</f>
        <v>0</v>
      </c>
      <c r="K276" s="43"/>
      <c r="L276"/>
      <c r="O276"/>
    </row>
    <row r="277" spans="1:30" ht="15" hidden="1" x14ac:dyDescent="0.2">
      <c r="C277" s="30" t="s">
        <v>648</v>
      </c>
      <c r="H277" s="43">
        <f>I268+I269+I271+I272+I273+0</f>
        <v>71.819999999999993</v>
      </c>
      <c r="I277" s="43"/>
      <c r="J277" s="43">
        <f>K268+K269+K271+K272+K273+0</f>
        <v>3885.65</v>
      </c>
      <c r="K277" s="43"/>
      <c r="L277"/>
      <c r="O277"/>
      <c r="P277" s="31">
        <f>I268+I269+I271+I272+I273+0</f>
        <v>71.819999999999993</v>
      </c>
      <c r="Q277" s="31">
        <f>K268+K269+K271+K272+K273+0</f>
        <v>3885.65</v>
      </c>
    </row>
    <row r="278" spans="1:30" hidden="1" x14ac:dyDescent="0.2">
      <c r="L278"/>
      <c r="O278"/>
    </row>
    <row r="279" spans="1:30" ht="68.25" x14ac:dyDescent="0.2">
      <c r="A279" s="76">
        <v>27</v>
      </c>
      <c r="B279" s="76" t="str">
        <f>Source!F115</f>
        <v>КА, п.6</v>
      </c>
      <c r="C279" s="76" t="s">
        <v>685</v>
      </c>
      <c r="D279" s="77" t="str">
        <f>Source!H115</f>
        <v>ШТ</v>
      </c>
      <c r="E279" s="78">
        <f>Source!I115</f>
        <v>1</v>
      </c>
      <c r="F279" s="79">
        <f>Source!AL115</f>
        <v>304.60000000000002</v>
      </c>
      <c r="G279" s="80"/>
      <c r="H279" s="78">
        <f>Source!AW116</f>
        <v>1</v>
      </c>
      <c r="I279" s="79">
        <f>Source!P115</f>
        <v>304.60000000000002</v>
      </c>
      <c r="J279" s="78">
        <f>IF(Source!BC116&lt;&gt; 0, Source!BC116, 1)</f>
        <v>9.84</v>
      </c>
      <c r="K279" s="79">
        <f>Source!P116</f>
        <v>2997.26</v>
      </c>
      <c r="L279" s="100" t="s">
        <v>677</v>
      </c>
      <c r="O279" s="98" t="s">
        <v>680</v>
      </c>
      <c r="R279">
        <f>Source!X115</f>
        <v>0</v>
      </c>
      <c r="S279">
        <f>Source!X116</f>
        <v>0</v>
      </c>
      <c r="T279">
        <f>Source!Y115</f>
        <v>0</v>
      </c>
      <c r="U279">
        <f>Source!Y116</f>
        <v>0</v>
      </c>
      <c r="V279">
        <f>ROUND((175/100)*ROUND(Source!R115, 2), 2)</f>
        <v>0</v>
      </c>
      <c r="W279">
        <f>ROUND((0/100)*ROUND(Source!R116, 2), 2)</f>
        <v>0</v>
      </c>
      <c r="AD279">
        <v>5</v>
      </c>
    </row>
    <row r="280" spans="1:30" ht="15" hidden="1" x14ac:dyDescent="0.2">
      <c r="A280" s="34"/>
      <c r="B280" s="34"/>
      <c r="C280" s="35" t="s">
        <v>648</v>
      </c>
      <c r="D280" s="34"/>
      <c r="E280" s="34"/>
      <c r="F280" s="34"/>
      <c r="G280" s="34"/>
      <c r="H280" s="46">
        <f>I279+0</f>
        <v>304.60000000000002</v>
      </c>
      <c r="I280" s="46"/>
      <c r="J280" s="46">
        <f>K279+0</f>
        <v>2997.26</v>
      </c>
      <c r="K280" s="46"/>
      <c r="L280"/>
      <c r="O280"/>
      <c r="P280" s="31">
        <f>I279+0</f>
        <v>304.60000000000002</v>
      </c>
      <c r="Q280" s="31">
        <f>K279+0</f>
        <v>2997.26</v>
      </c>
    </row>
    <row r="281" spans="1:30" hidden="1" x14ac:dyDescent="0.2">
      <c r="L281"/>
      <c r="O281"/>
    </row>
    <row r="282" spans="1:30" hidden="1" x14ac:dyDescent="0.2">
      <c r="L282"/>
      <c r="O282"/>
    </row>
    <row r="283" spans="1:30" ht="15" hidden="1" x14ac:dyDescent="0.25">
      <c r="A283" s="45" t="str">
        <f>CONCATENATE("Итого по разделу: ",IF(Source!G118&lt;&gt;"Новый раздел", Source!G118, ""))</f>
        <v>Итого по разделу: Приборы управления</v>
      </c>
      <c r="B283" s="45"/>
      <c r="C283" s="45"/>
      <c r="D283" s="45"/>
      <c r="E283" s="45"/>
      <c r="F283" s="45"/>
      <c r="G283" s="45"/>
      <c r="H283" s="43">
        <f>SUM(P193:P282)</f>
        <v>13163.23</v>
      </c>
      <c r="I283" s="44"/>
      <c r="J283" s="43">
        <f>SUM(Q193:Q282)</f>
        <v>231896.00000000003</v>
      </c>
      <c r="K283" s="44"/>
      <c r="L283"/>
      <c r="O283"/>
    </row>
    <row r="284" spans="1:30" hidden="1" x14ac:dyDescent="0.2">
      <c r="A284" t="s">
        <v>650</v>
      </c>
      <c r="I284">
        <f>SUM(X193:X283)</f>
        <v>0</v>
      </c>
      <c r="J284">
        <f>SUM(Y193:Y283)</f>
        <v>0</v>
      </c>
      <c r="L284"/>
      <c r="O284"/>
    </row>
    <row r="285" spans="1:30" hidden="1" x14ac:dyDescent="0.2">
      <c r="A285" t="s">
        <v>651</v>
      </c>
      <c r="I285">
        <f>SUM(Z193:Z284)</f>
        <v>0</v>
      </c>
      <c r="J285">
        <f>SUM(AA193:AA284)</f>
        <v>0</v>
      </c>
      <c r="L285"/>
      <c r="O285"/>
    </row>
    <row r="286" spans="1:30" hidden="1" x14ac:dyDescent="0.2">
      <c r="L286"/>
      <c r="O286"/>
    </row>
    <row r="287" spans="1:30" ht="16.5" hidden="1" x14ac:dyDescent="0.2">
      <c r="A287" s="48" t="str">
        <f>CONCATENATE("Раздел: ",IF(Source!G148&lt;&gt;"Новый раздел", Source!G148, ""))</f>
        <v>Раздел: Извещатели</v>
      </c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/>
      <c r="O287"/>
    </row>
    <row r="288" spans="1:30" ht="42.75" hidden="1" x14ac:dyDescent="0.2">
      <c r="A288" s="20">
        <v>28</v>
      </c>
      <c r="B288" s="20" t="str">
        <f>Source!F152</f>
        <v>4.10-81-4</v>
      </c>
      <c r="C288" s="20" t="s">
        <v>50</v>
      </c>
      <c r="D288" s="22" t="str">
        <f>Source!H152</f>
        <v>1  ШТ.</v>
      </c>
      <c r="E288" s="21">
        <f>Source!I152</f>
        <v>155</v>
      </c>
      <c r="F288" s="24"/>
      <c r="G288" s="23"/>
      <c r="H288" s="21"/>
      <c r="I288" s="24"/>
      <c r="J288" s="21"/>
      <c r="K288" s="24"/>
      <c r="L288"/>
      <c r="O288"/>
      <c r="R288">
        <f>Source!X152</f>
        <v>1857.84</v>
      </c>
      <c r="S288">
        <f>Source!X153</f>
        <v>104689.45</v>
      </c>
      <c r="T288">
        <f>Source!Y152</f>
        <v>949.56</v>
      </c>
      <c r="U288">
        <f>Source!Y153</f>
        <v>53507.94</v>
      </c>
      <c r="V288">
        <f>ROUND((175/100)*ROUND(Source!R152, 2), 2)</f>
        <v>0</v>
      </c>
      <c r="W288">
        <f>ROUND((0/100)*ROUND(Source!R153, 2), 2)</f>
        <v>0</v>
      </c>
      <c r="AD288">
        <v>0</v>
      </c>
    </row>
    <row r="289" spans="1:30" hidden="1" x14ac:dyDescent="0.2">
      <c r="C289" s="33" t="str">
        <f>"Объем: "&amp;Source!I152&amp;"=57+"&amp;"98"</f>
        <v>Объем: 155=57+98</v>
      </c>
      <c r="L289"/>
      <c r="O289"/>
    </row>
    <row r="290" spans="1:30" ht="14.25" hidden="1" x14ac:dyDescent="0.2">
      <c r="A290" s="20"/>
      <c r="B290" s="20"/>
      <c r="C290" s="20" t="s">
        <v>638</v>
      </c>
      <c r="D290" s="22"/>
      <c r="E290" s="21"/>
      <c r="F290" s="24">
        <f>Source!AO152</f>
        <v>10.6</v>
      </c>
      <c r="G290" s="23" t="s">
        <v>157</v>
      </c>
      <c r="H290" s="21">
        <f>Source!AV153</f>
        <v>1.0469999999999999</v>
      </c>
      <c r="I290" s="24">
        <f>Source!S152</f>
        <v>2064.27</v>
      </c>
      <c r="J290" s="21">
        <f>IF(Source!BA153&lt;&gt; 0, Source!BA153, 1)</f>
        <v>56.35</v>
      </c>
      <c r="K290" s="24">
        <f>Source!S153</f>
        <v>116321.61</v>
      </c>
      <c r="L290"/>
      <c r="O290"/>
    </row>
    <row r="291" spans="1:30" ht="14.25" hidden="1" x14ac:dyDescent="0.2">
      <c r="A291" s="20"/>
      <c r="B291" s="20"/>
      <c r="C291" s="20" t="s">
        <v>652</v>
      </c>
      <c r="D291" s="22"/>
      <c r="E291" s="21"/>
      <c r="F291" s="24">
        <f>Source!AL152</f>
        <v>1.05</v>
      </c>
      <c r="G291" s="23"/>
      <c r="H291" s="21">
        <f>Source!AW153</f>
        <v>1</v>
      </c>
      <c r="I291" s="24">
        <f>Source!P152</f>
        <v>162.75</v>
      </c>
      <c r="J291" s="21">
        <f>IF(Source!BC153&lt;&gt; 0, Source!BC153, 1)</f>
        <v>9.84</v>
      </c>
      <c r="K291" s="24">
        <f>Source!P153</f>
        <v>1601.46</v>
      </c>
      <c r="L291"/>
      <c r="O291"/>
    </row>
    <row r="292" spans="1:30" ht="14.25" hidden="1" x14ac:dyDescent="0.2">
      <c r="A292" s="20"/>
      <c r="B292" s="20"/>
      <c r="C292" s="20" t="s">
        <v>641</v>
      </c>
      <c r="D292" s="22" t="s">
        <v>642</v>
      </c>
      <c r="E292" s="21">
        <f>Source!BZ153</f>
        <v>90</v>
      </c>
      <c r="F292" s="24"/>
      <c r="G292" s="23"/>
      <c r="H292" s="21"/>
      <c r="I292" s="24">
        <f>SUM(R288:R291)</f>
        <v>1857.84</v>
      </c>
      <c r="J292" s="21">
        <f>Source!AT153</f>
        <v>90</v>
      </c>
      <c r="K292" s="24">
        <f>SUM(S288:S291)</f>
        <v>104689.45</v>
      </c>
      <c r="L292"/>
      <c r="O292"/>
    </row>
    <row r="293" spans="1:30" ht="14.25" hidden="1" x14ac:dyDescent="0.2">
      <c r="A293" s="20"/>
      <c r="B293" s="20"/>
      <c r="C293" s="20" t="s">
        <v>643</v>
      </c>
      <c r="D293" s="22" t="s">
        <v>642</v>
      </c>
      <c r="E293" s="21">
        <f>Source!CA153</f>
        <v>46</v>
      </c>
      <c r="F293" s="24"/>
      <c r="G293" s="23"/>
      <c r="H293" s="21"/>
      <c r="I293" s="24">
        <f>SUM(T288:T292)</f>
        <v>949.56</v>
      </c>
      <c r="J293" s="21">
        <f>Source!AU153</f>
        <v>46</v>
      </c>
      <c r="K293" s="24">
        <f>SUM(U288:U292)</f>
        <v>53507.94</v>
      </c>
      <c r="L293"/>
      <c r="O293"/>
    </row>
    <row r="294" spans="1:30" ht="14.25" hidden="1" x14ac:dyDescent="0.2">
      <c r="A294" s="25"/>
      <c r="B294" s="25"/>
      <c r="C294" s="25" t="s">
        <v>644</v>
      </c>
      <c r="D294" s="26" t="s">
        <v>645</v>
      </c>
      <c r="E294" s="27">
        <f>Source!AQ152</f>
        <v>0.84</v>
      </c>
      <c r="F294" s="28"/>
      <c r="G294" s="29" t="s">
        <v>157</v>
      </c>
      <c r="H294" s="27">
        <f>Source!AV153</f>
        <v>1.0469999999999999</v>
      </c>
      <c r="I294" s="28">
        <f>Source!U152</f>
        <v>163.58327999999997</v>
      </c>
      <c r="J294" s="27"/>
      <c r="K294" s="28"/>
      <c r="L294"/>
      <c r="O294"/>
    </row>
    <row r="295" spans="1:30" ht="15" hidden="1" x14ac:dyDescent="0.2">
      <c r="C295" s="30" t="s">
        <v>646</v>
      </c>
      <c r="H295" s="47">
        <f>I290+I291+I292+I293+0-0-0</f>
        <v>5034.42</v>
      </c>
      <c r="I295" s="47"/>
      <c r="J295" s="47">
        <f>K290+K291+K292+K293+0-0-0</f>
        <v>276120.46000000002</v>
      </c>
      <c r="K295" s="47"/>
      <c r="L295"/>
      <c r="O295"/>
    </row>
    <row r="296" spans="1:30" ht="15" hidden="1" x14ac:dyDescent="0.2">
      <c r="C296" s="30" t="s">
        <v>647</v>
      </c>
      <c r="H296" s="43">
        <f>0+0</f>
        <v>0</v>
      </c>
      <c r="I296" s="43"/>
      <c r="J296" s="43">
        <f>0+0</f>
        <v>0</v>
      </c>
      <c r="K296" s="43"/>
      <c r="L296"/>
      <c r="O296"/>
    </row>
    <row r="297" spans="1:30" ht="15" hidden="1" x14ac:dyDescent="0.2">
      <c r="C297" s="30" t="s">
        <v>648</v>
      </c>
      <c r="H297" s="43">
        <f>I290+I291+I292+I293+0</f>
        <v>5034.42</v>
      </c>
      <c r="I297" s="43"/>
      <c r="J297" s="43">
        <f>K290+K291+K292+K293+0</f>
        <v>276120.46000000002</v>
      </c>
      <c r="K297" s="43"/>
      <c r="L297"/>
      <c r="O297"/>
      <c r="P297" s="31">
        <f>I290+I291+I292+I293+0</f>
        <v>5034.42</v>
      </c>
      <c r="Q297" s="31">
        <f>K290+K291+K292+K293+0</f>
        <v>276120.46000000002</v>
      </c>
    </row>
    <row r="298" spans="1:30" hidden="1" x14ac:dyDescent="0.2">
      <c r="L298"/>
      <c r="O298"/>
    </row>
    <row r="299" spans="1:30" ht="185.25" x14ac:dyDescent="0.2">
      <c r="A299" s="76">
        <v>29</v>
      </c>
      <c r="B299" s="76" t="str">
        <f>Source!F154</f>
        <v>13.1-2-141</v>
      </c>
      <c r="C299" s="76" t="s">
        <v>654</v>
      </c>
      <c r="D299" s="77" t="str">
        <f>Source!H154</f>
        <v>шт.</v>
      </c>
      <c r="E299" s="78">
        <f>Source!I154</f>
        <v>57</v>
      </c>
      <c r="F299" s="79">
        <f>Source!AL154</f>
        <v>34.94</v>
      </c>
      <c r="G299" s="80"/>
      <c r="H299" s="78">
        <f>Source!AW155</f>
        <v>1</v>
      </c>
      <c r="I299" s="79">
        <f>Source!P154</f>
        <v>1991.58</v>
      </c>
      <c r="J299" s="78">
        <f>IF(Source!BC155&lt;&gt; 0, Source!BC155, 1)</f>
        <v>4.24</v>
      </c>
      <c r="K299" s="79">
        <f>Source!P155</f>
        <v>8444.2999999999993</v>
      </c>
      <c r="L299" s="97" t="s">
        <v>677</v>
      </c>
      <c r="O299"/>
      <c r="R299">
        <f>Source!X154</f>
        <v>0</v>
      </c>
      <c r="S299">
        <f>Source!X155</f>
        <v>0</v>
      </c>
      <c r="T299">
        <f>Source!Y154</f>
        <v>0</v>
      </c>
      <c r="U299">
        <f>Source!Y155</f>
        <v>0</v>
      </c>
      <c r="V299">
        <f>ROUND((175/100)*ROUND(Source!R154, 2), 2)</f>
        <v>0</v>
      </c>
      <c r="W299">
        <f>ROUND((0/100)*ROUND(Source!R155, 2), 2)</f>
        <v>0</v>
      </c>
      <c r="AD299">
        <v>5</v>
      </c>
    </row>
    <row r="300" spans="1:30" ht="15" hidden="1" x14ac:dyDescent="0.2">
      <c r="A300" s="34"/>
      <c r="B300" s="34"/>
      <c r="C300" s="35" t="s">
        <v>648</v>
      </c>
      <c r="D300" s="34"/>
      <c r="E300" s="34"/>
      <c r="F300" s="34"/>
      <c r="G300" s="34"/>
      <c r="H300" s="46">
        <f>I299+0</f>
        <v>1991.58</v>
      </c>
      <c r="I300" s="46"/>
      <c r="J300" s="46">
        <f>K299+0</f>
        <v>8444.2999999999993</v>
      </c>
      <c r="K300" s="46"/>
      <c r="L300"/>
      <c r="O300"/>
      <c r="P300" s="31">
        <f>I299+0</f>
        <v>1991.58</v>
      </c>
      <c r="Q300" s="31">
        <f>K299+0</f>
        <v>8444.2999999999993</v>
      </c>
    </row>
    <row r="301" spans="1:30" hidden="1" x14ac:dyDescent="0.2">
      <c r="L301"/>
      <c r="O301"/>
    </row>
    <row r="302" spans="1:30" ht="82.5" x14ac:dyDescent="0.2">
      <c r="A302" s="76">
        <v>30</v>
      </c>
      <c r="B302" s="76" t="str">
        <f>Source!F156</f>
        <v>КА, п.7</v>
      </c>
      <c r="C302" s="76" t="s">
        <v>655</v>
      </c>
      <c r="D302" s="77" t="str">
        <f>Source!H156</f>
        <v>ШТ</v>
      </c>
      <c r="E302" s="78">
        <f>Source!I156</f>
        <v>98</v>
      </c>
      <c r="F302" s="79">
        <f>Source!AL156</f>
        <v>54.62</v>
      </c>
      <c r="G302" s="80"/>
      <c r="H302" s="78">
        <f>Source!AW157</f>
        <v>1</v>
      </c>
      <c r="I302" s="79">
        <f>Source!P156</f>
        <v>5352.76</v>
      </c>
      <c r="J302" s="78">
        <f>IF(Source!BC157&lt;&gt; 0, Source!BC157, 1)</f>
        <v>9.84</v>
      </c>
      <c r="K302" s="79">
        <f>Source!P157</f>
        <v>52671.16</v>
      </c>
      <c r="L302" s="100" t="s">
        <v>677</v>
      </c>
      <c r="O302" s="98" t="s">
        <v>680</v>
      </c>
      <c r="R302">
        <f>Source!X156</f>
        <v>0</v>
      </c>
      <c r="S302">
        <f>Source!X157</f>
        <v>0</v>
      </c>
      <c r="T302">
        <f>Source!Y156</f>
        <v>0</v>
      </c>
      <c r="U302">
        <f>Source!Y157</f>
        <v>0</v>
      </c>
      <c r="V302">
        <f>ROUND((175/100)*ROUND(Source!R156, 2), 2)</f>
        <v>0</v>
      </c>
      <c r="W302">
        <f>ROUND((0/100)*ROUND(Source!R157, 2), 2)</f>
        <v>0</v>
      </c>
      <c r="AD302">
        <v>5</v>
      </c>
    </row>
    <row r="303" spans="1:30" ht="15" hidden="1" x14ac:dyDescent="0.2">
      <c r="A303" s="34"/>
      <c r="B303" s="34"/>
      <c r="C303" s="35" t="s">
        <v>648</v>
      </c>
      <c r="D303" s="34"/>
      <c r="E303" s="34"/>
      <c r="F303" s="34"/>
      <c r="G303" s="34"/>
      <c r="H303" s="46">
        <f>I302+0</f>
        <v>5352.76</v>
      </c>
      <c r="I303" s="46"/>
      <c r="J303" s="46">
        <f>K302+0</f>
        <v>52671.16</v>
      </c>
      <c r="K303" s="46"/>
      <c r="L303"/>
      <c r="O303"/>
      <c r="P303" s="31">
        <f>I302+0</f>
        <v>5352.76</v>
      </c>
      <c r="Q303" s="31">
        <f>K302+0</f>
        <v>52671.16</v>
      </c>
    </row>
    <row r="304" spans="1:30" hidden="1" x14ac:dyDescent="0.2">
      <c r="L304"/>
      <c r="O304"/>
    </row>
    <row r="305" spans="1:30" ht="71.25" hidden="1" x14ac:dyDescent="0.2">
      <c r="A305" s="20">
        <v>31</v>
      </c>
      <c r="B305" s="20" t="str">
        <f>Source!F158</f>
        <v>4.10-81-5</v>
      </c>
      <c r="C305" s="20" t="s">
        <v>201</v>
      </c>
      <c r="D305" s="22" t="str">
        <f>Source!H158</f>
        <v>1  ШТ.</v>
      </c>
      <c r="E305" s="21">
        <f>Source!I158</f>
        <v>116</v>
      </c>
      <c r="F305" s="24"/>
      <c r="G305" s="23"/>
      <c r="H305" s="21"/>
      <c r="I305" s="24"/>
      <c r="J305" s="21"/>
      <c r="K305" s="24"/>
      <c r="L305"/>
      <c r="O305"/>
      <c r="R305">
        <f>Source!X158</f>
        <v>1390.38</v>
      </c>
      <c r="S305">
        <f>Source!X159</f>
        <v>78348.08</v>
      </c>
      <c r="T305">
        <f>Source!Y158</f>
        <v>710.64</v>
      </c>
      <c r="U305">
        <f>Source!Y159</f>
        <v>40044.57</v>
      </c>
      <c r="V305">
        <f>ROUND((175/100)*ROUND(Source!R158, 2), 2)</f>
        <v>0</v>
      </c>
      <c r="W305">
        <f>ROUND((0/100)*ROUND(Source!R159, 2), 2)</f>
        <v>0</v>
      </c>
      <c r="AD305">
        <v>0</v>
      </c>
    </row>
    <row r="306" spans="1:30" hidden="1" x14ac:dyDescent="0.2">
      <c r="C306" s="33" t="str">
        <f>"Объем: "&amp;Source!I158&amp;"=79+"&amp;"15+"&amp;"22"</f>
        <v>Объем: 116=79+15+22</v>
      </c>
      <c r="L306"/>
      <c r="O306"/>
    </row>
    <row r="307" spans="1:30" ht="14.25" hidden="1" x14ac:dyDescent="0.2">
      <c r="A307" s="20"/>
      <c r="B307" s="20"/>
      <c r="C307" s="20" t="s">
        <v>638</v>
      </c>
      <c r="D307" s="22"/>
      <c r="E307" s="21"/>
      <c r="F307" s="24">
        <f>Source!AO158</f>
        <v>10.6</v>
      </c>
      <c r="G307" s="23" t="s">
        <v>157</v>
      </c>
      <c r="H307" s="21">
        <f>Source!AV159</f>
        <v>1.0469999999999999</v>
      </c>
      <c r="I307" s="24">
        <f>Source!S158</f>
        <v>1544.87</v>
      </c>
      <c r="J307" s="21">
        <f>IF(Source!BA159&lt;&gt; 0, Source!BA159, 1)</f>
        <v>56.35</v>
      </c>
      <c r="K307" s="24">
        <f>Source!S159</f>
        <v>87053.42</v>
      </c>
      <c r="L307"/>
      <c r="O307"/>
    </row>
    <row r="308" spans="1:30" ht="14.25" hidden="1" x14ac:dyDescent="0.2">
      <c r="A308" s="20"/>
      <c r="B308" s="20"/>
      <c r="C308" s="20" t="s">
        <v>652</v>
      </c>
      <c r="D308" s="22"/>
      <c r="E308" s="21"/>
      <c r="F308" s="24">
        <f>Source!AL158</f>
        <v>1.19</v>
      </c>
      <c r="G308" s="23"/>
      <c r="H308" s="21">
        <f>Source!AW159</f>
        <v>1</v>
      </c>
      <c r="I308" s="24">
        <f>Source!P158</f>
        <v>138.04</v>
      </c>
      <c r="J308" s="21">
        <f>IF(Source!BC159&lt;&gt; 0, Source!BC159, 1)</f>
        <v>9.84</v>
      </c>
      <c r="K308" s="24">
        <f>Source!P159</f>
        <v>1358.31</v>
      </c>
      <c r="L308"/>
      <c r="O308"/>
    </row>
    <row r="309" spans="1:30" ht="14.25" hidden="1" x14ac:dyDescent="0.2">
      <c r="A309" s="20"/>
      <c r="B309" s="20"/>
      <c r="C309" s="20" t="s">
        <v>641</v>
      </c>
      <c r="D309" s="22" t="s">
        <v>642</v>
      </c>
      <c r="E309" s="21">
        <f>Source!BZ159</f>
        <v>90</v>
      </c>
      <c r="F309" s="24"/>
      <c r="G309" s="23"/>
      <c r="H309" s="21"/>
      <c r="I309" s="24">
        <f>SUM(R305:R308)</f>
        <v>1390.38</v>
      </c>
      <c r="J309" s="21">
        <f>Source!AT159</f>
        <v>90</v>
      </c>
      <c r="K309" s="24">
        <f>SUM(S305:S308)</f>
        <v>78348.08</v>
      </c>
      <c r="L309"/>
      <c r="O309"/>
    </row>
    <row r="310" spans="1:30" ht="14.25" hidden="1" x14ac:dyDescent="0.2">
      <c r="A310" s="20"/>
      <c r="B310" s="20"/>
      <c r="C310" s="20" t="s">
        <v>643</v>
      </c>
      <c r="D310" s="22" t="s">
        <v>642</v>
      </c>
      <c r="E310" s="21">
        <f>Source!CA159</f>
        <v>46</v>
      </c>
      <c r="F310" s="24"/>
      <c r="G310" s="23"/>
      <c r="H310" s="21"/>
      <c r="I310" s="24">
        <f>SUM(T305:T309)</f>
        <v>710.64</v>
      </c>
      <c r="J310" s="21">
        <f>Source!AU159</f>
        <v>46</v>
      </c>
      <c r="K310" s="24">
        <f>SUM(U305:U309)</f>
        <v>40044.57</v>
      </c>
      <c r="L310"/>
      <c r="O310"/>
    </row>
    <row r="311" spans="1:30" ht="14.25" hidden="1" x14ac:dyDescent="0.2">
      <c r="A311" s="25"/>
      <c r="B311" s="25"/>
      <c r="C311" s="25" t="s">
        <v>644</v>
      </c>
      <c r="D311" s="26" t="s">
        <v>645</v>
      </c>
      <c r="E311" s="27">
        <f>Source!AQ158</f>
        <v>0.84</v>
      </c>
      <c r="F311" s="28"/>
      <c r="G311" s="29" t="s">
        <v>157</v>
      </c>
      <c r="H311" s="27">
        <f>Source!AV159</f>
        <v>1.0469999999999999</v>
      </c>
      <c r="I311" s="28">
        <f>Source!U158</f>
        <v>122.42361599999998</v>
      </c>
      <c r="J311" s="27"/>
      <c r="K311" s="28"/>
      <c r="L311"/>
      <c r="O311"/>
    </row>
    <row r="312" spans="1:30" ht="15" hidden="1" x14ac:dyDescent="0.2">
      <c r="C312" s="30" t="s">
        <v>646</v>
      </c>
      <c r="H312" s="47">
        <f>I307+I308+I309+I310+0-0-0</f>
        <v>3783.93</v>
      </c>
      <c r="I312" s="47"/>
      <c r="J312" s="47">
        <f>K307+K308+K309+K310+0-0-0</f>
        <v>206804.38</v>
      </c>
      <c r="K312" s="47"/>
      <c r="L312"/>
      <c r="O312"/>
    </row>
    <row r="313" spans="1:30" ht="15" hidden="1" x14ac:dyDescent="0.2">
      <c r="C313" s="30" t="s">
        <v>647</v>
      </c>
      <c r="H313" s="43">
        <f>0+0</f>
        <v>0</v>
      </c>
      <c r="I313" s="43"/>
      <c r="J313" s="43">
        <f>0+0</f>
        <v>0</v>
      </c>
      <c r="K313" s="43"/>
      <c r="L313"/>
      <c r="O313"/>
    </row>
    <row r="314" spans="1:30" ht="15" hidden="1" x14ac:dyDescent="0.2">
      <c r="C314" s="30" t="s">
        <v>648</v>
      </c>
      <c r="H314" s="43">
        <f>I307+I308+I309+I310+0</f>
        <v>3783.93</v>
      </c>
      <c r="I314" s="43"/>
      <c r="J314" s="43">
        <f>K307+K308+K309+K310+0</f>
        <v>206804.38</v>
      </c>
      <c r="K314" s="43"/>
      <c r="L314"/>
      <c r="O314"/>
      <c r="P314" s="31">
        <f>I307+I308+I309+I310+0</f>
        <v>3783.93</v>
      </c>
      <c r="Q314" s="31">
        <f>K307+K308+K309+K310+0</f>
        <v>206804.38</v>
      </c>
    </row>
    <row r="315" spans="1:30" hidden="1" x14ac:dyDescent="0.2">
      <c r="L315"/>
      <c r="O315"/>
    </row>
    <row r="316" spans="1:30" ht="68.25" x14ac:dyDescent="0.2">
      <c r="A316" s="76">
        <v>32</v>
      </c>
      <c r="B316" s="76" t="str">
        <f>Source!F160</f>
        <v>КА, п.8</v>
      </c>
      <c r="C316" s="76" t="s">
        <v>686</v>
      </c>
      <c r="D316" s="77" t="str">
        <f>Source!H160</f>
        <v>ШТ</v>
      </c>
      <c r="E316" s="78">
        <f>Source!I160</f>
        <v>79</v>
      </c>
      <c r="F316" s="79">
        <f>Source!AL160</f>
        <v>191.72000000000003</v>
      </c>
      <c r="G316" s="80"/>
      <c r="H316" s="78">
        <f>Source!AW161</f>
        <v>1</v>
      </c>
      <c r="I316" s="79">
        <f>Source!P160</f>
        <v>15145.88</v>
      </c>
      <c r="J316" s="78">
        <f>IF(Source!BC161&lt;&gt; 0, Source!BC161, 1)</f>
        <v>9.84</v>
      </c>
      <c r="K316" s="79">
        <f>Source!P161</f>
        <v>149035.46</v>
      </c>
      <c r="L316" s="100" t="s">
        <v>677</v>
      </c>
      <c r="O316" s="98" t="s">
        <v>680</v>
      </c>
      <c r="R316">
        <f>Source!X160</f>
        <v>0</v>
      </c>
      <c r="S316">
        <f>Source!X161</f>
        <v>0</v>
      </c>
      <c r="T316">
        <f>Source!Y160</f>
        <v>0</v>
      </c>
      <c r="U316">
        <f>Source!Y161</f>
        <v>0</v>
      </c>
      <c r="V316">
        <f>ROUND((175/100)*ROUND(Source!R160, 2), 2)</f>
        <v>0</v>
      </c>
      <c r="W316">
        <f>ROUND((0/100)*ROUND(Source!R161, 2), 2)</f>
        <v>0</v>
      </c>
      <c r="AD316">
        <v>5</v>
      </c>
    </row>
    <row r="317" spans="1:30" ht="15" hidden="1" x14ac:dyDescent="0.2">
      <c r="A317" s="34"/>
      <c r="B317" s="34"/>
      <c r="C317" s="35" t="s">
        <v>648</v>
      </c>
      <c r="D317" s="34"/>
      <c r="E317" s="34"/>
      <c r="F317" s="34"/>
      <c r="G317" s="34"/>
      <c r="H317" s="46">
        <f>I316+0</f>
        <v>15145.88</v>
      </c>
      <c r="I317" s="46"/>
      <c r="J317" s="46">
        <f>K316+0</f>
        <v>149035.46</v>
      </c>
      <c r="K317" s="46"/>
      <c r="L317"/>
      <c r="O317"/>
      <c r="P317" s="31">
        <f>I316+0</f>
        <v>15145.88</v>
      </c>
      <c r="Q317" s="31">
        <f>K316+0</f>
        <v>149035.46</v>
      </c>
    </row>
    <row r="318" spans="1:30" hidden="1" x14ac:dyDescent="0.2">
      <c r="L318"/>
      <c r="O318"/>
    </row>
    <row r="319" spans="1:30" ht="82.5" x14ac:dyDescent="0.2">
      <c r="A319" s="76">
        <v>33</v>
      </c>
      <c r="B319" s="76" t="str">
        <f>Source!F162</f>
        <v>КА, п.9</v>
      </c>
      <c r="C319" s="76" t="s">
        <v>656</v>
      </c>
      <c r="D319" s="77" t="str">
        <f>Source!H162</f>
        <v>ШТ</v>
      </c>
      <c r="E319" s="78">
        <f>Source!I162</f>
        <v>15</v>
      </c>
      <c r="F319" s="79">
        <f>Source!AL162</f>
        <v>193.45</v>
      </c>
      <c r="G319" s="80"/>
      <c r="H319" s="78">
        <f>Source!AW163</f>
        <v>1</v>
      </c>
      <c r="I319" s="79">
        <f>Source!P162</f>
        <v>2901.75</v>
      </c>
      <c r="J319" s="78">
        <f>IF(Source!BC163&lt;&gt; 0, Source!BC163, 1)</f>
        <v>9.84</v>
      </c>
      <c r="K319" s="79">
        <f>Source!P163</f>
        <v>28553.22</v>
      </c>
      <c r="L319" s="100" t="s">
        <v>677</v>
      </c>
      <c r="O319" s="98" t="s">
        <v>680</v>
      </c>
      <c r="R319">
        <f>Source!X162</f>
        <v>0</v>
      </c>
      <c r="S319">
        <f>Source!X163</f>
        <v>0</v>
      </c>
      <c r="T319">
        <f>Source!Y162</f>
        <v>0</v>
      </c>
      <c r="U319">
        <f>Source!Y163</f>
        <v>0</v>
      </c>
      <c r="V319">
        <f>ROUND((175/100)*ROUND(Source!R162, 2), 2)</f>
        <v>0</v>
      </c>
      <c r="W319">
        <f>ROUND((0/100)*ROUND(Source!R163, 2), 2)</f>
        <v>0</v>
      </c>
      <c r="AD319">
        <v>5</v>
      </c>
    </row>
    <row r="320" spans="1:30" ht="15" hidden="1" x14ac:dyDescent="0.2">
      <c r="A320" s="34"/>
      <c r="B320" s="34"/>
      <c r="C320" s="35" t="s">
        <v>648</v>
      </c>
      <c r="D320" s="34"/>
      <c r="E320" s="34"/>
      <c r="F320" s="34"/>
      <c r="G320" s="34"/>
      <c r="H320" s="46">
        <f>I319+0</f>
        <v>2901.75</v>
      </c>
      <c r="I320" s="46"/>
      <c r="J320" s="46">
        <f>K319+0</f>
        <v>28553.22</v>
      </c>
      <c r="K320" s="46"/>
      <c r="L320"/>
      <c r="O320"/>
      <c r="P320" s="31">
        <f>I319+0</f>
        <v>2901.75</v>
      </c>
      <c r="Q320" s="31">
        <f>K319+0</f>
        <v>28553.22</v>
      </c>
    </row>
    <row r="321" spans="1:30" hidden="1" x14ac:dyDescent="0.2">
      <c r="L321"/>
      <c r="O321"/>
    </row>
    <row r="322" spans="1:30" ht="82.5" x14ac:dyDescent="0.2">
      <c r="A322" s="76">
        <v>34</v>
      </c>
      <c r="B322" s="76" t="str">
        <f>Source!F164</f>
        <v>КА, п.10</v>
      </c>
      <c r="C322" s="76" t="s">
        <v>657</v>
      </c>
      <c r="D322" s="77" t="str">
        <f>Source!H164</f>
        <v>ШТ</v>
      </c>
      <c r="E322" s="78">
        <f>Source!I164</f>
        <v>22</v>
      </c>
      <c r="F322" s="79">
        <f>Source!AL164</f>
        <v>189.45999999999998</v>
      </c>
      <c r="G322" s="80"/>
      <c r="H322" s="78">
        <f>Source!AW165</f>
        <v>1</v>
      </c>
      <c r="I322" s="79">
        <f>Source!P164</f>
        <v>4168.12</v>
      </c>
      <c r="J322" s="78">
        <f>IF(Source!BC165&lt;&gt; 0, Source!BC165, 1)</f>
        <v>9.84</v>
      </c>
      <c r="K322" s="79">
        <f>Source!P165</f>
        <v>41014.300000000003</v>
      </c>
      <c r="L322" s="100" t="s">
        <v>677</v>
      </c>
      <c r="O322" s="98" t="s">
        <v>680</v>
      </c>
      <c r="R322">
        <f>Source!X164</f>
        <v>0</v>
      </c>
      <c r="S322">
        <f>Source!X165</f>
        <v>0</v>
      </c>
      <c r="T322">
        <f>Source!Y164</f>
        <v>0</v>
      </c>
      <c r="U322">
        <f>Source!Y165</f>
        <v>0</v>
      </c>
      <c r="V322">
        <f>ROUND((175/100)*ROUND(Source!R164, 2), 2)</f>
        <v>0</v>
      </c>
      <c r="W322">
        <f>ROUND((0/100)*ROUND(Source!R165, 2), 2)</f>
        <v>0</v>
      </c>
      <c r="AD322">
        <v>5</v>
      </c>
    </row>
    <row r="323" spans="1:30" ht="15" hidden="1" x14ac:dyDescent="0.2">
      <c r="A323" s="34"/>
      <c r="B323" s="34"/>
      <c r="C323" s="35" t="s">
        <v>648</v>
      </c>
      <c r="D323" s="34"/>
      <c r="E323" s="34"/>
      <c r="F323" s="34"/>
      <c r="G323" s="34"/>
      <c r="H323" s="46">
        <f>I322+0</f>
        <v>4168.12</v>
      </c>
      <c r="I323" s="46"/>
      <c r="J323" s="46">
        <f>K322+0</f>
        <v>41014.300000000003</v>
      </c>
      <c r="K323" s="46"/>
      <c r="L323"/>
      <c r="O323"/>
      <c r="P323" s="31">
        <f>I322+0</f>
        <v>4168.12</v>
      </c>
      <c r="Q323" s="31">
        <f>K322+0</f>
        <v>41014.300000000003</v>
      </c>
    </row>
    <row r="324" spans="1:30" hidden="1" x14ac:dyDescent="0.2">
      <c r="L324"/>
      <c r="O324"/>
    </row>
    <row r="325" spans="1:30" ht="14.25" hidden="1" x14ac:dyDescent="0.2">
      <c r="A325" s="20">
        <v>35</v>
      </c>
      <c r="B325" s="20" t="str">
        <f>Source!F166</f>
        <v>4.10-76-10</v>
      </c>
      <c r="C325" s="20" t="s">
        <v>215</v>
      </c>
      <c r="D325" s="22" t="str">
        <f>Source!H166</f>
        <v>1  ШТ.</v>
      </c>
      <c r="E325" s="21">
        <f>Source!I166</f>
        <v>10</v>
      </c>
      <c r="F325" s="24"/>
      <c r="G325" s="23"/>
      <c r="H325" s="21"/>
      <c r="I325" s="24"/>
      <c r="J325" s="21"/>
      <c r="K325" s="24"/>
      <c r="L325"/>
      <c r="O325"/>
      <c r="R325">
        <f>Source!X166</f>
        <v>141.91999999999999</v>
      </c>
      <c r="S325">
        <f>Source!X167</f>
        <v>7997.22</v>
      </c>
      <c r="T325">
        <f>Source!Y166</f>
        <v>79.180000000000007</v>
      </c>
      <c r="U325">
        <f>Source!Y167</f>
        <v>4461.6099999999997</v>
      </c>
      <c r="V325">
        <f>ROUND((175/100)*ROUND(Source!R166, 2), 2)</f>
        <v>0</v>
      </c>
      <c r="W325">
        <f>ROUND((0/100)*ROUND(Source!R167, 2), 2)</f>
        <v>0</v>
      </c>
      <c r="AD325">
        <v>0</v>
      </c>
    </row>
    <row r="326" spans="1:30" hidden="1" x14ac:dyDescent="0.2">
      <c r="C326" s="33" t="str">
        <f>"Объем: "&amp;Source!I166&amp;"=1+"&amp;"9"</f>
        <v>Объем: 10=1+9</v>
      </c>
      <c r="L326"/>
      <c r="O326"/>
    </row>
    <row r="327" spans="1:30" ht="14.25" hidden="1" x14ac:dyDescent="0.2">
      <c r="A327" s="20"/>
      <c r="B327" s="20"/>
      <c r="C327" s="20" t="s">
        <v>638</v>
      </c>
      <c r="D327" s="22"/>
      <c r="E327" s="21"/>
      <c r="F327" s="24">
        <f>Source!AO166</f>
        <v>11.89</v>
      </c>
      <c r="G327" s="23" t="s">
        <v>157</v>
      </c>
      <c r="H327" s="21">
        <f>Source!AV167</f>
        <v>1.0469999999999999</v>
      </c>
      <c r="I327" s="24">
        <f>Source!S166</f>
        <v>149.38999999999999</v>
      </c>
      <c r="J327" s="21">
        <f>IF(Source!BA167&lt;&gt; 0, Source!BA167, 1)</f>
        <v>56.35</v>
      </c>
      <c r="K327" s="24">
        <f>Source!S167</f>
        <v>8418.1299999999992</v>
      </c>
      <c r="L327"/>
      <c r="O327"/>
    </row>
    <row r="328" spans="1:30" ht="14.25" hidden="1" x14ac:dyDescent="0.2">
      <c r="A328" s="20"/>
      <c r="B328" s="20"/>
      <c r="C328" s="20" t="s">
        <v>652</v>
      </c>
      <c r="D328" s="22"/>
      <c r="E328" s="21"/>
      <c r="F328" s="24">
        <f>Source!AL166</f>
        <v>1.67</v>
      </c>
      <c r="G328" s="23"/>
      <c r="H328" s="21">
        <f>Source!AW167</f>
        <v>1</v>
      </c>
      <c r="I328" s="24">
        <f>Source!P166</f>
        <v>16.7</v>
      </c>
      <c r="J328" s="21">
        <f>IF(Source!BC167&lt;&gt; 0, Source!BC167, 1)</f>
        <v>17.87</v>
      </c>
      <c r="K328" s="24">
        <f>Source!P167</f>
        <v>298.43</v>
      </c>
      <c r="L328"/>
      <c r="O328"/>
    </row>
    <row r="329" spans="1:30" ht="14.25" hidden="1" x14ac:dyDescent="0.2">
      <c r="A329" s="20"/>
      <c r="B329" s="20"/>
      <c r="C329" s="20" t="s">
        <v>641</v>
      </c>
      <c r="D329" s="22" t="s">
        <v>642</v>
      </c>
      <c r="E329" s="21">
        <f>Source!BZ167</f>
        <v>95</v>
      </c>
      <c r="F329" s="24"/>
      <c r="G329" s="23"/>
      <c r="H329" s="21"/>
      <c r="I329" s="24">
        <f>SUM(R325:R328)</f>
        <v>141.91999999999999</v>
      </c>
      <c r="J329" s="21">
        <f>Source!AT167</f>
        <v>95</v>
      </c>
      <c r="K329" s="24">
        <f>SUM(S325:S328)</f>
        <v>7997.22</v>
      </c>
      <c r="L329"/>
      <c r="O329"/>
    </row>
    <row r="330" spans="1:30" ht="14.25" hidden="1" x14ac:dyDescent="0.2">
      <c r="A330" s="20"/>
      <c r="B330" s="20"/>
      <c r="C330" s="20" t="s">
        <v>643</v>
      </c>
      <c r="D330" s="22" t="s">
        <v>642</v>
      </c>
      <c r="E330" s="21">
        <f>Source!CA167</f>
        <v>53</v>
      </c>
      <c r="F330" s="24"/>
      <c r="G330" s="23"/>
      <c r="H330" s="21"/>
      <c r="I330" s="24">
        <f>SUM(T325:T329)</f>
        <v>79.180000000000007</v>
      </c>
      <c r="J330" s="21">
        <f>Source!AU167</f>
        <v>53</v>
      </c>
      <c r="K330" s="24">
        <f>SUM(U325:U329)</f>
        <v>4461.6099999999997</v>
      </c>
      <c r="L330"/>
      <c r="O330"/>
    </row>
    <row r="331" spans="1:30" ht="14.25" hidden="1" x14ac:dyDescent="0.2">
      <c r="A331" s="25"/>
      <c r="B331" s="25"/>
      <c r="C331" s="25" t="s">
        <v>644</v>
      </c>
      <c r="D331" s="26" t="s">
        <v>645</v>
      </c>
      <c r="E331" s="27">
        <f>Source!AQ166</f>
        <v>1</v>
      </c>
      <c r="F331" s="28"/>
      <c r="G331" s="29" t="s">
        <v>157</v>
      </c>
      <c r="H331" s="27">
        <f>Source!AV167</f>
        <v>1.0469999999999999</v>
      </c>
      <c r="I331" s="28">
        <f>Source!U166</f>
        <v>12.564</v>
      </c>
      <c r="J331" s="27"/>
      <c r="K331" s="28"/>
      <c r="L331"/>
      <c r="O331"/>
    </row>
    <row r="332" spans="1:30" ht="15" hidden="1" x14ac:dyDescent="0.2">
      <c r="C332" s="30" t="s">
        <v>646</v>
      </c>
      <c r="H332" s="47">
        <f>I327+I328+I329+I330+0-0-0</f>
        <v>387.19</v>
      </c>
      <c r="I332" s="47"/>
      <c r="J332" s="47">
        <f>K327+K328+K329+K330+0-0-0</f>
        <v>21175.39</v>
      </c>
      <c r="K332" s="47"/>
      <c r="L332"/>
      <c r="O332"/>
    </row>
    <row r="333" spans="1:30" ht="15" hidden="1" x14ac:dyDescent="0.2">
      <c r="C333" s="30" t="s">
        <v>647</v>
      </c>
      <c r="H333" s="43">
        <f>0+0</f>
        <v>0</v>
      </c>
      <c r="I333" s="43"/>
      <c r="J333" s="43">
        <f>0+0</f>
        <v>0</v>
      </c>
      <c r="K333" s="43"/>
      <c r="L333"/>
      <c r="O333"/>
    </row>
    <row r="334" spans="1:30" ht="15" hidden="1" x14ac:dyDescent="0.2">
      <c r="C334" s="30" t="s">
        <v>648</v>
      </c>
      <c r="H334" s="43">
        <f>I327+I328+I329+I330+0</f>
        <v>387.19</v>
      </c>
      <c r="I334" s="43"/>
      <c r="J334" s="43">
        <f>K327+K328+K329+K330+0</f>
        <v>21175.39</v>
      </c>
      <c r="K334" s="43"/>
      <c r="L334"/>
      <c r="O334"/>
      <c r="P334" s="31">
        <f>I327+I328+I329+I330+0</f>
        <v>387.19</v>
      </c>
      <c r="Q334" s="31">
        <f>K327+K328+K329+K330+0</f>
        <v>21175.39</v>
      </c>
    </row>
    <row r="335" spans="1:30" hidden="1" x14ac:dyDescent="0.2">
      <c r="L335"/>
      <c r="O335"/>
    </row>
    <row r="336" spans="1:30" ht="128.25" x14ac:dyDescent="0.2">
      <c r="A336" s="76">
        <v>36</v>
      </c>
      <c r="B336" s="76" t="str">
        <f>Source!F168</f>
        <v>13.1-2-401</v>
      </c>
      <c r="C336" s="76" t="s">
        <v>658</v>
      </c>
      <c r="D336" s="77" t="str">
        <f>Source!H168</f>
        <v>шт.</v>
      </c>
      <c r="E336" s="78">
        <f>Source!I168</f>
        <v>1</v>
      </c>
      <c r="F336" s="79">
        <f>Source!AL168</f>
        <v>83.32</v>
      </c>
      <c r="G336" s="80"/>
      <c r="H336" s="78">
        <f>Source!AW169</f>
        <v>1</v>
      </c>
      <c r="I336" s="79">
        <f>Source!P168</f>
        <v>83.32</v>
      </c>
      <c r="J336" s="78">
        <f>IF(Source!BC169&lt;&gt; 0, Source!BC169, 1)</f>
        <v>2.5</v>
      </c>
      <c r="K336" s="79">
        <f>Source!P169</f>
        <v>208.3</v>
      </c>
      <c r="L336" s="97" t="s">
        <v>677</v>
      </c>
      <c r="O336"/>
      <c r="R336">
        <f>Source!X168</f>
        <v>0</v>
      </c>
      <c r="S336">
        <f>Source!X169</f>
        <v>0</v>
      </c>
      <c r="T336">
        <f>Source!Y168</f>
        <v>0</v>
      </c>
      <c r="U336">
        <f>Source!Y169</f>
        <v>0</v>
      </c>
      <c r="V336">
        <f>ROUND((175/100)*ROUND(Source!R168, 2), 2)</f>
        <v>0</v>
      </c>
      <c r="W336">
        <f>ROUND((0/100)*ROUND(Source!R169, 2), 2)</f>
        <v>0</v>
      </c>
      <c r="AD336">
        <v>5</v>
      </c>
    </row>
    <row r="337" spans="1:30" ht="15" hidden="1" x14ac:dyDescent="0.2">
      <c r="A337" s="34"/>
      <c r="B337" s="34"/>
      <c r="C337" s="35" t="s">
        <v>648</v>
      </c>
      <c r="D337" s="34"/>
      <c r="E337" s="34"/>
      <c r="F337" s="34"/>
      <c r="G337" s="34"/>
      <c r="H337" s="46">
        <f>I336+0</f>
        <v>83.32</v>
      </c>
      <c r="I337" s="46"/>
      <c r="J337" s="46">
        <f>K336+0</f>
        <v>208.3</v>
      </c>
      <c r="K337" s="46"/>
      <c r="L337"/>
      <c r="O337"/>
      <c r="P337" s="31">
        <f>I336+0</f>
        <v>83.32</v>
      </c>
      <c r="Q337" s="31">
        <f>K336+0</f>
        <v>208.3</v>
      </c>
    </row>
    <row r="338" spans="1:30" hidden="1" x14ac:dyDescent="0.2">
      <c r="L338"/>
      <c r="O338"/>
    </row>
    <row r="339" spans="1:30" ht="54" x14ac:dyDescent="0.2">
      <c r="A339" s="76">
        <v>37</v>
      </c>
      <c r="B339" s="76" t="str">
        <f>Source!F170</f>
        <v>КА, п.11</v>
      </c>
      <c r="C339" s="76" t="s">
        <v>659</v>
      </c>
      <c r="D339" s="77" t="str">
        <f>Source!H170</f>
        <v>ШТ</v>
      </c>
      <c r="E339" s="78">
        <f>Source!I170</f>
        <v>9</v>
      </c>
      <c r="F339" s="79">
        <f>Source!AL170</f>
        <v>141.71</v>
      </c>
      <c r="G339" s="80"/>
      <c r="H339" s="78">
        <f>Source!AW171</f>
        <v>1</v>
      </c>
      <c r="I339" s="79">
        <f>Source!P170</f>
        <v>1275.3900000000001</v>
      </c>
      <c r="J339" s="78">
        <f>IF(Source!BC171&lt;&gt; 0, Source!BC171, 1)</f>
        <v>9.84</v>
      </c>
      <c r="K339" s="79">
        <f>Source!P171</f>
        <v>12549.84</v>
      </c>
      <c r="L339" s="100" t="s">
        <v>677</v>
      </c>
      <c r="O339" s="98" t="s">
        <v>680</v>
      </c>
      <c r="R339">
        <f>Source!X170</f>
        <v>0</v>
      </c>
      <c r="S339">
        <f>Source!X171</f>
        <v>0</v>
      </c>
      <c r="T339">
        <f>Source!Y170</f>
        <v>0</v>
      </c>
      <c r="U339">
        <f>Source!Y171</f>
        <v>0</v>
      </c>
      <c r="V339">
        <f>ROUND((175/100)*ROUND(Source!R170, 2), 2)</f>
        <v>0</v>
      </c>
      <c r="W339">
        <f>ROUND((0/100)*ROUND(Source!R171, 2), 2)</f>
        <v>0</v>
      </c>
      <c r="AD339">
        <v>5</v>
      </c>
    </row>
    <row r="340" spans="1:30" ht="15" hidden="1" x14ac:dyDescent="0.2">
      <c r="A340" s="34"/>
      <c r="B340" s="34"/>
      <c r="C340" s="35" t="s">
        <v>648</v>
      </c>
      <c r="D340" s="34"/>
      <c r="E340" s="34"/>
      <c r="F340" s="34"/>
      <c r="G340" s="34"/>
      <c r="H340" s="46">
        <f>I339+0</f>
        <v>1275.3900000000001</v>
      </c>
      <c r="I340" s="46"/>
      <c r="J340" s="46">
        <f>K339+0</f>
        <v>12549.84</v>
      </c>
      <c r="K340" s="46"/>
      <c r="L340"/>
      <c r="O340"/>
      <c r="P340" s="31">
        <f>I339+0</f>
        <v>1275.3900000000001</v>
      </c>
      <c r="Q340" s="31">
        <f>K339+0</f>
        <v>12549.84</v>
      </c>
    </row>
    <row r="341" spans="1:30" hidden="1" x14ac:dyDescent="0.2">
      <c r="L341"/>
      <c r="O341"/>
    </row>
    <row r="342" spans="1:30" hidden="1" x14ac:dyDescent="0.2">
      <c r="L342"/>
      <c r="O342"/>
    </row>
    <row r="343" spans="1:30" ht="15" hidden="1" x14ac:dyDescent="0.25">
      <c r="A343" s="45" t="str">
        <f>CONCATENATE("Итого по разделу: ",IF(Source!G173&lt;&gt;"Новый раздел", Source!G173, ""))</f>
        <v>Итого по разделу: Извещатели</v>
      </c>
      <c r="B343" s="45"/>
      <c r="C343" s="45"/>
      <c r="D343" s="45"/>
      <c r="E343" s="45"/>
      <c r="F343" s="45"/>
      <c r="G343" s="45"/>
      <c r="H343" s="43">
        <f>SUM(P287:P342)</f>
        <v>40124.340000000004</v>
      </c>
      <c r="I343" s="44"/>
      <c r="J343" s="43">
        <f>SUM(Q287:Q342)</f>
        <v>796576.81</v>
      </c>
      <c r="K343" s="44"/>
      <c r="L343"/>
      <c r="O343"/>
    </row>
    <row r="344" spans="1:30" hidden="1" x14ac:dyDescent="0.2">
      <c r="A344" t="s">
        <v>650</v>
      </c>
      <c r="I344">
        <f>SUM(X287:X343)</f>
        <v>0</v>
      </c>
      <c r="J344">
        <f>SUM(Y287:Y343)</f>
        <v>0</v>
      </c>
      <c r="L344"/>
      <c r="O344"/>
    </row>
    <row r="345" spans="1:30" hidden="1" x14ac:dyDescent="0.2">
      <c r="A345" t="s">
        <v>651</v>
      </c>
      <c r="I345">
        <f>SUM(Z287:Z344)</f>
        <v>0</v>
      </c>
      <c r="J345">
        <f>SUM(AA287:AA344)</f>
        <v>0</v>
      </c>
      <c r="L345"/>
      <c r="O345"/>
    </row>
    <row r="346" spans="1:30" hidden="1" x14ac:dyDescent="0.2">
      <c r="L346"/>
      <c r="O346"/>
    </row>
    <row r="347" spans="1:30" ht="16.5" hidden="1" x14ac:dyDescent="0.2">
      <c r="A347" s="48" t="str">
        <f>CONCATENATE("Раздел: ",IF(Source!G203&lt;&gt;"Новый раздел", Source!G203, ""))</f>
        <v>Раздел: РИП и боксы</v>
      </c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/>
      <c r="O347"/>
    </row>
    <row r="348" spans="1:30" ht="28.5" hidden="1" x14ac:dyDescent="0.2">
      <c r="A348" s="20">
        <v>38</v>
      </c>
      <c r="B348" s="20" t="str">
        <f>Source!F207</f>
        <v>4.10-173-2</v>
      </c>
      <c r="C348" s="20" t="s">
        <v>226</v>
      </c>
      <c r="D348" s="22" t="str">
        <f>Source!H207</f>
        <v>1  ШТ.</v>
      </c>
      <c r="E348" s="21">
        <f>Source!I207</f>
        <v>4</v>
      </c>
      <c r="F348" s="24"/>
      <c r="G348" s="23"/>
      <c r="H348" s="21"/>
      <c r="I348" s="24"/>
      <c r="J348" s="21"/>
      <c r="K348" s="24"/>
      <c r="L348"/>
      <c r="O348"/>
      <c r="R348">
        <f>Source!X207</f>
        <v>181.69</v>
      </c>
      <c r="S348">
        <f>Source!X208</f>
        <v>10238.35</v>
      </c>
      <c r="T348">
        <f>Source!Y207</f>
        <v>92.86</v>
      </c>
      <c r="U348">
        <f>Source!Y208</f>
        <v>5232.93</v>
      </c>
      <c r="V348">
        <f>ROUND((175/100)*ROUND(Source!R207, 2), 2)</f>
        <v>0</v>
      </c>
      <c r="W348">
        <f>ROUND((0/100)*ROUND(Source!R208, 2), 2)</f>
        <v>0</v>
      </c>
      <c r="AD348">
        <v>0</v>
      </c>
    </row>
    <row r="349" spans="1:30" ht="14.25" hidden="1" x14ac:dyDescent="0.2">
      <c r="A349" s="20"/>
      <c r="B349" s="20"/>
      <c r="C349" s="20" t="s">
        <v>638</v>
      </c>
      <c r="D349" s="22"/>
      <c r="E349" s="21"/>
      <c r="F349" s="24">
        <f>Source!AO207</f>
        <v>40.17</v>
      </c>
      <c r="G349" s="23" t="s">
        <v>157</v>
      </c>
      <c r="H349" s="21">
        <f>Source!AV208</f>
        <v>1.0469999999999999</v>
      </c>
      <c r="I349" s="24">
        <f>Source!S207</f>
        <v>201.88</v>
      </c>
      <c r="J349" s="21">
        <f>IF(Source!BA208&lt;&gt; 0, Source!BA208, 1)</f>
        <v>56.35</v>
      </c>
      <c r="K349" s="24">
        <f>Source!S208</f>
        <v>11375.94</v>
      </c>
      <c r="L349"/>
      <c r="O349"/>
    </row>
    <row r="350" spans="1:30" ht="14.25" hidden="1" x14ac:dyDescent="0.2">
      <c r="A350" s="20"/>
      <c r="B350" s="20"/>
      <c r="C350" s="20" t="s">
        <v>652</v>
      </c>
      <c r="D350" s="22"/>
      <c r="E350" s="21"/>
      <c r="F350" s="24">
        <f>Source!AL207</f>
        <v>2.34</v>
      </c>
      <c r="G350" s="23"/>
      <c r="H350" s="21">
        <f>Source!AW208</f>
        <v>1</v>
      </c>
      <c r="I350" s="24">
        <f>Source!P207</f>
        <v>9.36</v>
      </c>
      <c r="J350" s="21">
        <f>IF(Source!BC208&lt;&gt; 0, Source!BC208, 1)</f>
        <v>10.24</v>
      </c>
      <c r="K350" s="24">
        <f>Source!P208</f>
        <v>95.85</v>
      </c>
      <c r="L350"/>
      <c r="O350"/>
    </row>
    <row r="351" spans="1:30" ht="14.25" hidden="1" x14ac:dyDescent="0.2">
      <c r="A351" s="20"/>
      <c r="B351" s="20"/>
      <c r="C351" s="20" t="s">
        <v>641</v>
      </c>
      <c r="D351" s="22" t="s">
        <v>642</v>
      </c>
      <c r="E351" s="21">
        <f>Source!BZ208</f>
        <v>90</v>
      </c>
      <c r="F351" s="24"/>
      <c r="G351" s="23"/>
      <c r="H351" s="21"/>
      <c r="I351" s="24">
        <f>SUM(R348:R350)</f>
        <v>181.69</v>
      </c>
      <c r="J351" s="21">
        <f>Source!AT208</f>
        <v>90</v>
      </c>
      <c r="K351" s="24">
        <f>SUM(S348:S350)</f>
        <v>10238.35</v>
      </c>
      <c r="L351"/>
      <c r="O351"/>
    </row>
    <row r="352" spans="1:30" ht="14.25" hidden="1" x14ac:dyDescent="0.2">
      <c r="A352" s="20"/>
      <c r="B352" s="20"/>
      <c r="C352" s="20" t="s">
        <v>643</v>
      </c>
      <c r="D352" s="22" t="s">
        <v>642</v>
      </c>
      <c r="E352" s="21">
        <f>Source!CA208</f>
        <v>46</v>
      </c>
      <c r="F352" s="24"/>
      <c r="G352" s="23"/>
      <c r="H352" s="21"/>
      <c r="I352" s="24">
        <f>SUM(T348:T351)</f>
        <v>92.86</v>
      </c>
      <c r="J352" s="21">
        <f>Source!AU208</f>
        <v>46</v>
      </c>
      <c r="K352" s="24">
        <f>SUM(U348:U351)</f>
        <v>5232.93</v>
      </c>
      <c r="L352"/>
      <c r="O352"/>
    </row>
    <row r="353" spans="1:30" ht="14.25" hidden="1" x14ac:dyDescent="0.2">
      <c r="A353" s="25"/>
      <c r="B353" s="25"/>
      <c r="C353" s="25" t="s">
        <v>644</v>
      </c>
      <c r="D353" s="26" t="s">
        <v>645</v>
      </c>
      <c r="E353" s="27">
        <f>Source!AQ207</f>
        <v>3.18</v>
      </c>
      <c r="F353" s="28"/>
      <c r="G353" s="29" t="s">
        <v>157</v>
      </c>
      <c r="H353" s="27">
        <f>Source!AV208</f>
        <v>1.0469999999999999</v>
      </c>
      <c r="I353" s="28">
        <f>Source!U207</f>
        <v>15.981407999999998</v>
      </c>
      <c r="J353" s="27"/>
      <c r="K353" s="28"/>
      <c r="L353"/>
      <c r="O353"/>
    </row>
    <row r="354" spans="1:30" ht="15" hidden="1" x14ac:dyDescent="0.2">
      <c r="C354" s="30" t="s">
        <v>646</v>
      </c>
      <c r="H354" s="47">
        <f>I349+I350+I351+I352+0-0-0</f>
        <v>485.79</v>
      </c>
      <c r="I354" s="47"/>
      <c r="J354" s="47">
        <f>K349+K350+K351+K352+0-0-0</f>
        <v>26943.07</v>
      </c>
      <c r="K354" s="47"/>
      <c r="L354"/>
      <c r="O354"/>
    </row>
    <row r="355" spans="1:30" ht="15" hidden="1" x14ac:dyDescent="0.2">
      <c r="C355" s="30" t="s">
        <v>647</v>
      </c>
      <c r="H355" s="43">
        <f>0+0</f>
        <v>0</v>
      </c>
      <c r="I355" s="43"/>
      <c r="J355" s="43">
        <f>0+0</f>
        <v>0</v>
      </c>
      <c r="K355" s="43"/>
      <c r="L355"/>
      <c r="O355"/>
    </row>
    <row r="356" spans="1:30" ht="15" hidden="1" x14ac:dyDescent="0.2">
      <c r="C356" s="30" t="s">
        <v>648</v>
      </c>
      <c r="H356" s="43">
        <f>I349+I350+I351+I352+0</f>
        <v>485.79</v>
      </c>
      <c r="I356" s="43"/>
      <c r="J356" s="43">
        <f>K349+K350+K351+K352+0</f>
        <v>26943.07</v>
      </c>
      <c r="K356" s="43"/>
      <c r="L356"/>
      <c r="O356"/>
      <c r="P356" s="31">
        <f>I349+I350+I351+I352+0</f>
        <v>485.79</v>
      </c>
      <c r="Q356" s="31">
        <f>K349+K350+K351+K352+0</f>
        <v>26943.07</v>
      </c>
    </row>
    <row r="357" spans="1:30" hidden="1" x14ac:dyDescent="0.2">
      <c r="L357"/>
      <c r="O357"/>
    </row>
    <row r="358" spans="1:30" ht="82.5" x14ac:dyDescent="0.2">
      <c r="A358" s="76">
        <v>39</v>
      </c>
      <c r="B358" s="76" t="str">
        <f>Source!F209</f>
        <v>КА, п.12</v>
      </c>
      <c r="C358" s="76" t="s">
        <v>687</v>
      </c>
      <c r="D358" s="77" t="str">
        <f>Source!H209</f>
        <v>ШТ</v>
      </c>
      <c r="E358" s="78">
        <f>Source!I209</f>
        <v>1</v>
      </c>
      <c r="F358" s="79">
        <f>Source!AL209</f>
        <v>583.13</v>
      </c>
      <c r="G358" s="80"/>
      <c r="H358" s="78">
        <f>Source!AW210</f>
        <v>1</v>
      </c>
      <c r="I358" s="79">
        <f>Source!P209</f>
        <v>583.13</v>
      </c>
      <c r="J358" s="78">
        <f>IF(Source!BC210&lt;&gt; 0, Source!BC210, 1)</f>
        <v>9.84</v>
      </c>
      <c r="K358" s="79">
        <f>Source!P210</f>
        <v>5738</v>
      </c>
      <c r="L358" s="100" t="s">
        <v>677</v>
      </c>
      <c r="O358" s="98" t="s">
        <v>680</v>
      </c>
      <c r="R358">
        <f>Source!X209</f>
        <v>0</v>
      </c>
      <c r="S358">
        <f>Source!X210</f>
        <v>0</v>
      </c>
      <c r="T358">
        <f>Source!Y209</f>
        <v>0</v>
      </c>
      <c r="U358">
        <f>Source!Y210</f>
        <v>0</v>
      </c>
      <c r="V358">
        <f>ROUND((175/100)*ROUND(Source!R209, 2), 2)</f>
        <v>0</v>
      </c>
      <c r="W358">
        <f>ROUND((0/100)*ROUND(Source!R210, 2), 2)</f>
        <v>0</v>
      </c>
      <c r="AD358">
        <v>5</v>
      </c>
    </row>
    <row r="359" spans="1:30" ht="15" hidden="1" x14ac:dyDescent="0.2">
      <c r="A359" s="34"/>
      <c r="B359" s="34"/>
      <c r="C359" s="35" t="s">
        <v>648</v>
      </c>
      <c r="D359" s="34"/>
      <c r="E359" s="34"/>
      <c r="F359" s="34"/>
      <c r="G359" s="34"/>
      <c r="H359" s="46">
        <f>I358+0</f>
        <v>583.13</v>
      </c>
      <c r="I359" s="46"/>
      <c r="J359" s="46">
        <f>K358+0</f>
        <v>5738</v>
      </c>
      <c r="K359" s="46"/>
      <c r="L359"/>
      <c r="O359"/>
      <c r="P359" s="31">
        <f>I358+0</f>
        <v>583.13</v>
      </c>
      <c r="Q359" s="31">
        <f>K358+0</f>
        <v>5738</v>
      </c>
    </row>
    <row r="360" spans="1:30" hidden="1" x14ac:dyDescent="0.2">
      <c r="L360"/>
      <c r="O360"/>
    </row>
    <row r="361" spans="1:30" ht="82.5" x14ac:dyDescent="0.2">
      <c r="A361" s="76">
        <v>40</v>
      </c>
      <c r="B361" s="76" t="str">
        <f>Source!F211</f>
        <v>КА, п.13</v>
      </c>
      <c r="C361" s="76" t="s">
        <v>660</v>
      </c>
      <c r="D361" s="77" t="str">
        <f>Source!H211</f>
        <v>ШТ</v>
      </c>
      <c r="E361" s="78">
        <f>Source!I211</f>
        <v>1</v>
      </c>
      <c r="F361" s="79">
        <f>Source!AL211</f>
        <v>397.24</v>
      </c>
      <c r="G361" s="80"/>
      <c r="H361" s="78">
        <f>Source!AW212</f>
        <v>1</v>
      </c>
      <c r="I361" s="79">
        <f>Source!P211</f>
        <v>397.24</v>
      </c>
      <c r="J361" s="78">
        <f>IF(Source!BC212&lt;&gt; 0, Source!BC212, 1)</f>
        <v>9.84</v>
      </c>
      <c r="K361" s="79">
        <f>Source!P212</f>
        <v>3908.84</v>
      </c>
      <c r="L361" s="100" t="s">
        <v>677</v>
      </c>
      <c r="O361" s="98" t="s">
        <v>680</v>
      </c>
      <c r="R361">
        <f>Source!X211</f>
        <v>0</v>
      </c>
      <c r="S361">
        <f>Source!X212</f>
        <v>0</v>
      </c>
      <c r="T361">
        <f>Source!Y211</f>
        <v>0</v>
      </c>
      <c r="U361">
        <f>Source!Y212</f>
        <v>0</v>
      </c>
      <c r="V361">
        <f>ROUND((175/100)*ROUND(Source!R211, 2), 2)</f>
        <v>0</v>
      </c>
      <c r="W361">
        <f>ROUND((0/100)*ROUND(Source!R212, 2), 2)</f>
        <v>0</v>
      </c>
      <c r="AD361">
        <v>5</v>
      </c>
    </row>
    <row r="362" spans="1:30" ht="15" hidden="1" x14ac:dyDescent="0.2">
      <c r="A362" s="34"/>
      <c r="B362" s="34"/>
      <c r="C362" s="35" t="s">
        <v>648</v>
      </c>
      <c r="D362" s="34"/>
      <c r="E362" s="34"/>
      <c r="F362" s="34"/>
      <c r="G362" s="34"/>
      <c r="H362" s="46">
        <f>I361+0</f>
        <v>397.24</v>
      </c>
      <c r="I362" s="46"/>
      <c r="J362" s="46">
        <f>K361+0</f>
        <v>3908.84</v>
      </c>
      <c r="K362" s="46"/>
      <c r="L362"/>
      <c r="O362"/>
      <c r="P362" s="31">
        <f>I361+0</f>
        <v>397.24</v>
      </c>
      <c r="Q362" s="31">
        <f>K361+0</f>
        <v>3908.84</v>
      </c>
    </row>
    <row r="363" spans="1:30" hidden="1" x14ac:dyDescent="0.2">
      <c r="L363"/>
      <c r="O363"/>
    </row>
    <row r="364" spans="1:30" ht="68.25" x14ac:dyDescent="0.2">
      <c r="A364" s="76">
        <v>41</v>
      </c>
      <c r="B364" s="76" t="str">
        <f>Source!F213</f>
        <v>КА, п.14</v>
      </c>
      <c r="C364" s="76" t="s">
        <v>688</v>
      </c>
      <c r="D364" s="77" t="str">
        <f>Source!H213</f>
        <v>ШТ</v>
      </c>
      <c r="E364" s="78">
        <f>Source!I213</f>
        <v>1</v>
      </c>
      <c r="F364" s="79">
        <f>Source!AL213</f>
        <v>2491.98</v>
      </c>
      <c r="G364" s="80"/>
      <c r="H364" s="78">
        <f>Source!AW214</f>
        <v>1</v>
      </c>
      <c r="I364" s="79">
        <f>Source!P213</f>
        <v>2491.98</v>
      </c>
      <c r="J364" s="78">
        <f>IF(Source!BC214&lt;&gt; 0, Source!BC214, 1)</f>
        <v>9.84</v>
      </c>
      <c r="K364" s="79">
        <f>Source!P214</f>
        <v>24521.08</v>
      </c>
      <c r="L364" s="100" t="s">
        <v>677</v>
      </c>
      <c r="O364" s="98" t="s">
        <v>680</v>
      </c>
      <c r="R364">
        <f>Source!X213</f>
        <v>0</v>
      </c>
      <c r="S364">
        <f>Source!X214</f>
        <v>0</v>
      </c>
      <c r="T364">
        <f>Source!Y213</f>
        <v>0</v>
      </c>
      <c r="U364">
        <f>Source!Y214</f>
        <v>0</v>
      </c>
      <c r="V364">
        <f>ROUND((175/100)*ROUND(Source!R213, 2), 2)</f>
        <v>0</v>
      </c>
      <c r="W364">
        <f>ROUND((0/100)*ROUND(Source!R214, 2), 2)</f>
        <v>0</v>
      </c>
      <c r="AD364">
        <v>5</v>
      </c>
    </row>
    <row r="365" spans="1:30" ht="15" hidden="1" x14ac:dyDescent="0.2">
      <c r="A365" s="34"/>
      <c r="B365" s="34"/>
      <c r="C365" s="35" t="s">
        <v>648</v>
      </c>
      <c r="D365" s="34"/>
      <c r="E365" s="34"/>
      <c r="F365" s="34"/>
      <c r="G365" s="34"/>
      <c r="H365" s="46">
        <f>I364+0</f>
        <v>2491.98</v>
      </c>
      <c r="I365" s="46"/>
      <c r="J365" s="46">
        <f>K364+0</f>
        <v>24521.08</v>
      </c>
      <c r="K365" s="46"/>
      <c r="L365"/>
      <c r="O365"/>
      <c r="P365" s="31">
        <f>I364+0</f>
        <v>2491.98</v>
      </c>
      <c r="Q365" s="31">
        <f>K364+0</f>
        <v>24521.08</v>
      </c>
    </row>
    <row r="366" spans="1:30" hidden="1" x14ac:dyDescent="0.2">
      <c r="L366"/>
      <c r="O366"/>
    </row>
    <row r="367" spans="1:30" ht="68.25" x14ac:dyDescent="0.2">
      <c r="A367" s="76">
        <v>42</v>
      </c>
      <c r="B367" s="76" t="str">
        <f>Source!F215</f>
        <v>КА, п.15</v>
      </c>
      <c r="C367" s="76" t="s">
        <v>661</v>
      </c>
      <c r="D367" s="77" t="str">
        <f>Source!H215</f>
        <v>ШТ</v>
      </c>
      <c r="E367" s="78">
        <f>Source!I215</f>
        <v>1</v>
      </c>
      <c r="F367" s="79">
        <f>Source!AL215</f>
        <v>479.38</v>
      </c>
      <c r="G367" s="80"/>
      <c r="H367" s="78">
        <f>Source!AW216</f>
        <v>1</v>
      </c>
      <c r="I367" s="79">
        <f>Source!P215</f>
        <v>479.38</v>
      </c>
      <c r="J367" s="78">
        <f>IF(Source!BC216&lt;&gt; 0, Source!BC216, 1)</f>
        <v>9.84</v>
      </c>
      <c r="K367" s="79">
        <f>Source!P216</f>
        <v>4717.1000000000004</v>
      </c>
      <c r="L367" s="100" t="s">
        <v>677</v>
      </c>
      <c r="O367" s="98" t="s">
        <v>680</v>
      </c>
      <c r="R367">
        <f>Source!X215</f>
        <v>0</v>
      </c>
      <c r="S367">
        <f>Source!X216</f>
        <v>0</v>
      </c>
      <c r="T367">
        <f>Source!Y215</f>
        <v>0</v>
      </c>
      <c r="U367">
        <f>Source!Y216</f>
        <v>0</v>
      </c>
      <c r="V367">
        <f>ROUND((175/100)*ROUND(Source!R215, 2), 2)</f>
        <v>0</v>
      </c>
      <c r="W367">
        <f>ROUND((0/100)*ROUND(Source!R216, 2), 2)</f>
        <v>0</v>
      </c>
      <c r="AD367">
        <v>5</v>
      </c>
    </row>
    <row r="368" spans="1:30" ht="15" hidden="1" x14ac:dyDescent="0.2">
      <c r="A368" s="34"/>
      <c r="B368" s="34"/>
      <c r="C368" s="35" t="s">
        <v>648</v>
      </c>
      <c r="D368" s="34"/>
      <c r="E368" s="34"/>
      <c r="F368" s="34"/>
      <c r="G368" s="34"/>
      <c r="H368" s="46">
        <f>I367+0</f>
        <v>479.38</v>
      </c>
      <c r="I368" s="46"/>
      <c r="J368" s="46">
        <f>K367+0</f>
        <v>4717.1000000000004</v>
      </c>
      <c r="K368" s="46"/>
      <c r="L368"/>
      <c r="O368"/>
      <c r="P368" s="31">
        <f>I367+0</f>
        <v>479.38</v>
      </c>
      <c r="Q368" s="31">
        <f>K367+0</f>
        <v>4717.1000000000004</v>
      </c>
    </row>
    <row r="369" spans="1:30" hidden="1" x14ac:dyDescent="0.2">
      <c r="L369"/>
      <c r="O369"/>
    </row>
    <row r="370" spans="1:30" hidden="1" x14ac:dyDescent="0.2">
      <c r="L370"/>
      <c r="O370"/>
    </row>
    <row r="371" spans="1:30" ht="15" hidden="1" x14ac:dyDescent="0.25">
      <c r="A371" s="45" t="str">
        <f>CONCATENATE("Итого по разделу: ",IF(Source!G218&lt;&gt;"Новый раздел", Source!G218, ""))</f>
        <v>Итого по разделу: РИП и боксы</v>
      </c>
      <c r="B371" s="45"/>
      <c r="C371" s="45"/>
      <c r="D371" s="45"/>
      <c r="E371" s="45"/>
      <c r="F371" s="45"/>
      <c r="G371" s="45"/>
      <c r="H371" s="43">
        <f>SUM(P347:P370)</f>
        <v>4437.5200000000004</v>
      </c>
      <c r="I371" s="44"/>
      <c r="J371" s="43">
        <f>SUM(Q347:Q370)</f>
        <v>65828.090000000011</v>
      </c>
      <c r="K371" s="44"/>
      <c r="L371"/>
      <c r="O371"/>
    </row>
    <row r="372" spans="1:30" hidden="1" x14ac:dyDescent="0.2">
      <c r="A372" t="s">
        <v>650</v>
      </c>
      <c r="I372">
        <f>SUM(X347:X371)</f>
        <v>0</v>
      </c>
      <c r="J372">
        <f>SUM(Y347:Y371)</f>
        <v>0</v>
      </c>
      <c r="L372"/>
      <c r="O372"/>
    </row>
    <row r="373" spans="1:30" hidden="1" x14ac:dyDescent="0.2">
      <c r="A373" t="s">
        <v>651</v>
      </c>
      <c r="I373">
        <f>SUM(Z347:Z372)</f>
        <v>0</v>
      </c>
      <c r="J373">
        <f>SUM(AA347:AA372)</f>
        <v>0</v>
      </c>
      <c r="L373"/>
      <c r="O373"/>
    </row>
    <row r="374" spans="1:30" hidden="1" x14ac:dyDescent="0.2">
      <c r="L374"/>
      <c r="O374"/>
    </row>
    <row r="375" spans="1:30" ht="16.5" hidden="1" x14ac:dyDescent="0.2">
      <c r="A375" s="48" t="str">
        <f>CONCATENATE("Раздел: ",IF(Source!G248&lt;&gt;"Новый раздел", Source!G248, ""))</f>
        <v>Раздел: АКБ</v>
      </c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/>
      <c r="O375"/>
    </row>
    <row r="376" spans="1:30" ht="28.5" hidden="1" x14ac:dyDescent="0.2">
      <c r="A376" s="20">
        <v>43</v>
      </c>
      <c r="B376" s="20" t="str">
        <f>Source!F252</f>
        <v>4.10-173-2</v>
      </c>
      <c r="C376" s="20" t="s">
        <v>226</v>
      </c>
      <c r="D376" s="22" t="str">
        <f>Source!H252</f>
        <v>1  ШТ.</v>
      </c>
      <c r="E376" s="21">
        <f>Source!I252</f>
        <v>5</v>
      </c>
      <c r="F376" s="24"/>
      <c r="G376" s="23"/>
      <c r="H376" s="21"/>
      <c r="I376" s="24"/>
      <c r="J376" s="21"/>
      <c r="K376" s="24"/>
      <c r="L376"/>
      <c r="O376"/>
      <c r="R376">
        <f>Source!X252</f>
        <v>227.12</v>
      </c>
      <c r="S376">
        <f>Source!X253</f>
        <v>12797.93</v>
      </c>
      <c r="T376">
        <f>Source!Y252</f>
        <v>116.08</v>
      </c>
      <c r="U376">
        <f>Source!Y253</f>
        <v>6541.16</v>
      </c>
      <c r="V376">
        <f>ROUND((175/100)*ROUND(Source!R252, 2), 2)</f>
        <v>0</v>
      </c>
      <c r="W376">
        <f>ROUND((0/100)*ROUND(Source!R253, 2), 2)</f>
        <v>0</v>
      </c>
      <c r="AD376">
        <v>0</v>
      </c>
    </row>
    <row r="377" spans="1:30" hidden="1" x14ac:dyDescent="0.2">
      <c r="C377" s="33" t="str">
        <f>"Объем: "&amp;Source!I252&amp;"=3+"&amp;"2"</f>
        <v>Объем: 5=3+2</v>
      </c>
      <c r="L377"/>
      <c r="O377"/>
    </row>
    <row r="378" spans="1:30" ht="14.25" hidden="1" x14ac:dyDescent="0.2">
      <c r="A378" s="20"/>
      <c r="B378" s="20"/>
      <c r="C378" s="20" t="s">
        <v>638</v>
      </c>
      <c r="D378" s="22"/>
      <c r="E378" s="21"/>
      <c r="F378" s="24">
        <f>Source!AO252</f>
        <v>40.17</v>
      </c>
      <c r="G378" s="23" t="s">
        <v>157</v>
      </c>
      <c r="H378" s="21">
        <f>Source!AV253</f>
        <v>1.0469999999999999</v>
      </c>
      <c r="I378" s="24">
        <f>Source!S252</f>
        <v>252.35</v>
      </c>
      <c r="J378" s="21">
        <f>IF(Source!BA253&lt;&gt; 0, Source!BA253, 1)</f>
        <v>56.35</v>
      </c>
      <c r="K378" s="24">
        <f>Source!S253</f>
        <v>14219.92</v>
      </c>
      <c r="L378"/>
      <c r="O378"/>
    </row>
    <row r="379" spans="1:30" ht="14.25" hidden="1" x14ac:dyDescent="0.2">
      <c r="A379" s="20"/>
      <c r="B379" s="20"/>
      <c r="C379" s="20" t="s">
        <v>652</v>
      </c>
      <c r="D379" s="22"/>
      <c r="E379" s="21"/>
      <c r="F379" s="24">
        <f>Source!AL252</f>
        <v>2.34</v>
      </c>
      <c r="G379" s="23"/>
      <c r="H379" s="21">
        <f>Source!AW253</f>
        <v>1</v>
      </c>
      <c r="I379" s="24">
        <f>Source!P252</f>
        <v>11.7</v>
      </c>
      <c r="J379" s="21">
        <f>IF(Source!BC253&lt;&gt; 0, Source!BC253, 1)</f>
        <v>10.24</v>
      </c>
      <c r="K379" s="24">
        <f>Source!P253</f>
        <v>119.81</v>
      </c>
      <c r="L379"/>
      <c r="O379"/>
    </row>
    <row r="380" spans="1:30" ht="14.25" hidden="1" x14ac:dyDescent="0.2">
      <c r="A380" s="20"/>
      <c r="B380" s="20"/>
      <c r="C380" s="20" t="s">
        <v>641</v>
      </c>
      <c r="D380" s="22" t="s">
        <v>642</v>
      </c>
      <c r="E380" s="21">
        <f>Source!BZ253</f>
        <v>90</v>
      </c>
      <c r="F380" s="24"/>
      <c r="G380" s="23"/>
      <c r="H380" s="21"/>
      <c r="I380" s="24">
        <f>SUM(R376:R379)</f>
        <v>227.12</v>
      </c>
      <c r="J380" s="21">
        <f>Source!AT253</f>
        <v>90</v>
      </c>
      <c r="K380" s="24">
        <f>SUM(S376:S379)</f>
        <v>12797.93</v>
      </c>
      <c r="L380"/>
      <c r="O380"/>
    </row>
    <row r="381" spans="1:30" ht="14.25" hidden="1" x14ac:dyDescent="0.2">
      <c r="A381" s="20"/>
      <c r="B381" s="20"/>
      <c r="C381" s="20" t="s">
        <v>643</v>
      </c>
      <c r="D381" s="22" t="s">
        <v>642</v>
      </c>
      <c r="E381" s="21">
        <f>Source!CA253</f>
        <v>46</v>
      </c>
      <c r="F381" s="24"/>
      <c r="G381" s="23"/>
      <c r="H381" s="21"/>
      <c r="I381" s="24">
        <f>SUM(T376:T380)</f>
        <v>116.08</v>
      </c>
      <c r="J381" s="21">
        <f>Source!AU253</f>
        <v>46</v>
      </c>
      <c r="K381" s="24">
        <f>SUM(U376:U380)</f>
        <v>6541.16</v>
      </c>
      <c r="L381"/>
      <c r="O381"/>
    </row>
    <row r="382" spans="1:30" ht="14.25" hidden="1" x14ac:dyDescent="0.2">
      <c r="A382" s="25"/>
      <c r="B382" s="25"/>
      <c r="C382" s="25" t="s">
        <v>644</v>
      </c>
      <c r="D382" s="26" t="s">
        <v>645</v>
      </c>
      <c r="E382" s="27">
        <f>Source!AQ252</f>
        <v>3.18</v>
      </c>
      <c r="F382" s="28"/>
      <c r="G382" s="29" t="s">
        <v>157</v>
      </c>
      <c r="H382" s="27">
        <f>Source!AV253</f>
        <v>1.0469999999999999</v>
      </c>
      <c r="I382" s="28">
        <f>Source!U252</f>
        <v>19.976759999999999</v>
      </c>
      <c r="J382" s="27"/>
      <c r="K382" s="28"/>
      <c r="L382"/>
      <c r="O382"/>
    </row>
    <row r="383" spans="1:30" ht="15" hidden="1" x14ac:dyDescent="0.2">
      <c r="C383" s="30" t="s">
        <v>646</v>
      </c>
      <c r="H383" s="47">
        <f>I378+I379+I380+I381+0-0-0</f>
        <v>607.25</v>
      </c>
      <c r="I383" s="47"/>
      <c r="J383" s="47">
        <f>K378+K379+K380+K381+0-0-0</f>
        <v>33678.82</v>
      </c>
      <c r="K383" s="47"/>
      <c r="L383"/>
      <c r="O383"/>
    </row>
    <row r="384" spans="1:30" ht="15" hidden="1" x14ac:dyDescent="0.2">
      <c r="C384" s="30" t="s">
        <v>647</v>
      </c>
      <c r="H384" s="43">
        <f>0+0</f>
        <v>0</v>
      </c>
      <c r="I384" s="43"/>
      <c r="J384" s="43">
        <f>0+0</f>
        <v>0</v>
      </c>
      <c r="K384" s="43"/>
      <c r="L384"/>
      <c r="O384"/>
    </row>
    <row r="385" spans="1:30" ht="15" hidden="1" x14ac:dyDescent="0.2">
      <c r="C385" s="30" t="s">
        <v>648</v>
      </c>
      <c r="H385" s="43">
        <f>I378+I379+I380+I381+0</f>
        <v>607.25</v>
      </c>
      <c r="I385" s="43"/>
      <c r="J385" s="43">
        <f>K378+K379+K380+K381+0</f>
        <v>33678.82</v>
      </c>
      <c r="K385" s="43"/>
      <c r="L385"/>
      <c r="O385"/>
      <c r="P385" s="31">
        <f>I378+I379+I380+I381+0</f>
        <v>607.25</v>
      </c>
      <c r="Q385" s="31">
        <f>K378+K379+K380+K381+0</f>
        <v>33678.82</v>
      </c>
    </row>
    <row r="386" spans="1:30" hidden="1" x14ac:dyDescent="0.2">
      <c r="L386"/>
      <c r="O386"/>
    </row>
    <row r="387" spans="1:30" ht="68.25" x14ac:dyDescent="0.2">
      <c r="A387" s="76">
        <v>44</v>
      </c>
      <c r="B387" s="76" t="str">
        <f>Source!F254</f>
        <v>КА, п.16</v>
      </c>
      <c r="C387" s="76" t="s">
        <v>689</v>
      </c>
      <c r="D387" s="77" t="str">
        <f>Source!H254</f>
        <v>ШТ</v>
      </c>
      <c r="E387" s="78">
        <f>Source!I254</f>
        <v>3</v>
      </c>
      <c r="F387" s="79">
        <f>Source!AL254</f>
        <v>407.52</v>
      </c>
      <c r="G387" s="80"/>
      <c r="H387" s="78">
        <f>Source!AW255</f>
        <v>1</v>
      </c>
      <c r="I387" s="79">
        <f>Source!P254</f>
        <v>1222.56</v>
      </c>
      <c r="J387" s="78">
        <f>IF(Source!BC255&lt;&gt; 0, Source!BC255, 1)</f>
        <v>9.84</v>
      </c>
      <c r="K387" s="79">
        <f>Source!P255</f>
        <v>12029.99</v>
      </c>
      <c r="L387" s="100" t="s">
        <v>677</v>
      </c>
      <c r="O387" s="98" t="s">
        <v>680</v>
      </c>
      <c r="R387">
        <f>Source!X254</f>
        <v>0</v>
      </c>
      <c r="S387">
        <f>Source!X255</f>
        <v>0</v>
      </c>
      <c r="T387">
        <f>Source!Y254</f>
        <v>0</v>
      </c>
      <c r="U387">
        <f>Source!Y255</f>
        <v>0</v>
      </c>
      <c r="V387">
        <f>ROUND((175/100)*ROUND(Source!R254, 2), 2)</f>
        <v>0</v>
      </c>
      <c r="W387">
        <f>ROUND((0/100)*ROUND(Source!R255, 2), 2)</f>
        <v>0</v>
      </c>
      <c r="AD387">
        <v>5</v>
      </c>
    </row>
    <row r="388" spans="1:30" ht="15" hidden="1" x14ac:dyDescent="0.2">
      <c r="A388" s="34"/>
      <c r="B388" s="34"/>
      <c r="C388" s="35" t="s">
        <v>648</v>
      </c>
      <c r="D388" s="34"/>
      <c r="E388" s="34"/>
      <c r="F388" s="34"/>
      <c r="G388" s="34"/>
      <c r="H388" s="46">
        <f>I387+0</f>
        <v>1222.56</v>
      </c>
      <c r="I388" s="46"/>
      <c r="J388" s="46">
        <f>K387+0</f>
        <v>12029.99</v>
      </c>
      <c r="K388" s="46"/>
      <c r="L388"/>
      <c r="O388"/>
      <c r="P388" s="31">
        <f>I387+0</f>
        <v>1222.56</v>
      </c>
      <c r="Q388" s="31">
        <f>K387+0</f>
        <v>12029.99</v>
      </c>
    </row>
    <row r="389" spans="1:30" hidden="1" x14ac:dyDescent="0.2">
      <c r="L389"/>
      <c r="O389"/>
    </row>
    <row r="390" spans="1:30" ht="42.75" x14ac:dyDescent="0.2">
      <c r="A390" s="76">
        <v>45</v>
      </c>
      <c r="B390" s="76" t="str">
        <f>Source!F256</f>
        <v>13.1-1-20</v>
      </c>
      <c r="C390" s="76" t="s">
        <v>662</v>
      </c>
      <c r="D390" s="77" t="str">
        <f>Source!H256</f>
        <v>шт.</v>
      </c>
      <c r="E390" s="78">
        <f>Source!I256</f>
        <v>2</v>
      </c>
      <c r="F390" s="79">
        <f>Source!AL256</f>
        <v>89.39</v>
      </c>
      <c r="G390" s="80"/>
      <c r="H390" s="78">
        <f>Source!AW257</f>
        <v>1</v>
      </c>
      <c r="I390" s="79">
        <f>Source!P256</f>
        <v>178.78</v>
      </c>
      <c r="J390" s="78">
        <f>IF(Source!BC257&lt;&gt; 0, Source!BC257, 1)</f>
        <v>6.76</v>
      </c>
      <c r="K390" s="79">
        <f>Source!P257</f>
        <v>1208.55</v>
      </c>
      <c r="L390" s="97" t="s">
        <v>677</v>
      </c>
      <c r="O390"/>
      <c r="R390">
        <f>Source!X256</f>
        <v>0</v>
      </c>
      <c r="S390">
        <f>Source!X257</f>
        <v>0</v>
      </c>
      <c r="T390">
        <f>Source!Y256</f>
        <v>0</v>
      </c>
      <c r="U390">
        <f>Source!Y257</f>
        <v>0</v>
      </c>
      <c r="V390">
        <f>ROUND((175/100)*ROUND(Source!R256, 2), 2)</f>
        <v>0</v>
      </c>
      <c r="W390">
        <f>ROUND((0/100)*ROUND(Source!R257, 2), 2)</f>
        <v>0</v>
      </c>
      <c r="AD390">
        <v>5</v>
      </c>
    </row>
    <row r="391" spans="1:30" ht="15" hidden="1" x14ac:dyDescent="0.2">
      <c r="A391" s="34"/>
      <c r="B391" s="34"/>
      <c r="C391" s="35" t="s">
        <v>648</v>
      </c>
      <c r="D391" s="34"/>
      <c r="E391" s="34"/>
      <c r="F391" s="34"/>
      <c r="G391" s="34"/>
      <c r="H391" s="46">
        <f>I390+0</f>
        <v>178.78</v>
      </c>
      <c r="I391" s="46"/>
      <c r="J391" s="46">
        <f>K390+0</f>
        <v>1208.55</v>
      </c>
      <c r="K391" s="46"/>
      <c r="L391"/>
      <c r="O391"/>
      <c r="P391" s="31">
        <f>I390+0</f>
        <v>178.78</v>
      </c>
      <c r="Q391" s="31">
        <f>K390+0</f>
        <v>1208.55</v>
      </c>
    </row>
    <row r="392" spans="1:30" hidden="1" x14ac:dyDescent="0.2">
      <c r="L392"/>
      <c r="O392"/>
    </row>
    <row r="393" spans="1:30" hidden="1" x14ac:dyDescent="0.2">
      <c r="L393"/>
      <c r="O393"/>
    </row>
    <row r="394" spans="1:30" ht="15" hidden="1" x14ac:dyDescent="0.25">
      <c r="A394" s="45" t="str">
        <f>CONCATENATE("Итого по разделу: ",IF(Source!G259&lt;&gt;"Новый раздел", Source!G259, ""))</f>
        <v>Итого по разделу: АКБ</v>
      </c>
      <c r="B394" s="45"/>
      <c r="C394" s="45"/>
      <c r="D394" s="45"/>
      <c r="E394" s="45"/>
      <c r="F394" s="45"/>
      <c r="G394" s="45"/>
      <c r="H394" s="43">
        <f>SUM(P375:P393)</f>
        <v>2008.59</v>
      </c>
      <c r="I394" s="44"/>
      <c r="J394" s="43">
        <f>SUM(Q375:Q393)</f>
        <v>46917.36</v>
      </c>
      <c r="K394" s="44"/>
      <c r="L394"/>
      <c r="O394"/>
    </row>
    <row r="395" spans="1:30" hidden="1" x14ac:dyDescent="0.2">
      <c r="A395" t="s">
        <v>650</v>
      </c>
      <c r="I395">
        <f>SUM(X375:X394)</f>
        <v>0</v>
      </c>
      <c r="J395">
        <f>SUM(Y375:Y394)</f>
        <v>0</v>
      </c>
      <c r="L395"/>
      <c r="O395"/>
    </row>
    <row r="396" spans="1:30" hidden="1" x14ac:dyDescent="0.2">
      <c r="A396" t="s">
        <v>651</v>
      </c>
      <c r="I396">
        <f>SUM(Z375:Z395)</f>
        <v>0</v>
      </c>
      <c r="J396">
        <f>SUM(AA375:AA395)</f>
        <v>0</v>
      </c>
      <c r="L396"/>
      <c r="O396"/>
    </row>
    <row r="397" spans="1:30" hidden="1" x14ac:dyDescent="0.2">
      <c r="L397"/>
      <c r="O397"/>
    </row>
    <row r="398" spans="1:30" ht="16.5" hidden="1" x14ac:dyDescent="0.2">
      <c r="A398" s="48" t="str">
        <f>CONCATENATE("Раздел: ",IF(Source!G289&lt;&gt;"Новый раздел", Source!G289, ""))</f>
        <v>Раздел: Кабельные изделия</v>
      </c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/>
      <c r="O398"/>
    </row>
    <row r="399" spans="1:30" ht="71.25" hidden="1" x14ac:dyDescent="0.2">
      <c r="A399" s="20">
        <v>46</v>
      </c>
      <c r="B399" s="20" t="str">
        <f>Source!F293</f>
        <v>4.10-186-5</v>
      </c>
      <c r="C399" s="20" t="s">
        <v>256</v>
      </c>
      <c r="D399" s="22" t="str">
        <f>Source!H293</f>
        <v>100 м</v>
      </c>
      <c r="E399" s="21">
        <f>Source!I293</f>
        <v>21.89</v>
      </c>
      <c r="F399" s="24"/>
      <c r="G399" s="23"/>
      <c r="H399" s="21"/>
      <c r="I399" s="24"/>
      <c r="J399" s="21"/>
      <c r="K399" s="24"/>
      <c r="L399"/>
      <c r="O399"/>
      <c r="R399">
        <f>Source!X293</f>
        <v>4883.1400000000003</v>
      </c>
      <c r="S399">
        <f>Source!X294</f>
        <v>275164.88</v>
      </c>
      <c r="T399">
        <f>Source!Y293</f>
        <v>2495.83</v>
      </c>
      <c r="U399">
        <f>Source!Y294</f>
        <v>140639.82999999999</v>
      </c>
      <c r="V399">
        <f>ROUND((175/100)*ROUND(Source!R293, 2), 2)</f>
        <v>0</v>
      </c>
      <c r="W399">
        <f>ROUND((0/100)*ROUND(Source!R294, 2), 2)</f>
        <v>0</v>
      </c>
      <c r="AD399">
        <v>0</v>
      </c>
    </row>
    <row r="400" spans="1:30" hidden="1" x14ac:dyDescent="0.2">
      <c r="C400" s="33" t="str">
        <f>"Объем: "&amp;Source!I293&amp;"=2189/"&amp;"100"</f>
        <v>Объем: 21,89=2189/100</v>
      </c>
      <c r="L400"/>
      <c r="O400"/>
    </row>
    <row r="401" spans="1:30" ht="14.25" hidden="1" x14ac:dyDescent="0.2">
      <c r="A401" s="20"/>
      <c r="B401" s="20"/>
      <c r="C401" s="20" t="s">
        <v>638</v>
      </c>
      <c r="D401" s="22"/>
      <c r="E401" s="21"/>
      <c r="F401" s="24">
        <f>Source!AO293</f>
        <v>197.28</v>
      </c>
      <c r="G401" s="23" t="s">
        <v>157</v>
      </c>
      <c r="H401" s="21">
        <f>Source!AV294</f>
        <v>1.0469999999999999</v>
      </c>
      <c r="I401" s="24">
        <f>Source!S293</f>
        <v>5425.71</v>
      </c>
      <c r="J401" s="21">
        <f>IF(Source!BA294&lt;&gt; 0, Source!BA294, 1)</f>
        <v>56.35</v>
      </c>
      <c r="K401" s="24">
        <f>Source!S294</f>
        <v>305738.76</v>
      </c>
      <c r="L401"/>
      <c r="O401"/>
    </row>
    <row r="402" spans="1:30" ht="14.25" hidden="1" x14ac:dyDescent="0.2">
      <c r="A402" s="20"/>
      <c r="B402" s="20"/>
      <c r="C402" s="20" t="s">
        <v>640</v>
      </c>
      <c r="D402" s="22"/>
      <c r="E402" s="21"/>
      <c r="F402" s="24">
        <f>Source!AM293</f>
        <v>1.73</v>
      </c>
      <c r="G402" s="23" t="s">
        <v>157</v>
      </c>
      <c r="H402" s="21">
        <f>Source!AV294</f>
        <v>1.0469999999999999</v>
      </c>
      <c r="I402" s="24">
        <f>Source!Q293</f>
        <v>47.58</v>
      </c>
      <c r="J402" s="21">
        <f>IF(Source!BB294&lt;&gt; 0, Source!BB294, 1)</f>
        <v>9.6199999999999992</v>
      </c>
      <c r="K402" s="24">
        <f>Source!Q294</f>
        <v>457.72</v>
      </c>
      <c r="L402"/>
      <c r="O402"/>
    </row>
    <row r="403" spans="1:30" ht="14.25" hidden="1" x14ac:dyDescent="0.2">
      <c r="A403" s="20"/>
      <c r="B403" s="20"/>
      <c r="C403" s="20" t="s">
        <v>652</v>
      </c>
      <c r="D403" s="22"/>
      <c r="E403" s="21"/>
      <c r="F403" s="24">
        <f>Source!AL293</f>
        <v>91.91</v>
      </c>
      <c r="G403" s="23"/>
      <c r="H403" s="21">
        <f>Source!AW294</f>
        <v>1</v>
      </c>
      <c r="I403" s="24">
        <f>Source!P293</f>
        <v>2011.91</v>
      </c>
      <c r="J403" s="21">
        <f>IF(Source!BC294&lt;&gt; 0, Source!BC294, 1)</f>
        <v>2.4700000000000002</v>
      </c>
      <c r="K403" s="24">
        <f>Source!P294</f>
        <v>4969.42</v>
      </c>
      <c r="L403"/>
      <c r="O403"/>
    </row>
    <row r="404" spans="1:30" ht="55.5" x14ac:dyDescent="0.2">
      <c r="A404" s="86" t="s">
        <v>258</v>
      </c>
      <c r="B404" s="86" t="str">
        <f>Source!F295</f>
        <v>КА, п.17</v>
      </c>
      <c r="C404" s="86" t="s">
        <v>663</v>
      </c>
      <c r="D404" s="87" t="str">
        <f>Source!H295</f>
        <v>м</v>
      </c>
      <c r="E404" s="88">
        <f>Source!I295</f>
        <v>2232.7800000000002</v>
      </c>
      <c r="F404" s="89">
        <f>Source!AK295</f>
        <v>14.69</v>
      </c>
      <c r="G404" s="90" t="s">
        <v>3</v>
      </c>
      <c r="H404" s="88">
        <f>Source!AW296</f>
        <v>1</v>
      </c>
      <c r="I404" s="89">
        <f>Source!O295</f>
        <v>32799.54</v>
      </c>
      <c r="J404" s="88">
        <f>IF(Source!BC296&lt;&gt; 0, Source!BC296, 1)</f>
        <v>7.57</v>
      </c>
      <c r="K404" s="89">
        <f>Source!O296</f>
        <v>248292.52</v>
      </c>
      <c r="L404" s="97" t="s">
        <v>679</v>
      </c>
      <c r="O404"/>
      <c r="R404">
        <f>Source!X295</f>
        <v>0</v>
      </c>
      <c r="S404">
        <f>Source!X296</f>
        <v>0</v>
      </c>
      <c r="T404">
        <f>Source!Y295</f>
        <v>0</v>
      </c>
      <c r="U404">
        <f>Source!Y296</f>
        <v>0</v>
      </c>
      <c r="V404">
        <f>ROUND((175/100)*ROUND(Source!R295, 2), 2)</f>
        <v>0</v>
      </c>
      <c r="W404">
        <f>ROUND((0/100)*ROUND(Source!R296, 2), 2)</f>
        <v>0</v>
      </c>
      <c r="AD404">
        <v>3</v>
      </c>
    </row>
    <row r="405" spans="1:30" ht="42.75" hidden="1" x14ac:dyDescent="0.2">
      <c r="A405" s="20" t="s">
        <v>266</v>
      </c>
      <c r="B405" s="20" t="str">
        <f>Source!F297</f>
        <v>1.21-5-1136</v>
      </c>
      <c r="C405" s="20" t="s">
        <v>268</v>
      </c>
      <c r="D405" s="22" t="str">
        <f>Source!H297</f>
        <v>100 шт.</v>
      </c>
      <c r="E405" s="21">
        <f>Source!I297</f>
        <v>47.369959999999992</v>
      </c>
      <c r="F405" s="24">
        <f>Source!AK297</f>
        <v>146.88999999999999</v>
      </c>
      <c r="G405" s="36" t="s">
        <v>3</v>
      </c>
      <c r="H405" s="21">
        <f>Source!AW298</f>
        <v>1</v>
      </c>
      <c r="I405" s="24">
        <f>Source!O297</f>
        <v>6958.17</v>
      </c>
      <c r="J405" s="21">
        <f>IF(Source!BC298&lt;&gt; 0, Source!BC298, 1)</f>
        <v>1.74</v>
      </c>
      <c r="K405" s="24">
        <f>Source!O298</f>
        <v>12107.22</v>
      </c>
      <c r="L405"/>
      <c r="O405"/>
      <c r="R405">
        <f>Source!X297</f>
        <v>0</v>
      </c>
      <c r="S405">
        <f>Source!X298</f>
        <v>0</v>
      </c>
      <c r="T405">
        <f>Source!Y297</f>
        <v>0</v>
      </c>
      <c r="U405">
        <f>Source!Y298</f>
        <v>0</v>
      </c>
      <c r="V405">
        <f>ROUND((175/100)*ROUND(Source!R297, 2), 2)</f>
        <v>0</v>
      </c>
      <c r="W405">
        <f>ROUND((0/100)*ROUND(Source!R298, 2), 2)</f>
        <v>0</v>
      </c>
      <c r="AD405">
        <v>3</v>
      </c>
    </row>
    <row r="406" spans="1:30" ht="14.25" hidden="1" x14ac:dyDescent="0.2">
      <c r="A406" s="20"/>
      <c r="B406" s="20"/>
      <c r="C406" s="20" t="s">
        <v>641</v>
      </c>
      <c r="D406" s="22" t="s">
        <v>642</v>
      </c>
      <c r="E406" s="21">
        <f>Source!BZ294</f>
        <v>90</v>
      </c>
      <c r="F406" s="24"/>
      <c r="G406" s="23"/>
      <c r="H406" s="21"/>
      <c r="I406" s="24">
        <f>SUM(R399:R405)</f>
        <v>4883.1400000000003</v>
      </c>
      <c r="J406" s="21">
        <f>Source!AT294</f>
        <v>90</v>
      </c>
      <c r="K406" s="24">
        <f>SUM(S399:S405)</f>
        <v>275164.88</v>
      </c>
      <c r="L406"/>
      <c r="O406"/>
    </row>
    <row r="407" spans="1:30" ht="14.25" hidden="1" x14ac:dyDescent="0.2">
      <c r="A407" s="20"/>
      <c r="B407" s="20"/>
      <c r="C407" s="20" t="s">
        <v>643</v>
      </c>
      <c r="D407" s="22" t="s">
        <v>642</v>
      </c>
      <c r="E407" s="21">
        <f>Source!CA294</f>
        <v>46</v>
      </c>
      <c r="F407" s="24"/>
      <c r="G407" s="23"/>
      <c r="H407" s="21"/>
      <c r="I407" s="24">
        <f>SUM(T399:T406)</f>
        <v>2495.83</v>
      </c>
      <c r="J407" s="21">
        <f>Source!AU294</f>
        <v>46</v>
      </c>
      <c r="K407" s="24">
        <f>SUM(U399:U406)</f>
        <v>140639.82999999999</v>
      </c>
      <c r="L407"/>
      <c r="O407"/>
    </row>
    <row r="408" spans="1:30" ht="14.25" hidden="1" x14ac:dyDescent="0.2">
      <c r="A408" s="25"/>
      <c r="B408" s="25"/>
      <c r="C408" s="25" t="s">
        <v>644</v>
      </c>
      <c r="D408" s="26" t="s">
        <v>645</v>
      </c>
      <c r="E408" s="27">
        <f>Source!AQ293</f>
        <v>16.600000000000001</v>
      </c>
      <c r="F408" s="28"/>
      <c r="G408" s="29" t="s">
        <v>157</v>
      </c>
      <c r="H408" s="27">
        <f>Source!AV294</f>
        <v>1.0469999999999999</v>
      </c>
      <c r="I408" s="28">
        <f>Source!U293</f>
        <v>456.54309360000002</v>
      </c>
      <c r="J408" s="27"/>
      <c r="K408" s="28"/>
      <c r="L408"/>
      <c r="O408"/>
    </row>
    <row r="409" spans="1:30" ht="15" hidden="1" x14ac:dyDescent="0.2">
      <c r="C409" s="30" t="s">
        <v>646</v>
      </c>
      <c r="H409" s="47">
        <f>I401+I402+I403+I406+I407+SUM(I404:I405)-SUMIF(AD404:AD405, 5, I404:I405)-SUMIF(AD404:AD405, 6, I404:I405)</f>
        <v>54621.88</v>
      </c>
      <c r="I409" s="47"/>
      <c r="J409" s="47">
        <f>K401+K402+K403+K406+K407+SUM(K404:K405)-SUMIF(AD404:AD405, 5, K404:K405)-SUMIF(AD404:AD405, 6, K404:K405)</f>
        <v>987370.35</v>
      </c>
      <c r="K409" s="47"/>
      <c r="L409"/>
      <c r="O409"/>
    </row>
    <row r="410" spans="1:30" ht="15" hidden="1" x14ac:dyDescent="0.2">
      <c r="C410" s="30" t="s">
        <v>647</v>
      </c>
      <c r="H410" s="43">
        <f>SUMIF(AD404:AD405, 5, I404:I405)+SUMIF(AD404:AD405, 6, I404:I405)</f>
        <v>0</v>
      </c>
      <c r="I410" s="43"/>
      <c r="J410" s="43">
        <f>SUMIF(AD404:AD405, 5, K404:K405)+SUMIF(AD404:AD405, 6, K404:K405)</f>
        <v>0</v>
      </c>
      <c r="K410" s="43"/>
      <c r="L410"/>
      <c r="O410"/>
    </row>
    <row r="411" spans="1:30" ht="15" hidden="1" x14ac:dyDescent="0.2">
      <c r="C411" s="30" t="s">
        <v>648</v>
      </c>
      <c r="H411" s="43">
        <f>I401+I402+I403+I406+I407+SUM(I404:I405)</f>
        <v>54621.88</v>
      </c>
      <c r="I411" s="43"/>
      <c r="J411" s="43">
        <f>K401+K402+K403+K406+K407+SUM(K404:K405)</f>
        <v>987370.35</v>
      </c>
      <c r="K411" s="43"/>
      <c r="L411"/>
      <c r="O411"/>
      <c r="P411" s="31">
        <f>I401+I402+I403+I406+I407+SUM(I404:I405)</f>
        <v>54621.88</v>
      </c>
      <c r="Q411" s="31">
        <f>K401+K402+K403+K406+K407+SUM(K404:K405)</f>
        <v>987370.35</v>
      </c>
    </row>
    <row r="412" spans="1:30" hidden="1" x14ac:dyDescent="0.2">
      <c r="L412"/>
      <c r="O412"/>
    </row>
    <row r="413" spans="1:30" ht="41.25" x14ac:dyDescent="0.2">
      <c r="A413" s="86">
        <v>47</v>
      </c>
      <c r="B413" s="86" t="str">
        <f>Source!F299</f>
        <v>КА, п.18</v>
      </c>
      <c r="C413" s="86" t="s">
        <v>664</v>
      </c>
      <c r="D413" s="87" t="str">
        <f>Source!H299</f>
        <v>м</v>
      </c>
      <c r="E413" s="88">
        <f>Source!I299</f>
        <v>2232.7800000000002</v>
      </c>
      <c r="F413" s="89">
        <f>Source!AL299</f>
        <v>5.46</v>
      </c>
      <c r="G413" s="91"/>
      <c r="H413" s="88">
        <f>Source!AW300</f>
        <v>1</v>
      </c>
      <c r="I413" s="89">
        <f>Source!P299</f>
        <v>12190.98</v>
      </c>
      <c r="J413" s="88">
        <f>IF(Source!BC300&lt;&gt; 0, Source!BC300, 1)</f>
        <v>7.57</v>
      </c>
      <c r="K413" s="89">
        <f>Source!P300</f>
        <v>92285.72</v>
      </c>
      <c r="L413" s="97" t="s">
        <v>679</v>
      </c>
      <c r="O413"/>
      <c r="R413">
        <f>Source!X299</f>
        <v>0</v>
      </c>
      <c r="S413">
        <f>Source!X300</f>
        <v>0</v>
      </c>
      <c r="T413">
        <f>Source!Y299</f>
        <v>0</v>
      </c>
      <c r="U413">
        <f>Source!Y300</f>
        <v>0</v>
      </c>
      <c r="V413">
        <f>ROUND((175/100)*ROUND(Source!R299, 2), 2)</f>
        <v>0</v>
      </c>
      <c r="W413">
        <f>ROUND((0/100)*ROUND(Source!R300, 2), 2)</f>
        <v>0</v>
      </c>
      <c r="AD413">
        <v>3</v>
      </c>
    </row>
    <row r="414" spans="1:30" hidden="1" x14ac:dyDescent="0.2">
      <c r="A414" s="37"/>
      <c r="B414" s="37"/>
      <c r="C414" s="38" t="str">
        <f>"Объем: "&amp;Source!I299&amp;"=2189*"&amp;"1,02"</f>
        <v>Объем: 2232,78=2189*1,02</v>
      </c>
      <c r="D414" s="37"/>
      <c r="E414" s="37"/>
      <c r="F414" s="37"/>
      <c r="G414" s="37"/>
      <c r="H414" s="37"/>
      <c r="I414" s="37"/>
      <c r="J414" s="37"/>
      <c r="K414" s="37"/>
      <c r="L414"/>
      <c r="O414"/>
    </row>
    <row r="415" spans="1:30" ht="15" hidden="1" x14ac:dyDescent="0.2">
      <c r="C415" s="30" t="s">
        <v>648</v>
      </c>
      <c r="H415" s="47">
        <f>I413+0</f>
        <v>12190.98</v>
      </c>
      <c r="I415" s="47"/>
      <c r="J415" s="47">
        <f>K413+0</f>
        <v>92285.72</v>
      </c>
      <c r="K415" s="47"/>
      <c r="L415"/>
      <c r="O415"/>
      <c r="P415" s="31">
        <f>I413+0</f>
        <v>12190.98</v>
      </c>
      <c r="Q415" s="31">
        <f>K413+0</f>
        <v>92285.72</v>
      </c>
    </row>
    <row r="416" spans="1:30" hidden="1" x14ac:dyDescent="0.2">
      <c r="L416"/>
      <c r="O416"/>
    </row>
    <row r="417" spans="1:30" ht="57" hidden="1" x14ac:dyDescent="0.2">
      <c r="A417" s="20">
        <v>48</v>
      </c>
      <c r="B417" s="20" t="str">
        <f>Source!F301</f>
        <v>4.8-79-1</v>
      </c>
      <c r="C417" s="20" t="s">
        <v>277</v>
      </c>
      <c r="D417" s="22" t="str">
        <f>Source!H301</f>
        <v>100 М КАБЕЛЯ</v>
      </c>
      <c r="E417" s="21">
        <f>Source!I301</f>
        <v>10.47</v>
      </c>
      <c r="F417" s="24"/>
      <c r="G417" s="23"/>
      <c r="H417" s="21"/>
      <c r="I417" s="24"/>
      <c r="J417" s="21"/>
      <c r="K417" s="24"/>
      <c r="L417"/>
      <c r="O417"/>
      <c r="R417">
        <f>Source!X301</f>
        <v>1633.25</v>
      </c>
      <c r="S417">
        <f>Source!X302</f>
        <v>92033.48</v>
      </c>
      <c r="T417">
        <f>Source!Y301</f>
        <v>858.72</v>
      </c>
      <c r="U417">
        <f>Source!Y302</f>
        <v>48388.74</v>
      </c>
      <c r="V417">
        <f>ROUND((175/100)*ROUND(Source!R301, 2), 2)</f>
        <v>56.3</v>
      </c>
      <c r="W417">
        <f>ROUND((0/100)*ROUND(Source!R302, 2), 2)</f>
        <v>0</v>
      </c>
      <c r="AD417">
        <v>0</v>
      </c>
    </row>
    <row r="418" spans="1:30" hidden="1" x14ac:dyDescent="0.2">
      <c r="C418" s="33" t="str">
        <f>"Объем: "&amp;Source!I301&amp;"=(3181+"&amp;"55-"&amp;"2189)/"&amp;"100"</f>
        <v>Объем: 10,47=(3181+55-2189)/100</v>
      </c>
      <c r="L418"/>
      <c r="O418"/>
    </row>
    <row r="419" spans="1:30" ht="14.25" hidden="1" x14ac:dyDescent="0.2">
      <c r="A419" s="20"/>
      <c r="B419" s="20"/>
      <c r="C419" s="20" t="s">
        <v>638</v>
      </c>
      <c r="D419" s="22"/>
      <c r="E419" s="21"/>
      <c r="F419" s="24">
        <f>Source!AO301</f>
        <v>123.2</v>
      </c>
      <c r="G419" s="23" t="s">
        <v>157</v>
      </c>
      <c r="H419" s="21">
        <f>Source!AV302</f>
        <v>1.0669999999999999</v>
      </c>
      <c r="I419" s="24">
        <f>Source!S301</f>
        <v>1651.59</v>
      </c>
      <c r="J419" s="21">
        <f>IF(Source!BA302&lt;&gt; 0, Source!BA302, 1)</f>
        <v>56.35</v>
      </c>
      <c r="K419" s="24">
        <f>Source!S302</f>
        <v>93067.1</v>
      </c>
      <c r="L419"/>
      <c r="O419"/>
    </row>
    <row r="420" spans="1:30" ht="14.25" hidden="1" x14ac:dyDescent="0.2">
      <c r="A420" s="20"/>
      <c r="B420" s="20"/>
      <c r="C420" s="20" t="s">
        <v>640</v>
      </c>
      <c r="D420" s="22"/>
      <c r="E420" s="21"/>
      <c r="F420" s="24">
        <f>Source!AM301</f>
        <v>22.9</v>
      </c>
      <c r="G420" s="23" t="s">
        <v>157</v>
      </c>
      <c r="H420" s="21">
        <f>Source!AV302</f>
        <v>1.0669999999999999</v>
      </c>
      <c r="I420" s="24">
        <f>Source!Q301</f>
        <v>306.99</v>
      </c>
      <c r="J420" s="21">
        <f>IF(Source!BB302&lt;&gt; 0, Source!BB302, 1)</f>
        <v>14.86</v>
      </c>
      <c r="K420" s="24">
        <f>Source!Q302</f>
        <v>4561.87</v>
      </c>
      <c r="L420"/>
      <c r="O420"/>
    </row>
    <row r="421" spans="1:30" ht="14.25" hidden="1" x14ac:dyDescent="0.2">
      <c r="A421" s="20"/>
      <c r="B421" s="20"/>
      <c r="C421" s="20" t="s">
        <v>649</v>
      </c>
      <c r="D421" s="22"/>
      <c r="E421" s="21"/>
      <c r="F421" s="24">
        <f>Source!AN301</f>
        <v>2.4</v>
      </c>
      <c r="G421" s="23" t="s">
        <v>157</v>
      </c>
      <c r="H421" s="21">
        <f>Source!AV302</f>
        <v>1.0669999999999999</v>
      </c>
      <c r="I421" s="32">
        <f>Source!R301</f>
        <v>32.17</v>
      </c>
      <c r="J421" s="21">
        <f>IF(Source!BS302&lt;&gt; 0, Source!BS302, 1)</f>
        <v>56.35</v>
      </c>
      <c r="K421" s="32">
        <f>Source!R302</f>
        <v>1812.78</v>
      </c>
      <c r="L421"/>
      <c r="O421"/>
    </row>
    <row r="422" spans="1:30" ht="14.25" hidden="1" x14ac:dyDescent="0.2">
      <c r="A422" s="20"/>
      <c r="B422" s="20"/>
      <c r="C422" s="20" t="s">
        <v>652</v>
      </c>
      <c r="D422" s="22"/>
      <c r="E422" s="21"/>
      <c r="F422" s="24">
        <f>Source!AL301</f>
        <v>46.02</v>
      </c>
      <c r="G422" s="23"/>
      <c r="H422" s="21">
        <f>Source!AW302</f>
        <v>1.081</v>
      </c>
      <c r="I422" s="24">
        <f>Source!P301</f>
        <v>520.86</v>
      </c>
      <c r="J422" s="21">
        <f>IF(Source!BC302&lt;&gt; 0, Source!BC302, 1)</f>
        <v>12.93</v>
      </c>
      <c r="K422" s="24">
        <f>Source!P302</f>
        <v>6734.72</v>
      </c>
      <c r="L422"/>
      <c r="O422"/>
    </row>
    <row r="423" spans="1:30" ht="14.25" hidden="1" x14ac:dyDescent="0.2">
      <c r="A423" s="20"/>
      <c r="B423" s="20"/>
      <c r="C423" s="20" t="s">
        <v>641</v>
      </c>
      <c r="D423" s="22" t="s">
        <v>642</v>
      </c>
      <c r="E423" s="21">
        <f>Source!BZ302</f>
        <v>97</v>
      </c>
      <c r="F423" s="24"/>
      <c r="G423" s="23"/>
      <c r="H423" s="21"/>
      <c r="I423" s="24">
        <f>SUM(R417:R422)</f>
        <v>1633.25</v>
      </c>
      <c r="J423" s="21">
        <f>Source!AT302</f>
        <v>97</v>
      </c>
      <c r="K423" s="24">
        <f>SUM(S417:S422)</f>
        <v>92033.48</v>
      </c>
      <c r="L423"/>
      <c r="O423"/>
    </row>
    <row r="424" spans="1:30" ht="14.25" hidden="1" x14ac:dyDescent="0.2">
      <c r="A424" s="20"/>
      <c r="B424" s="20"/>
      <c r="C424" s="20" t="s">
        <v>643</v>
      </c>
      <c r="D424" s="22" t="s">
        <v>642</v>
      </c>
      <c r="E424" s="21">
        <f>Source!CA302</f>
        <v>51</v>
      </c>
      <c r="F424" s="24"/>
      <c r="G424" s="23"/>
      <c r="H424" s="21"/>
      <c r="I424" s="24">
        <f>SUM(T417:T423)</f>
        <v>858.72</v>
      </c>
      <c r="J424" s="21">
        <f>Source!AU302</f>
        <v>51</v>
      </c>
      <c r="K424" s="24">
        <f>SUM(U417:U423)</f>
        <v>48388.74</v>
      </c>
      <c r="L424"/>
      <c r="O424"/>
    </row>
    <row r="425" spans="1:30" ht="14.25" hidden="1" x14ac:dyDescent="0.2">
      <c r="A425" s="25"/>
      <c r="B425" s="25"/>
      <c r="C425" s="25" t="s">
        <v>644</v>
      </c>
      <c r="D425" s="26" t="s">
        <v>645</v>
      </c>
      <c r="E425" s="27">
        <f>Source!AQ301</f>
        <v>10</v>
      </c>
      <c r="F425" s="28"/>
      <c r="G425" s="29" t="s">
        <v>157</v>
      </c>
      <c r="H425" s="27">
        <f>Source!AV302</f>
        <v>1.0669999999999999</v>
      </c>
      <c r="I425" s="28">
        <f>Source!U301</f>
        <v>134.05787999999998</v>
      </c>
      <c r="J425" s="27"/>
      <c r="K425" s="28"/>
      <c r="L425"/>
      <c r="O425"/>
    </row>
    <row r="426" spans="1:30" ht="15" hidden="1" x14ac:dyDescent="0.2">
      <c r="C426" s="30" t="s">
        <v>646</v>
      </c>
      <c r="H426" s="47">
        <f>I419+I420+I422+I423+I424+0-0-0</f>
        <v>4971.4100000000008</v>
      </c>
      <c r="I426" s="47"/>
      <c r="J426" s="47">
        <f>K419+K420+K422+K423+K424+0-0-0</f>
        <v>244785.90999999997</v>
      </c>
      <c r="K426" s="47"/>
      <c r="L426"/>
      <c r="O426"/>
    </row>
    <row r="427" spans="1:30" ht="15" hidden="1" x14ac:dyDescent="0.2">
      <c r="C427" s="30" t="s">
        <v>647</v>
      </c>
      <c r="H427" s="43">
        <f>0+0</f>
        <v>0</v>
      </c>
      <c r="I427" s="43"/>
      <c r="J427" s="43">
        <f>0+0</f>
        <v>0</v>
      </c>
      <c r="K427" s="43"/>
      <c r="L427"/>
      <c r="O427"/>
    </row>
    <row r="428" spans="1:30" ht="15" hidden="1" x14ac:dyDescent="0.2">
      <c r="C428" s="30" t="s">
        <v>648</v>
      </c>
      <c r="H428" s="43">
        <f>I419+I420+I422+I423+I424+0</f>
        <v>4971.4100000000008</v>
      </c>
      <c r="I428" s="43"/>
      <c r="J428" s="43">
        <f>K419+K420+K422+K423+K424+0</f>
        <v>244785.90999999997</v>
      </c>
      <c r="K428" s="43"/>
      <c r="L428"/>
      <c r="O428"/>
      <c r="P428" s="31">
        <f>I419+I420+I422+I423+I424+0</f>
        <v>4971.4100000000008</v>
      </c>
      <c r="Q428" s="31">
        <f>K419+K420+K422+K423+K424+0</f>
        <v>244785.90999999997</v>
      </c>
    </row>
    <row r="429" spans="1:30" hidden="1" x14ac:dyDescent="0.2">
      <c r="L429"/>
      <c r="O429"/>
    </row>
    <row r="430" spans="1:30" ht="41.25" x14ac:dyDescent="0.2">
      <c r="A430" s="86">
        <v>49</v>
      </c>
      <c r="B430" s="86" t="str">
        <f>Source!F303</f>
        <v>КА, п.18</v>
      </c>
      <c r="C430" s="86" t="s">
        <v>664</v>
      </c>
      <c r="D430" s="87" t="str">
        <f>Source!H303</f>
        <v>м</v>
      </c>
      <c r="E430" s="88">
        <f>Source!I303</f>
        <v>1011.84</v>
      </c>
      <c r="F430" s="89">
        <f>Source!AL303</f>
        <v>5.46</v>
      </c>
      <c r="G430" s="91"/>
      <c r="H430" s="88">
        <f>Source!AW304</f>
        <v>1</v>
      </c>
      <c r="I430" s="89">
        <f>Source!P303</f>
        <v>5524.65</v>
      </c>
      <c r="J430" s="88">
        <f>IF(Source!BC304&lt;&gt; 0, Source!BC304, 1)</f>
        <v>7.57</v>
      </c>
      <c r="K430" s="89">
        <f>Source!P304</f>
        <v>41821.599999999999</v>
      </c>
      <c r="L430" s="97" t="s">
        <v>679</v>
      </c>
      <c r="O430"/>
      <c r="R430">
        <f>Source!X303</f>
        <v>0</v>
      </c>
      <c r="S430">
        <f>Source!X304</f>
        <v>0</v>
      </c>
      <c r="T430">
        <f>Source!Y303</f>
        <v>0</v>
      </c>
      <c r="U430">
        <f>Source!Y304</f>
        <v>0</v>
      </c>
      <c r="V430">
        <f>ROUND((175/100)*ROUND(Source!R303, 2), 2)</f>
        <v>0</v>
      </c>
      <c r="W430">
        <f>ROUND((0/100)*ROUND(Source!R304, 2), 2)</f>
        <v>0</v>
      </c>
      <c r="AD430">
        <v>3</v>
      </c>
    </row>
    <row r="431" spans="1:30" hidden="1" x14ac:dyDescent="0.2">
      <c r="A431" s="37"/>
      <c r="B431" s="37"/>
      <c r="C431" s="38" t="str">
        <f>"Объем: "&amp;Source!I303&amp;"=(3181-"&amp;"2189)*"&amp;"1,02"</f>
        <v>Объем: 1011,84=(3181-2189)*1,02</v>
      </c>
      <c r="D431" s="37"/>
      <c r="E431" s="37"/>
      <c r="F431" s="37"/>
      <c r="G431" s="37"/>
      <c r="H431" s="37"/>
      <c r="I431" s="37"/>
      <c r="J431" s="37"/>
      <c r="K431" s="37"/>
      <c r="L431"/>
      <c r="O431"/>
    </row>
    <row r="432" spans="1:30" ht="15" hidden="1" x14ac:dyDescent="0.2">
      <c r="C432" s="30" t="s">
        <v>648</v>
      </c>
      <c r="H432" s="47">
        <f>I430+0</f>
        <v>5524.65</v>
      </c>
      <c r="I432" s="47"/>
      <c r="J432" s="47">
        <f>K430+0</f>
        <v>41821.599999999999</v>
      </c>
      <c r="K432" s="47"/>
      <c r="L432"/>
      <c r="O432"/>
      <c r="P432" s="31">
        <f>I430+0</f>
        <v>5524.65</v>
      </c>
      <c r="Q432" s="31">
        <f>K430+0</f>
        <v>41821.599999999999</v>
      </c>
    </row>
    <row r="433" spans="1:30" hidden="1" x14ac:dyDescent="0.2">
      <c r="L433"/>
      <c r="O433"/>
    </row>
    <row r="434" spans="1:30" ht="41.25" x14ac:dyDescent="0.2">
      <c r="A434" s="86">
        <v>50</v>
      </c>
      <c r="B434" s="86" t="str">
        <f>Source!F305</f>
        <v>КА, п.19</v>
      </c>
      <c r="C434" s="86" t="s">
        <v>665</v>
      </c>
      <c r="D434" s="87" t="str">
        <f>Source!H305</f>
        <v>м</v>
      </c>
      <c r="E434" s="88">
        <f>Source!I305</f>
        <v>56.1</v>
      </c>
      <c r="F434" s="89">
        <f>Source!AL305</f>
        <v>14.139999999999999</v>
      </c>
      <c r="G434" s="91"/>
      <c r="H434" s="88">
        <f>Source!AW306</f>
        <v>1</v>
      </c>
      <c r="I434" s="89">
        <f>Source!P305</f>
        <v>793.25</v>
      </c>
      <c r="J434" s="88">
        <f>IF(Source!BC306&lt;&gt; 0, Source!BC306, 1)</f>
        <v>7.57</v>
      </c>
      <c r="K434" s="89">
        <f>Source!P306</f>
        <v>6004.9</v>
      </c>
      <c r="L434" s="97" t="s">
        <v>678</v>
      </c>
      <c r="O434"/>
      <c r="R434">
        <f>Source!X305</f>
        <v>0</v>
      </c>
      <c r="S434">
        <f>Source!X306</f>
        <v>0</v>
      </c>
      <c r="T434">
        <f>Source!Y305</f>
        <v>0</v>
      </c>
      <c r="U434">
        <f>Source!Y306</f>
        <v>0</v>
      </c>
      <c r="V434">
        <f>ROUND((175/100)*ROUND(Source!R305, 2), 2)</f>
        <v>0</v>
      </c>
      <c r="W434">
        <f>ROUND((0/100)*ROUND(Source!R306, 2), 2)</f>
        <v>0</v>
      </c>
      <c r="AD434">
        <v>3</v>
      </c>
    </row>
    <row r="435" spans="1:30" hidden="1" x14ac:dyDescent="0.2">
      <c r="A435" s="37"/>
      <c r="B435" s="37"/>
      <c r="C435" s="38" t="str">
        <f>"Объем: "&amp;Source!I305&amp;"=55*"&amp;"1,02"</f>
        <v>Объем: 56,1=55*1,02</v>
      </c>
      <c r="D435" s="37"/>
      <c r="E435" s="37"/>
      <c r="F435" s="37"/>
      <c r="G435" s="37"/>
      <c r="H435" s="37"/>
      <c r="I435" s="37"/>
      <c r="J435" s="37"/>
      <c r="K435" s="37"/>
      <c r="L435"/>
      <c r="O435"/>
    </row>
    <row r="436" spans="1:30" ht="15" hidden="1" x14ac:dyDescent="0.2">
      <c r="C436" s="30" t="s">
        <v>648</v>
      </c>
      <c r="H436" s="47">
        <f>I434+0</f>
        <v>793.25</v>
      </c>
      <c r="I436" s="47"/>
      <c r="J436" s="47">
        <f>K434+0</f>
        <v>6004.9</v>
      </c>
      <c r="K436" s="47"/>
      <c r="L436"/>
      <c r="O436"/>
      <c r="P436" s="31">
        <f>I434+0</f>
        <v>793.25</v>
      </c>
      <c r="Q436" s="31">
        <f>K434+0</f>
        <v>6004.9</v>
      </c>
    </row>
    <row r="437" spans="1:30" hidden="1" x14ac:dyDescent="0.2">
      <c r="L437"/>
      <c r="O437"/>
    </row>
    <row r="438" spans="1:30" hidden="1" x14ac:dyDescent="0.2">
      <c r="L438"/>
      <c r="O438"/>
    </row>
    <row r="439" spans="1:30" ht="15" hidden="1" x14ac:dyDescent="0.25">
      <c r="A439" s="45" t="str">
        <f>CONCATENATE("Итого по разделу: ",IF(Source!G308&lt;&gt;"Новый раздел", Source!G308, ""))</f>
        <v>Итого по разделу: Кабельные изделия</v>
      </c>
      <c r="B439" s="45"/>
      <c r="C439" s="45"/>
      <c r="D439" s="45"/>
      <c r="E439" s="45"/>
      <c r="F439" s="45"/>
      <c r="G439" s="45"/>
      <c r="H439" s="43">
        <f>SUM(P398:P438)</f>
        <v>78102.17</v>
      </c>
      <c r="I439" s="44"/>
      <c r="J439" s="43">
        <f>SUM(Q398:Q438)</f>
        <v>1372268.48</v>
      </c>
      <c r="K439" s="44"/>
      <c r="L439"/>
      <c r="O439"/>
    </row>
    <row r="440" spans="1:30" hidden="1" x14ac:dyDescent="0.2">
      <c r="A440" t="s">
        <v>650</v>
      </c>
      <c r="I440">
        <f>SUM(X398:X439)</f>
        <v>0</v>
      </c>
      <c r="J440">
        <f>SUM(Y398:Y439)</f>
        <v>0</v>
      </c>
      <c r="L440"/>
      <c r="O440"/>
    </row>
    <row r="441" spans="1:30" hidden="1" x14ac:dyDescent="0.2">
      <c r="A441" t="s">
        <v>651</v>
      </c>
      <c r="I441">
        <f>SUM(Z398:Z440)</f>
        <v>0</v>
      </c>
      <c r="J441">
        <f>SUM(AA398:AA440)</f>
        <v>0</v>
      </c>
      <c r="L441"/>
      <c r="O441"/>
    </row>
    <row r="442" spans="1:30" hidden="1" x14ac:dyDescent="0.2">
      <c r="L442"/>
      <c r="O442"/>
    </row>
    <row r="443" spans="1:30" ht="16.5" hidden="1" x14ac:dyDescent="0.2">
      <c r="A443" s="48" t="str">
        <f>CONCATENATE("Раздел: ",IF(Source!G338&lt;&gt;"Новый раздел", Source!G338, ""))</f>
        <v>Раздел: АРМ</v>
      </c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/>
      <c r="O443"/>
    </row>
    <row r="444" spans="1:30" ht="28.5" hidden="1" x14ac:dyDescent="0.2">
      <c r="A444" s="20">
        <v>51</v>
      </c>
      <c r="B444" s="20" t="str">
        <f>Source!F342</f>
        <v>4.10-75-6</v>
      </c>
      <c r="C444" s="20" t="s">
        <v>288</v>
      </c>
      <c r="D444" s="22" t="str">
        <f>Source!H342</f>
        <v>1  ШТ.</v>
      </c>
      <c r="E444" s="21">
        <f>Source!I342</f>
        <v>1</v>
      </c>
      <c r="F444" s="24"/>
      <c r="G444" s="23"/>
      <c r="H444" s="21"/>
      <c r="I444" s="24"/>
      <c r="J444" s="21"/>
      <c r="K444" s="24"/>
      <c r="L444"/>
      <c r="O444"/>
      <c r="R444">
        <f>Source!X342</f>
        <v>105.44</v>
      </c>
      <c r="S444">
        <f>Source!X343</f>
        <v>5941.58</v>
      </c>
      <c r="T444">
        <f>Source!Y342</f>
        <v>58.82</v>
      </c>
      <c r="U444">
        <f>Source!Y343</f>
        <v>3314.77</v>
      </c>
      <c r="V444">
        <f>ROUND((175/100)*ROUND(Source!R342, 2), 2)</f>
        <v>0</v>
      </c>
      <c r="W444">
        <f>ROUND((0/100)*ROUND(Source!R343, 2), 2)</f>
        <v>0</v>
      </c>
      <c r="AD444">
        <v>0</v>
      </c>
    </row>
    <row r="445" spans="1:30" ht="14.25" hidden="1" x14ac:dyDescent="0.2">
      <c r="A445" s="20"/>
      <c r="B445" s="20"/>
      <c r="C445" s="20" t="s">
        <v>638</v>
      </c>
      <c r="D445" s="22"/>
      <c r="E445" s="21"/>
      <c r="F445" s="24">
        <f>Source!AO342</f>
        <v>88.34</v>
      </c>
      <c r="G445" s="23" t="s">
        <v>157</v>
      </c>
      <c r="H445" s="21">
        <f>Source!AV343</f>
        <v>1.0469999999999999</v>
      </c>
      <c r="I445" s="24">
        <f>Source!S342</f>
        <v>110.99</v>
      </c>
      <c r="J445" s="21">
        <f>IF(Source!BA343&lt;&gt; 0, Source!BA343, 1)</f>
        <v>56.35</v>
      </c>
      <c r="K445" s="24">
        <f>Source!S343</f>
        <v>6254.29</v>
      </c>
      <c r="L445"/>
      <c r="O445"/>
    </row>
    <row r="446" spans="1:30" ht="14.25" hidden="1" x14ac:dyDescent="0.2">
      <c r="A446" s="20"/>
      <c r="B446" s="20"/>
      <c r="C446" s="20" t="s">
        <v>652</v>
      </c>
      <c r="D446" s="22"/>
      <c r="E446" s="21"/>
      <c r="F446" s="24">
        <f>Source!AL342</f>
        <v>34.869999999999997</v>
      </c>
      <c r="G446" s="23"/>
      <c r="H446" s="21">
        <f>Source!AW343</f>
        <v>1</v>
      </c>
      <c r="I446" s="24">
        <f>Source!P342</f>
        <v>34.869999999999997</v>
      </c>
      <c r="J446" s="21">
        <f>IF(Source!BC343&lt;&gt; 0, Source!BC343, 1)</f>
        <v>10.28</v>
      </c>
      <c r="K446" s="24">
        <f>Source!P343</f>
        <v>358.46</v>
      </c>
      <c r="L446"/>
      <c r="O446"/>
    </row>
    <row r="447" spans="1:30" ht="85.5" x14ac:dyDescent="0.2">
      <c r="A447" s="81" t="s">
        <v>290</v>
      </c>
      <c r="B447" s="81" t="str">
        <f>Source!F344</f>
        <v>13.1-14-104</v>
      </c>
      <c r="C447" s="81" t="s">
        <v>666</v>
      </c>
      <c r="D447" s="82" t="str">
        <f>Source!H344</f>
        <v>шт.</v>
      </c>
      <c r="E447" s="83">
        <f>Source!I344</f>
        <v>1</v>
      </c>
      <c r="F447" s="84">
        <f>Source!AK344</f>
        <v>148.71</v>
      </c>
      <c r="G447" s="85" t="s">
        <v>3</v>
      </c>
      <c r="H447" s="83">
        <f>Source!AW345</f>
        <v>1</v>
      </c>
      <c r="I447" s="84">
        <f>Source!O344</f>
        <v>148.71</v>
      </c>
      <c r="J447" s="83">
        <f>IF(Source!BC345&lt;&gt; 0, Source!BC345, 1)</f>
        <v>5.65</v>
      </c>
      <c r="K447" s="84">
        <f>Source!O345</f>
        <v>840.21</v>
      </c>
      <c r="L447" s="97" t="s">
        <v>677</v>
      </c>
      <c r="O447"/>
      <c r="R447">
        <f>Source!X344</f>
        <v>0</v>
      </c>
      <c r="S447">
        <f>Source!X345</f>
        <v>0</v>
      </c>
      <c r="T447">
        <f>Source!Y344</f>
        <v>0</v>
      </c>
      <c r="U447">
        <f>Source!Y345</f>
        <v>0</v>
      </c>
      <c r="V447">
        <f>ROUND((175/100)*ROUND(Source!R344, 2), 2)</f>
        <v>0</v>
      </c>
      <c r="W447">
        <f>ROUND((0/100)*ROUND(Source!R345, 2), 2)</f>
        <v>0</v>
      </c>
      <c r="AD447">
        <v>5</v>
      </c>
    </row>
    <row r="448" spans="1:30" ht="42.75" x14ac:dyDescent="0.2">
      <c r="A448" s="81" t="s">
        <v>294</v>
      </c>
      <c r="B448" s="81" t="str">
        <f>Source!F346</f>
        <v>13.1-14-105</v>
      </c>
      <c r="C448" s="81" t="s">
        <v>667</v>
      </c>
      <c r="D448" s="82" t="str">
        <f>Source!H346</f>
        <v>шт.</v>
      </c>
      <c r="E448" s="83">
        <f>Source!I346</f>
        <v>1</v>
      </c>
      <c r="F448" s="84">
        <f>Source!AK346</f>
        <v>77.11</v>
      </c>
      <c r="G448" s="85" t="s">
        <v>3</v>
      </c>
      <c r="H448" s="83">
        <f>Source!AW347</f>
        <v>1</v>
      </c>
      <c r="I448" s="84">
        <f>Source!O346</f>
        <v>77.11</v>
      </c>
      <c r="J448" s="83">
        <f>IF(Source!BC347&lt;&gt; 0, Source!BC347, 1)</f>
        <v>4.17</v>
      </c>
      <c r="K448" s="84">
        <f>Source!O347</f>
        <v>321.55</v>
      </c>
      <c r="L448" s="97" t="s">
        <v>677</v>
      </c>
      <c r="O448"/>
      <c r="R448">
        <f>Source!X346</f>
        <v>0</v>
      </c>
      <c r="S448">
        <f>Source!X347</f>
        <v>0</v>
      </c>
      <c r="T448">
        <f>Source!Y346</f>
        <v>0</v>
      </c>
      <c r="U448">
        <f>Source!Y347</f>
        <v>0</v>
      </c>
      <c r="V448">
        <f>ROUND((175/100)*ROUND(Source!R346, 2), 2)</f>
        <v>0</v>
      </c>
      <c r="W448">
        <f>ROUND((0/100)*ROUND(Source!R347, 2), 2)</f>
        <v>0</v>
      </c>
      <c r="AD448">
        <v>5</v>
      </c>
    </row>
    <row r="449" spans="1:30" ht="14.25" hidden="1" x14ac:dyDescent="0.2">
      <c r="A449" s="20"/>
      <c r="B449" s="20"/>
      <c r="C449" s="20" t="s">
        <v>641</v>
      </c>
      <c r="D449" s="22" t="s">
        <v>642</v>
      </c>
      <c r="E449" s="21">
        <f>Source!BZ343</f>
        <v>95</v>
      </c>
      <c r="F449" s="24"/>
      <c r="G449" s="23"/>
      <c r="H449" s="21"/>
      <c r="I449" s="24">
        <f>SUM(R444:R448)</f>
        <v>105.44</v>
      </c>
      <c r="J449" s="21">
        <f>Source!AT343</f>
        <v>95</v>
      </c>
      <c r="K449" s="24">
        <f>SUM(S444:S448)</f>
        <v>5941.58</v>
      </c>
      <c r="L449"/>
      <c r="O449"/>
    </row>
    <row r="450" spans="1:30" ht="14.25" hidden="1" x14ac:dyDescent="0.2">
      <c r="A450" s="20"/>
      <c r="B450" s="20"/>
      <c r="C450" s="20" t="s">
        <v>643</v>
      </c>
      <c r="D450" s="22" t="s">
        <v>642</v>
      </c>
      <c r="E450" s="21">
        <f>Source!CA343</f>
        <v>53</v>
      </c>
      <c r="F450" s="24"/>
      <c r="G450" s="23"/>
      <c r="H450" s="21"/>
      <c r="I450" s="24">
        <f>SUM(T444:T449)</f>
        <v>58.82</v>
      </c>
      <c r="J450" s="21">
        <f>Source!AU343</f>
        <v>53</v>
      </c>
      <c r="K450" s="24">
        <f>SUM(U444:U449)</f>
        <v>3314.77</v>
      </c>
      <c r="L450"/>
      <c r="O450"/>
    </row>
    <row r="451" spans="1:30" ht="14.25" hidden="1" x14ac:dyDescent="0.2">
      <c r="A451" s="25"/>
      <c r="B451" s="25"/>
      <c r="C451" s="25" t="s">
        <v>644</v>
      </c>
      <c r="D451" s="26" t="s">
        <v>645</v>
      </c>
      <c r="E451" s="27">
        <f>Source!AQ342</f>
        <v>7</v>
      </c>
      <c r="F451" s="28"/>
      <c r="G451" s="29" t="s">
        <v>157</v>
      </c>
      <c r="H451" s="27">
        <f>Source!AV343</f>
        <v>1.0469999999999999</v>
      </c>
      <c r="I451" s="28">
        <f>Source!U342</f>
        <v>8.7948000000000004</v>
      </c>
      <c r="J451" s="27"/>
      <c r="K451" s="28"/>
      <c r="L451"/>
      <c r="O451"/>
    </row>
    <row r="452" spans="1:30" ht="15" hidden="1" x14ac:dyDescent="0.2">
      <c r="C452" s="30" t="s">
        <v>646</v>
      </c>
      <c r="H452" s="47">
        <f>I445+I446+I449+I450+SUM(I447:I448)-SUMIF(AD447:AD448, 5, I447:I448)-SUMIF(AD447:AD448, 6, I447:I448)</f>
        <v>310.12000000000006</v>
      </c>
      <c r="I452" s="47"/>
      <c r="J452" s="47">
        <f>K445+K446+K449+K450+SUM(K447:K448)-SUMIF(AD447:AD448, 5, K447:K448)-SUMIF(AD447:AD448, 6, K447:K448)</f>
        <v>15869.1</v>
      </c>
      <c r="K452" s="47"/>
      <c r="L452"/>
      <c r="O452"/>
    </row>
    <row r="453" spans="1:30" ht="15" hidden="1" x14ac:dyDescent="0.2">
      <c r="C453" s="30" t="s">
        <v>647</v>
      </c>
      <c r="H453" s="43">
        <f>SUMIF(AD447:AD448, 5, I447:I448)+SUMIF(AD447:AD448, 6, I447:I448)</f>
        <v>225.82</v>
      </c>
      <c r="I453" s="43"/>
      <c r="J453" s="43">
        <f>SUMIF(AD447:AD448, 5, K447:K448)+SUMIF(AD447:AD448, 6, K447:K448)</f>
        <v>1161.76</v>
      </c>
      <c r="K453" s="43"/>
      <c r="L453"/>
      <c r="O453"/>
    </row>
    <row r="454" spans="1:30" ht="15" hidden="1" x14ac:dyDescent="0.2">
      <c r="C454" s="30" t="s">
        <v>648</v>
      </c>
      <c r="H454" s="43">
        <f>I445+I446+I449+I450+SUM(I447:I448)</f>
        <v>535.94000000000005</v>
      </c>
      <c r="I454" s="43"/>
      <c r="J454" s="43">
        <f>K445+K446+K449+K450+SUM(K447:K448)</f>
        <v>17030.86</v>
      </c>
      <c r="K454" s="43"/>
      <c r="L454"/>
      <c r="O454"/>
      <c r="P454" s="31">
        <f>I445+I446+I449+I450+SUM(I447:I448)</f>
        <v>535.94000000000005</v>
      </c>
      <c r="Q454" s="31">
        <f>K445+K446+K449+K450+SUM(K447:K448)</f>
        <v>17030.86</v>
      </c>
    </row>
    <row r="455" spans="1:30" hidden="1" x14ac:dyDescent="0.2">
      <c r="L455"/>
      <c r="O455"/>
    </row>
    <row r="456" spans="1:30" ht="96.75" x14ac:dyDescent="0.2">
      <c r="A456" s="76">
        <v>52</v>
      </c>
      <c r="B456" s="76" t="str">
        <f>Source!F348</f>
        <v>КА, п.20</v>
      </c>
      <c r="C456" s="76" t="s">
        <v>690</v>
      </c>
      <c r="D456" s="77" t="str">
        <f>Source!H348</f>
        <v>ШТ</v>
      </c>
      <c r="E456" s="78">
        <f>Source!I348</f>
        <v>1</v>
      </c>
      <c r="F456" s="79">
        <f>Source!AL348</f>
        <v>5089.46</v>
      </c>
      <c r="G456" s="80"/>
      <c r="H456" s="78">
        <f>Source!AW349</f>
        <v>1</v>
      </c>
      <c r="I456" s="79">
        <f>Source!P348</f>
        <v>5089.46</v>
      </c>
      <c r="J456" s="78">
        <f>IF(Source!BC349&lt;&gt; 0, Source!BC349, 1)</f>
        <v>9.84</v>
      </c>
      <c r="K456" s="79">
        <f>Source!P349</f>
        <v>50080.29</v>
      </c>
      <c r="L456" s="100">
        <v>48990</v>
      </c>
      <c r="O456" s="98" t="s">
        <v>680</v>
      </c>
      <c r="R456">
        <f>Source!X348</f>
        <v>0</v>
      </c>
      <c r="S456">
        <f>Source!X349</f>
        <v>0</v>
      </c>
      <c r="T456">
        <f>Source!Y348</f>
        <v>0</v>
      </c>
      <c r="U456">
        <f>Source!Y349</f>
        <v>0</v>
      </c>
      <c r="V456">
        <f>ROUND((175/100)*ROUND(Source!R348, 2), 2)</f>
        <v>0</v>
      </c>
      <c r="W456">
        <f>ROUND((0/100)*ROUND(Source!R349, 2), 2)</f>
        <v>0</v>
      </c>
      <c r="AD456">
        <v>5</v>
      </c>
    </row>
    <row r="457" spans="1:30" ht="15" hidden="1" x14ac:dyDescent="0.2">
      <c r="A457" s="34"/>
      <c r="B457" s="34"/>
      <c r="C457" s="35" t="s">
        <v>648</v>
      </c>
      <c r="D457" s="34"/>
      <c r="E457" s="34"/>
      <c r="F457" s="34"/>
      <c r="G457" s="34"/>
      <c r="H457" s="46">
        <f>I456+0</f>
        <v>5089.46</v>
      </c>
      <c r="I457" s="46"/>
      <c r="J457" s="46">
        <f>K456+0</f>
        <v>50080.29</v>
      </c>
      <c r="K457" s="46"/>
      <c r="L457"/>
      <c r="O457"/>
      <c r="P457" s="31">
        <f>I456+0</f>
        <v>5089.46</v>
      </c>
      <c r="Q457" s="31">
        <f>K456+0</f>
        <v>50080.29</v>
      </c>
    </row>
    <row r="458" spans="1:30" hidden="1" x14ac:dyDescent="0.2">
      <c r="L458"/>
      <c r="O458"/>
    </row>
    <row r="459" spans="1:30" ht="68.25" x14ac:dyDescent="0.2">
      <c r="A459" s="76">
        <v>53</v>
      </c>
      <c r="B459" s="76" t="str">
        <f>Source!F350</f>
        <v>КА, п.21</v>
      </c>
      <c r="C459" s="76" t="s">
        <v>691</v>
      </c>
      <c r="D459" s="77" t="str">
        <f>Source!H350</f>
        <v>ШТ</v>
      </c>
      <c r="E459" s="78">
        <f>Source!I350</f>
        <v>1</v>
      </c>
      <c r="F459" s="79">
        <f>Source!AL350</f>
        <v>1952.6100000000001</v>
      </c>
      <c r="G459" s="80"/>
      <c r="H459" s="78">
        <f>Source!AW351</f>
        <v>1</v>
      </c>
      <c r="I459" s="79">
        <f>Source!P350</f>
        <v>1952.61</v>
      </c>
      <c r="J459" s="78">
        <f>IF(Source!BC351&lt;&gt; 0, Source!BC351, 1)</f>
        <v>9.84</v>
      </c>
      <c r="K459" s="79">
        <f>Source!P351</f>
        <v>19213.68</v>
      </c>
      <c r="L459" s="100" t="s">
        <v>677</v>
      </c>
      <c r="O459" s="98" t="s">
        <v>680</v>
      </c>
      <c r="R459">
        <f>Source!X350</f>
        <v>0</v>
      </c>
      <c r="S459">
        <f>Source!X351</f>
        <v>0</v>
      </c>
      <c r="T459">
        <f>Source!Y350</f>
        <v>0</v>
      </c>
      <c r="U459">
        <f>Source!Y351</f>
        <v>0</v>
      </c>
      <c r="V459">
        <f>ROUND((175/100)*ROUND(Source!R350, 2), 2)</f>
        <v>0</v>
      </c>
      <c r="W459">
        <f>ROUND((0/100)*ROUND(Source!R351, 2), 2)</f>
        <v>0</v>
      </c>
      <c r="AD459">
        <v>5</v>
      </c>
    </row>
    <row r="460" spans="1:30" ht="15" hidden="1" x14ac:dyDescent="0.2">
      <c r="A460" s="34"/>
      <c r="B460" s="34"/>
      <c r="C460" s="35" t="s">
        <v>648</v>
      </c>
      <c r="D460" s="34"/>
      <c r="E460" s="34"/>
      <c r="F460" s="34"/>
      <c r="G460" s="34"/>
      <c r="H460" s="46">
        <f>I459+0</f>
        <v>1952.61</v>
      </c>
      <c r="I460" s="46"/>
      <c r="J460" s="46">
        <f>K459+0</f>
        <v>19213.68</v>
      </c>
      <c r="K460" s="46"/>
      <c r="L460"/>
      <c r="O460"/>
      <c r="P460" s="31">
        <f>I459+0</f>
        <v>1952.61</v>
      </c>
      <c r="Q460" s="31">
        <f>K459+0</f>
        <v>19213.68</v>
      </c>
    </row>
    <row r="461" spans="1:30" hidden="1" x14ac:dyDescent="0.2">
      <c r="L461"/>
      <c r="O461"/>
    </row>
    <row r="462" spans="1:30" ht="68.25" x14ac:dyDescent="0.2">
      <c r="A462" s="76">
        <v>54</v>
      </c>
      <c r="B462" s="76" t="str">
        <f>Source!F352</f>
        <v>КА, п.22</v>
      </c>
      <c r="C462" s="76" t="s">
        <v>668</v>
      </c>
      <c r="D462" s="77" t="str">
        <f>Source!H352</f>
        <v>ШТ</v>
      </c>
      <c r="E462" s="78">
        <f>Source!I352</f>
        <v>1</v>
      </c>
      <c r="F462" s="79">
        <f>Source!AL352</f>
        <v>13767.369999999999</v>
      </c>
      <c r="G462" s="80"/>
      <c r="H462" s="78">
        <f>Source!AW353</f>
        <v>1</v>
      </c>
      <c r="I462" s="79">
        <f>Source!P352</f>
        <v>13767.37</v>
      </c>
      <c r="J462" s="78">
        <f>IF(Source!BC353&lt;&gt; 0, Source!BC353, 1)</f>
        <v>9.84</v>
      </c>
      <c r="K462" s="79">
        <f>Source!P353</f>
        <v>135470.92000000001</v>
      </c>
      <c r="L462" s="100" t="s">
        <v>677</v>
      </c>
      <c r="O462" s="98" t="s">
        <v>680</v>
      </c>
      <c r="R462">
        <f>Source!X352</f>
        <v>0</v>
      </c>
      <c r="S462">
        <f>Source!X353</f>
        <v>0</v>
      </c>
      <c r="T462">
        <f>Source!Y352</f>
        <v>0</v>
      </c>
      <c r="U462">
        <f>Source!Y353</f>
        <v>0</v>
      </c>
      <c r="V462">
        <f>ROUND((175/100)*ROUND(Source!R352, 2), 2)</f>
        <v>0</v>
      </c>
      <c r="W462">
        <f>ROUND((0/100)*ROUND(Source!R353, 2), 2)</f>
        <v>0</v>
      </c>
      <c r="AD462">
        <v>5</v>
      </c>
    </row>
    <row r="463" spans="1:30" ht="15" hidden="1" x14ac:dyDescent="0.2">
      <c r="A463" s="34"/>
      <c r="B463" s="34"/>
      <c r="C463" s="35" t="s">
        <v>648</v>
      </c>
      <c r="D463" s="34"/>
      <c r="E463" s="34"/>
      <c r="F463" s="34"/>
      <c r="G463" s="34"/>
      <c r="H463" s="46">
        <f>I462+0</f>
        <v>13767.37</v>
      </c>
      <c r="I463" s="46"/>
      <c r="J463" s="46">
        <f>K462+0</f>
        <v>135470.92000000001</v>
      </c>
      <c r="K463" s="46"/>
      <c r="L463"/>
      <c r="O463"/>
      <c r="P463" s="31">
        <f>I462+0</f>
        <v>13767.37</v>
      </c>
      <c r="Q463" s="31">
        <f>K462+0</f>
        <v>135470.92000000001</v>
      </c>
    </row>
    <row r="464" spans="1:30" hidden="1" x14ac:dyDescent="0.2">
      <c r="L464"/>
      <c r="O464"/>
    </row>
    <row r="465" spans="1:30" hidden="1" x14ac:dyDescent="0.2">
      <c r="L465"/>
      <c r="O465"/>
    </row>
    <row r="466" spans="1:30" ht="15" hidden="1" x14ac:dyDescent="0.25">
      <c r="A466" s="45" t="str">
        <f>CONCATENATE("Итого по разделу: ",IF(Source!G355&lt;&gt;"Новый раздел", Source!G355, ""))</f>
        <v>Итого по разделу: АРМ</v>
      </c>
      <c r="B466" s="45"/>
      <c r="C466" s="45"/>
      <c r="D466" s="45"/>
      <c r="E466" s="45"/>
      <c r="F466" s="45"/>
      <c r="G466" s="45"/>
      <c r="H466" s="43">
        <f>SUM(P443:P465)</f>
        <v>21345.38</v>
      </c>
      <c r="I466" s="44"/>
      <c r="J466" s="43">
        <f>SUM(Q443:Q465)</f>
        <v>221795.75</v>
      </c>
      <c r="K466" s="44"/>
      <c r="L466"/>
      <c r="O466"/>
    </row>
    <row r="467" spans="1:30" hidden="1" x14ac:dyDescent="0.2">
      <c r="A467" t="s">
        <v>650</v>
      </c>
      <c r="I467">
        <f>SUM(X443:X466)</f>
        <v>0</v>
      </c>
      <c r="J467">
        <f>SUM(Y443:Y466)</f>
        <v>0</v>
      </c>
      <c r="L467"/>
      <c r="O467"/>
    </row>
    <row r="468" spans="1:30" hidden="1" x14ac:dyDescent="0.2">
      <c r="A468" t="s">
        <v>651</v>
      </c>
      <c r="I468">
        <f>SUM(Z443:Z467)</f>
        <v>0</v>
      </c>
      <c r="J468">
        <f>SUM(AA443:AA467)</f>
        <v>0</v>
      </c>
      <c r="L468"/>
      <c r="O468"/>
    </row>
    <row r="469" spans="1:30" hidden="1" x14ac:dyDescent="0.2">
      <c r="L469"/>
      <c r="O469"/>
    </row>
    <row r="470" spans="1:30" ht="16.5" hidden="1" x14ac:dyDescent="0.2">
      <c r="A470" s="48" t="str">
        <f>CONCATENATE("Раздел: ",IF(Source!G385&lt;&gt;"Новый раздел", Source!G385, ""))</f>
        <v>Раздел: Материалы</v>
      </c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/>
      <c r="O470"/>
    </row>
    <row r="471" spans="1:30" ht="28.5" hidden="1" x14ac:dyDescent="0.2">
      <c r="A471" s="20">
        <v>55</v>
      </c>
      <c r="B471" s="20" t="str">
        <f>Source!F389</f>
        <v>4.10-81-6</v>
      </c>
      <c r="C471" s="20" t="s">
        <v>312</v>
      </c>
      <c r="D471" s="22" t="str">
        <f>Source!H389</f>
        <v>1  ШТ.</v>
      </c>
      <c r="E471" s="21">
        <f>Source!I389</f>
        <v>42</v>
      </c>
      <c r="F471" s="24"/>
      <c r="G471" s="23"/>
      <c r="H471" s="21"/>
      <c r="I471" s="24"/>
      <c r="J471" s="21"/>
      <c r="K471" s="24"/>
      <c r="L471"/>
      <c r="O471"/>
      <c r="R471">
        <f>Source!X389</f>
        <v>223.22</v>
      </c>
      <c r="S471">
        <f>Source!X390</f>
        <v>12578.33</v>
      </c>
      <c r="T471">
        <f>Source!Y389</f>
        <v>114.09</v>
      </c>
      <c r="U471">
        <f>Source!Y390</f>
        <v>6428.92</v>
      </c>
      <c r="V471">
        <f>ROUND((175/100)*ROUND(Source!R389, 2), 2)</f>
        <v>25.87</v>
      </c>
      <c r="W471">
        <f>ROUND((0/100)*ROUND(Source!R390, 2), 2)</f>
        <v>0</v>
      </c>
      <c r="AD471">
        <v>0</v>
      </c>
    </row>
    <row r="472" spans="1:30" ht="14.25" hidden="1" x14ac:dyDescent="0.2">
      <c r="A472" s="20"/>
      <c r="B472" s="20"/>
      <c r="C472" s="20" t="s">
        <v>638</v>
      </c>
      <c r="D472" s="22"/>
      <c r="E472" s="21"/>
      <c r="F472" s="24">
        <f>Source!AO389</f>
        <v>4.42</v>
      </c>
      <c r="G472" s="23" t="s">
        <v>157</v>
      </c>
      <c r="H472" s="21">
        <f>Source!AV390</f>
        <v>1.0469999999999999</v>
      </c>
      <c r="I472" s="24">
        <f>Source!S389</f>
        <v>233.24</v>
      </c>
      <c r="J472" s="21">
        <f>IF(Source!BA390&lt;&gt; 0, Source!BA390, 1)</f>
        <v>56.35</v>
      </c>
      <c r="K472" s="24">
        <f>Source!S390</f>
        <v>13143.07</v>
      </c>
      <c r="L472"/>
      <c r="O472"/>
    </row>
    <row r="473" spans="1:30" ht="14.25" hidden="1" x14ac:dyDescent="0.2">
      <c r="A473" s="20"/>
      <c r="B473" s="20"/>
      <c r="C473" s="20" t="s">
        <v>640</v>
      </c>
      <c r="D473" s="22"/>
      <c r="E473" s="21"/>
      <c r="F473" s="24">
        <f>Source!AM389</f>
        <v>4.5599999999999996</v>
      </c>
      <c r="G473" s="23" t="s">
        <v>157</v>
      </c>
      <c r="H473" s="21">
        <f>Source!AV390</f>
        <v>1.0469999999999999</v>
      </c>
      <c r="I473" s="24">
        <f>Source!Q389</f>
        <v>240.63</v>
      </c>
      <c r="J473" s="21">
        <f>IF(Source!BB390&lt;&gt; 0, Source!BB390, 1)</f>
        <v>13.75</v>
      </c>
      <c r="K473" s="24">
        <f>Source!Q390</f>
        <v>3308.66</v>
      </c>
      <c r="L473"/>
      <c r="O473"/>
    </row>
    <row r="474" spans="1:30" ht="14.25" hidden="1" x14ac:dyDescent="0.2">
      <c r="A474" s="20"/>
      <c r="B474" s="20"/>
      <c r="C474" s="20" t="s">
        <v>649</v>
      </c>
      <c r="D474" s="22"/>
      <c r="E474" s="21"/>
      <c r="F474" s="24">
        <f>Source!AN389</f>
        <v>0.28000000000000003</v>
      </c>
      <c r="G474" s="23" t="s">
        <v>157</v>
      </c>
      <c r="H474" s="21">
        <f>Source!AV390</f>
        <v>1.0469999999999999</v>
      </c>
      <c r="I474" s="32">
        <f>Source!R389</f>
        <v>14.78</v>
      </c>
      <c r="J474" s="21">
        <f>IF(Source!BS390&lt;&gt; 0, Source!BS390, 1)</f>
        <v>56.35</v>
      </c>
      <c r="K474" s="32">
        <f>Source!R390</f>
        <v>832.85</v>
      </c>
      <c r="L474"/>
      <c r="O474"/>
    </row>
    <row r="475" spans="1:30" ht="14.25" hidden="1" x14ac:dyDescent="0.2">
      <c r="A475" s="20"/>
      <c r="B475" s="20"/>
      <c r="C475" s="20" t="s">
        <v>652</v>
      </c>
      <c r="D475" s="22"/>
      <c r="E475" s="21"/>
      <c r="F475" s="24">
        <f>Source!AL389</f>
        <v>1.05</v>
      </c>
      <c r="G475" s="23"/>
      <c r="H475" s="21">
        <f>Source!AW390</f>
        <v>1</v>
      </c>
      <c r="I475" s="24">
        <f>Source!P389</f>
        <v>44.1</v>
      </c>
      <c r="J475" s="21">
        <f>IF(Source!BC390&lt;&gt; 0, Source!BC390, 1)</f>
        <v>9.84</v>
      </c>
      <c r="K475" s="24">
        <f>Source!P390</f>
        <v>433.94</v>
      </c>
      <c r="L475"/>
      <c r="O475"/>
    </row>
    <row r="476" spans="1:30" ht="14.25" hidden="1" x14ac:dyDescent="0.2">
      <c r="A476" s="20"/>
      <c r="B476" s="20"/>
      <c r="C476" s="20" t="s">
        <v>641</v>
      </c>
      <c r="D476" s="22" t="s">
        <v>642</v>
      </c>
      <c r="E476" s="21">
        <f>Source!BZ390</f>
        <v>90</v>
      </c>
      <c r="F476" s="24"/>
      <c r="G476" s="23"/>
      <c r="H476" s="21"/>
      <c r="I476" s="24">
        <f>SUM(R471:R475)</f>
        <v>223.22</v>
      </c>
      <c r="J476" s="21">
        <f>Source!AT390</f>
        <v>90</v>
      </c>
      <c r="K476" s="24">
        <f>SUM(S471:S475)</f>
        <v>12578.33</v>
      </c>
      <c r="L476"/>
      <c r="O476"/>
    </row>
    <row r="477" spans="1:30" ht="14.25" hidden="1" x14ac:dyDescent="0.2">
      <c r="A477" s="20"/>
      <c r="B477" s="20"/>
      <c r="C477" s="20" t="s">
        <v>643</v>
      </c>
      <c r="D477" s="22" t="s">
        <v>642</v>
      </c>
      <c r="E477" s="21">
        <f>Source!CA390</f>
        <v>46</v>
      </c>
      <c r="F477" s="24"/>
      <c r="G477" s="23"/>
      <c r="H477" s="21"/>
      <c r="I477" s="24">
        <f>SUM(T471:T476)</f>
        <v>114.09</v>
      </c>
      <c r="J477" s="21">
        <f>Source!AU390</f>
        <v>46</v>
      </c>
      <c r="K477" s="24">
        <f>SUM(U471:U476)</f>
        <v>6428.92</v>
      </c>
      <c r="L477"/>
      <c r="O477"/>
    </row>
    <row r="478" spans="1:30" ht="14.25" hidden="1" x14ac:dyDescent="0.2">
      <c r="A478" s="25"/>
      <c r="B478" s="25"/>
      <c r="C478" s="25" t="s">
        <v>644</v>
      </c>
      <c r="D478" s="26" t="s">
        <v>645</v>
      </c>
      <c r="E478" s="27">
        <f>Source!AQ389</f>
        <v>0.35</v>
      </c>
      <c r="F478" s="28"/>
      <c r="G478" s="29" t="s">
        <v>157</v>
      </c>
      <c r="H478" s="27">
        <f>Source!AV390</f>
        <v>1.0469999999999999</v>
      </c>
      <c r="I478" s="28">
        <f>Source!U389</f>
        <v>18.469079999999998</v>
      </c>
      <c r="J478" s="27"/>
      <c r="K478" s="28"/>
      <c r="L478"/>
      <c r="O478"/>
    </row>
    <row r="479" spans="1:30" ht="15" hidden="1" x14ac:dyDescent="0.2">
      <c r="C479" s="30" t="s">
        <v>646</v>
      </c>
      <c r="H479" s="47">
        <f>I472+I473+I475+I476+I477+0-0-0</f>
        <v>855.28000000000009</v>
      </c>
      <c r="I479" s="47"/>
      <c r="J479" s="47">
        <f>K472+K473+K475+K476+K477+0-0-0</f>
        <v>35892.92</v>
      </c>
      <c r="K479" s="47"/>
      <c r="L479"/>
      <c r="O479"/>
    </row>
    <row r="480" spans="1:30" ht="15" hidden="1" x14ac:dyDescent="0.2">
      <c r="C480" s="30" t="s">
        <v>647</v>
      </c>
      <c r="H480" s="43">
        <f>0+0</f>
        <v>0</v>
      </c>
      <c r="I480" s="43"/>
      <c r="J480" s="43">
        <f>0+0</f>
        <v>0</v>
      </c>
      <c r="K480" s="43"/>
      <c r="L480"/>
      <c r="O480"/>
    </row>
    <row r="481" spans="1:30" ht="15" hidden="1" x14ac:dyDescent="0.2">
      <c r="C481" s="30" t="s">
        <v>648</v>
      </c>
      <c r="H481" s="43">
        <f>I472+I473+I475+I476+I477+0</f>
        <v>855.28000000000009</v>
      </c>
      <c r="I481" s="43"/>
      <c r="J481" s="43">
        <f>K472+K473+K475+K476+K477+0</f>
        <v>35892.92</v>
      </c>
      <c r="K481" s="43"/>
      <c r="L481"/>
      <c r="O481"/>
      <c r="P481" s="31">
        <f>I472+I473+I475+I476+I477+0</f>
        <v>855.28000000000009</v>
      </c>
      <c r="Q481" s="31">
        <f>K472+K473+K475+K476+K477+0</f>
        <v>35892.92</v>
      </c>
    </row>
    <row r="482" spans="1:30" hidden="1" x14ac:dyDescent="0.2">
      <c r="L482"/>
      <c r="O482"/>
    </row>
    <row r="483" spans="1:30" ht="41.25" x14ac:dyDescent="0.2">
      <c r="A483" s="92">
        <v>56</v>
      </c>
      <c r="B483" s="92" t="str">
        <f>Source!F391</f>
        <v>КА, п.23</v>
      </c>
      <c r="C483" s="92" t="s">
        <v>669</v>
      </c>
      <c r="D483" s="93" t="str">
        <f>Source!H391</f>
        <v>ШТ</v>
      </c>
      <c r="E483" s="94">
        <f>Source!I391</f>
        <v>42</v>
      </c>
      <c r="F483" s="95">
        <f>Source!AL391</f>
        <v>14.69</v>
      </c>
      <c r="G483" s="96"/>
      <c r="H483" s="94">
        <f>Source!AW392</f>
        <v>1</v>
      </c>
      <c r="I483" s="95">
        <f>Source!P391</f>
        <v>616.98</v>
      </c>
      <c r="J483" s="94">
        <f>IF(Source!BC392&lt;&gt; 0, Source!BC392, 1)</f>
        <v>7.57</v>
      </c>
      <c r="K483" s="95">
        <f>Source!P392</f>
        <v>4670.54</v>
      </c>
      <c r="L483" s="97" t="s">
        <v>678</v>
      </c>
      <c r="O483"/>
      <c r="R483">
        <f>Source!X391</f>
        <v>0</v>
      </c>
      <c r="S483">
        <f>Source!X392</f>
        <v>0</v>
      </c>
      <c r="T483">
        <f>Source!Y391</f>
        <v>0</v>
      </c>
      <c r="U483">
        <f>Source!Y392</f>
        <v>0</v>
      </c>
      <c r="V483">
        <f>ROUND((175/100)*ROUND(Source!R391, 2), 2)</f>
        <v>0</v>
      </c>
      <c r="W483">
        <f>ROUND((0/100)*ROUND(Source!R392, 2), 2)</f>
        <v>0</v>
      </c>
      <c r="AD483">
        <v>3</v>
      </c>
    </row>
    <row r="484" spans="1:30" ht="15" hidden="1" x14ac:dyDescent="0.2">
      <c r="C484" s="30" t="s">
        <v>648</v>
      </c>
      <c r="H484" s="47">
        <f>I483+0</f>
        <v>616.98</v>
      </c>
      <c r="I484" s="47"/>
      <c r="J484" s="47">
        <f>K483+0</f>
        <v>4670.54</v>
      </c>
      <c r="K484" s="47"/>
      <c r="L484"/>
      <c r="O484"/>
      <c r="P484" s="31">
        <f>I483+0</f>
        <v>616.98</v>
      </c>
      <c r="Q484" s="31">
        <f>K483+0</f>
        <v>4670.54</v>
      </c>
    </row>
    <row r="485" spans="1:30" hidden="1" x14ac:dyDescent="0.2">
      <c r="L485"/>
      <c r="O485"/>
    </row>
    <row r="486" spans="1:30" ht="57" hidden="1" x14ac:dyDescent="0.2">
      <c r="A486" s="20">
        <v>57</v>
      </c>
      <c r="B486" s="20" t="str">
        <f>Source!F393</f>
        <v>4.8-86-2</v>
      </c>
      <c r="C486" s="20" t="s">
        <v>318</v>
      </c>
      <c r="D486" s="22" t="str">
        <f>Source!H393</f>
        <v>100 М УЛОЖЕННОГО КАБЕЛЯ</v>
      </c>
      <c r="E486" s="21">
        <f>Source!I393</f>
        <v>32.36</v>
      </c>
      <c r="F486" s="24"/>
      <c r="G486" s="23"/>
      <c r="H486" s="21"/>
      <c r="I486" s="24"/>
      <c r="J486" s="21"/>
      <c r="K486" s="24"/>
      <c r="L486"/>
      <c r="O486"/>
      <c r="R486">
        <f>Source!X393</f>
        <v>612.07000000000005</v>
      </c>
      <c r="S486">
        <f>Source!X394</f>
        <v>34490.14</v>
      </c>
      <c r="T486">
        <f>Source!Y393</f>
        <v>321.81</v>
      </c>
      <c r="U486">
        <f>Source!Y394</f>
        <v>18133.990000000002</v>
      </c>
      <c r="V486">
        <f>ROUND((175/100)*ROUND(Source!R393, 2), 2)</f>
        <v>0</v>
      </c>
      <c r="W486">
        <f>ROUND((0/100)*ROUND(Source!R394, 2), 2)</f>
        <v>0</v>
      </c>
      <c r="AD486">
        <v>0</v>
      </c>
    </row>
    <row r="487" spans="1:30" hidden="1" x14ac:dyDescent="0.2">
      <c r="C487" s="33" t="str">
        <f>"Объем: "&amp;Source!I393&amp;"=(3181+"&amp;"55)/"&amp;"100"</f>
        <v>Объем: 32,36=(3181+55)/100</v>
      </c>
      <c r="L487"/>
      <c r="O487"/>
    </row>
    <row r="488" spans="1:30" ht="14.25" hidden="1" x14ac:dyDescent="0.2">
      <c r="A488" s="20"/>
      <c r="B488" s="20"/>
      <c r="C488" s="20" t="s">
        <v>638</v>
      </c>
      <c r="D488" s="22"/>
      <c r="E488" s="21"/>
      <c r="F488" s="24">
        <f>Source!AO393</f>
        <v>15.52</v>
      </c>
      <c r="G488" s="23" t="s">
        <v>157</v>
      </c>
      <c r="H488" s="21">
        <f>Source!AV394</f>
        <v>1.0469999999999999</v>
      </c>
      <c r="I488" s="24">
        <f>Source!S393</f>
        <v>631</v>
      </c>
      <c r="J488" s="21">
        <f>IF(Source!BA394&lt;&gt; 0, Source!BA394, 1)</f>
        <v>56.35</v>
      </c>
      <c r="K488" s="24">
        <f>Source!S394</f>
        <v>35556.85</v>
      </c>
      <c r="L488"/>
      <c r="O488"/>
    </row>
    <row r="489" spans="1:30" ht="14.25" hidden="1" x14ac:dyDescent="0.2">
      <c r="A489" s="20"/>
      <c r="B489" s="20"/>
      <c r="C489" s="20" t="s">
        <v>652</v>
      </c>
      <c r="D489" s="22"/>
      <c r="E489" s="21"/>
      <c r="F489" s="24">
        <f>Source!AL393</f>
        <v>0.56999999999999995</v>
      </c>
      <c r="G489" s="23"/>
      <c r="H489" s="21">
        <f>Source!AW394</f>
        <v>1</v>
      </c>
      <c r="I489" s="24">
        <f>Source!P393</f>
        <v>18.45</v>
      </c>
      <c r="J489" s="21">
        <f>IF(Source!BC394&lt;&gt; 0, Source!BC394, 1)</f>
        <v>18.190000000000001</v>
      </c>
      <c r="K489" s="24">
        <f>Source!P394</f>
        <v>335.61</v>
      </c>
      <c r="L489"/>
      <c r="O489"/>
    </row>
    <row r="490" spans="1:30" ht="14.25" hidden="1" x14ac:dyDescent="0.2">
      <c r="A490" s="20"/>
      <c r="B490" s="20"/>
      <c r="C490" s="20" t="s">
        <v>641</v>
      </c>
      <c r="D490" s="22" t="s">
        <v>642</v>
      </c>
      <c r="E490" s="21">
        <f>Source!BZ394</f>
        <v>97</v>
      </c>
      <c r="F490" s="24"/>
      <c r="G490" s="23"/>
      <c r="H490" s="21"/>
      <c r="I490" s="24">
        <f>SUM(R486:R489)</f>
        <v>612.07000000000005</v>
      </c>
      <c r="J490" s="21">
        <f>Source!AT394</f>
        <v>97</v>
      </c>
      <c r="K490" s="24">
        <f>SUM(S486:S489)</f>
        <v>34490.14</v>
      </c>
      <c r="L490"/>
      <c r="O490"/>
    </row>
    <row r="491" spans="1:30" ht="14.25" hidden="1" x14ac:dyDescent="0.2">
      <c r="A491" s="20"/>
      <c r="B491" s="20"/>
      <c r="C491" s="20" t="s">
        <v>643</v>
      </c>
      <c r="D491" s="22" t="s">
        <v>642</v>
      </c>
      <c r="E491" s="21">
        <f>Source!CA394</f>
        <v>51</v>
      </c>
      <c r="F491" s="24"/>
      <c r="G491" s="23"/>
      <c r="H491" s="21"/>
      <c r="I491" s="24">
        <f>SUM(T486:T490)</f>
        <v>321.81</v>
      </c>
      <c r="J491" s="21">
        <f>Source!AU394</f>
        <v>51</v>
      </c>
      <c r="K491" s="24">
        <f>SUM(U486:U490)</f>
        <v>18133.990000000002</v>
      </c>
      <c r="L491"/>
      <c r="O491"/>
    </row>
    <row r="492" spans="1:30" ht="14.25" hidden="1" x14ac:dyDescent="0.2">
      <c r="A492" s="25"/>
      <c r="B492" s="25"/>
      <c r="C492" s="25" t="s">
        <v>644</v>
      </c>
      <c r="D492" s="26" t="s">
        <v>645</v>
      </c>
      <c r="E492" s="27">
        <f>Source!AQ393</f>
        <v>1.26</v>
      </c>
      <c r="F492" s="28"/>
      <c r="G492" s="29" t="s">
        <v>157</v>
      </c>
      <c r="H492" s="27">
        <f>Source!AV394</f>
        <v>1.0469999999999999</v>
      </c>
      <c r="I492" s="28">
        <f>Source!U393</f>
        <v>51.227951039999994</v>
      </c>
      <c r="J492" s="27"/>
      <c r="K492" s="28"/>
      <c r="L492"/>
      <c r="O492"/>
    </row>
    <row r="493" spans="1:30" ht="15" hidden="1" x14ac:dyDescent="0.2">
      <c r="C493" s="30" t="s">
        <v>646</v>
      </c>
      <c r="H493" s="47">
        <f>I488+I489+I490+I491+0-0-0</f>
        <v>1583.33</v>
      </c>
      <c r="I493" s="47"/>
      <c r="J493" s="47">
        <f>K488+K489+K490+K491+0-0-0</f>
        <v>88516.590000000011</v>
      </c>
      <c r="K493" s="47"/>
      <c r="L493"/>
      <c r="O493"/>
    </row>
    <row r="494" spans="1:30" ht="15" hidden="1" x14ac:dyDescent="0.2">
      <c r="C494" s="30" t="s">
        <v>647</v>
      </c>
      <c r="H494" s="43">
        <f>0+0</f>
        <v>0</v>
      </c>
      <c r="I494" s="43"/>
      <c r="J494" s="43">
        <f>0+0</f>
        <v>0</v>
      </c>
      <c r="K494" s="43"/>
      <c r="L494"/>
      <c r="O494"/>
    </row>
    <row r="495" spans="1:30" ht="15" hidden="1" x14ac:dyDescent="0.2">
      <c r="C495" s="30" t="s">
        <v>648</v>
      </c>
      <c r="H495" s="43">
        <f>I488+I489+I490+I491+0</f>
        <v>1583.33</v>
      </c>
      <c r="I495" s="43"/>
      <c r="J495" s="43">
        <f>K488+K489+K490+K491+0</f>
        <v>88516.590000000011</v>
      </c>
      <c r="K495" s="43"/>
      <c r="L495"/>
      <c r="O495"/>
      <c r="P495" s="31">
        <f>I488+I489+I490+I491+0</f>
        <v>1583.33</v>
      </c>
      <c r="Q495" s="31">
        <f>K488+K489+K490+K491+0</f>
        <v>88516.590000000011</v>
      </c>
    </row>
    <row r="496" spans="1:30" hidden="1" x14ac:dyDescent="0.2">
      <c r="L496"/>
      <c r="O496"/>
    </row>
    <row r="497" spans="1:30" ht="28.5" hidden="1" x14ac:dyDescent="0.2">
      <c r="A497" s="20">
        <v>58</v>
      </c>
      <c r="B497" s="20" t="str">
        <f>Source!F395</f>
        <v>1.1-1-7994</v>
      </c>
      <c r="C497" s="20" t="s">
        <v>323</v>
      </c>
      <c r="D497" s="22" t="str">
        <f>Source!H395</f>
        <v>т</v>
      </c>
      <c r="E497" s="21">
        <f>Source!I395</f>
        <v>-9.7079999999999996E-4</v>
      </c>
      <c r="F497" s="24">
        <f>Source!AL395</f>
        <v>18995.22</v>
      </c>
      <c r="G497" s="23"/>
      <c r="H497" s="21">
        <f>Source!AW396</f>
        <v>1</v>
      </c>
      <c r="I497" s="24">
        <f>Source!P395</f>
        <v>-18.440000000000001</v>
      </c>
      <c r="J497" s="21">
        <f>IF(Source!BC396&lt;&gt; 0, Source!BC396, 1)</f>
        <v>18.190000000000001</v>
      </c>
      <c r="K497" s="24">
        <f>Source!P396</f>
        <v>-335.42</v>
      </c>
      <c r="L497"/>
      <c r="O497"/>
      <c r="R497">
        <f>Source!X395</f>
        <v>0</v>
      </c>
      <c r="S497">
        <f>Source!X396</f>
        <v>0</v>
      </c>
      <c r="T497">
        <f>Source!Y395</f>
        <v>0</v>
      </c>
      <c r="U497">
        <f>Source!Y396</f>
        <v>0</v>
      </c>
      <c r="V497">
        <f>ROUND((175/100)*ROUND(Source!R395, 2), 2)</f>
        <v>0</v>
      </c>
      <c r="W497">
        <f>ROUND((0/100)*ROUND(Source!R396, 2), 2)</f>
        <v>0</v>
      </c>
      <c r="AD497">
        <v>3</v>
      </c>
    </row>
    <row r="498" spans="1:30" hidden="1" x14ac:dyDescent="0.2">
      <c r="A498" s="37"/>
      <c r="B498" s="37"/>
      <c r="C498" s="38" t="str">
        <f>"Объем: "&amp;Source!I395&amp;"="&amp;Source!I393&amp;"*"&amp;"-"&amp;"0,00003"</f>
        <v>Объем: -0,0009708=32,36*-0,00003</v>
      </c>
      <c r="D498" s="37"/>
      <c r="E498" s="37"/>
      <c r="F498" s="37"/>
      <c r="G498" s="37"/>
      <c r="H498" s="37"/>
      <c r="I498" s="37"/>
      <c r="J498" s="37"/>
      <c r="K498" s="37"/>
      <c r="L498"/>
      <c r="O498"/>
    </row>
    <row r="499" spans="1:30" ht="15" hidden="1" x14ac:dyDescent="0.2">
      <c r="C499" s="30" t="s">
        <v>648</v>
      </c>
      <c r="H499" s="47">
        <f>I497+0</f>
        <v>-18.440000000000001</v>
      </c>
      <c r="I499" s="47"/>
      <c r="J499" s="47">
        <f>K497+0</f>
        <v>-335.42</v>
      </c>
      <c r="K499" s="47"/>
      <c r="L499"/>
      <c r="O499"/>
      <c r="P499" s="31">
        <f>I497+0</f>
        <v>-18.440000000000001</v>
      </c>
      <c r="Q499" s="31">
        <f>K497+0</f>
        <v>-335.42</v>
      </c>
    </row>
    <row r="500" spans="1:30" hidden="1" x14ac:dyDescent="0.2">
      <c r="L500"/>
      <c r="O500"/>
    </row>
    <row r="501" spans="1:30" ht="54" x14ac:dyDescent="0.2">
      <c r="A501" s="92">
        <v>59</v>
      </c>
      <c r="B501" s="92" t="str">
        <f>Source!F397</f>
        <v>КА, п.24</v>
      </c>
      <c r="C501" s="92" t="s">
        <v>670</v>
      </c>
      <c r="D501" s="93" t="str">
        <f>Source!H397</f>
        <v>ШТ</v>
      </c>
      <c r="E501" s="94">
        <f>Source!I397</f>
        <v>3</v>
      </c>
      <c r="F501" s="95">
        <f>Source!AL397</f>
        <v>324.14</v>
      </c>
      <c r="G501" s="96"/>
      <c r="H501" s="94">
        <f>Source!AW398</f>
        <v>1</v>
      </c>
      <c r="I501" s="95">
        <f>Source!P397</f>
        <v>972.42</v>
      </c>
      <c r="J501" s="94">
        <f>IF(Source!BC398&lt;&gt; 0, Source!BC398, 1)</f>
        <v>7.57</v>
      </c>
      <c r="K501" s="95">
        <f>Source!P398</f>
        <v>7361.22</v>
      </c>
      <c r="L501" s="97" t="s">
        <v>679</v>
      </c>
      <c r="O501"/>
      <c r="R501">
        <f>Source!X397</f>
        <v>0</v>
      </c>
      <c r="S501">
        <f>Source!X398</f>
        <v>0</v>
      </c>
      <c r="T501">
        <f>Source!Y397</f>
        <v>0</v>
      </c>
      <c r="U501">
        <f>Source!Y398</f>
        <v>0</v>
      </c>
      <c r="V501">
        <f>ROUND((175/100)*ROUND(Source!R397, 2), 2)</f>
        <v>0</v>
      </c>
      <c r="W501">
        <f>ROUND((0/100)*ROUND(Source!R398, 2), 2)</f>
        <v>0</v>
      </c>
      <c r="AD501">
        <v>3</v>
      </c>
    </row>
    <row r="502" spans="1:30" ht="15" hidden="1" x14ac:dyDescent="0.2">
      <c r="C502" s="30" t="s">
        <v>648</v>
      </c>
      <c r="H502" s="47">
        <f>I501+0</f>
        <v>972.42</v>
      </c>
      <c r="I502" s="47"/>
      <c r="J502" s="47">
        <f>K501+0</f>
        <v>7361.22</v>
      </c>
      <c r="K502" s="47"/>
      <c r="L502"/>
      <c r="O502"/>
      <c r="P502" s="31">
        <f>I501+0</f>
        <v>972.42</v>
      </c>
      <c r="Q502" s="31">
        <f>K501+0</f>
        <v>7361.22</v>
      </c>
    </row>
    <row r="503" spans="1:30" hidden="1" x14ac:dyDescent="0.2">
      <c r="L503"/>
      <c r="O503"/>
    </row>
    <row r="504" spans="1:30" hidden="1" x14ac:dyDescent="0.2">
      <c r="L504"/>
      <c r="O504"/>
    </row>
    <row r="505" spans="1:30" ht="15" hidden="1" x14ac:dyDescent="0.25">
      <c r="A505" s="45" t="str">
        <f>CONCATENATE("Итого по разделу: ",IF(Source!G400&lt;&gt;"Новый раздел", Source!G400, ""))</f>
        <v>Итого по разделу: Материалы</v>
      </c>
      <c r="B505" s="45"/>
      <c r="C505" s="45"/>
      <c r="D505" s="45"/>
      <c r="E505" s="45"/>
      <c r="F505" s="45"/>
      <c r="G505" s="45"/>
      <c r="H505" s="43">
        <f>SUM(P470:P504)</f>
        <v>4009.57</v>
      </c>
      <c r="I505" s="44"/>
      <c r="J505" s="43">
        <f>SUM(Q470:Q504)</f>
        <v>136105.85</v>
      </c>
      <c r="K505" s="44"/>
      <c r="L505"/>
      <c r="O505"/>
    </row>
    <row r="506" spans="1:30" hidden="1" x14ac:dyDescent="0.2">
      <c r="A506" t="s">
        <v>650</v>
      </c>
      <c r="I506">
        <f>SUM(X470:X505)</f>
        <v>0</v>
      </c>
      <c r="J506">
        <f>SUM(Y470:Y505)</f>
        <v>0</v>
      </c>
      <c r="L506"/>
      <c r="O506"/>
    </row>
    <row r="507" spans="1:30" hidden="1" x14ac:dyDescent="0.2">
      <c r="A507" t="s">
        <v>651</v>
      </c>
      <c r="I507">
        <f>SUM(Z470:Z506)</f>
        <v>0</v>
      </c>
      <c r="J507">
        <f>SUM(AA470:AA506)</f>
        <v>0</v>
      </c>
      <c r="L507"/>
      <c r="O507"/>
    </row>
    <row r="508" spans="1:30" hidden="1" x14ac:dyDescent="0.2">
      <c r="L508"/>
      <c r="O508"/>
    </row>
    <row r="509" spans="1:30" ht="16.5" hidden="1" x14ac:dyDescent="0.2">
      <c r="A509" s="48" t="str">
        <f>CONCATENATE("Раздел: ",IF(Source!G430&lt;&gt;"Новый раздел", Source!G430, ""))</f>
        <v>Раздел: Разное</v>
      </c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/>
      <c r="O509"/>
    </row>
    <row r="510" spans="1:30" ht="28.5" hidden="1" x14ac:dyDescent="0.2">
      <c r="A510" s="20">
        <v>60</v>
      </c>
      <c r="B510" s="20" t="str">
        <f>Source!F434</f>
        <v>4.8-60-1</v>
      </c>
      <c r="C510" s="20" t="s">
        <v>335</v>
      </c>
      <c r="D510" s="22" t="str">
        <f>Source!H434</f>
        <v>1  ШТ.</v>
      </c>
      <c r="E510" s="21">
        <f>Source!I434</f>
        <v>15</v>
      </c>
      <c r="F510" s="24"/>
      <c r="G510" s="23"/>
      <c r="H510" s="21"/>
      <c r="I510" s="24"/>
      <c r="J510" s="21"/>
      <c r="K510" s="24"/>
      <c r="L510"/>
      <c r="O510"/>
      <c r="R510">
        <f>Source!X434</f>
        <v>475.3</v>
      </c>
      <c r="S510">
        <f>Source!X435</f>
        <v>26783.16</v>
      </c>
      <c r="T510">
        <f>Source!Y434</f>
        <v>249.9</v>
      </c>
      <c r="U510">
        <f>Source!Y435</f>
        <v>14081.87</v>
      </c>
      <c r="V510">
        <f>ROUND((175/100)*ROUND(Source!R434, 2), 2)</f>
        <v>0</v>
      </c>
      <c r="W510">
        <f>ROUND((0/100)*ROUND(Source!R435, 2), 2)</f>
        <v>0</v>
      </c>
      <c r="AD510">
        <v>0</v>
      </c>
    </row>
    <row r="511" spans="1:30" ht="14.25" hidden="1" x14ac:dyDescent="0.2">
      <c r="A511" s="20"/>
      <c r="B511" s="20"/>
      <c r="C511" s="20" t="s">
        <v>638</v>
      </c>
      <c r="D511" s="22"/>
      <c r="E511" s="21"/>
      <c r="F511" s="24">
        <f>Source!AO434</f>
        <v>26</v>
      </c>
      <c r="G511" s="23" t="s">
        <v>157</v>
      </c>
      <c r="H511" s="21">
        <f>Source!AV435</f>
        <v>1.0469999999999999</v>
      </c>
      <c r="I511" s="24">
        <f>Source!S434</f>
        <v>490</v>
      </c>
      <c r="J511" s="21">
        <f>IF(Source!BA435&lt;&gt; 0, Source!BA435, 1)</f>
        <v>56.35</v>
      </c>
      <c r="K511" s="24">
        <f>Source!S435</f>
        <v>27611.5</v>
      </c>
      <c r="L511"/>
      <c r="O511"/>
    </row>
    <row r="512" spans="1:30" ht="14.25" hidden="1" x14ac:dyDescent="0.2">
      <c r="A512" s="20"/>
      <c r="B512" s="20"/>
      <c r="C512" s="20" t="s">
        <v>652</v>
      </c>
      <c r="D512" s="22"/>
      <c r="E512" s="21"/>
      <c r="F512" s="24">
        <f>Source!AL434</f>
        <v>28.45</v>
      </c>
      <c r="G512" s="23"/>
      <c r="H512" s="21">
        <f>Source!AW435</f>
        <v>1</v>
      </c>
      <c r="I512" s="24">
        <f>Source!P434</f>
        <v>426.75</v>
      </c>
      <c r="J512" s="21">
        <f>IF(Source!BC435&lt;&gt; 0, Source!BC435, 1)</f>
        <v>6.28</v>
      </c>
      <c r="K512" s="24">
        <f>Source!P435</f>
        <v>2679.99</v>
      </c>
      <c r="L512"/>
      <c r="O512"/>
    </row>
    <row r="513" spans="1:30" ht="57" hidden="1" x14ac:dyDescent="0.2">
      <c r="A513" s="20" t="s">
        <v>336</v>
      </c>
      <c r="B513" s="20" t="str">
        <f>Source!F436</f>
        <v>1.1-1-8146</v>
      </c>
      <c r="C513" s="20" t="s">
        <v>338</v>
      </c>
      <c r="D513" s="22" t="str">
        <f>Source!H436</f>
        <v>кг</v>
      </c>
      <c r="E513" s="21">
        <f>Source!I436</f>
        <v>1.65</v>
      </c>
      <c r="F513" s="24">
        <f>Source!AK436</f>
        <v>31.08</v>
      </c>
      <c r="G513" s="36" t="s">
        <v>3</v>
      </c>
      <c r="H513" s="21">
        <f>Source!AW437</f>
        <v>1</v>
      </c>
      <c r="I513" s="24">
        <f>Source!O436</f>
        <v>51.28</v>
      </c>
      <c r="J513" s="21">
        <f>IF(Source!BC437&lt;&gt; 0, Source!BC437, 1)</f>
        <v>3.59</v>
      </c>
      <c r="K513" s="24">
        <f>Source!O437</f>
        <v>184.1</v>
      </c>
      <c r="L513"/>
      <c r="O513"/>
      <c r="R513">
        <f>Source!X436</f>
        <v>0</v>
      </c>
      <c r="S513">
        <f>Source!X437</f>
        <v>0</v>
      </c>
      <c r="T513">
        <f>Source!Y436</f>
        <v>0</v>
      </c>
      <c r="U513">
        <f>Source!Y437</f>
        <v>0</v>
      </c>
      <c r="V513">
        <f>ROUND((175/100)*ROUND(Source!R436, 2), 2)</f>
        <v>0</v>
      </c>
      <c r="W513">
        <f>ROUND((0/100)*ROUND(Source!R437, 2), 2)</f>
        <v>0</v>
      </c>
      <c r="AD513">
        <v>3</v>
      </c>
    </row>
    <row r="514" spans="1:30" ht="14.25" hidden="1" x14ac:dyDescent="0.2">
      <c r="A514" s="20"/>
      <c r="B514" s="20"/>
      <c r="C514" s="20" t="s">
        <v>641</v>
      </c>
      <c r="D514" s="22" t="s">
        <v>642</v>
      </c>
      <c r="E514" s="21">
        <f>Source!BZ435</f>
        <v>97</v>
      </c>
      <c r="F514" s="24"/>
      <c r="G514" s="23"/>
      <c r="H514" s="21"/>
      <c r="I514" s="24">
        <f>SUM(R510:R513)</f>
        <v>475.3</v>
      </c>
      <c r="J514" s="21">
        <f>Source!AT435</f>
        <v>97</v>
      </c>
      <c r="K514" s="24">
        <f>SUM(S510:S513)</f>
        <v>26783.16</v>
      </c>
      <c r="L514"/>
      <c r="O514"/>
    </row>
    <row r="515" spans="1:30" ht="14.25" hidden="1" x14ac:dyDescent="0.2">
      <c r="A515" s="20"/>
      <c r="B515" s="20"/>
      <c r="C515" s="20" t="s">
        <v>643</v>
      </c>
      <c r="D515" s="22" t="s">
        <v>642</v>
      </c>
      <c r="E515" s="21">
        <f>Source!CA435</f>
        <v>51</v>
      </c>
      <c r="F515" s="24"/>
      <c r="G515" s="23"/>
      <c r="H515" s="21"/>
      <c r="I515" s="24">
        <f>SUM(T510:T514)</f>
        <v>249.9</v>
      </c>
      <c r="J515" s="21">
        <f>Source!AU435</f>
        <v>51</v>
      </c>
      <c r="K515" s="24">
        <f>SUM(U510:U514)</f>
        <v>14081.87</v>
      </c>
      <c r="L515"/>
      <c r="O515"/>
    </row>
    <row r="516" spans="1:30" ht="14.25" hidden="1" x14ac:dyDescent="0.2">
      <c r="A516" s="25"/>
      <c r="B516" s="25"/>
      <c r="C516" s="25" t="s">
        <v>644</v>
      </c>
      <c r="D516" s="26" t="s">
        <v>645</v>
      </c>
      <c r="E516" s="27">
        <f>Source!AQ434</f>
        <v>2.06</v>
      </c>
      <c r="F516" s="28"/>
      <c r="G516" s="29" t="s">
        <v>157</v>
      </c>
      <c r="H516" s="27">
        <f>Source!AV435</f>
        <v>1.0469999999999999</v>
      </c>
      <c r="I516" s="28">
        <f>Source!U434</f>
        <v>38.822759999999995</v>
      </c>
      <c r="J516" s="27"/>
      <c r="K516" s="28"/>
      <c r="L516"/>
      <c r="O516"/>
    </row>
    <row r="517" spans="1:30" ht="15" hidden="1" x14ac:dyDescent="0.2">
      <c r="C517" s="30" t="s">
        <v>646</v>
      </c>
      <c r="H517" s="47">
        <f>I511+I512+I514+I515+SUM(I513:I513)-SUMIF(AD513:AD513, 5, I513:I513)-SUMIF(AD513:AD513, 6, I513:I513)</f>
        <v>1693.23</v>
      </c>
      <c r="I517" s="47"/>
      <c r="J517" s="47">
        <f>K511+K512+K514+K515+SUM(K513:K513)-SUMIF(AD513:AD513, 5, K513:K513)-SUMIF(AD513:AD513, 6, K513:K513)</f>
        <v>71340.62</v>
      </c>
      <c r="K517" s="47"/>
      <c r="L517"/>
      <c r="O517"/>
    </row>
    <row r="518" spans="1:30" ht="15" hidden="1" x14ac:dyDescent="0.2">
      <c r="C518" s="30" t="s">
        <v>647</v>
      </c>
      <c r="H518" s="43">
        <f>SUMIF(AD513:AD513, 5, I513:I513)+SUMIF(AD513:AD513, 6, I513:I513)</f>
        <v>0</v>
      </c>
      <c r="I518" s="43"/>
      <c r="J518" s="43">
        <f>SUMIF(AD513:AD513, 5, K513:K513)+SUMIF(AD513:AD513, 6, K513:K513)</f>
        <v>0</v>
      </c>
      <c r="K518" s="43"/>
      <c r="L518"/>
      <c r="O518"/>
    </row>
    <row r="519" spans="1:30" ht="15" hidden="1" x14ac:dyDescent="0.2">
      <c r="C519" s="30" t="s">
        <v>648</v>
      </c>
      <c r="H519" s="43">
        <f>I511+I512+I514+I515+SUM(I513:I513)</f>
        <v>1693.23</v>
      </c>
      <c r="I519" s="43"/>
      <c r="J519" s="43">
        <f>K511+K512+K514+K515+SUM(K513:K513)</f>
        <v>71340.62</v>
      </c>
      <c r="K519" s="43"/>
      <c r="L519"/>
      <c r="O519"/>
      <c r="P519" s="31">
        <f>I511+I512+I514+I515+SUM(I513:I513)</f>
        <v>1693.23</v>
      </c>
      <c r="Q519" s="31">
        <f>K511+K512+K514+K515+SUM(K513:K513)</f>
        <v>71340.62</v>
      </c>
    </row>
    <row r="520" spans="1:30" hidden="1" x14ac:dyDescent="0.2">
      <c r="L520"/>
      <c r="O520"/>
    </row>
    <row r="521" spans="1:30" ht="54" x14ac:dyDescent="0.2">
      <c r="A521" s="76">
        <v>61</v>
      </c>
      <c r="B521" s="76" t="str">
        <f>Source!F438</f>
        <v>КА, п.25</v>
      </c>
      <c r="C521" s="76" t="s">
        <v>671</v>
      </c>
      <c r="D521" s="77" t="str">
        <f>Source!H438</f>
        <v>ШТ</v>
      </c>
      <c r="E521" s="78">
        <f>Source!I438</f>
        <v>15</v>
      </c>
      <c r="F521" s="79">
        <f>Source!AL438</f>
        <v>54.949999999999996</v>
      </c>
      <c r="G521" s="80"/>
      <c r="H521" s="78">
        <f>Source!AW439</f>
        <v>1</v>
      </c>
      <c r="I521" s="79">
        <f>Source!P438</f>
        <v>824.25</v>
      </c>
      <c r="J521" s="78">
        <f>IF(Source!BC439&lt;&gt; 0, Source!BC439, 1)</f>
        <v>9.84</v>
      </c>
      <c r="K521" s="79">
        <f>Source!P439</f>
        <v>8110.62</v>
      </c>
      <c r="L521" s="100" t="s">
        <v>677</v>
      </c>
      <c r="O521" s="98" t="s">
        <v>680</v>
      </c>
      <c r="R521">
        <f>Source!X438</f>
        <v>0</v>
      </c>
      <c r="S521">
        <f>Source!X439</f>
        <v>0</v>
      </c>
      <c r="T521">
        <f>Source!Y438</f>
        <v>0</v>
      </c>
      <c r="U521">
        <f>Source!Y439</f>
        <v>0</v>
      </c>
      <c r="V521">
        <f>ROUND((175/100)*ROUND(Source!R438, 2), 2)</f>
        <v>0</v>
      </c>
      <c r="W521">
        <f>ROUND((0/100)*ROUND(Source!R439, 2), 2)</f>
        <v>0</v>
      </c>
      <c r="AD521">
        <v>5</v>
      </c>
    </row>
    <row r="522" spans="1:30" ht="15" hidden="1" x14ac:dyDescent="0.2">
      <c r="A522" s="34"/>
      <c r="B522" s="34"/>
      <c r="C522" s="35" t="s">
        <v>648</v>
      </c>
      <c r="D522" s="34"/>
      <c r="E522" s="34"/>
      <c r="F522" s="34"/>
      <c r="G522" s="34"/>
      <c r="H522" s="46">
        <f>I521+0</f>
        <v>824.25</v>
      </c>
      <c r="I522" s="46"/>
      <c r="J522" s="46">
        <f>K521+0</f>
        <v>8110.62</v>
      </c>
      <c r="K522" s="46"/>
      <c r="L522"/>
      <c r="O522"/>
      <c r="P522" s="31">
        <f>I521+0</f>
        <v>824.25</v>
      </c>
      <c r="Q522" s="31">
        <f>K521+0</f>
        <v>8110.62</v>
      </c>
    </row>
    <row r="523" spans="1:30" hidden="1" x14ac:dyDescent="0.2">
      <c r="L523"/>
      <c r="O523"/>
    </row>
    <row r="524" spans="1:30" hidden="1" x14ac:dyDescent="0.2">
      <c r="L524"/>
      <c r="O524"/>
    </row>
    <row r="525" spans="1:30" ht="15" hidden="1" x14ac:dyDescent="0.25">
      <c r="A525" s="45" t="str">
        <f>CONCATENATE("Итого по разделу: ",IF(Source!G441&lt;&gt;"Новый раздел", Source!G441, ""))</f>
        <v>Итого по разделу: Разное</v>
      </c>
      <c r="B525" s="45"/>
      <c r="C525" s="45"/>
      <c r="D525" s="45"/>
      <c r="E525" s="45"/>
      <c r="F525" s="45"/>
      <c r="G525" s="45"/>
      <c r="H525" s="43">
        <f>SUM(P509:P524)</f>
        <v>2517.48</v>
      </c>
      <c r="I525" s="44"/>
      <c r="J525" s="43">
        <f>SUM(Q509:Q524)</f>
        <v>79451.239999999991</v>
      </c>
      <c r="K525" s="44"/>
      <c r="L525"/>
      <c r="O525"/>
    </row>
    <row r="526" spans="1:30" hidden="1" x14ac:dyDescent="0.2">
      <c r="A526" t="s">
        <v>650</v>
      </c>
      <c r="I526">
        <f>SUM(X509:X525)</f>
        <v>0</v>
      </c>
      <c r="J526">
        <f>SUM(Y509:Y525)</f>
        <v>0</v>
      </c>
      <c r="L526"/>
      <c r="O526"/>
    </row>
    <row r="527" spans="1:30" hidden="1" x14ac:dyDescent="0.2">
      <c r="A527" t="s">
        <v>651</v>
      </c>
      <c r="I527">
        <f>SUM(Z509:Z526)</f>
        <v>0</v>
      </c>
      <c r="J527">
        <f>SUM(AA509:AA526)</f>
        <v>0</v>
      </c>
      <c r="L527"/>
      <c r="O527"/>
    </row>
    <row r="528" spans="1:30" hidden="1" x14ac:dyDescent="0.2">
      <c r="L528"/>
      <c r="O528"/>
    </row>
    <row r="529" spans="1:15" ht="15" hidden="1" x14ac:dyDescent="0.25">
      <c r="A529" s="45" t="str">
        <f>CONCATENATE("Итого по локальной смете: ",IF(Source!G471&lt;&gt;"Новая локальная смета", Source!G471, ""))</f>
        <v>Итого по локальной смете: Система охранной сигнализации</v>
      </c>
      <c r="B529" s="45"/>
      <c r="C529" s="45"/>
      <c r="D529" s="45"/>
      <c r="E529" s="45"/>
      <c r="F529" s="45"/>
      <c r="G529" s="45"/>
      <c r="H529" s="43">
        <f>SUM(P36:P528)</f>
        <v>200587.33</v>
      </c>
      <c r="I529" s="44"/>
      <c r="J529" s="43">
        <f>SUM(Q36:Q528)</f>
        <v>4913174.709999999</v>
      </c>
      <c r="K529" s="44"/>
      <c r="L529"/>
      <c r="O529"/>
    </row>
    <row r="530" spans="1:15" hidden="1" x14ac:dyDescent="0.2">
      <c r="A530" t="s">
        <v>650</v>
      </c>
      <c r="I530">
        <f>SUM(X36:X529)</f>
        <v>0</v>
      </c>
      <c r="J530">
        <f>SUM(Y36:Y529)</f>
        <v>0</v>
      </c>
      <c r="L530"/>
      <c r="O530"/>
    </row>
    <row r="531" spans="1:15" hidden="1" x14ac:dyDescent="0.2">
      <c r="A531" t="s">
        <v>651</v>
      </c>
      <c r="I531">
        <f>SUM(Z36:Z530)</f>
        <v>0</v>
      </c>
      <c r="J531">
        <f>SUM(AA36:AA530)</f>
        <v>0</v>
      </c>
      <c r="L531"/>
      <c r="O531"/>
    </row>
    <row r="532" spans="1:15" hidden="1" x14ac:dyDescent="0.2">
      <c r="L532"/>
      <c r="O532"/>
    </row>
    <row r="533" spans="1:15" ht="15" hidden="1" x14ac:dyDescent="0.25">
      <c r="A533" s="45" t="str">
        <f>CONCATENATE("Итого по смете: ",IF(Source!G501&lt;&gt;"Новый объект", Source!G501, ""))</f>
        <v>Итого по смете: 02-01-10 СОТС</v>
      </c>
      <c r="B533" s="45"/>
      <c r="C533" s="45"/>
      <c r="D533" s="45"/>
      <c r="E533" s="45"/>
      <c r="F533" s="45"/>
      <c r="G533" s="45"/>
      <c r="H533" s="43">
        <f>SUM(P1:P532)</f>
        <v>200587.33</v>
      </c>
      <c r="I533" s="44"/>
      <c r="J533" s="43">
        <f>SUM(Q1:Q532)</f>
        <v>4913174.709999999</v>
      </c>
      <c r="K533" s="44"/>
      <c r="L533"/>
      <c r="O533"/>
    </row>
    <row r="534" spans="1:15" hidden="1" x14ac:dyDescent="0.2">
      <c r="A534" t="s">
        <v>650</v>
      </c>
      <c r="I534">
        <f>SUM(X1:X533)</f>
        <v>0</v>
      </c>
      <c r="J534">
        <f>SUM(Y1:Y533)</f>
        <v>0</v>
      </c>
      <c r="L534"/>
      <c r="O534"/>
    </row>
    <row r="535" spans="1:15" hidden="1" x14ac:dyDescent="0.2">
      <c r="A535" t="s">
        <v>651</v>
      </c>
      <c r="I535">
        <f>SUM(Z1:Z534)</f>
        <v>0</v>
      </c>
      <c r="J535">
        <f>SUM(AA1:AA534)</f>
        <v>0</v>
      </c>
      <c r="L535"/>
      <c r="O535"/>
    </row>
    <row r="536" spans="1:15" hidden="1" x14ac:dyDescent="0.2">
      <c r="L536"/>
      <c r="O536"/>
    </row>
    <row r="537" spans="1:15" hidden="1" x14ac:dyDescent="0.2">
      <c r="L537"/>
      <c r="O537"/>
    </row>
    <row r="538" spans="1:15" ht="14.25" hidden="1" x14ac:dyDescent="0.2">
      <c r="A538" s="40" t="s">
        <v>673</v>
      </c>
      <c r="B538" s="40"/>
      <c r="C538" s="39" t="str">
        <f>IF(Source!AC12&lt;&gt;"", Source!AC12," ")</f>
        <v xml:space="preserve"> </v>
      </c>
      <c r="D538" s="39"/>
      <c r="E538" s="39"/>
      <c r="F538" s="39"/>
      <c r="G538" s="39"/>
      <c r="H538" s="41" t="str">
        <f>IF(Source!AB12&lt;&gt;"", Source!AB12," ")</f>
        <v xml:space="preserve"> </v>
      </c>
      <c r="I538" s="41"/>
      <c r="J538" s="41"/>
      <c r="K538" s="41"/>
      <c r="L538"/>
      <c r="O538"/>
    </row>
    <row r="539" spans="1:15" ht="14.25" hidden="1" x14ac:dyDescent="0.2">
      <c r="A539" s="16"/>
      <c r="B539" s="16"/>
      <c r="C539" s="42" t="s">
        <v>674</v>
      </c>
      <c r="D539" s="42"/>
      <c r="E539" s="42"/>
      <c r="F539" s="42"/>
      <c r="G539" s="42"/>
      <c r="H539" s="16"/>
      <c r="I539" s="16"/>
      <c r="J539" s="16"/>
      <c r="K539" s="16"/>
      <c r="L539"/>
      <c r="O539"/>
    </row>
    <row r="540" spans="1:15" ht="14.25" hidden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/>
      <c r="O540"/>
    </row>
    <row r="541" spans="1:15" ht="14.25" hidden="1" x14ac:dyDescent="0.2">
      <c r="A541" s="40" t="s">
        <v>675</v>
      </c>
      <c r="B541" s="40"/>
      <c r="C541" s="39" t="str">
        <f>IF(Source!AE12&lt;&gt;"", Source!AE12," ")</f>
        <v xml:space="preserve"> </v>
      </c>
      <c r="D541" s="39"/>
      <c r="E541" s="39"/>
      <c r="F541" s="39"/>
      <c r="G541" s="39"/>
      <c r="H541" s="41" t="str">
        <f>IF(Source!AD12&lt;&gt;"", Source!AD12," ")</f>
        <v xml:space="preserve"> </v>
      </c>
      <c r="I541" s="41"/>
      <c r="J541" s="41"/>
      <c r="K541" s="41"/>
      <c r="L541"/>
      <c r="O541"/>
    </row>
    <row r="542" spans="1:15" ht="14.25" hidden="1" x14ac:dyDescent="0.2">
      <c r="A542" s="16"/>
      <c r="B542" s="16"/>
      <c r="C542" s="42" t="s">
        <v>674</v>
      </c>
      <c r="D542" s="42"/>
      <c r="E542" s="42"/>
      <c r="F542" s="42"/>
      <c r="G542" s="42"/>
      <c r="H542" s="16"/>
      <c r="I542" s="16"/>
      <c r="J542" s="16"/>
      <c r="K542" s="16"/>
      <c r="L542"/>
      <c r="O542"/>
    </row>
  </sheetData>
  <autoFilter ref="A1:AV542" xr:uid="{59E90193-FD5F-4E84-80C4-549827577D04}">
    <filterColumn colId="10">
      <colorFilter dxfId="0"/>
    </filterColumn>
  </autoFilter>
  <mergeCells count="324"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  <mergeCell ref="E24:H24"/>
    <mergeCell ref="E25:H25"/>
    <mergeCell ref="E26:H26"/>
    <mergeCell ref="E27:H27"/>
    <mergeCell ref="E28:H28"/>
    <mergeCell ref="E29:H29"/>
    <mergeCell ref="A15:K15"/>
    <mergeCell ref="A16:K16"/>
    <mergeCell ref="A18:K18"/>
    <mergeCell ref="E21:H21"/>
    <mergeCell ref="E22:H22"/>
    <mergeCell ref="E23:H23"/>
    <mergeCell ref="H47:I47"/>
    <mergeCell ref="J47:K47"/>
    <mergeCell ref="H54:I54"/>
    <mergeCell ref="J54:K54"/>
    <mergeCell ref="H55:I55"/>
    <mergeCell ref="J55:K55"/>
    <mergeCell ref="A32:K32"/>
    <mergeCell ref="A36:K36"/>
    <mergeCell ref="A38:K38"/>
    <mergeCell ref="H45:I45"/>
    <mergeCell ref="J45:K45"/>
    <mergeCell ref="H46:I46"/>
    <mergeCell ref="J46:K46"/>
    <mergeCell ref="H66:I66"/>
    <mergeCell ref="J66:K66"/>
    <mergeCell ref="H75:I75"/>
    <mergeCell ref="J75:K75"/>
    <mergeCell ref="H76:I76"/>
    <mergeCell ref="J76:K76"/>
    <mergeCell ref="H56:I56"/>
    <mergeCell ref="J56:K56"/>
    <mergeCell ref="H64:I64"/>
    <mergeCell ref="J64:K64"/>
    <mergeCell ref="H65:I65"/>
    <mergeCell ref="J65:K65"/>
    <mergeCell ref="H87:I87"/>
    <mergeCell ref="J87:K87"/>
    <mergeCell ref="H95:I95"/>
    <mergeCell ref="J95:K95"/>
    <mergeCell ref="H96:I96"/>
    <mergeCell ref="J96:K96"/>
    <mergeCell ref="H77:I77"/>
    <mergeCell ref="J77:K77"/>
    <mergeCell ref="H85:I85"/>
    <mergeCell ref="J85:K85"/>
    <mergeCell ref="H86:I86"/>
    <mergeCell ref="J86:K86"/>
    <mergeCell ref="H107:I107"/>
    <mergeCell ref="J107:K107"/>
    <mergeCell ref="H115:I115"/>
    <mergeCell ref="J115:K115"/>
    <mergeCell ref="H116:I116"/>
    <mergeCell ref="J116:K116"/>
    <mergeCell ref="H97:I97"/>
    <mergeCell ref="J97:K97"/>
    <mergeCell ref="H105:I105"/>
    <mergeCell ref="J105:K105"/>
    <mergeCell ref="H106:I106"/>
    <mergeCell ref="J106:K106"/>
    <mergeCell ref="H127:I127"/>
    <mergeCell ref="J127:K127"/>
    <mergeCell ref="H136:I136"/>
    <mergeCell ref="J136:K136"/>
    <mergeCell ref="H137:I137"/>
    <mergeCell ref="J137:K137"/>
    <mergeCell ref="H117:I117"/>
    <mergeCell ref="J117:K117"/>
    <mergeCell ref="H125:I125"/>
    <mergeCell ref="J125:K125"/>
    <mergeCell ref="H126:I126"/>
    <mergeCell ref="J126:K126"/>
    <mergeCell ref="H147:I147"/>
    <mergeCell ref="J147:K147"/>
    <mergeCell ref="H155:I155"/>
    <mergeCell ref="J155:K155"/>
    <mergeCell ref="H156:I156"/>
    <mergeCell ref="J156:K156"/>
    <mergeCell ref="H138:I138"/>
    <mergeCell ref="J138:K138"/>
    <mergeCell ref="H145:I145"/>
    <mergeCell ref="J145:K145"/>
    <mergeCell ref="H146:I146"/>
    <mergeCell ref="J146:K146"/>
    <mergeCell ref="H167:I167"/>
    <mergeCell ref="J167:K167"/>
    <mergeCell ref="H175:I175"/>
    <mergeCell ref="J175:K175"/>
    <mergeCell ref="H176:I176"/>
    <mergeCell ref="J176:K176"/>
    <mergeCell ref="H157:I157"/>
    <mergeCell ref="J157:K157"/>
    <mergeCell ref="H165:I165"/>
    <mergeCell ref="J165:K165"/>
    <mergeCell ref="H166:I166"/>
    <mergeCell ref="J166:K166"/>
    <mergeCell ref="H186:I186"/>
    <mergeCell ref="J186:K186"/>
    <mergeCell ref="J189:K189"/>
    <mergeCell ref="H189:I189"/>
    <mergeCell ref="A189:G189"/>
    <mergeCell ref="A193:K193"/>
    <mergeCell ref="H177:I177"/>
    <mergeCell ref="J177:K177"/>
    <mergeCell ref="H184:I184"/>
    <mergeCell ref="J184:K184"/>
    <mergeCell ref="H185:I185"/>
    <mergeCell ref="J185:K185"/>
    <mergeCell ref="H207:I207"/>
    <mergeCell ref="J207:K207"/>
    <mergeCell ref="H215:I215"/>
    <mergeCell ref="J215:K215"/>
    <mergeCell ref="H216:I216"/>
    <mergeCell ref="J216:K216"/>
    <mergeCell ref="H202:I202"/>
    <mergeCell ref="J202:K202"/>
    <mergeCell ref="H203:I203"/>
    <mergeCell ref="J203:K203"/>
    <mergeCell ref="H204:I204"/>
    <mergeCell ref="J204:K204"/>
    <mergeCell ref="H231:I231"/>
    <mergeCell ref="J231:K231"/>
    <mergeCell ref="H232:I232"/>
    <mergeCell ref="J232:K232"/>
    <mergeCell ref="H235:I235"/>
    <mergeCell ref="J235:K235"/>
    <mergeCell ref="H217:I217"/>
    <mergeCell ref="J217:K217"/>
    <mergeCell ref="H220:I220"/>
    <mergeCell ref="J220:K220"/>
    <mergeCell ref="H230:I230"/>
    <mergeCell ref="J230:K230"/>
    <mergeCell ref="H250:I250"/>
    <mergeCell ref="J250:K250"/>
    <mergeCell ref="H260:I260"/>
    <mergeCell ref="J260:K260"/>
    <mergeCell ref="H261:I261"/>
    <mergeCell ref="J261:K261"/>
    <mergeCell ref="H245:I245"/>
    <mergeCell ref="J245:K245"/>
    <mergeCell ref="H246:I246"/>
    <mergeCell ref="J246:K246"/>
    <mergeCell ref="H247:I247"/>
    <mergeCell ref="J247:K247"/>
    <mergeCell ref="H276:I276"/>
    <mergeCell ref="J276:K276"/>
    <mergeCell ref="H277:I277"/>
    <mergeCell ref="J277:K277"/>
    <mergeCell ref="H280:I280"/>
    <mergeCell ref="J280:K280"/>
    <mergeCell ref="H262:I262"/>
    <mergeCell ref="J262:K262"/>
    <mergeCell ref="H265:I265"/>
    <mergeCell ref="J265:K265"/>
    <mergeCell ref="H275:I275"/>
    <mergeCell ref="J275:K275"/>
    <mergeCell ref="H296:I296"/>
    <mergeCell ref="J296:K296"/>
    <mergeCell ref="H297:I297"/>
    <mergeCell ref="J297:K297"/>
    <mergeCell ref="H300:I300"/>
    <mergeCell ref="J300:K300"/>
    <mergeCell ref="J283:K283"/>
    <mergeCell ref="H283:I283"/>
    <mergeCell ref="A283:G283"/>
    <mergeCell ref="A287:K287"/>
    <mergeCell ref="H295:I295"/>
    <mergeCell ref="J295:K295"/>
    <mergeCell ref="H314:I314"/>
    <mergeCell ref="J314:K314"/>
    <mergeCell ref="H317:I317"/>
    <mergeCell ref="J317:K317"/>
    <mergeCell ref="H320:I320"/>
    <mergeCell ref="J320:K320"/>
    <mergeCell ref="H303:I303"/>
    <mergeCell ref="J303:K303"/>
    <mergeCell ref="H312:I312"/>
    <mergeCell ref="J312:K312"/>
    <mergeCell ref="H313:I313"/>
    <mergeCell ref="J313:K313"/>
    <mergeCell ref="H334:I334"/>
    <mergeCell ref="J334:K334"/>
    <mergeCell ref="H337:I337"/>
    <mergeCell ref="J337:K337"/>
    <mergeCell ref="H340:I340"/>
    <mergeCell ref="J340:K340"/>
    <mergeCell ref="H323:I323"/>
    <mergeCell ref="J323:K323"/>
    <mergeCell ref="H332:I332"/>
    <mergeCell ref="J332:K332"/>
    <mergeCell ref="H333:I333"/>
    <mergeCell ref="J333:K333"/>
    <mergeCell ref="H355:I355"/>
    <mergeCell ref="J355:K355"/>
    <mergeCell ref="H356:I356"/>
    <mergeCell ref="J356:K356"/>
    <mergeCell ref="H359:I359"/>
    <mergeCell ref="J359:K359"/>
    <mergeCell ref="J343:K343"/>
    <mergeCell ref="H343:I343"/>
    <mergeCell ref="A343:G343"/>
    <mergeCell ref="A347:K347"/>
    <mergeCell ref="H354:I354"/>
    <mergeCell ref="J354:K354"/>
    <mergeCell ref="J371:K371"/>
    <mergeCell ref="H371:I371"/>
    <mergeCell ref="A371:G371"/>
    <mergeCell ref="A375:K375"/>
    <mergeCell ref="H383:I383"/>
    <mergeCell ref="J383:K383"/>
    <mergeCell ref="H362:I362"/>
    <mergeCell ref="J362:K362"/>
    <mergeCell ref="H365:I365"/>
    <mergeCell ref="J365:K365"/>
    <mergeCell ref="H368:I368"/>
    <mergeCell ref="J368:K368"/>
    <mergeCell ref="H391:I391"/>
    <mergeCell ref="J391:K391"/>
    <mergeCell ref="J394:K394"/>
    <mergeCell ref="H394:I394"/>
    <mergeCell ref="A394:G394"/>
    <mergeCell ref="A398:K398"/>
    <mergeCell ref="H384:I384"/>
    <mergeCell ref="J384:K384"/>
    <mergeCell ref="H385:I385"/>
    <mergeCell ref="J385:K385"/>
    <mergeCell ref="H388:I388"/>
    <mergeCell ref="J388:K388"/>
    <mergeCell ref="H415:I415"/>
    <mergeCell ref="J415:K415"/>
    <mergeCell ref="H426:I426"/>
    <mergeCell ref="J426:K426"/>
    <mergeCell ref="H427:I427"/>
    <mergeCell ref="J427:K427"/>
    <mergeCell ref="H409:I409"/>
    <mergeCell ref="J409:K409"/>
    <mergeCell ref="H410:I410"/>
    <mergeCell ref="J410:K410"/>
    <mergeCell ref="H411:I411"/>
    <mergeCell ref="J411:K411"/>
    <mergeCell ref="J439:K439"/>
    <mergeCell ref="H439:I439"/>
    <mergeCell ref="A439:G439"/>
    <mergeCell ref="A443:K443"/>
    <mergeCell ref="H452:I452"/>
    <mergeCell ref="J452:K452"/>
    <mergeCell ref="H428:I428"/>
    <mergeCell ref="J428:K428"/>
    <mergeCell ref="H432:I432"/>
    <mergeCell ref="J432:K432"/>
    <mergeCell ref="H436:I436"/>
    <mergeCell ref="J436:K436"/>
    <mergeCell ref="H460:I460"/>
    <mergeCell ref="J460:K460"/>
    <mergeCell ref="H463:I463"/>
    <mergeCell ref="J463:K463"/>
    <mergeCell ref="J466:K466"/>
    <mergeCell ref="H466:I466"/>
    <mergeCell ref="H453:I453"/>
    <mergeCell ref="J453:K453"/>
    <mergeCell ref="H454:I454"/>
    <mergeCell ref="J454:K454"/>
    <mergeCell ref="H457:I457"/>
    <mergeCell ref="J457:K457"/>
    <mergeCell ref="H481:I481"/>
    <mergeCell ref="J481:K481"/>
    <mergeCell ref="H484:I484"/>
    <mergeCell ref="J484:K484"/>
    <mergeCell ref="H493:I493"/>
    <mergeCell ref="J493:K493"/>
    <mergeCell ref="A466:G466"/>
    <mergeCell ref="A470:K470"/>
    <mergeCell ref="H479:I479"/>
    <mergeCell ref="J479:K479"/>
    <mergeCell ref="H480:I480"/>
    <mergeCell ref="J480:K480"/>
    <mergeCell ref="H502:I502"/>
    <mergeCell ref="J502:K502"/>
    <mergeCell ref="J505:K505"/>
    <mergeCell ref="H505:I505"/>
    <mergeCell ref="A505:G505"/>
    <mergeCell ref="A509:K509"/>
    <mergeCell ref="H494:I494"/>
    <mergeCell ref="J494:K494"/>
    <mergeCell ref="H495:I495"/>
    <mergeCell ref="J495:K495"/>
    <mergeCell ref="H499:I499"/>
    <mergeCell ref="J499:K499"/>
    <mergeCell ref="H522:I522"/>
    <mergeCell ref="J522:K522"/>
    <mergeCell ref="J525:K525"/>
    <mergeCell ref="H525:I525"/>
    <mergeCell ref="A525:G525"/>
    <mergeCell ref="J529:K529"/>
    <mergeCell ref="H529:I529"/>
    <mergeCell ref="A529:G529"/>
    <mergeCell ref="H517:I517"/>
    <mergeCell ref="J517:K517"/>
    <mergeCell ref="H518:I518"/>
    <mergeCell ref="J518:K518"/>
    <mergeCell ref="H519:I519"/>
    <mergeCell ref="J519:K519"/>
    <mergeCell ref="A541:B541"/>
    <mergeCell ref="H541:K541"/>
    <mergeCell ref="C542:G542"/>
    <mergeCell ref="J533:K533"/>
    <mergeCell ref="H533:I533"/>
    <mergeCell ref="A533:G533"/>
    <mergeCell ref="A538:B538"/>
    <mergeCell ref="H538:K538"/>
    <mergeCell ref="C539:G539"/>
  </mergeCells>
  <pageMargins left="0.4" right="0.2" top="0.2" bottom="0.4" header="0.2" footer="0.2"/>
  <pageSetup paperSize="9" scale="72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548"/>
  <sheetViews>
    <sheetView workbookViewId="0">
      <selection activeCell="A544" sqref="A544:AX544"/>
    </sheetView>
  </sheetViews>
  <sheetFormatPr defaultColWidth="9.140625" defaultRowHeight="12.75" x14ac:dyDescent="0.2"/>
  <cols>
    <col min="1" max="256" width="9.140625" style="3" customWidth="1"/>
    <col min="257" max="16384" width="9.140625" style="3"/>
  </cols>
  <sheetData>
    <row r="1" spans="1:133" x14ac:dyDescent="0.2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74599</v>
      </c>
      <c r="M1" s="3">
        <v>10</v>
      </c>
      <c r="N1" s="3">
        <v>12</v>
      </c>
      <c r="O1" s="3">
        <v>1</v>
      </c>
      <c r="P1" s="3">
        <v>0</v>
      </c>
      <c r="Q1" s="3">
        <v>1</v>
      </c>
    </row>
    <row r="4" spans="1:133" x14ac:dyDescent="0.2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x14ac:dyDescent="0.2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x14ac:dyDescent="0.2">
      <c r="A12" s="10">
        <v>1</v>
      </c>
      <c r="B12" s="10">
        <v>540</v>
      </c>
      <c r="C12" s="10">
        <v>0</v>
      </c>
      <c r="D12" s="10">
        <f>ROW(A501)</f>
        <v>501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0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3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8</v>
      </c>
      <c r="BI12" s="10" t="s">
        <v>9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10</v>
      </c>
      <c r="BZ12" s="10" t="s">
        <v>11</v>
      </c>
      <c r="CA12" s="10" t="s">
        <v>12</v>
      </c>
      <c r="CB12" s="10" t="s">
        <v>12</v>
      </c>
      <c r="CC12" s="10" t="s">
        <v>12</v>
      </c>
      <c r="CD12" s="10" t="s">
        <v>12</v>
      </c>
      <c r="CE12" s="10" t="s">
        <v>13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14</v>
      </c>
      <c r="CR12" s="10" t="s">
        <v>15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x14ac:dyDescent="0.2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x14ac:dyDescent="0.2">
      <c r="A18" s="11">
        <v>52</v>
      </c>
      <c r="B18" s="11">
        <f t="shared" ref="B18:G18" si="0">B501</f>
        <v>540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02-01-10</v>
      </c>
      <c r="G18" s="11" t="str">
        <f t="shared" si="0"/>
        <v>02-01-10 СОТС</v>
      </c>
      <c r="H18" s="11"/>
      <c r="I18" s="11"/>
      <c r="J18" s="11"/>
      <c r="K18" s="11"/>
      <c r="L18" s="11"/>
      <c r="M18" s="11"/>
      <c r="N18" s="11"/>
      <c r="O18" s="11">
        <f t="shared" ref="O18:AT18" si="1">O501</f>
        <v>161307.06</v>
      </c>
      <c r="P18" s="11">
        <f t="shared" si="1"/>
        <v>132376.21</v>
      </c>
      <c r="Q18" s="11">
        <f t="shared" si="1"/>
        <v>670.24</v>
      </c>
      <c r="R18" s="11">
        <f t="shared" si="1"/>
        <v>51.93</v>
      </c>
      <c r="S18" s="11">
        <f t="shared" si="1"/>
        <v>28260.61</v>
      </c>
      <c r="T18" s="11">
        <f t="shared" si="1"/>
        <v>0</v>
      </c>
      <c r="U18" s="11">
        <f t="shared" si="1"/>
        <v>2479.6719986400003</v>
      </c>
      <c r="V18" s="11">
        <f t="shared" si="1"/>
        <v>0</v>
      </c>
      <c r="W18" s="11">
        <f t="shared" si="1"/>
        <v>0</v>
      </c>
      <c r="X18" s="11">
        <f t="shared" si="1"/>
        <v>25831.3</v>
      </c>
      <c r="Y18" s="11">
        <f t="shared" si="1"/>
        <v>13448.97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69011.990000000005</v>
      </c>
      <c r="AQ18" s="11">
        <f t="shared" si="1"/>
        <v>0</v>
      </c>
      <c r="AR18" s="11">
        <f t="shared" si="1"/>
        <v>200587.33</v>
      </c>
      <c r="AS18" s="11">
        <f t="shared" si="1"/>
        <v>30622.36</v>
      </c>
      <c r="AT18" s="11">
        <f t="shared" si="1"/>
        <v>100952.98</v>
      </c>
      <c r="AU18" s="11">
        <f t="shared" ref="AU18:BZ18" si="2">AU501</f>
        <v>0</v>
      </c>
      <c r="AV18" s="11">
        <f t="shared" si="2"/>
        <v>132376.21</v>
      </c>
      <c r="AW18" s="11">
        <f t="shared" si="2"/>
        <v>63364.22</v>
      </c>
      <c r="AX18" s="11">
        <f t="shared" si="2"/>
        <v>0</v>
      </c>
      <c r="AY18" s="11">
        <f t="shared" si="2"/>
        <v>63364.22</v>
      </c>
      <c r="AZ18" s="11">
        <f t="shared" si="2"/>
        <v>69011.990000000005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CA501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DG501</f>
        <v>2699731.42</v>
      </c>
      <c r="DH18" s="12">
        <f t="shared" si="4"/>
        <v>1097868.17</v>
      </c>
      <c r="DI18" s="12">
        <f t="shared" si="4"/>
        <v>9377.86</v>
      </c>
      <c r="DJ18" s="12">
        <f t="shared" si="4"/>
        <v>2926.24</v>
      </c>
      <c r="DK18" s="12">
        <f t="shared" si="4"/>
        <v>1592485.39</v>
      </c>
      <c r="DL18" s="12">
        <f t="shared" si="4"/>
        <v>0</v>
      </c>
      <c r="DM18" s="12">
        <f t="shared" si="4"/>
        <v>2479.6719986400003</v>
      </c>
      <c r="DN18" s="12">
        <f t="shared" si="4"/>
        <v>0</v>
      </c>
      <c r="DO18" s="12">
        <f t="shared" si="4"/>
        <v>0</v>
      </c>
      <c r="DP18" s="12">
        <f t="shared" si="4"/>
        <v>1455593.57</v>
      </c>
      <c r="DQ18" s="12">
        <f t="shared" si="4"/>
        <v>757849.72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665702.61</v>
      </c>
      <c r="EI18" s="12">
        <f t="shared" si="4"/>
        <v>0</v>
      </c>
      <c r="EJ18" s="12">
        <f t="shared" si="4"/>
        <v>4913174.71</v>
      </c>
      <c r="EK18" s="12">
        <f t="shared" si="4"/>
        <v>1725569.61</v>
      </c>
      <c r="EL18" s="12">
        <f t="shared" si="4"/>
        <v>2521902.4900000002</v>
      </c>
      <c r="EM18" s="12">
        <f t="shared" ref="EM18:FR18" si="5">EM501</f>
        <v>0</v>
      </c>
      <c r="EN18" s="12">
        <f t="shared" si="5"/>
        <v>1097868.17</v>
      </c>
      <c r="EO18" s="12">
        <f t="shared" si="5"/>
        <v>432165.56</v>
      </c>
      <c r="EP18" s="12">
        <f t="shared" si="5"/>
        <v>0</v>
      </c>
      <c r="EQ18" s="12">
        <f t="shared" si="5"/>
        <v>432165.56</v>
      </c>
      <c r="ER18" s="12">
        <f t="shared" si="5"/>
        <v>665702.61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FS501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x14ac:dyDescent="0.2">
      <c r="A20" s="10">
        <v>3</v>
      </c>
      <c r="B20" s="10">
        <v>1</v>
      </c>
      <c r="C20" s="10"/>
      <c r="D20" s="10">
        <f>ROW(A471)</f>
        <v>471</v>
      </c>
      <c r="E20" s="10"/>
      <c r="F20" s="10" t="s">
        <v>5</v>
      </c>
      <c r="G20" s="10" t="s">
        <v>16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0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x14ac:dyDescent="0.2">
      <c r="A22" s="11">
        <v>52</v>
      </c>
      <c r="B22" s="11">
        <f t="shared" ref="B22:G22" si="7">B471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02-01-10</v>
      </c>
      <c r="G22" s="11" t="str">
        <f t="shared" si="7"/>
        <v>Система охранной сигнализации</v>
      </c>
      <c r="H22" s="11"/>
      <c r="I22" s="11"/>
      <c r="J22" s="11"/>
      <c r="K22" s="11"/>
      <c r="L22" s="11"/>
      <c r="M22" s="11"/>
      <c r="N22" s="11"/>
      <c r="O22" s="11">
        <f t="shared" ref="O22:AT22" si="8">O471</f>
        <v>161307.06</v>
      </c>
      <c r="P22" s="11">
        <f t="shared" si="8"/>
        <v>132376.21</v>
      </c>
      <c r="Q22" s="11">
        <f t="shared" si="8"/>
        <v>670.24</v>
      </c>
      <c r="R22" s="11">
        <f t="shared" si="8"/>
        <v>51.93</v>
      </c>
      <c r="S22" s="11">
        <f t="shared" si="8"/>
        <v>28260.61</v>
      </c>
      <c r="T22" s="11">
        <f t="shared" si="8"/>
        <v>0</v>
      </c>
      <c r="U22" s="11">
        <f t="shared" si="8"/>
        <v>2479.6719986400003</v>
      </c>
      <c r="V22" s="11">
        <f t="shared" si="8"/>
        <v>0</v>
      </c>
      <c r="W22" s="11">
        <f t="shared" si="8"/>
        <v>0</v>
      </c>
      <c r="X22" s="11">
        <f t="shared" si="8"/>
        <v>25831.3</v>
      </c>
      <c r="Y22" s="11">
        <f t="shared" si="8"/>
        <v>13448.97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69011.990000000005</v>
      </c>
      <c r="AQ22" s="11">
        <f t="shared" si="8"/>
        <v>0</v>
      </c>
      <c r="AR22" s="11">
        <f t="shared" si="8"/>
        <v>200587.33</v>
      </c>
      <c r="AS22" s="11">
        <f t="shared" si="8"/>
        <v>30622.36</v>
      </c>
      <c r="AT22" s="11">
        <f t="shared" si="8"/>
        <v>100952.98</v>
      </c>
      <c r="AU22" s="11">
        <f t="shared" ref="AU22:BZ22" si="9">AU471</f>
        <v>0</v>
      </c>
      <c r="AV22" s="11">
        <f t="shared" si="9"/>
        <v>132376.21</v>
      </c>
      <c r="AW22" s="11">
        <f t="shared" si="9"/>
        <v>63364.22</v>
      </c>
      <c r="AX22" s="11">
        <f t="shared" si="9"/>
        <v>0</v>
      </c>
      <c r="AY22" s="11">
        <f t="shared" si="9"/>
        <v>63364.22</v>
      </c>
      <c r="AZ22" s="11">
        <f t="shared" si="9"/>
        <v>69011.990000000005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CA471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DG471</f>
        <v>2699731.42</v>
      </c>
      <c r="DH22" s="12">
        <f t="shared" si="11"/>
        <v>1097868.17</v>
      </c>
      <c r="DI22" s="12">
        <f t="shared" si="11"/>
        <v>9377.86</v>
      </c>
      <c r="DJ22" s="12">
        <f t="shared" si="11"/>
        <v>2926.24</v>
      </c>
      <c r="DK22" s="12">
        <f t="shared" si="11"/>
        <v>1592485.39</v>
      </c>
      <c r="DL22" s="12">
        <f t="shared" si="11"/>
        <v>0</v>
      </c>
      <c r="DM22" s="12">
        <f t="shared" si="11"/>
        <v>2479.6719986400003</v>
      </c>
      <c r="DN22" s="12">
        <f t="shared" si="11"/>
        <v>0</v>
      </c>
      <c r="DO22" s="12">
        <f t="shared" si="11"/>
        <v>0</v>
      </c>
      <c r="DP22" s="12">
        <f t="shared" si="11"/>
        <v>1455593.57</v>
      </c>
      <c r="DQ22" s="12">
        <f t="shared" si="11"/>
        <v>757849.72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665702.61</v>
      </c>
      <c r="EI22" s="12">
        <f t="shared" si="11"/>
        <v>0</v>
      </c>
      <c r="EJ22" s="12">
        <f t="shared" si="11"/>
        <v>4913174.71</v>
      </c>
      <c r="EK22" s="12">
        <f t="shared" si="11"/>
        <v>1725569.61</v>
      </c>
      <c r="EL22" s="12">
        <f t="shared" si="11"/>
        <v>2521902.4900000002</v>
      </c>
      <c r="EM22" s="12">
        <f t="shared" ref="EM22:FR22" si="12">EM471</f>
        <v>0</v>
      </c>
      <c r="EN22" s="12">
        <f t="shared" si="12"/>
        <v>1097868.17</v>
      </c>
      <c r="EO22" s="12">
        <f t="shared" si="12"/>
        <v>432165.56</v>
      </c>
      <c r="EP22" s="12">
        <f t="shared" si="12"/>
        <v>0</v>
      </c>
      <c r="EQ22" s="12">
        <f t="shared" si="12"/>
        <v>432165.56</v>
      </c>
      <c r="ER22" s="12">
        <f t="shared" si="12"/>
        <v>665702.61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FS471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x14ac:dyDescent="0.2">
      <c r="A24" s="10">
        <v>4</v>
      </c>
      <c r="B24" s="10">
        <v>1</v>
      </c>
      <c r="C24" s="10"/>
      <c r="D24" s="10">
        <f>ROW(A59)</f>
        <v>59</v>
      </c>
      <c r="E24" s="10"/>
      <c r="F24" s="10" t="s">
        <v>17</v>
      </c>
      <c r="G24" s="10" t="s">
        <v>18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0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x14ac:dyDescent="0.2">
      <c r="A26" s="11">
        <v>52</v>
      </c>
      <c r="B26" s="11">
        <f t="shared" ref="B26:G26" si="14">B59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</v>
      </c>
      <c r="H26" s="11"/>
      <c r="I26" s="11"/>
      <c r="J26" s="11"/>
      <c r="K26" s="11"/>
      <c r="L26" s="11"/>
      <c r="M26" s="11"/>
      <c r="N26" s="11"/>
      <c r="O26" s="11">
        <f t="shared" ref="O26:AT26" si="15">O59</f>
        <v>14645.99</v>
      </c>
      <c r="P26" s="11">
        <f t="shared" si="15"/>
        <v>0</v>
      </c>
      <c r="Q26" s="11">
        <f t="shared" si="15"/>
        <v>72.849999999999994</v>
      </c>
      <c r="R26" s="11">
        <f t="shared" si="15"/>
        <v>4.55</v>
      </c>
      <c r="S26" s="11">
        <f t="shared" si="15"/>
        <v>14573.14</v>
      </c>
      <c r="T26" s="11">
        <f t="shared" si="15"/>
        <v>0</v>
      </c>
      <c r="U26" s="11">
        <f t="shared" si="15"/>
        <v>1367.5599899999997</v>
      </c>
      <c r="V26" s="11">
        <f t="shared" si="15"/>
        <v>0</v>
      </c>
      <c r="W26" s="11">
        <f t="shared" si="15"/>
        <v>0</v>
      </c>
      <c r="X26" s="11">
        <f t="shared" si="15"/>
        <v>13260.58</v>
      </c>
      <c r="Y26" s="11">
        <f t="shared" si="15"/>
        <v>6972.48</v>
      </c>
      <c r="Z26" s="11">
        <f t="shared" si="15"/>
        <v>0</v>
      </c>
      <c r="AA26" s="11">
        <f t="shared" si="15"/>
        <v>0</v>
      </c>
      <c r="AB26" s="11">
        <f t="shared" si="15"/>
        <v>14645.99</v>
      </c>
      <c r="AC26" s="11">
        <f t="shared" si="15"/>
        <v>0</v>
      </c>
      <c r="AD26" s="11">
        <f t="shared" si="15"/>
        <v>72.849999999999994</v>
      </c>
      <c r="AE26" s="11">
        <f t="shared" si="15"/>
        <v>4.55</v>
      </c>
      <c r="AF26" s="11">
        <f t="shared" si="15"/>
        <v>14573.14</v>
      </c>
      <c r="AG26" s="11">
        <f t="shared" si="15"/>
        <v>0</v>
      </c>
      <c r="AH26" s="11">
        <f t="shared" si="15"/>
        <v>1367.5599899999997</v>
      </c>
      <c r="AI26" s="11">
        <f t="shared" si="15"/>
        <v>0</v>
      </c>
      <c r="AJ26" s="11">
        <f t="shared" si="15"/>
        <v>0</v>
      </c>
      <c r="AK26" s="11">
        <f t="shared" si="15"/>
        <v>13260.58</v>
      </c>
      <c r="AL26" s="11">
        <f t="shared" si="15"/>
        <v>6972.48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34879.050000000003</v>
      </c>
      <c r="AS26" s="11">
        <f t="shared" si="15"/>
        <v>30622.36</v>
      </c>
      <c r="AT26" s="11">
        <f t="shared" si="15"/>
        <v>4256.6899999999996</v>
      </c>
      <c r="AU26" s="11">
        <f t="shared" ref="AU26:BZ26" si="16">AU59</f>
        <v>0</v>
      </c>
      <c r="AV26" s="11">
        <f t="shared" si="16"/>
        <v>0</v>
      </c>
      <c r="AW26" s="11">
        <f t="shared" si="16"/>
        <v>0</v>
      </c>
      <c r="AX26" s="11">
        <f t="shared" si="16"/>
        <v>0</v>
      </c>
      <c r="AY26" s="11">
        <f t="shared" si="16"/>
        <v>0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CA59</f>
        <v>34879.050000000003</v>
      </c>
      <c r="CB26" s="11">
        <f t="shared" si="17"/>
        <v>30622.36</v>
      </c>
      <c r="CC26" s="11">
        <f t="shared" si="17"/>
        <v>4256.6899999999996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DG59</f>
        <v>822202.27</v>
      </c>
      <c r="DH26" s="12">
        <f t="shared" si="18"/>
        <v>0</v>
      </c>
      <c r="DI26" s="12">
        <f t="shared" si="18"/>
        <v>1005.81</v>
      </c>
      <c r="DJ26" s="12">
        <f t="shared" si="18"/>
        <v>256.39</v>
      </c>
      <c r="DK26" s="12">
        <f t="shared" si="18"/>
        <v>821196.46</v>
      </c>
      <c r="DL26" s="12">
        <f t="shared" si="18"/>
        <v>0</v>
      </c>
      <c r="DM26" s="12">
        <f t="shared" si="18"/>
        <v>1367.5599899999997</v>
      </c>
      <c r="DN26" s="12">
        <f t="shared" si="18"/>
        <v>0</v>
      </c>
      <c r="DO26" s="12">
        <f t="shared" si="18"/>
        <v>0</v>
      </c>
      <c r="DP26" s="12">
        <f t="shared" si="18"/>
        <v>747233.65</v>
      </c>
      <c r="DQ26" s="12">
        <f t="shared" si="18"/>
        <v>392899.21</v>
      </c>
      <c r="DR26" s="12">
        <f t="shared" si="18"/>
        <v>0</v>
      </c>
      <c r="DS26" s="12">
        <f t="shared" si="18"/>
        <v>0</v>
      </c>
      <c r="DT26" s="12">
        <f t="shared" si="18"/>
        <v>822202.27</v>
      </c>
      <c r="DU26" s="12">
        <f t="shared" si="18"/>
        <v>0</v>
      </c>
      <c r="DV26" s="12">
        <f t="shared" si="18"/>
        <v>1005.81</v>
      </c>
      <c r="DW26" s="12">
        <f t="shared" si="18"/>
        <v>256.39</v>
      </c>
      <c r="DX26" s="12">
        <f t="shared" si="18"/>
        <v>821196.46</v>
      </c>
      <c r="DY26" s="12">
        <f t="shared" si="18"/>
        <v>0</v>
      </c>
      <c r="DZ26" s="12">
        <f t="shared" si="18"/>
        <v>1367.5599899999997</v>
      </c>
      <c r="EA26" s="12">
        <f t="shared" si="18"/>
        <v>0</v>
      </c>
      <c r="EB26" s="12">
        <f t="shared" si="18"/>
        <v>0</v>
      </c>
      <c r="EC26" s="12">
        <f t="shared" si="18"/>
        <v>747233.65</v>
      </c>
      <c r="ED26" s="12">
        <f t="shared" si="18"/>
        <v>392899.21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1962335.13</v>
      </c>
      <c r="EK26" s="12">
        <f t="shared" si="18"/>
        <v>1725569.61</v>
      </c>
      <c r="EL26" s="12">
        <f t="shared" si="18"/>
        <v>236765.52</v>
      </c>
      <c r="EM26" s="12">
        <f t="shared" ref="EM26:FR26" si="19">EM59</f>
        <v>0</v>
      </c>
      <c r="EN26" s="12">
        <f t="shared" si="19"/>
        <v>0</v>
      </c>
      <c r="EO26" s="12">
        <f t="shared" si="19"/>
        <v>0</v>
      </c>
      <c r="EP26" s="12">
        <f t="shared" si="19"/>
        <v>0</v>
      </c>
      <c r="EQ26" s="12">
        <f t="shared" si="19"/>
        <v>0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FS59</f>
        <v>1962335.13</v>
      </c>
      <c r="FT26" s="12">
        <f t="shared" si="20"/>
        <v>1725569.61</v>
      </c>
      <c r="FU26" s="12">
        <f t="shared" si="20"/>
        <v>236765.52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">
      <c r="A28" s="2">
        <v>17</v>
      </c>
      <c r="B28" s="2">
        <v>1</v>
      </c>
      <c r="C28" s="2">
        <f>ROW(SmtRes!A1)</f>
        <v>1</v>
      </c>
      <c r="D28" s="2">
        <f>ROW(EtalonRes!A1)</f>
        <v>1</v>
      </c>
      <c r="E28" s="2" t="s">
        <v>19</v>
      </c>
      <c r="F28" s="2" t="s">
        <v>20</v>
      </c>
      <c r="G28" s="2" t="s">
        <v>21</v>
      </c>
      <c r="H28" s="2" t="s">
        <v>22</v>
      </c>
      <c r="I28" s="2">
        <v>1</v>
      </c>
      <c r="J28" s="2">
        <v>0</v>
      </c>
      <c r="K28" s="2">
        <v>1</v>
      </c>
      <c r="L28" s="2"/>
      <c r="M28" s="2"/>
      <c r="N28" s="2"/>
      <c r="O28" s="2">
        <f t="shared" ref="O28:O57" si="21">ROUND(CP28,2)</f>
        <v>29.17</v>
      </c>
      <c r="P28" s="2">
        <f t="shared" ref="P28:P57" si="22">ROUND((ROUND((AC28*AW28*I28),2)*BC28),2)</f>
        <v>0</v>
      </c>
      <c r="Q28" s="2">
        <f t="shared" ref="Q28:Q51" si="23">(ROUND((ROUND(((((ET28*1.2)*0.3))*AV28*I28),2)*BB28),2)+ROUND((ROUND(((AE28-(((EU28*1.2)*0.3)))*AV28*I28),2)*BS28),2))</f>
        <v>0.02</v>
      </c>
      <c r="R28" s="2">
        <f t="shared" ref="R28:R51" si="24">(ROUND((ROUND(((((EU28*1.2)*0.3))*AV28*I28),2)*BS28),2)+ROUND((ROUND(((AE28-(((EU28*1.2)*0.3)))*AV28*I28),2)*BS28),2))</f>
        <v>0</v>
      </c>
      <c r="S28" s="2">
        <f t="shared" ref="S28:S57" si="25">ROUND((ROUND((AF28*AV28*I28),2)*BA28),2)</f>
        <v>29.15</v>
      </c>
      <c r="T28" s="2">
        <f t="shared" ref="T28:T57" si="26">ROUND(CU28*I28,2)</f>
        <v>0</v>
      </c>
      <c r="U28" s="2">
        <f t="shared" ref="U28:U57" si="27">CV28*I28</f>
        <v>2.148444</v>
      </c>
      <c r="V28" s="2">
        <f t="shared" ref="V28:V57" si="28">CW28*I28</f>
        <v>0</v>
      </c>
      <c r="W28" s="2">
        <f t="shared" ref="W28:W57" si="29">ROUND(CX28*I28,2)</f>
        <v>0</v>
      </c>
      <c r="X28" s="2">
        <f t="shared" ref="X28:X51" si="30">(ROUND((((S28+ROUND((ROUND(((((EU28*1.2)*0.3))*AV28*I28),2)*BS28),2))*AT28)/100),2)+ROUND(((ROUND((ROUND(((AE28-(((EU28*1.2)*0.3)))*AV28*I28),2)*BS28),2)*AT28)/100),2))</f>
        <v>26.24</v>
      </c>
      <c r="Y28" s="2">
        <f t="shared" ref="Y28:Y51" si="31">(ROUND((((S28+ROUND((ROUND(((((EU28*1.2)*0.3))*AV28*I28),2)*BS28),2))*AU28)/100),2)+ROUND(((ROUND((ROUND(((AE28-(((EU28*1.2)*0.3)))*AV28*I28),2)*BS28),2)*AU28)/100),2))</f>
        <v>13.41</v>
      </c>
      <c r="Z28" s="2"/>
      <c r="AA28" s="2">
        <v>55915256</v>
      </c>
      <c r="AB28" s="2">
        <f t="shared" ref="AB28:AB57" si="32">ROUND((AC28+AD28+AF28),6)</f>
        <v>27.864000000000001</v>
      </c>
      <c r="AC28" s="2">
        <f t="shared" ref="AC28:AC51" si="33">ROUND((((ES28*1)*0)),6)</f>
        <v>0</v>
      </c>
      <c r="AD28" s="2">
        <f t="shared" ref="AD28:AD51" si="34">ROUND((((((ET28*1.2)*0.3))-(((EU28*1.2)*0.3)))+AE28),6)</f>
        <v>1.7999999999999999E-2</v>
      </c>
      <c r="AE28" s="2">
        <f t="shared" ref="AE28:AE51" si="35">ROUND((((EU28*1.2)*0.3)),6)</f>
        <v>3.5999999999999999E-3</v>
      </c>
      <c r="AF28" s="2">
        <f t="shared" ref="AF28:AF51" si="36">ROUND((((EV28*1.2)*0.3)),6)</f>
        <v>27.846</v>
      </c>
      <c r="AG28" s="2">
        <f t="shared" ref="AG28:AG57" si="37">ROUND((AP28),6)</f>
        <v>0</v>
      </c>
      <c r="AH28" s="2">
        <f t="shared" ref="AH28:AH51" si="38">(((EW28*1.2)*0.3))</f>
        <v>2.052</v>
      </c>
      <c r="AI28" s="2">
        <f t="shared" ref="AI28:AI51" si="39">(((EX28*1.2)*0.3))</f>
        <v>0</v>
      </c>
      <c r="AJ28" s="2">
        <f t="shared" ref="AJ28:AJ57" si="40">(AS28)</f>
        <v>0</v>
      </c>
      <c r="AK28" s="2">
        <v>82.23</v>
      </c>
      <c r="AL28" s="2">
        <v>4.83</v>
      </c>
      <c r="AM28" s="2">
        <v>0.05</v>
      </c>
      <c r="AN28" s="2">
        <v>0.01</v>
      </c>
      <c r="AO28" s="2">
        <v>77.349999999999994</v>
      </c>
      <c r="AP28" s="2">
        <v>0</v>
      </c>
      <c r="AQ28" s="2">
        <v>5.7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23</v>
      </c>
      <c r="BK28" s="2"/>
      <c r="BL28" s="2"/>
      <c r="BM28" s="2">
        <v>68</v>
      </c>
      <c r="BN28" s="2">
        <v>0</v>
      </c>
      <c r="BO28" s="2" t="s">
        <v>20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604</v>
      </c>
      <c r="CO28" s="2">
        <v>0</v>
      </c>
      <c r="CP28" s="2">
        <f t="shared" ref="CP28:CP57" si="41">(P28+Q28+S28)</f>
        <v>29.169999999999998</v>
      </c>
      <c r="CQ28" s="2">
        <f t="shared" ref="CQ28:CQ57" si="42">ROUND((ROUND((AC28*AW28*1),2)*BC28),2)</f>
        <v>0</v>
      </c>
      <c r="CR28" s="2">
        <f t="shared" ref="CR28:CR51" si="43">(ROUND((ROUND(((((ET28*1.2)*0.3))*AV28*1),2)*BB28),2)+ROUND((ROUND(((AE28-(((EU28*1.2)*0.3)))*AV28*1),2)*BS28),2))</f>
        <v>0.02</v>
      </c>
      <c r="CS28" s="2">
        <f t="shared" ref="CS28:CS51" si="44">(ROUND((ROUND(((((EU28*1.2)*0.3))*AV28*1),2)*BS28),2)+ROUND((ROUND(((AE28-(((EU28*1.2)*0.3)))*AV28*1),2)*BS28),2))</f>
        <v>0</v>
      </c>
      <c r="CT28" s="2">
        <f t="shared" ref="CT28:CT57" si="45">ROUND((ROUND((AF28*AV28*1),2)*BA28),2)</f>
        <v>29.15</v>
      </c>
      <c r="CU28" s="2">
        <f t="shared" ref="CU28:CU57" si="46">AG28</f>
        <v>0</v>
      </c>
      <c r="CV28" s="2">
        <f t="shared" ref="CV28:CV57" si="47">(AH28*AV28)</f>
        <v>2.148444</v>
      </c>
      <c r="CW28" s="2">
        <f t="shared" ref="CW28:CW57" si="48">AI28</f>
        <v>0</v>
      </c>
      <c r="CX28" s="2">
        <f t="shared" ref="CX28:CX57" si="49">AJ28</f>
        <v>0</v>
      </c>
      <c r="CY28" s="2">
        <f t="shared" ref="CY28:CY51" si="50">(ROUND((((S28+ROUND((ROUND(((((EU28*1.2)*0.3))*AV28*1),2)*BS28),2))*AT28)/100),2)+ROUND(((ROUND((ROUND(((AE28-(((EU28*1.2)*0.3)))*AV28*1),2)*BS28),2)*AT28)/100),2))</f>
        <v>26.24</v>
      </c>
      <c r="CZ28" s="2">
        <f t="shared" ref="CZ28:CZ51" si="51">(ROUND((((S28+ROUND((ROUND(((((EU28*1.2)*0.3))*AV28*1),2)*BS28),2))*AU28)/100),2)+ROUND(((ROUND((ROUND(((AE28-(((EU28*1.2)*0.3)))*AV28*1),2)*BS28),2)*AU28)/100),2))</f>
        <v>13.41</v>
      </c>
      <c r="DA28" s="2"/>
      <c r="DB28" s="2">
        <v>1</v>
      </c>
      <c r="DC28" s="2" t="s">
        <v>3</v>
      </c>
      <c r="DD28" s="2" t="s">
        <v>24</v>
      </c>
      <c r="DE28" s="2" t="s">
        <v>25</v>
      </c>
      <c r="DF28" s="2" t="s">
        <v>25</v>
      </c>
      <c r="DG28" s="2" t="s">
        <v>25</v>
      </c>
      <c r="DH28" s="2" t="s">
        <v>3</v>
      </c>
      <c r="DI28" s="2" t="s">
        <v>25</v>
      </c>
      <c r="DJ28" s="2" t="s">
        <v>25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22</v>
      </c>
      <c r="DW28" s="2" t="s">
        <v>22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55393700</v>
      </c>
      <c r="EF28" s="2">
        <v>40</v>
      </c>
      <c r="EG28" s="2" t="s">
        <v>26</v>
      </c>
      <c r="EH28" s="2">
        <v>0</v>
      </c>
      <c r="EI28" s="2" t="s">
        <v>3</v>
      </c>
      <c r="EJ28" s="2">
        <v>2</v>
      </c>
      <c r="EK28" s="2">
        <v>68</v>
      </c>
      <c r="EL28" s="2" t="s">
        <v>27</v>
      </c>
      <c r="EM28" s="2" t="s">
        <v>28</v>
      </c>
      <c r="EN28" s="2"/>
      <c r="EO28" s="2" t="s">
        <v>29</v>
      </c>
      <c r="EP28" s="2"/>
      <c r="EQ28" s="2">
        <v>0</v>
      </c>
      <c r="ER28" s="2">
        <v>82.23</v>
      </c>
      <c r="ES28" s="2">
        <v>4.83</v>
      </c>
      <c r="ET28" s="2">
        <v>0.05</v>
      </c>
      <c r="EU28" s="2">
        <v>0.01</v>
      </c>
      <c r="EV28" s="2">
        <v>77.349999999999994</v>
      </c>
      <c r="EW28" s="2">
        <v>5.7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-168461099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57" si="52">ROUND(IF(AND(BH28=3,BI28=3,FS28&lt;&gt;0),P28,0),2)</f>
        <v>0</v>
      </c>
      <c r="GM28" s="2">
        <f t="shared" ref="GM28:GM57" si="53">ROUND(O28+X28+Y28,2)+GX28</f>
        <v>68.819999999999993</v>
      </c>
      <c r="GN28" s="2">
        <f t="shared" ref="GN28:GN57" si="54">IF(OR(BI28=0,BI28=1),GM28-GX28,0)</f>
        <v>0</v>
      </c>
      <c r="GO28" s="2">
        <f t="shared" ref="GO28:GO57" si="55">IF(BI28=2,GM28-GX28,0)</f>
        <v>68.819999999999993</v>
      </c>
      <c r="GP28" s="2">
        <f t="shared" ref="GP28:GP57" si="5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57" si="57">ROUND((GT28),6)</f>
        <v>0</v>
      </c>
      <c r="GW28" s="2">
        <v>1</v>
      </c>
      <c r="GX28" s="2">
        <f t="shared" ref="GX28:GX57" si="58">ROUND(HC28*I28,2)</f>
        <v>0</v>
      </c>
      <c r="GY28" s="2"/>
      <c r="GZ28" s="2"/>
      <c r="HA28" s="2">
        <v>0</v>
      </c>
      <c r="HB28" s="2">
        <v>0</v>
      </c>
      <c r="HC28" s="2">
        <f t="shared" ref="HC28:HC57" si="5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 s="3">
        <v>17</v>
      </c>
      <c r="B29" s="3">
        <v>1</v>
      </c>
      <c r="C29" s="3">
        <f>ROW(SmtRes!A2)</f>
        <v>2</v>
      </c>
      <c r="D29" s="3">
        <f>ROW(EtalonRes!A2)</f>
        <v>2</v>
      </c>
      <c r="E29" s="3" t="s">
        <v>19</v>
      </c>
      <c r="F29" s="3" t="s">
        <v>20</v>
      </c>
      <c r="G29" s="3" t="s">
        <v>21</v>
      </c>
      <c r="H29" s="3" t="s">
        <v>22</v>
      </c>
      <c r="I29" s="3">
        <v>1</v>
      </c>
      <c r="J29" s="3">
        <v>0</v>
      </c>
      <c r="K29" s="3">
        <v>1</v>
      </c>
      <c r="O29" s="3">
        <f t="shared" si="21"/>
        <v>1643</v>
      </c>
      <c r="P29" s="3">
        <f t="shared" si="22"/>
        <v>0</v>
      </c>
      <c r="Q29" s="3">
        <f t="shared" si="23"/>
        <v>0.4</v>
      </c>
      <c r="R29" s="3">
        <f t="shared" si="24"/>
        <v>0</v>
      </c>
      <c r="S29" s="3">
        <f t="shared" si="25"/>
        <v>1642.6</v>
      </c>
      <c r="T29" s="3">
        <f t="shared" si="26"/>
        <v>0</v>
      </c>
      <c r="U29" s="3">
        <f t="shared" si="27"/>
        <v>2.148444</v>
      </c>
      <c r="V29" s="3">
        <f t="shared" si="28"/>
        <v>0</v>
      </c>
      <c r="W29" s="3">
        <f t="shared" si="29"/>
        <v>0</v>
      </c>
      <c r="X29" s="3">
        <f t="shared" si="30"/>
        <v>1478.34</v>
      </c>
      <c r="Y29" s="3">
        <f t="shared" si="31"/>
        <v>755.6</v>
      </c>
      <c r="AA29" s="3">
        <v>55915258</v>
      </c>
      <c r="AB29" s="3">
        <f t="shared" si="32"/>
        <v>27.864000000000001</v>
      </c>
      <c r="AC29" s="3">
        <f t="shared" si="33"/>
        <v>0</v>
      </c>
      <c r="AD29" s="3">
        <f t="shared" si="34"/>
        <v>1.7999999999999999E-2</v>
      </c>
      <c r="AE29" s="3">
        <f t="shared" si="35"/>
        <v>3.5999999999999999E-3</v>
      </c>
      <c r="AF29" s="3">
        <f t="shared" si="36"/>
        <v>27.846</v>
      </c>
      <c r="AG29" s="3">
        <f t="shared" si="37"/>
        <v>0</v>
      </c>
      <c r="AH29" s="3">
        <f t="shared" si="38"/>
        <v>2.052</v>
      </c>
      <c r="AI29" s="3">
        <f t="shared" si="39"/>
        <v>0</v>
      </c>
      <c r="AJ29" s="3">
        <f t="shared" si="40"/>
        <v>0</v>
      </c>
      <c r="AK29" s="3">
        <v>82.23</v>
      </c>
      <c r="AL29" s="3">
        <v>4.83</v>
      </c>
      <c r="AM29" s="3">
        <v>0.05</v>
      </c>
      <c r="AN29" s="3">
        <v>0.01</v>
      </c>
      <c r="AO29" s="3">
        <v>77.349999999999994</v>
      </c>
      <c r="AP29" s="3">
        <v>0</v>
      </c>
      <c r="AQ29" s="3">
        <v>5.7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20</v>
      </c>
      <c r="BC29" s="3">
        <v>9.84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23</v>
      </c>
      <c r="BM29" s="3">
        <v>68</v>
      </c>
      <c r="BN29" s="3">
        <v>0</v>
      </c>
      <c r="BO29" s="3" t="s">
        <v>20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604</v>
      </c>
      <c r="CO29" s="3">
        <v>0</v>
      </c>
      <c r="CP29" s="3">
        <f t="shared" si="41"/>
        <v>1643</v>
      </c>
      <c r="CQ29" s="3">
        <f t="shared" si="42"/>
        <v>0</v>
      </c>
      <c r="CR29" s="3">
        <f t="shared" si="43"/>
        <v>0.4</v>
      </c>
      <c r="CS29" s="3">
        <f t="shared" si="44"/>
        <v>0</v>
      </c>
      <c r="CT29" s="3">
        <f t="shared" si="45"/>
        <v>1642.6</v>
      </c>
      <c r="CU29" s="3">
        <f t="shared" si="46"/>
        <v>0</v>
      </c>
      <c r="CV29" s="3">
        <f t="shared" si="47"/>
        <v>2.148444</v>
      </c>
      <c r="CW29" s="3">
        <f t="shared" si="48"/>
        <v>0</v>
      </c>
      <c r="CX29" s="3">
        <f t="shared" si="49"/>
        <v>0</v>
      </c>
      <c r="CY29" s="3">
        <f t="shared" si="50"/>
        <v>1478.34</v>
      </c>
      <c r="CZ29" s="3">
        <f t="shared" si="51"/>
        <v>755.6</v>
      </c>
      <c r="DB29" s="3">
        <v>3</v>
      </c>
      <c r="DC29" s="3" t="s">
        <v>3</v>
      </c>
      <c r="DD29" s="3" t="s">
        <v>24</v>
      </c>
      <c r="DE29" s="3" t="s">
        <v>25</v>
      </c>
      <c r="DF29" s="3" t="s">
        <v>25</v>
      </c>
      <c r="DG29" s="3" t="s">
        <v>25</v>
      </c>
      <c r="DH29" s="3" t="s">
        <v>3</v>
      </c>
      <c r="DI29" s="3" t="s">
        <v>25</v>
      </c>
      <c r="DJ29" s="3" t="s">
        <v>25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22</v>
      </c>
      <c r="DW29" s="3" t="s">
        <v>22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55393700</v>
      </c>
      <c r="EF29" s="3">
        <v>40</v>
      </c>
      <c r="EG29" s="3" t="s">
        <v>26</v>
      </c>
      <c r="EH29" s="3">
        <v>0</v>
      </c>
      <c r="EI29" s="3" t="s">
        <v>3</v>
      </c>
      <c r="EJ29" s="3">
        <v>2</v>
      </c>
      <c r="EK29" s="3">
        <v>68</v>
      </c>
      <c r="EL29" s="3" t="s">
        <v>27</v>
      </c>
      <c r="EM29" s="3" t="s">
        <v>28</v>
      </c>
      <c r="EO29" s="3" t="s">
        <v>29</v>
      </c>
      <c r="EQ29" s="3">
        <v>0</v>
      </c>
      <c r="ER29" s="3">
        <v>82.23</v>
      </c>
      <c r="ES29" s="3">
        <v>4.83</v>
      </c>
      <c r="ET29" s="3">
        <v>0.05</v>
      </c>
      <c r="EU29" s="3">
        <v>0.01</v>
      </c>
      <c r="EV29" s="3">
        <v>77.349999999999994</v>
      </c>
      <c r="EW29" s="3">
        <v>5.7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90</v>
      </c>
      <c r="FY29" s="3">
        <v>46</v>
      </c>
      <c r="GA29" s="3" t="s">
        <v>3</v>
      </c>
      <c r="GD29" s="3">
        <v>1</v>
      </c>
      <c r="GF29" s="3">
        <v>-168461099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52"/>
        <v>0</v>
      </c>
      <c r="GM29" s="3">
        <f t="shared" si="53"/>
        <v>3876.94</v>
      </c>
      <c r="GN29" s="3">
        <f t="shared" si="54"/>
        <v>0</v>
      </c>
      <c r="GO29" s="3">
        <f t="shared" si="55"/>
        <v>3876.94</v>
      </c>
      <c r="GP29" s="3">
        <f t="shared" si="56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57"/>
        <v>0</v>
      </c>
      <c r="GW29" s="3">
        <v>1</v>
      </c>
      <c r="GX29" s="3">
        <f t="shared" si="58"/>
        <v>0</v>
      </c>
      <c r="HA29" s="3">
        <v>0</v>
      </c>
      <c r="HB29" s="3">
        <v>0</v>
      </c>
      <c r="HC29" s="3">
        <f t="shared" si="59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">
      <c r="A30" s="2">
        <v>17</v>
      </c>
      <c r="B30" s="2">
        <v>1</v>
      </c>
      <c r="C30" s="2">
        <f>ROW(SmtRes!A6)</f>
        <v>6</v>
      </c>
      <c r="D30" s="2">
        <f>ROW(EtalonRes!A7)</f>
        <v>7</v>
      </c>
      <c r="E30" s="2" t="s">
        <v>30</v>
      </c>
      <c r="F30" s="2" t="s">
        <v>31</v>
      </c>
      <c r="G30" s="2" t="s">
        <v>32</v>
      </c>
      <c r="H30" s="2" t="s">
        <v>22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12.62</v>
      </c>
      <c r="P30" s="2">
        <f t="shared" si="22"/>
        <v>0</v>
      </c>
      <c r="Q30" s="2">
        <f t="shared" si="23"/>
        <v>0</v>
      </c>
      <c r="R30" s="2">
        <f t="shared" si="24"/>
        <v>0</v>
      </c>
      <c r="S30" s="2">
        <f t="shared" si="25"/>
        <v>12.62</v>
      </c>
      <c r="T30" s="2">
        <f t="shared" si="26"/>
        <v>0</v>
      </c>
      <c r="U30" s="2">
        <f t="shared" si="27"/>
        <v>0.99883799999999978</v>
      </c>
      <c r="V30" s="2">
        <f t="shared" si="28"/>
        <v>0</v>
      </c>
      <c r="W30" s="2">
        <f t="shared" si="29"/>
        <v>0</v>
      </c>
      <c r="X30" s="2">
        <f t="shared" si="30"/>
        <v>11.36</v>
      </c>
      <c r="Y30" s="2">
        <f t="shared" si="31"/>
        <v>5.81</v>
      </c>
      <c r="Z30" s="2"/>
      <c r="AA30" s="2">
        <v>55915256</v>
      </c>
      <c r="AB30" s="2">
        <f t="shared" si="32"/>
        <v>12.049200000000001</v>
      </c>
      <c r="AC30" s="2">
        <f t="shared" si="33"/>
        <v>0</v>
      </c>
      <c r="AD30" s="2">
        <f t="shared" si="34"/>
        <v>0</v>
      </c>
      <c r="AE30" s="2">
        <f t="shared" si="35"/>
        <v>0</v>
      </c>
      <c r="AF30" s="2">
        <f t="shared" si="36"/>
        <v>12.049200000000001</v>
      </c>
      <c r="AG30" s="2">
        <f t="shared" si="37"/>
        <v>0</v>
      </c>
      <c r="AH30" s="2">
        <f t="shared" si="38"/>
        <v>0.95399999999999985</v>
      </c>
      <c r="AI30" s="2">
        <f t="shared" si="39"/>
        <v>0</v>
      </c>
      <c r="AJ30" s="2">
        <f t="shared" si="40"/>
        <v>0</v>
      </c>
      <c r="AK30" s="2">
        <v>35.81</v>
      </c>
      <c r="AL30" s="2">
        <v>2.34</v>
      </c>
      <c r="AM30" s="2">
        <v>0</v>
      </c>
      <c r="AN30" s="2">
        <v>0</v>
      </c>
      <c r="AO30" s="2">
        <v>33.47</v>
      </c>
      <c r="AP30" s="2">
        <v>0</v>
      </c>
      <c r="AQ30" s="2">
        <v>2.65</v>
      </c>
      <c r="AR30" s="2">
        <v>0</v>
      </c>
      <c r="AS30" s="2">
        <v>0</v>
      </c>
      <c r="AT30" s="2">
        <v>90</v>
      </c>
      <c r="AU30" s="2">
        <v>46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33</v>
      </c>
      <c r="BK30" s="2"/>
      <c r="BL30" s="2"/>
      <c r="BM30" s="2">
        <v>68</v>
      </c>
      <c r="BN30" s="2">
        <v>0</v>
      </c>
      <c r="BO30" s="2" t="s">
        <v>31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604</v>
      </c>
      <c r="CO30" s="2">
        <v>0</v>
      </c>
      <c r="CP30" s="2">
        <f t="shared" si="41"/>
        <v>12.62</v>
      </c>
      <c r="CQ30" s="2">
        <f t="shared" si="42"/>
        <v>0</v>
      </c>
      <c r="CR30" s="2">
        <f t="shared" si="43"/>
        <v>0</v>
      </c>
      <c r="CS30" s="2">
        <f t="shared" si="44"/>
        <v>0</v>
      </c>
      <c r="CT30" s="2">
        <f t="shared" si="45"/>
        <v>12.62</v>
      </c>
      <c r="CU30" s="2">
        <f t="shared" si="46"/>
        <v>0</v>
      </c>
      <c r="CV30" s="2">
        <f t="shared" si="47"/>
        <v>0.99883799999999978</v>
      </c>
      <c r="CW30" s="2">
        <f t="shared" si="48"/>
        <v>0</v>
      </c>
      <c r="CX30" s="2">
        <f t="shared" si="49"/>
        <v>0</v>
      </c>
      <c r="CY30" s="2">
        <f t="shared" si="50"/>
        <v>11.36</v>
      </c>
      <c r="CZ30" s="2">
        <f t="shared" si="51"/>
        <v>5.81</v>
      </c>
      <c r="DA30" s="2"/>
      <c r="DB30" s="2">
        <v>5</v>
      </c>
      <c r="DC30" s="2" t="s">
        <v>3</v>
      </c>
      <c r="DD30" s="2" t="s">
        <v>24</v>
      </c>
      <c r="DE30" s="2" t="s">
        <v>25</v>
      </c>
      <c r="DF30" s="2" t="s">
        <v>25</v>
      </c>
      <c r="DG30" s="2" t="s">
        <v>25</v>
      </c>
      <c r="DH30" s="2" t="s">
        <v>3</v>
      </c>
      <c r="DI30" s="2" t="s">
        <v>25</v>
      </c>
      <c r="DJ30" s="2" t="s">
        <v>25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22</v>
      </c>
      <c r="DW30" s="2" t="s">
        <v>22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55393700</v>
      </c>
      <c r="EF30" s="2">
        <v>40</v>
      </c>
      <c r="EG30" s="2" t="s">
        <v>26</v>
      </c>
      <c r="EH30" s="2">
        <v>0</v>
      </c>
      <c r="EI30" s="2" t="s">
        <v>3</v>
      </c>
      <c r="EJ30" s="2">
        <v>2</v>
      </c>
      <c r="EK30" s="2">
        <v>68</v>
      </c>
      <c r="EL30" s="2" t="s">
        <v>27</v>
      </c>
      <c r="EM30" s="2" t="s">
        <v>28</v>
      </c>
      <c r="EN30" s="2"/>
      <c r="EO30" s="2" t="s">
        <v>29</v>
      </c>
      <c r="EP30" s="2"/>
      <c r="EQ30" s="2">
        <v>0</v>
      </c>
      <c r="ER30" s="2">
        <v>35.81</v>
      </c>
      <c r="ES30" s="2">
        <v>2.34</v>
      </c>
      <c r="ET30" s="2">
        <v>0</v>
      </c>
      <c r="EU30" s="2">
        <v>0</v>
      </c>
      <c r="EV30" s="2">
        <v>33.47</v>
      </c>
      <c r="EW30" s="2">
        <v>2.65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</v>
      </c>
      <c r="GB30" s="2"/>
      <c r="GC30" s="2"/>
      <c r="GD30" s="2">
        <v>1</v>
      </c>
      <c r="GE30" s="2"/>
      <c r="GF30" s="2">
        <v>2145468006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2"/>
        <v>0</v>
      </c>
      <c r="GM30" s="2">
        <f t="shared" si="53"/>
        <v>29.79</v>
      </c>
      <c r="GN30" s="2">
        <f t="shared" si="54"/>
        <v>0</v>
      </c>
      <c r="GO30" s="2">
        <f t="shared" si="55"/>
        <v>29.79</v>
      </c>
      <c r="GP30" s="2">
        <f t="shared" si="56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7"/>
        <v>0</v>
      </c>
      <c r="GW30" s="2">
        <v>1</v>
      </c>
      <c r="GX30" s="2">
        <f t="shared" si="58"/>
        <v>0</v>
      </c>
      <c r="GY30" s="2"/>
      <c r="GZ30" s="2"/>
      <c r="HA30" s="2">
        <v>0</v>
      </c>
      <c r="HB30" s="2">
        <v>0</v>
      </c>
      <c r="HC30" s="2">
        <f t="shared" si="59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 s="3">
        <v>17</v>
      </c>
      <c r="B31" s="3">
        <v>1</v>
      </c>
      <c r="C31" s="3">
        <f>ROW(SmtRes!A10)</f>
        <v>10</v>
      </c>
      <c r="D31" s="3">
        <f>ROW(EtalonRes!A12)</f>
        <v>12</v>
      </c>
      <c r="E31" s="3" t="s">
        <v>30</v>
      </c>
      <c r="F31" s="3" t="s">
        <v>31</v>
      </c>
      <c r="G31" s="3" t="s">
        <v>32</v>
      </c>
      <c r="H31" s="3" t="s">
        <v>22</v>
      </c>
      <c r="I31" s="3">
        <v>1</v>
      </c>
      <c r="J31" s="3">
        <v>0</v>
      </c>
      <c r="K31" s="3">
        <v>1</v>
      </c>
      <c r="O31" s="3">
        <f t="shared" si="21"/>
        <v>711.14</v>
      </c>
      <c r="P31" s="3">
        <f t="shared" si="22"/>
        <v>0</v>
      </c>
      <c r="Q31" s="3">
        <f t="shared" si="23"/>
        <v>0</v>
      </c>
      <c r="R31" s="3">
        <f t="shared" si="24"/>
        <v>0</v>
      </c>
      <c r="S31" s="3">
        <f t="shared" si="25"/>
        <v>711.14</v>
      </c>
      <c r="T31" s="3">
        <f t="shared" si="26"/>
        <v>0</v>
      </c>
      <c r="U31" s="3">
        <f t="shared" si="27"/>
        <v>0.99883799999999978</v>
      </c>
      <c r="V31" s="3">
        <f t="shared" si="28"/>
        <v>0</v>
      </c>
      <c r="W31" s="3">
        <f t="shared" si="29"/>
        <v>0</v>
      </c>
      <c r="X31" s="3">
        <f t="shared" si="30"/>
        <v>640.03</v>
      </c>
      <c r="Y31" s="3">
        <f t="shared" si="31"/>
        <v>327.12</v>
      </c>
      <c r="AA31" s="3">
        <v>55915258</v>
      </c>
      <c r="AB31" s="3">
        <f t="shared" si="32"/>
        <v>12.049200000000001</v>
      </c>
      <c r="AC31" s="3">
        <f t="shared" si="33"/>
        <v>0</v>
      </c>
      <c r="AD31" s="3">
        <f t="shared" si="34"/>
        <v>0</v>
      </c>
      <c r="AE31" s="3">
        <f t="shared" si="35"/>
        <v>0</v>
      </c>
      <c r="AF31" s="3">
        <f t="shared" si="36"/>
        <v>12.049200000000001</v>
      </c>
      <c r="AG31" s="3">
        <f t="shared" si="37"/>
        <v>0</v>
      </c>
      <c r="AH31" s="3">
        <f t="shared" si="38"/>
        <v>0.95399999999999985</v>
      </c>
      <c r="AI31" s="3">
        <f t="shared" si="39"/>
        <v>0</v>
      </c>
      <c r="AJ31" s="3">
        <f t="shared" si="40"/>
        <v>0</v>
      </c>
      <c r="AK31" s="3">
        <v>35.81</v>
      </c>
      <c r="AL31" s="3">
        <v>2.34</v>
      </c>
      <c r="AM31" s="3">
        <v>0</v>
      </c>
      <c r="AN31" s="3">
        <v>0</v>
      </c>
      <c r="AO31" s="3">
        <v>33.47</v>
      </c>
      <c r="AP31" s="3">
        <v>0</v>
      </c>
      <c r="AQ31" s="3">
        <v>2.65</v>
      </c>
      <c r="AR31" s="3">
        <v>0</v>
      </c>
      <c r="AS31" s="3">
        <v>0</v>
      </c>
      <c r="AT31" s="3">
        <v>90</v>
      </c>
      <c r="AU31" s="3">
        <v>46</v>
      </c>
      <c r="AV31" s="3">
        <v>1.0469999999999999</v>
      </c>
      <c r="AW31" s="3">
        <v>1</v>
      </c>
      <c r="AZ31" s="3">
        <v>1</v>
      </c>
      <c r="BA31" s="3">
        <v>56.35</v>
      </c>
      <c r="BB31" s="3">
        <v>1</v>
      </c>
      <c r="BC31" s="3">
        <v>10.24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33</v>
      </c>
      <c r="BM31" s="3">
        <v>68</v>
      </c>
      <c r="BN31" s="3">
        <v>0</v>
      </c>
      <c r="BO31" s="3" t="s">
        <v>31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90</v>
      </c>
      <c r="CA31" s="3">
        <v>46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604</v>
      </c>
      <c r="CO31" s="3">
        <v>0</v>
      </c>
      <c r="CP31" s="3">
        <f t="shared" si="41"/>
        <v>711.14</v>
      </c>
      <c r="CQ31" s="3">
        <f t="shared" si="42"/>
        <v>0</v>
      </c>
      <c r="CR31" s="3">
        <f t="shared" si="43"/>
        <v>0</v>
      </c>
      <c r="CS31" s="3">
        <f t="shared" si="44"/>
        <v>0</v>
      </c>
      <c r="CT31" s="3">
        <f t="shared" si="45"/>
        <v>711.14</v>
      </c>
      <c r="CU31" s="3">
        <f t="shared" si="46"/>
        <v>0</v>
      </c>
      <c r="CV31" s="3">
        <f t="shared" si="47"/>
        <v>0.99883799999999978</v>
      </c>
      <c r="CW31" s="3">
        <f t="shared" si="48"/>
        <v>0</v>
      </c>
      <c r="CX31" s="3">
        <f t="shared" si="49"/>
        <v>0</v>
      </c>
      <c r="CY31" s="3">
        <f t="shared" si="50"/>
        <v>640.03</v>
      </c>
      <c r="CZ31" s="3">
        <f t="shared" si="51"/>
        <v>327.12</v>
      </c>
      <c r="DB31" s="3">
        <v>7</v>
      </c>
      <c r="DC31" s="3" t="s">
        <v>3</v>
      </c>
      <c r="DD31" s="3" t="s">
        <v>24</v>
      </c>
      <c r="DE31" s="3" t="s">
        <v>25</v>
      </c>
      <c r="DF31" s="3" t="s">
        <v>25</v>
      </c>
      <c r="DG31" s="3" t="s">
        <v>25</v>
      </c>
      <c r="DH31" s="3" t="s">
        <v>3</v>
      </c>
      <c r="DI31" s="3" t="s">
        <v>25</v>
      </c>
      <c r="DJ31" s="3" t="s">
        <v>25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22</v>
      </c>
      <c r="DW31" s="3" t="s">
        <v>22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55393700</v>
      </c>
      <c r="EF31" s="3">
        <v>40</v>
      </c>
      <c r="EG31" s="3" t="s">
        <v>26</v>
      </c>
      <c r="EH31" s="3">
        <v>0</v>
      </c>
      <c r="EI31" s="3" t="s">
        <v>3</v>
      </c>
      <c r="EJ31" s="3">
        <v>2</v>
      </c>
      <c r="EK31" s="3">
        <v>68</v>
      </c>
      <c r="EL31" s="3" t="s">
        <v>27</v>
      </c>
      <c r="EM31" s="3" t="s">
        <v>28</v>
      </c>
      <c r="EO31" s="3" t="s">
        <v>29</v>
      </c>
      <c r="EQ31" s="3">
        <v>0</v>
      </c>
      <c r="ER31" s="3">
        <v>35.81</v>
      </c>
      <c r="ES31" s="3">
        <v>2.34</v>
      </c>
      <c r="ET31" s="3">
        <v>0</v>
      </c>
      <c r="EU31" s="3">
        <v>0</v>
      </c>
      <c r="EV31" s="3">
        <v>33.47</v>
      </c>
      <c r="EW31" s="3">
        <v>2.65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90</v>
      </c>
      <c r="FY31" s="3">
        <v>46</v>
      </c>
      <c r="GA31" s="3" t="s">
        <v>3</v>
      </c>
      <c r="GD31" s="3">
        <v>1</v>
      </c>
      <c r="GF31" s="3">
        <v>2145468006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52"/>
        <v>0</v>
      </c>
      <c r="GM31" s="3">
        <f t="shared" si="53"/>
        <v>1678.29</v>
      </c>
      <c r="GN31" s="3">
        <f t="shared" si="54"/>
        <v>0</v>
      </c>
      <c r="GO31" s="3">
        <f t="shared" si="55"/>
        <v>1678.29</v>
      </c>
      <c r="GP31" s="3">
        <f t="shared" si="56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57"/>
        <v>0</v>
      </c>
      <c r="GW31" s="3">
        <v>1</v>
      </c>
      <c r="GX31" s="3">
        <f t="shared" si="58"/>
        <v>0</v>
      </c>
      <c r="HA31" s="3">
        <v>0</v>
      </c>
      <c r="HB31" s="3">
        <v>0</v>
      </c>
      <c r="HC31" s="3">
        <f t="shared" si="59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">
      <c r="A32" s="2">
        <v>17</v>
      </c>
      <c r="B32" s="2">
        <v>1</v>
      </c>
      <c r="C32" s="2">
        <f>ROW(SmtRes!A11)</f>
        <v>11</v>
      </c>
      <c r="D32" s="2">
        <f>ROW(EtalonRes!A13)</f>
        <v>13</v>
      </c>
      <c r="E32" s="2" t="s">
        <v>34</v>
      </c>
      <c r="F32" s="2" t="s">
        <v>35</v>
      </c>
      <c r="G32" s="2" t="s">
        <v>36</v>
      </c>
      <c r="H32" s="2" t="s">
        <v>22</v>
      </c>
      <c r="I32" s="2">
        <v>1</v>
      </c>
      <c r="J32" s="2">
        <v>0</v>
      </c>
      <c r="K32" s="2">
        <v>1</v>
      </c>
      <c r="L32" s="2"/>
      <c r="M32" s="2"/>
      <c r="N32" s="2"/>
      <c r="O32" s="2">
        <f t="shared" si="21"/>
        <v>12.3</v>
      </c>
      <c r="P32" s="2">
        <f t="shared" si="22"/>
        <v>0</v>
      </c>
      <c r="Q32" s="2">
        <f t="shared" si="23"/>
        <v>0.02</v>
      </c>
      <c r="R32" s="2">
        <f t="shared" si="24"/>
        <v>0</v>
      </c>
      <c r="S32" s="2">
        <f t="shared" si="25"/>
        <v>12.28</v>
      </c>
      <c r="T32" s="2">
        <f t="shared" si="26"/>
        <v>0</v>
      </c>
      <c r="U32" s="2">
        <f t="shared" si="27"/>
        <v>0.90460799999999997</v>
      </c>
      <c r="V32" s="2">
        <f t="shared" si="28"/>
        <v>0</v>
      </c>
      <c r="W32" s="2">
        <f t="shared" si="29"/>
        <v>0</v>
      </c>
      <c r="X32" s="2">
        <f t="shared" si="30"/>
        <v>11.05</v>
      </c>
      <c r="Y32" s="2">
        <f t="shared" si="31"/>
        <v>5.65</v>
      </c>
      <c r="Z32" s="2"/>
      <c r="AA32" s="2">
        <v>55915256</v>
      </c>
      <c r="AB32" s="2">
        <f t="shared" si="32"/>
        <v>11.7432</v>
      </c>
      <c r="AC32" s="2">
        <f t="shared" si="33"/>
        <v>0</v>
      </c>
      <c r="AD32" s="2">
        <f t="shared" si="34"/>
        <v>1.7999999999999999E-2</v>
      </c>
      <c r="AE32" s="2">
        <f t="shared" si="35"/>
        <v>3.5999999999999999E-3</v>
      </c>
      <c r="AF32" s="2">
        <f t="shared" si="36"/>
        <v>11.725199999999999</v>
      </c>
      <c r="AG32" s="2">
        <f t="shared" si="37"/>
        <v>0</v>
      </c>
      <c r="AH32" s="2">
        <f t="shared" si="38"/>
        <v>0.86399999999999999</v>
      </c>
      <c r="AI32" s="2">
        <f t="shared" si="39"/>
        <v>0</v>
      </c>
      <c r="AJ32" s="2">
        <f t="shared" si="40"/>
        <v>0</v>
      </c>
      <c r="AK32" s="2">
        <v>36.33</v>
      </c>
      <c r="AL32" s="2">
        <v>3.71</v>
      </c>
      <c r="AM32" s="2">
        <v>0.05</v>
      </c>
      <c r="AN32" s="2">
        <v>0.01</v>
      </c>
      <c r="AO32" s="2">
        <v>32.57</v>
      </c>
      <c r="AP32" s="2">
        <v>0</v>
      </c>
      <c r="AQ32" s="2">
        <v>2.4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37</v>
      </c>
      <c r="BK32" s="2"/>
      <c r="BL32" s="2"/>
      <c r="BM32" s="2">
        <v>68</v>
      </c>
      <c r="BN32" s="2">
        <v>0</v>
      </c>
      <c r="BO32" s="2" t="s">
        <v>35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604</v>
      </c>
      <c r="CO32" s="2">
        <v>0</v>
      </c>
      <c r="CP32" s="2">
        <f t="shared" si="41"/>
        <v>12.299999999999999</v>
      </c>
      <c r="CQ32" s="2">
        <f t="shared" si="42"/>
        <v>0</v>
      </c>
      <c r="CR32" s="2">
        <f t="shared" si="43"/>
        <v>0.02</v>
      </c>
      <c r="CS32" s="2">
        <f t="shared" si="44"/>
        <v>0</v>
      </c>
      <c r="CT32" s="2">
        <f t="shared" si="45"/>
        <v>12.28</v>
      </c>
      <c r="CU32" s="2">
        <f t="shared" si="46"/>
        <v>0</v>
      </c>
      <c r="CV32" s="2">
        <f t="shared" si="47"/>
        <v>0.90460799999999997</v>
      </c>
      <c r="CW32" s="2">
        <f t="shared" si="48"/>
        <v>0</v>
      </c>
      <c r="CX32" s="2">
        <f t="shared" si="49"/>
        <v>0</v>
      </c>
      <c r="CY32" s="2">
        <f t="shared" si="50"/>
        <v>11.05</v>
      </c>
      <c r="CZ32" s="2">
        <f t="shared" si="51"/>
        <v>5.65</v>
      </c>
      <c r="DA32" s="2"/>
      <c r="DB32" s="2">
        <v>9</v>
      </c>
      <c r="DC32" s="2" t="s">
        <v>3</v>
      </c>
      <c r="DD32" s="2" t="s">
        <v>24</v>
      </c>
      <c r="DE32" s="2" t="s">
        <v>25</v>
      </c>
      <c r="DF32" s="2" t="s">
        <v>25</v>
      </c>
      <c r="DG32" s="2" t="s">
        <v>25</v>
      </c>
      <c r="DH32" s="2" t="s">
        <v>3</v>
      </c>
      <c r="DI32" s="2" t="s">
        <v>25</v>
      </c>
      <c r="DJ32" s="2" t="s">
        <v>25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22</v>
      </c>
      <c r="DW32" s="2" t="s">
        <v>22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55393700</v>
      </c>
      <c r="EF32" s="2">
        <v>40</v>
      </c>
      <c r="EG32" s="2" t="s">
        <v>26</v>
      </c>
      <c r="EH32" s="2">
        <v>0</v>
      </c>
      <c r="EI32" s="2" t="s">
        <v>3</v>
      </c>
      <c r="EJ32" s="2">
        <v>2</v>
      </c>
      <c r="EK32" s="2">
        <v>68</v>
      </c>
      <c r="EL32" s="2" t="s">
        <v>27</v>
      </c>
      <c r="EM32" s="2" t="s">
        <v>28</v>
      </c>
      <c r="EN32" s="2"/>
      <c r="EO32" s="2" t="s">
        <v>29</v>
      </c>
      <c r="EP32" s="2"/>
      <c r="EQ32" s="2">
        <v>0</v>
      </c>
      <c r="ER32" s="2">
        <v>36.33</v>
      </c>
      <c r="ES32" s="2">
        <v>3.71</v>
      </c>
      <c r="ET32" s="2">
        <v>0.05</v>
      </c>
      <c r="EU32" s="2">
        <v>0.01</v>
      </c>
      <c r="EV32" s="2">
        <v>32.57</v>
      </c>
      <c r="EW32" s="2">
        <v>2.4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1466411927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2"/>
        <v>0</v>
      </c>
      <c r="GM32" s="2">
        <f t="shared" si="53"/>
        <v>29</v>
      </c>
      <c r="GN32" s="2">
        <f t="shared" si="54"/>
        <v>0</v>
      </c>
      <c r="GO32" s="2">
        <f t="shared" si="55"/>
        <v>29</v>
      </c>
      <c r="GP32" s="2">
        <f t="shared" si="56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7"/>
        <v>0</v>
      </c>
      <c r="GW32" s="2">
        <v>1</v>
      </c>
      <c r="GX32" s="2">
        <f t="shared" si="58"/>
        <v>0</v>
      </c>
      <c r="GY32" s="2"/>
      <c r="GZ32" s="2"/>
      <c r="HA32" s="2">
        <v>0</v>
      </c>
      <c r="HB32" s="2">
        <v>0</v>
      </c>
      <c r="HC32" s="2">
        <f t="shared" si="5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 s="3">
        <v>17</v>
      </c>
      <c r="B33" s="3">
        <v>1</v>
      </c>
      <c r="C33" s="3">
        <f>ROW(SmtRes!A12)</f>
        <v>12</v>
      </c>
      <c r="D33" s="3">
        <f>ROW(EtalonRes!A14)</f>
        <v>14</v>
      </c>
      <c r="E33" s="3" t="s">
        <v>34</v>
      </c>
      <c r="F33" s="3" t="s">
        <v>35</v>
      </c>
      <c r="G33" s="3" t="s">
        <v>36</v>
      </c>
      <c r="H33" s="3" t="s">
        <v>22</v>
      </c>
      <c r="I33" s="3">
        <v>1</v>
      </c>
      <c r="J33" s="3">
        <v>0</v>
      </c>
      <c r="K33" s="3">
        <v>1</v>
      </c>
      <c r="O33" s="3">
        <f t="shared" si="21"/>
        <v>692.38</v>
      </c>
      <c r="P33" s="3">
        <f t="shared" si="22"/>
        <v>0</v>
      </c>
      <c r="Q33" s="3">
        <f t="shared" si="23"/>
        <v>0.4</v>
      </c>
      <c r="R33" s="3">
        <f t="shared" si="24"/>
        <v>0</v>
      </c>
      <c r="S33" s="3">
        <f t="shared" si="25"/>
        <v>691.98</v>
      </c>
      <c r="T33" s="3">
        <f t="shared" si="26"/>
        <v>0</v>
      </c>
      <c r="U33" s="3">
        <f t="shared" si="27"/>
        <v>0.90460799999999997</v>
      </c>
      <c r="V33" s="3">
        <f t="shared" si="28"/>
        <v>0</v>
      </c>
      <c r="W33" s="3">
        <f t="shared" si="29"/>
        <v>0</v>
      </c>
      <c r="X33" s="3">
        <f t="shared" si="30"/>
        <v>622.78</v>
      </c>
      <c r="Y33" s="3">
        <f t="shared" si="31"/>
        <v>318.31</v>
      </c>
      <c r="AA33" s="3">
        <v>55915258</v>
      </c>
      <c r="AB33" s="3">
        <f t="shared" si="32"/>
        <v>11.7432</v>
      </c>
      <c r="AC33" s="3">
        <f t="shared" si="33"/>
        <v>0</v>
      </c>
      <c r="AD33" s="3">
        <f t="shared" si="34"/>
        <v>1.7999999999999999E-2</v>
      </c>
      <c r="AE33" s="3">
        <f t="shared" si="35"/>
        <v>3.5999999999999999E-3</v>
      </c>
      <c r="AF33" s="3">
        <f t="shared" si="36"/>
        <v>11.725199999999999</v>
      </c>
      <c r="AG33" s="3">
        <f t="shared" si="37"/>
        <v>0</v>
      </c>
      <c r="AH33" s="3">
        <f t="shared" si="38"/>
        <v>0.86399999999999999</v>
      </c>
      <c r="AI33" s="3">
        <f t="shared" si="39"/>
        <v>0</v>
      </c>
      <c r="AJ33" s="3">
        <f t="shared" si="40"/>
        <v>0</v>
      </c>
      <c r="AK33" s="3">
        <v>36.33</v>
      </c>
      <c r="AL33" s="3">
        <v>3.71</v>
      </c>
      <c r="AM33" s="3">
        <v>0.05</v>
      </c>
      <c r="AN33" s="3">
        <v>0.01</v>
      </c>
      <c r="AO33" s="3">
        <v>32.57</v>
      </c>
      <c r="AP33" s="3">
        <v>0</v>
      </c>
      <c r="AQ33" s="3">
        <v>2.4</v>
      </c>
      <c r="AR33" s="3">
        <v>0</v>
      </c>
      <c r="AS33" s="3">
        <v>0</v>
      </c>
      <c r="AT33" s="3">
        <v>90</v>
      </c>
      <c r="AU33" s="3">
        <v>46</v>
      </c>
      <c r="AV33" s="3">
        <v>1.0469999999999999</v>
      </c>
      <c r="AW33" s="3">
        <v>1</v>
      </c>
      <c r="AZ33" s="3">
        <v>1</v>
      </c>
      <c r="BA33" s="3">
        <v>56.35</v>
      </c>
      <c r="BB33" s="3">
        <v>20</v>
      </c>
      <c r="BC33" s="3">
        <v>9.84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37</v>
      </c>
      <c r="BM33" s="3">
        <v>68</v>
      </c>
      <c r="BN33" s="3">
        <v>0</v>
      </c>
      <c r="BO33" s="3" t="s">
        <v>35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90</v>
      </c>
      <c r="CA33" s="3">
        <v>46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604</v>
      </c>
      <c r="CO33" s="3">
        <v>0</v>
      </c>
      <c r="CP33" s="3">
        <f t="shared" si="41"/>
        <v>692.38</v>
      </c>
      <c r="CQ33" s="3">
        <f t="shared" si="42"/>
        <v>0</v>
      </c>
      <c r="CR33" s="3">
        <f t="shared" si="43"/>
        <v>0.4</v>
      </c>
      <c r="CS33" s="3">
        <f t="shared" si="44"/>
        <v>0</v>
      </c>
      <c r="CT33" s="3">
        <f t="shared" si="45"/>
        <v>691.98</v>
      </c>
      <c r="CU33" s="3">
        <f t="shared" si="46"/>
        <v>0</v>
      </c>
      <c r="CV33" s="3">
        <f t="shared" si="47"/>
        <v>0.90460799999999997</v>
      </c>
      <c r="CW33" s="3">
        <f t="shared" si="48"/>
        <v>0</v>
      </c>
      <c r="CX33" s="3">
        <f t="shared" si="49"/>
        <v>0</v>
      </c>
      <c r="CY33" s="3">
        <f t="shared" si="50"/>
        <v>622.78</v>
      </c>
      <c r="CZ33" s="3">
        <f t="shared" si="51"/>
        <v>318.31</v>
      </c>
      <c r="DB33" s="3">
        <v>11</v>
      </c>
      <c r="DC33" s="3" t="s">
        <v>3</v>
      </c>
      <c r="DD33" s="3" t="s">
        <v>24</v>
      </c>
      <c r="DE33" s="3" t="s">
        <v>25</v>
      </c>
      <c r="DF33" s="3" t="s">
        <v>25</v>
      </c>
      <c r="DG33" s="3" t="s">
        <v>25</v>
      </c>
      <c r="DH33" s="3" t="s">
        <v>3</v>
      </c>
      <c r="DI33" s="3" t="s">
        <v>25</v>
      </c>
      <c r="DJ33" s="3" t="s">
        <v>25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22</v>
      </c>
      <c r="DW33" s="3" t="s">
        <v>22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55393700</v>
      </c>
      <c r="EF33" s="3">
        <v>40</v>
      </c>
      <c r="EG33" s="3" t="s">
        <v>26</v>
      </c>
      <c r="EH33" s="3">
        <v>0</v>
      </c>
      <c r="EI33" s="3" t="s">
        <v>3</v>
      </c>
      <c r="EJ33" s="3">
        <v>2</v>
      </c>
      <c r="EK33" s="3">
        <v>68</v>
      </c>
      <c r="EL33" s="3" t="s">
        <v>27</v>
      </c>
      <c r="EM33" s="3" t="s">
        <v>28</v>
      </c>
      <c r="EO33" s="3" t="s">
        <v>29</v>
      </c>
      <c r="EQ33" s="3">
        <v>0</v>
      </c>
      <c r="ER33" s="3">
        <v>36.33</v>
      </c>
      <c r="ES33" s="3">
        <v>3.71</v>
      </c>
      <c r="ET33" s="3">
        <v>0.05</v>
      </c>
      <c r="EU33" s="3">
        <v>0.01</v>
      </c>
      <c r="EV33" s="3">
        <v>32.57</v>
      </c>
      <c r="EW33" s="3">
        <v>2.4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90</v>
      </c>
      <c r="FY33" s="3">
        <v>46</v>
      </c>
      <c r="GA33" s="3" t="s">
        <v>3</v>
      </c>
      <c r="GD33" s="3">
        <v>1</v>
      </c>
      <c r="GF33" s="3">
        <v>1466411927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52"/>
        <v>0</v>
      </c>
      <c r="GM33" s="3">
        <f t="shared" si="53"/>
        <v>1633.47</v>
      </c>
      <c r="GN33" s="3">
        <f t="shared" si="54"/>
        <v>0</v>
      </c>
      <c r="GO33" s="3">
        <f t="shared" si="55"/>
        <v>1633.47</v>
      </c>
      <c r="GP33" s="3">
        <f t="shared" si="56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7"/>
        <v>0</v>
      </c>
      <c r="GW33" s="3">
        <v>1</v>
      </c>
      <c r="GX33" s="3">
        <f t="shared" si="58"/>
        <v>0</v>
      </c>
      <c r="HA33" s="3">
        <v>0</v>
      </c>
      <c r="HB33" s="3">
        <v>0</v>
      </c>
      <c r="HC33" s="3">
        <f t="shared" si="59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">
      <c r="A34" s="2">
        <v>17</v>
      </c>
      <c r="B34" s="2">
        <v>1</v>
      </c>
      <c r="C34" s="2">
        <f>ROW(SmtRes!A13)</f>
        <v>13</v>
      </c>
      <c r="D34" s="2">
        <f>ROW(EtalonRes!A15)</f>
        <v>15</v>
      </c>
      <c r="E34" s="2" t="s">
        <v>38</v>
      </c>
      <c r="F34" s="2" t="s">
        <v>39</v>
      </c>
      <c r="G34" s="2" t="s">
        <v>40</v>
      </c>
      <c r="H34" s="2" t="s">
        <v>22</v>
      </c>
      <c r="I34" s="2">
        <v>31</v>
      </c>
      <c r="J34" s="2">
        <v>0</v>
      </c>
      <c r="K34" s="2">
        <v>31</v>
      </c>
      <c r="L34" s="2"/>
      <c r="M34" s="2"/>
      <c r="N34" s="2"/>
      <c r="O34" s="2">
        <f t="shared" si="21"/>
        <v>188.35</v>
      </c>
      <c r="P34" s="2">
        <f t="shared" si="22"/>
        <v>0</v>
      </c>
      <c r="Q34" s="2">
        <f t="shared" si="23"/>
        <v>0.57999999999999996</v>
      </c>
      <c r="R34" s="2">
        <f t="shared" si="24"/>
        <v>0.12</v>
      </c>
      <c r="S34" s="2">
        <f t="shared" si="25"/>
        <v>187.77</v>
      </c>
      <c r="T34" s="2">
        <f t="shared" si="26"/>
        <v>0</v>
      </c>
      <c r="U34" s="2">
        <f t="shared" si="27"/>
        <v>14.021424</v>
      </c>
      <c r="V34" s="2">
        <f t="shared" si="28"/>
        <v>0</v>
      </c>
      <c r="W34" s="2">
        <f t="shared" si="29"/>
        <v>0</v>
      </c>
      <c r="X34" s="2">
        <f t="shared" si="30"/>
        <v>169.1</v>
      </c>
      <c r="Y34" s="2">
        <f t="shared" si="31"/>
        <v>86.43</v>
      </c>
      <c r="Z34" s="2"/>
      <c r="AA34" s="2">
        <v>55915256</v>
      </c>
      <c r="AB34" s="2">
        <f t="shared" si="32"/>
        <v>5.8032000000000004</v>
      </c>
      <c r="AC34" s="2">
        <f t="shared" si="33"/>
        <v>0</v>
      </c>
      <c r="AD34" s="2">
        <f t="shared" si="34"/>
        <v>1.7999999999999999E-2</v>
      </c>
      <c r="AE34" s="2">
        <f t="shared" si="35"/>
        <v>3.5999999999999999E-3</v>
      </c>
      <c r="AF34" s="2">
        <f t="shared" si="36"/>
        <v>5.7851999999999997</v>
      </c>
      <c r="AG34" s="2">
        <f t="shared" si="37"/>
        <v>0</v>
      </c>
      <c r="AH34" s="2">
        <f t="shared" si="38"/>
        <v>0.432</v>
      </c>
      <c r="AI34" s="2">
        <f t="shared" si="39"/>
        <v>0</v>
      </c>
      <c r="AJ34" s="2">
        <f t="shared" si="40"/>
        <v>0</v>
      </c>
      <c r="AK34" s="2">
        <v>18.079999999999998</v>
      </c>
      <c r="AL34" s="2">
        <v>1.96</v>
      </c>
      <c r="AM34" s="2">
        <v>0.05</v>
      </c>
      <c r="AN34" s="2">
        <v>0.01</v>
      </c>
      <c r="AO34" s="2">
        <v>16.07</v>
      </c>
      <c r="AP34" s="2">
        <v>0</v>
      </c>
      <c r="AQ34" s="2">
        <v>1.2</v>
      </c>
      <c r="AR34" s="2">
        <v>0</v>
      </c>
      <c r="AS34" s="2">
        <v>0</v>
      </c>
      <c r="AT34" s="2">
        <v>90</v>
      </c>
      <c r="AU34" s="2">
        <v>46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41</v>
      </c>
      <c r="BK34" s="2"/>
      <c r="BL34" s="2"/>
      <c r="BM34" s="2">
        <v>68</v>
      </c>
      <c r="BN34" s="2">
        <v>0</v>
      </c>
      <c r="BO34" s="2" t="s">
        <v>39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604</v>
      </c>
      <c r="CO34" s="2">
        <v>0</v>
      </c>
      <c r="CP34" s="2">
        <f t="shared" si="41"/>
        <v>188.35000000000002</v>
      </c>
      <c r="CQ34" s="2">
        <f t="shared" si="42"/>
        <v>0</v>
      </c>
      <c r="CR34" s="2">
        <f t="shared" si="43"/>
        <v>0.02</v>
      </c>
      <c r="CS34" s="2">
        <f t="shared" si="44"/>
        <v>0</v>
      </c>
      <c r="CT34" s="2">
        <f t="shared" si="45"/>
        <v>6.06</v>
      </c>
      <c r="CU34" s="2">
        <f t="shared" si="46"/>
        <v>0</v>
      </c>
      <c r="CV34" s="2">
        <f t="shared" si="47"/>
        <v>0.45230399999999998</v>
      </c>
      <c r="CW34" s="2">
        <f t="shared" si="48"/>
        <v>0</v>
      </c>
      <c r="CX34" s="2">
        <f t="shared" si="49"/>
        <v>0</v>
      </c>
      <c r="CY34" s="2">
        <f t="shared" si="50"/>
        <v>168.99</v>
      </c>
      <c r="CZ34" s="2">
        <f t="shared" si="51"/>
        <v>86.37</v>
      </c>
      <c r="DA34" s="2"/>
      <c r="DB34" s="2">
        <v>13</v>
      </c>
      <c r="DC34" s="2" t="s">
        <v>3</v>
      </c>
      <c r="DD34" s="2" t="s">
        <v>24</v>
      </c>
      <c r="DE34" s="2" t="s">
        <v>25</v>
      </c>
      <c r="DF34" s="2" t="s">
        <v>25</v>
      </c>
      <c r="DG34" s="2" t="s">
        <v>25</v>
      </c>
      <c r="DH34" s="2" t="s">
        <v>3</v>
      </c>
      <c r="DI34" s="2" t="s">
        <v>25</v>
      </c>
      <c r="DJ34" s="2" t="s">
        <v>25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22</v>
      </c>
      <c r="DW34" s="2" t="s">
        <v>22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55393700</v>
      </c>
      <c r="EF34" s="2">
        <v>40</v>
      </c>
      <c r="EG34" s="2" t="s">
        <v>26</v>
      </c>
      <c r="EH34" s="2">
        <v>0</v>
      </c>
      <c r="EI34" s="2" t="s">
        <v>3</v>
      </c>
      <c r="EJ34" s="2">
        <v>2</v>
      </c>
      <c r="EK34" s="2">
        <v>68</v>
      </c>
      <c r="EL34" s="2" t="s">
        <v>27</v>
      </c>
      <c r="EM34" s="2" t="s">
        <v>28</v>
      </c>
      <c r="EN34" s="2"/>
      <c r="EO34" s="2" t="s">
        <v>29</v>
      </c>
      <c r="EP34" s="2"/>
      <c r="EQ34" s="2">
        <v>0</v>
      </c>
      <c r="ER34" s="2">
        <v>18.079999999999998</v>
      </c>
      <c r="ES34" s="2">
        <v>1.96</v>
      </c>
      <c r="ET34" s="2">
        <v>0.05</v>
      </c>
      <c r="EU34" s="2">
        <v>0.01</v>
      </c>
      <c r="EV34" s="2">
        <v>16.07</v>
      </c>
      <c r="EW34" s="2">
        <v>1.2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3</v>
      </c>
      <c r="GB34" s="2"/>
      <c r="GC34" s="2"/>
      <c r="GD34" s="2">
        <v>1</v>
      </c>
      <c r="GE34" s="2"/>
      <c r="GF34" s="2">
        <v>-808829180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2"/>
        <v>0</v>
      </c>
      <c r="GM34" s="2">
        <f t="shared" si="53"/>
        <v>443.88</v>
      </c>
      <c r="GN34" s="2">
        <f t="shared" si="54"/>
        <v>0</v>
      </c>
      <c r="GO34" s="2">
        <f t="shared" si="55"/>
        <v>443.88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 s="3">
        <v>17</v>
      </c>
      <c r="B35" s="3">
        <v>1</v>
      </c>
      <c r="C35" s="3">
        <f>ROW(SmtRes!A14)</f>
        <v>14</v>
      </c>
      <c r="D35" s="3">
        <f>ROW(EtalonRes!A16)</f>
        <v>16</v>
      </c>
      <c r="E35" s="3" t="s">
        <v>38</v>
      </c>
      <c r="F35" s="3" t="s">
        <v>39</v>
      </c>
      <c r="G35" s="3" t="s">
        <v>40</v>
      </c>
      <c r="H35" s="3" t="s">
        <v>22</v>
      </c>
      <c r="I35" s="3">
        <v>31</v>
      </c>
      <c r="J35" s="3">
        <v>0</v>
      </c>
      <c r="K35" s="3">
        <v>31</v>
      </c>
      <c r="O35" s="3">
        <f t="shared" si="21"/>
        <v>10592.44</v>
      </c>
      <c r="P35" s="3">
        <f t="shared" si="22"/>
        <v>0</v>
      </c>
      <c r="Q35" s="3">
        <f t="shared" si="23"/>
        <v>11.6</v>
      </c>
      <c r="R35" s="3">
        <f t="shared" si="24"/>
        <v>6.76</v>
      </c>
      <c r="S35" s="3">
        <f t="shared" si="25"/>
        <v>10580.84</v>
      </c>
      <c r="T35" s="3">
        <f t="shared" si="26"/>
        <v>0</v>
      </c>
      <c r="U35" s="3">
        <f t="shared" si="27"/>
        <v>14.021424</v>
      </c>
      <c r="V35" s="3">
        <f t="shared" si="28"/>
        <v>0</v>
      </c>
      <c r="W35" s="3">
        <f t="shared" si="29"/>
        <v>0</v>
      </c>
      <c r="X35" s="3">
        <f t="shared" si="30"/>
        <v>9528.84</v>
      </c>
      <c r="Y35" s="3">
        <f t="shared" si="31"/>
        <v>4870.3</v>
      </c>
      <c r="AA35" s="3">
        <v>55915258</v>
      </c>
      <c r="AB35" s="3">
        <f t="shared" si="32"/>
        <v>5.8032000000000004</v>
      </c>
      <c r="AC35" s="3">
        <f t="shared" si="33"/>
        <v>0</v>
      </c>
      <c r="AD35" s="3">
        <f t="shared" si="34"/>
        <v>1.7999999999999999E-2</v>
      </c>
      <c r="AE35" s="3">
        <f t="shared" si="35"/>
        <v>3.5999999999999999E-3</v>
      </c>
      <c r="AF35" s="3">
        <f t="shared" si="36"/>
        <v>5.7851999999999997</v>
      </c>
      <c r="AG35" s="3">
        <f t="shared" si="37"/>
        <v>0</v>
      </c>
      <c r="AH35" s="3">
        <f t="shared" si="38"/>
        <v>0.432</v>
      </c>
      <c r="AI35" s="3">
        <f t="shared" si="39"/>
        <v>0</v>
      </c>
      <c r="AJ35" s="3">
        <f t="shared" si="40"/>
        <v>0</v>
      </c>
      <c r="AK35" s="3">
        <v>18.079999999999998</v>
      </c>
      <c r="AL35" s="3">
        <v>1.96</v>
      </c>
      <c r="AM35" s="3">
        <v>0.05</v>
      </c>
      <c r="AN35" s="3">
        <v>0.01</v>
      </c>
      <c r="AO35" s="3">
        <v>16.07</v>
      </c>
      <c r="AP35" s="3">
        <v>0</v>
      </c>
      <c r="AQ35" s="3">
        <v>1.2</v>
      </c>
      <c r="AR35" s="3">
        <v>0</v>
      </c>
      <c r="AS35" s="3">
        <v>0</v>
      </c>
      <c r="AT35" s="3">
        <v>90</v>
      </c>
      <c r="AU35" s="3">
        <v>46</v>
      </c>
      <c r="AV35" s="3">
        <v>1.0469999999999999</v>
      </c>
      <c r="AW35" s="3">
        <v>1</v>
      </c>
      <c r="AZ35" s="3">
        <v>1</v>
      </c>
      <c r="BA35" s="3">
        <v>56.35</v>
      </c>
      <c r="BB35" s="3">
        <v>20</v>
      </c>
      <c r="BC35" s="3">
        <v>9.84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41</v>
      </c>
      <c r="BM35" s="3">
        <v>68</v>
      </c>
      <c r="BN35" s="3">
        <v>0</v>
      </c>
      <c r="BO35" s="3" t="s">
        <v>39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90</v>
      </c>
      <c r="CA35" s="3">
        <v>46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604</v>
      </c>
      <c r="CO35" s="3">
        <v>0</v>
      </c>
      <c r="CP35" s="3">
        <f t="shared" si="41"/>
        <v>10592.44</v>
      </c>
      <c r="CQ35" s="3">
        <f t="shared" si="42"/>
        <v>0</v>
      </c>
      <c r="CR35" s="3">
        <f t="shared" si="43"/>
        <v>0.4</v>
      </c>
      <c r="CS35" s="3">
        <f t="shared" si="44"/>
        <v>0</v>
      </c>
      <c r="CT35" s="3">
        <f t="shared" si="45"/>
        <v>341.48</v>
      </c>
      <c r="CU35" s="3">
        <f t="shared" si="46"/>
        <v>0</v>
      </c>
      <c r="CV35" s="3">
        <f t="shared" si="47"/>
        <v>0.45230399999999998</v>
      </c>
      <c r="CW35" s="3">
        <f t="shared" si="48"/>
        <v>0</v>
      </c>
      <c r="CX35" s="3">
        <f t="shared" si="49"/>
        <v>0</v>
      </c>
      <c r="CY35" s="3">
        <f t="shared" si="50"/>
        <v>9522.76</v>
      </c>
      <c r="CZ35" s="3">
        <f t="shared" si="51"/>
        <v>4867.1899999999996</v>
      </c>
      <c r="DB35" s="3">
        <v>15</v>
      </c>
      <c r="DC35" s="3" t="s">
        <v>3</v>
      </c>
      <c r="DD35" s="3" t="s">
        <v>24</v>
      </c>
      <c r="DE35" s="3" t="s">
        <v>25</v>
      </c>
      <c r="DF35" s="3" t="s">
        <v>25</v>
      </c>
      <c r="DG35" s="3" t="s">
        <v>25</v>
      </c>
      <c r="DH35" s="3" t="s">
        <v>3</v>
      </c>
      <c r="DI35" s="3" t="s">
        <v>25</v>
      </c>
      <c r="DJ35" s="3" t="s">
        <v>25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22</v>
      </c>
      <c r="DW35" s="3" t="s">
        <v>22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55393700</v>
      </c>
      <c r="EF35" s="3">
        <v>40</v>
      </c>
      <c r="EG35" s="3" t="s">
        <v>26</v>
      </c>
      <c r="EH35" s="3">
        <v>0</v>
      </c>
      <c r="EI35" s="3" t="s">
        <v>3</v>
      </c>
      <c r="EJ35" s="3">
        <v>2</v>
      </c>
      <c r="EK35" s="3">
        <v>68</v>
      </c>
      <c r="EL35" s="3" t="s">
        <v>27</v>
      </c>
      <c r="EM35" s="3" t="s">
        <v>28</v>
      </c>
      <c r="EO35" s="3" t="s">
        <v>29</v>
      </c>
      <c r="EQ35" s="3">
        <v>0</v>
      </c>
      <c r="ER35" s="3">
        <v>18.079999999999998</v>
      </c>
      <c r="ES35" s="3">
        <v>1.96</v>
      </c>
      <c r="ET35" s="3">
        <v>0.05</v>
      </c>
      <c r="EU35" s="3">
        <v>0.01</v>
      </c>
      <c r="EV35" s="3">
        <v>16.07</v>
      </c>
      <c r="EW35" s="3">
        <v>1.2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90</v>
      </c>
      <c r="FY35" s="3">
        <v>46</v>
      </c>
      <c r="GA35" s="3" t="s">
        <v>3</v>
      </c>
      <c r="GD35" s="3">
        <v>1</v>
      </c>
      <c r="GF35" s="3">
        <v>-808829180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52"/>
        <v>0</v>
      </c>
      <c r="GM35" s="3">
        <f t="shared" si="53"/>
        <v>24991.58</v>
      </c>
      <c r="GN35" s="3">
        <f t="shared" si="54"/>
        <v>0</v>
      </c>
      <c r="GO35" s="3">
        <f t="shared" si="55"/>
        <v>24991.58</v>
      </c>
      <c r="GP35" s="3">
        <f t="shared" si="56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7"/>
        <v>0</v>
      </c>
      <c r="GW35" s="3">
        <v>1</v>
      </c>
      <c r="GX35" s="3">
        <f t="shared" si="58"/>
        <v>0</v>
      </c>
      <c r="HA35" s="3">
        <v>0</v>
      </c>
      <c r="HB35" s="3">
        <v>0</v>
      </c>
      <c r="HC35" s="3">
        <f t="shared" si="59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">
      <c r="A36" s="2">
        <v>17</v>
      </c>
      <c r="B36" s="2">
        <v>1</v>
      </c>
      <c r="C36" s="2">
        <f>ROW(SmtRes!A15)</f>
        <v>15</v>
      </c>
      <c r="D36" s="2">
        <f>ROW(EtalonRes!A17)</f>
        <v>17</v>
      </c>
      <c r="E36" s="2" t="s">
        <v>42</v>
      </c>
      <c r="F36" s="2" t="s">
        <v>20</v>
      </c>
      <c r="G36" s="2" t="s">
        <v>43</v>
      </c>
      <c r="H36" s="2" t="s">
        <v>22</v>
      </c>
      <c r="I36" s="2">
        <v>1</v>
      </c>
      <c r="J36" s="2">
        <v>0</v>
      </c>
      <c r="K36" s="2">
        <v>1</v>
      </c>
      <c r="L36" s="2"/>
      <c r="M36" s="2"/>
      <c r="N36" s="2"/>
      <c r="O36" s="2">
        <f t="shared" si="21"/>
        <v>29.17</v>
      </c>
      <c r="P36" s="2">
        <f t="shared" si="22"/>
        <v>0</v>
      </c>
      <c r="Q36" s="2">
        <f t="shared" si="23"/>
        <v>0.02</v>
      </c>
      <c r="R36" s="2">
        <f t="shared" si="24"/>
        <v>0</v>
      </c>
      <c r="S36" s="2">
        <f t="shared" si="25"/>
        <v>29.15</v>
      </c>
      <c r="T36" s="2">
        <f t="shared" si="26"/>
        <v>0</v>
      </c>
      <c r="U36" s="2">
        <f t="shared" si="27"/>
        <v>2.148444</v>
      </c>
      <c r="V36" s="2">
        <f t="shared" si="28"/>
        <v>0</v>
      </c>
      <c r="W36" s="2">
        <f t="shared" si="29"/>
        <v>0</v>
      </c>
      <c r="X36" s="2">
        <f t="shared" si="30"/>
        <v>26.24</v>
      </c>
      <c r="Y36" s="2">
        <f t="shared" si="31"/>
        <v>13.41</v>
      </c>
      <c r="Z36" s="2"/>
      <c r="AA36" s="2">
        <v>55915256</v>
      </c>
      <c r="AB36" s="2">
        <f t="shared" si="32"/>
        <v>27.864000000000001</v>
      </c>
      <c r="AC36" s="2">
        <f t="shared" si="33"/>
        <v>0</v>
      </c>
      <c r="AD36" s="2">
        <f t="shared" si="34"/>
        <v>1.7999999999999999E-2</v>
      </c>
      <c r="AE36" s="2">
        <f t="shared" si="35"/>
        <v>3.5999999999999999E-3</v>
      </c>
      <c r="AF36" s="2">
        <f t="shared" si="36"/>
        <v>27.846</v>
      </c>
      <c r="AG36" s="2">
        <f t="shared" si="37"/>
        <v>0</v>
      </c>
      <c r="AH36" s="2">
        <f t="shared" si="38"/>
        <v>2.052</v>
      </c>
      <c r="AI36" s="2">
        <f t="shared" si="39"/>
        <v>0</v>
      </c>
      <c r="AJ36" s="2">
        <f t="shared" si="40"/>
        <v>0</v>
      </c>
      <c r="AK36" s="2">
        <v>82.23</v>
      </c>
      <c r="AL36" s="2">
        <v>4.83</v>
      </c>
      <c r="AM36" s="2">
        <v>0.05</v>
      </c>
      <c r="AN36" s="2">
        <v>0.01</v>
      </c>
      <c r="AO36" s="2">
        <v>77.349999999999994</v>
      </c>
      <c r="AP36" s="2">
        <v>0</v>
      </c>
      <c r="AQ36" s="2">
        <v>5.7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23</v>
      </c>
      <c r="BK36" s="2"/>
      <c r="BL36" s="2"/>
      <c r="BM36" s="2">
        <v>68</v>
      </c>
      <c r="BN36" s="2">
        <v>0</v>
      </c>
      <c r="BO36" s="2" t="s">
        <v>20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604</v>
      </c>
      <c r="CO36" s="2">
        <v>0</v>
      </c>
      <c r="CP36" s="2">
        <f t="shared" si="41"/>
        <v>29.169999999999998</v>
      </c>
      <c r="CQ36" s="2">
        <f t="shared" si="42"/>
        <v>0</v>
      </c>
      <c r="CR36" s="2">
        <f t="shared" si="43"/>
        <v>0.02</v>
      </c>
      <c r="CS36" s="2">
        <f t="shared" si="44"/>
        <v>0</v>
      </c>
      <c r="CT36" s="2">
        <f t="shared" si="45"/>
        <v>29.15</v>
      </c>
      <c r="CU36" s="2">
        <f t="shared" si="46"/>
        <v>0</v>
      </c>
      <c r="CV36" s="2">
        <f t="shared" si="47"/>
        <v>2.148444</v>
      </c>
      <c r="CW36" s="2">
        <f t="shared" si="48"/>
        <v>0</v>
      </c>
      <c r="CX36" s="2">
        <f t="shared" si="49"/>
        <v>0</v>
      </c>
      <c r="CY36" s="2">
        <f t="shared" si="50"/>
        <v>26.24</v>
      </c>
      <c r="CZ36" s="2">
        <f t="shared" si="51"/>
        <v>13.41</v>
      </c>
      <c r="DA36" s="2"/>
      <c r="DB36" s="2">
        <v>17</v>
      </c>
      <c r="DC36" s="2" t="s">
        <v>3</v>
      </c>
      <c r="DD36" s="2" t="s">
        <v>24</v>
      </c>
      <c r="DE36" s="2" t="s">
        <v>25</v>
      </c>
      <c r="DF36" s="2" t="s">
        <v>25</v>
      </c>
      <c r="DG36" s="2" t="s">
        <v>25</v>
      </c>
      <c r="DH36" s="2" t="s">
        <v>3</v>
      </c>
      <c r="DI36" s="2" t="s">
        <v>25</v>
      </c>
      <c r="DJ36" s="2" t="s">
        <v>25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22</v>
      </c>
      <c r="DW36" s="2" t="s">
        <v>22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55393700</v>
      </c>
      <c r="EF36" s="2">
        <v>40</v>
      </c>
      <c r="EG36" s="2" t="s">
        <v>26</v>
      </c>
      <c r="EH36" s="2">
        <v>0</v>
      </c>
      <c r="EI36" s="2" t="s">
        <v>3</v>
      </c>
      <c r="EJ36" s="2">
        <v>2</v>
      </c>
      <c r="EK36" s="2">
        <v>68</v>
      </c>
      <c r="EL36" s="2" t="s">
        <v>27</v>
      </c>
      <c r="EM36" s="2" t="s">
        <v>28</v>
      </c>
      <c r="EN36" s="2"/>
      <c r="EO36" s="2" t="s">
        <v>29</v>
      </c>
      <c r="EP36" s="2"/>
      <c r="EQ36" s="2">
        <v>0</v>
      </c>
      <c r="ER36" s="2">
        <v>82.23</v>
      </c>
      <c r="ES36" s="2">
        <v>4.83</v>
      </c>
      <c r="ET36" s="2">
        <v>0.05</v>
      </c>
      <c r="EU36" s="2">
        <v>0.01</v>
      </c>
      <c r="EV36" s="2">
        <v>77.349999999999994</v>
      </c>
      <c r="EW36" s="2">
        <v>5.7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-2001728889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68.819999999999993</v>
      </c>
      <c r="GN36" s="2">
        <f t="shared" si="54"/>
        <v>0</v>
      </c>
      <c r="GO36" s="2">
        <f t="shared" si="55"/>
        <v>68.819999999999993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 s="3">
        <v>17</v>
      </c>
      <c r="B37" s="3">
        <v>1</v>
      </c>
      <c r="C37" s="3">
        <f>ROW(SmtRes!A16)</f>
        <v>16</v>
      </c>
      <c r="D37" s="3">
        <f>ROW(EtalonRes!A18)</f>
        <v>18</v>
      </c>
      <c r="E37" s="3" t="s">
        <v>42</v>
      </c>
      <c r="F37" s="3" t="s">
        <v>20</v>
      </c>
      <c r="G37" s="3" t="s">
        <v>43</v>
      </c>
      <c r="H37" s="3" t="s">
        <v>22</v>
      </c>
      <c r="I37" s="3">
        <v>1</v>
      </c>
      <c r="J37" s="3">
        <v>0</v>
      </c>
      <c r="K37" s="3">
        <v>1</v>
      </c>
      <c r="O37" s="3">
        <f t="shared" si="21"/>
        <v>1643</v>
      </c>
      <c r="P37" s="3">
        <f t="shared" si="22"/>
        <v>0</v>
      </c>
      <c r="Q37" s="3">
        <f t="shared" si="23"/>
        <v>0.4</v>
      </c>
      <c r="R37" s="3">
        <f t="shared" si="24"/>
        <v>0</v>
      </c>
      <c r="S37" s="3">
        <f t="shared" si="25"/>
        <v>1642.6</v>
      </c>
      <c r="T37" s="3">
        <f t="shared" si="26"/>
        <v>0</v>
      </c>
      <c r="U37" s="3">
        <f t="shared" si="27"/>
        <v>2.148444</v>
      </c>
      <c r="V37" s="3">
        <f t="shared" si="28"/>
        <v>0</v>
      </c>
      <c r="W37" s="3">
        <f t="shared" si="29"/>
        <v>0</v>
      </c>
      <c r="X37" s="3">
        <f t="shared" si="30"/>
        <v>1478.34</v>
      </c>
      <c r="Y37" s="3">
        <f t="shared" si="31"/>
        <v>755.6</v>
      </c>
      <c r="AA37" s="3">
        <v>55915258</v>
      </c>
      <c r="AB37" s="3">
        <f t="shared" si="32"/>
        <v>27.864000000000001</v>
      </c>
      <c r="AC37" s="3">
        <f t="shared" si="33"/>
        <v>0</v>
      </c>
      <c r="AD37" s="3">
        <f t="shared" si="34"/>
        <v>1.7999999999999999E-2</v>
      </c>
      <c r="AE37" s="3">
        <f t="shared" si="35"/>
        <v>3.5999999999999999E-3</v>
      </c>
      <c r="AF37" s="3">
        <f t="shared" si="36"/>
        <v>27.846</v>
      </c>
      <c r="AG37" s="3">
        <f t="shared" si="37"/>
        <v>0</v>
      </c>
      <c r="AH37" s="3">
        <f t="shared" si="38"/>
        <v>2.052</v>
      </c>
      <c r="AI37" s="3">
        <f t="shared" si="39"/>
        <v>0</v>
      </c>
      <c r="AJ37" s="3">
        <f t="shared" si="40"/>
        <v>0</v>
      </c>
      <c r="AK37" s="3">
        <v>82.23</v>
      </c>
      <c r="AL37" s="3">
        <v>4.83</v>
      </c>
      <c r="AM37" s="3">
        <v>0.05</v>
      </c>
      <c r="AN37" s="3">
        <v>0.01</v>
      </c>
      <c r="AO37" s="3">
        <v>77.349999999999994</v>
      </c>
      <c r="AP37" s="3">
        <v>0</v>
      </c>
      <c r="AQ37" s="3">
        <v>5.7</v>
      </c>
      <c r="AR37" s="3">
        <v>0</v>
      </c>
      <c r="AS37" s="3">
        <v>0</v>
      </c>
      <c r="AT37" s="3">
        <v>90</v>
      </c>
      <c r="AU37" s="3">
        <v>46</v>
      </c>
      <c r="AV37" s="3">
        <v>1.0469999999999999</v>
      </c>
      <c r="AW37" s="3">
        <v>1</v>
      </c>
      <c r="AZ37" s="3">
        <v>1</v>
      </c>
      <c r="BA37" s="3">
        <v>56.35</v>
      </c>
      <c r="BB37" s="3">
        <v>20</v>
      </c>
      <c r="BC37" s="3">
        <v>9.84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23</v>
      </c>
      <c r="BM37" s="3">
        <v>68</v>
      </c>
      <c r="BN37" s="3">
        <v>0</v>
      </c>
      <c r="BO37" s="3" t="s">
        <v>20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90</v>
      </c>
      <c r="CA37" s="3">
        <v>46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604</v>
      </c>
      <c r="CO37" s="3">
        <v>0</v>
      </c>
      <c r="CP37" s="3">
        <f t="shared" si="41"/>
        <v>1643</v>
      </c>
      <c r="CQ37" s="3">
        <f t="shared" si="42"/>
        <v>0</v>
      </c>
      <c r="CR37" s="3">
        <f t="shared" si="43"/>
        <v>0.4</v>
      </c>
      <c r="CS37" s="3">
        <f t="shared" si="44"/>
        <v>0</v>
      </c>
      <c r="CT37" s="3">
        <f t="shared" si="45"/>
        <v>1642.6</v>
      </c>
      <c r="CU37" s="3">
        <f t="shared" si="46"/>
        <v>0</v>
      </c>
      <c r="CV37" s="3">
        <f t="shared" si="47"/>
        <v>2.148444</v>
      </c>
      <c r="CW37" s="3">
        <f t="shared" si="48"/>
        <v>0</v>
      </c>
      <c r="CX37" s="3">
        <f t="shared" si="49"/>
        <v>0</v>
      </c>
      <c r="CY37" s="3">
        <f t="shared" si="50"/>
        <v>1478.34</v>
      </c>
      <c r="CZ37" s="3">
        <f t="shared" si="51"/>
        <v>755.6</v>
      </c>
      <c r="DB37" s="3">
        <v>19</v>
      </c>
      <c r="DC37" s="3" t="s">
        <v>3</v>
      </c>
      <c r="DD37" s="3" t="s">
        <v>24</v>
      </c>
      <c r="DE37" s="3" t="s">
        <v>25</v>
      </c>
      <c r="DF37" s="3" t="s">
        <v>25</v>
      </c>
      <c r="DG37" s="3" t="s">
        <v>25</v>
      </c>
      <c r="DH37" s="3" t="s">
        <v>3</v>
      </c>
      <c r="DI37" s="3" t="s">
        <v>25</v>
      </c>
      <c r="DJ37" s="3" t="s">
        <v>25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22</v>
      </c>
      <c r="DW37" s="3" t="s">
        <v>22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55393700</v>
      </c>
      <c r="EF37" s="3">
        <v>40</v>
      </c>
      <c r="EG37" s="3" t="s">
        <v>26</v>
      </c>
      <c r="EH37" s="3">
        <v>0</v>
      </c>
      <c r="EI37" s="3" t="s">
        <v>3</v>
      </c>
      <c r="EJ37" s="3">
        <v>2</v>
      </c>
      <c r="EK37" s="3">
        <v>68</v>
      </c>
      <c r="EL37" s="3" t="s">
        <v>27</v>
      </c>
      <c r="EM37" s="3" t="s">
        <v>28</v>
      </c>
      <c r="EO37" s="3" t="s">
        <v>29</v>
      </c>
      <c r="EQ37" s="3">
        <v>0</v>
      </c>
      <c r="ER37" s="3">
        <v>82.23</v>
      </c>
      <c r="ES37" s="3">
        <v>4.83</v>
      </c>
      <c r="ET37" s="3">
        <v>0.05</v>
      </c>
      <c r="EU37" s="3">
        <v>0.01</v>
      </c>
      <c r="EV37" s="3">
        <v>77.349999999999994</v>
      </c>
      <c r="EW37" s="3">
        <v>5.7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90</v>
      </c>
      <c r="FY37" s="3">
        <v>46</v>
      </c>
      <c r="GA37" s="3" t="s">
        <v>3</v>
      </c>
      <c r="GD37" s="3">
        <v>1</v>
      </c>
      <c r="GF37" s="3">
        <v>-2001728889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52"/>
        <v>0</v>
      </c>
      <c r="GM37" s="3">
        <f t="shared" si="53"/>
        <v>3876.94</v>
      </c>
      <c r="GN37" s="3">
        <f t="shared" si="54"/>
        <v>0</v>
      </c>
      <c r="GO37" s="3">
        <f t="shared" si="55"/>
        <v>3876.94</v>
      </c>
      <c r="GP37" s="3">
        <f t="shared" si="56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57"/>
        <v>0</v>
      </c>
      <c r="GW37" s="3">
        <v>1</v>
      </c>
      <c r="GX37" s="3">
        <f t="shared" si="58"/>
        <v>0</v>
      </c>
      <c r="HA37" s="3">
        <v>0</v>
      </c>
      <c r="HB37" s="3">
        <v>0</v>
      </c>
      <c r="HC37" s="3">
        <f t="shared" si="59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">
      <c r="A38" s="2">
        <v>17</v>
      </c>
      <c r="B38" s="2">
        <v>1</v>
      </c>
      <c r="C38" s="2">
        <f>ROW(SmtRes!A17)</f>
        <v>17</v>
      </c>
      <c r="D38" s="2">
        <f>ROW(EtalonRes!A19)</f>
        <v>19</v>
      </c>
      <c r="E38" s="2" t="s">
        <v>44</v>
      </c>
      <c r="F38" s="2" t="s">
        <v>45</v>
      </c>
      <c r="G38" s="2" t="s">
        <v>46</v>
      </c>
      <c r="H38" s="2" t="s">
        <v>22</v>
      </c>
      <c r="I38" s="2">
        <v>1</v>
      </c>
      <c r="J38" s="2">
        <v>0</v>
      </c>
      <c r="K38" s="2">
        <v>1</v>
      </c>
      <c r="L38" s="2"/>
      <c r="M38" s="2"/>
      <c r="N38" s="2"/>
      <c r="O38" s="2">
        <f t="shared" si="21"/>
        <v>8.6999999999999993</v>
      </c>
      <c r="P38" s="2">
        <f t="shared" si="22"/>
        <v>0</v>
      </c>
      <c r="Q38" s="2">
        <f t="shared" si="23"/>
        <v>0.02</v>
      </c>
      <c r="R38" s="2">
        <f t="shared" si="24"/>
        <v>0</v>
      </c>
      <c r="S38" s="2">
        <f t="shared" si="25"/>
        <v>8.68</v>
      </c>
      <c r="T38" s="2">
        <f t="shared" si="26"/>
        <v>0</v>
      </c>
      <c r="U38" s="2">
        <f t="shared" si="27"/>
        <v>0.67845599999999995</v>
      </c>
      <c r="V38" s="2">
        <f t="shared" si="28"/>
        <v>0</v>
      </c>
      <c r="W38" s="2">
        <f t="shared" si="29"/>
        <v>0</v>
      </c>
      <c r="X38" s="2">
        <f t="shared" si="30"/>
        <v>7.81</v>
      </c>
      <c r="Y38" s="2">
        <f t="shared" si="31"/>
        <v>3.99</v>
      </c>
      <c r="Z38" s="2"/>
      <c r="AA38" s="2">
        <v>55915256</v>
      </c>
      <c r="AB38" s="2">
        <f t="shared" si="32"/>
        <v>8.3124000000000002</v>
      </c>
      <c r="AC38" s="2">
        <f t="shared" si="33"/>
        <v>0</v>
      </c>
      <c r="AD38" s="2">
        <f t="shared" si="34"/>
        <v>1.7999999999999999E-2</v>
      </c>
      <c r="AE38" s="2">
        <f t="shared" si="35"/>
        <v>3.5999999999999999E-3</v>
      </c>
      <c r="AF38" s="2">
        <f t="shared" si="36"/>
        <v>8.2943999999999996</v>
      </c>
      <c r="AG38" s="2">
        <f t="shared" si="37"/>
        <v>0</v>
      </c>
      <c r="AH38" s="2">
        <f t="shared" si="38"/>
        <v>0.64800000000000002</v>
      </c>
      <c r="AI38" s="2">
        <f t="shared" si="39"/>
        <v>0</v>
      </c>
      <c r="AJ38" s="2">
        <f t="shared" si="40"/>
        <v>0</v>
      </c>
      <c r="AK38" s="2">
        <v>26.52</v>
      </c>
      <c r="AL38" s="2">
        <v>3.43</v>
      </c>
      <c r="AM38" s="2">
        <v>0.05</v>
      </c>
      <c r="AN38" s="2">
        <v>0.01</v>
      </c>
      <c r="AO38" s="2">
        <v>23.04</v>
      </c>
      <c r="AP38" s="2">
        <v>0</v>
      </c>
      <c r="AQ38" s="2">
        <v>1.8</v>
      </c>
      <c r="AR38" s="2">
        <v>0</v>
      </c>
      <c r="AS38" s="2">
        <v>0</v>
      </c>
      <c r="AT38" s="2">
        <v>90</v>
      </c>
      <c r="AU38" s="2">
        <v>46</v>
      </c>
      <c r="AV38" s="2">
        <v>1.0469999999999999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47</v>
      </c>
      <c r="BK38" s="2"/>
      <c r="BL38" s="2"/>
      <c r="BM38" s="2">
        <v>68</v>
      </c>
      <c r="BN38" s="2">
        <v>0</v>
      </c>
      <c r="BO38" s="2" t="s">
        <v>45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90</v>
      </c>
      <c r="CA38" s="2">
        <v>46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604</v>
      </c>
      <c r="CO38" s="2">
        <v>0</v>
      </c>
      <c r="CP38" s="2">
        <f t="shared" si="41"/>
        <v>8.6999999999999993</v>
      </c>
      <c r="CQ38" s="2">
        <f t="shared" si="42"/>
        <v>0</v>
      </c>
      <c r="CR38" s="2">
        <f t="shared" si="43"/>
        <v>0.02</v>
      </c>
      <c r="CS38" s="2">
        <f t="shared" si="44"/>
        <v>0</v>
      </c>
      <c r="CT38" s="2">
        <f t="shared" si="45"/>
        <v>8.68</v>
      </c>
      <c r="CU38" s="2">
        <f t="shared" si="46"/>
        <v>0</v>
      </c>
      <c r="CV38" s="2">
        <f t="shared" si="47"/>
        <v>0.67845599999999995</v>
      </c>
      <c r="CW38" s="2">
        <f t="shared" si="48"/>
        <v>0</v>
      </c>
      <c r="CX38" s="2">
        <f t="shared" si="49"/>
        <v>0</v>
      </c>
      <c r="CY38" s="2">
        <f t="shared" si="50"/>
        <v>7.81</v>
      </c>
      <c r="CZ38" s="2">
        <f t="shared" si="51"/>
        <v>3.99</v>
      </c>
      <c r="DA38" s="2"/>
      <c r="DB38" s="2">
        <v>21</v>
      </c>
      <c r="DC38" s="2" t="s">
        <v>3</v>
      </c>
      <c r="DD38" s="2" t="s">
        <v>24</v>
      </c>
      <c r="DE38" s="2" t="s">
        <v>25</v>
      </c>
      <c r="DF38" s="2" t="s">
        <v>25</v>
      </c>
      <c r="DG38" s="2" t="s">
        <v>25</v>
      </c>
      <c r="DH38" s="2" t="s">
        <v>3</v>
      </c>
      <c r="DI38" s="2" t="s">
        <v>25</v>
      </c>
      <c r="DJ38" s="2" t="s">
        <v>25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22</v>
      </c>
      <c r="DW38" s="2" t="s">
        <v>22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55393700</v>
      </c>
      <c r="EF38" s="2">
        <v>40</v>
      </c>
      <c r="EG38" s="2" t="s">
        <v>26</v>
      </c>
      <c r="EH38" s="2">
        <v>0</v>
      </c>
      <c r="EI38" s="2" t="s">
        <v>3</v>
      </c>
      <c r="EJ38" s="2">
        <v>2</v>
      </c>
      <c r="EK38" s="2">
        <v>68</v>
      </c>
      <c r="EL38" s="2" t="s">
        <v>27</v>
      </c>
      <c r="EM38" s="2" t="s">
        <v>28</v>
      </c>
      <c r="EN38" s="2"/>
      <c r="EO38" s="2" t="s">
        <v>29</v>
      </c>
      <c r="EP38" s="2"/>
      <c r="EQ38" s="2">
        <v>0</v>
      </c>
      <c r="ER38" s="2">
        <v>26.52</v>
      </c>
      <c r="ES38" s="2">
        <v>3.43</v>
      </c>
      <c r="ET38" s="2">
        <v>0.05</v>
      </c>
      <c r="EU38" s="2">
        <v>0.01</v>
      </c>
      <c r="EV38" s="2">
        <v>23.04</v>
      </c>
      <c r="EW38" s="2">
        <v>1.8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90</v>
      </c>
      <c r="FY38" s="2">
        <v>46</v>
      </c>
      <c r="FZ38" s="2"/>
      <c r="GA38" s="2" t="s">
        <v>3</v>
      </c>
      <c r="GB38" s="2"/>
      <c r="GC38" s="2"/>
      <c r="GD38" s="2">
        <v>1</v>
      </c>
      <c r="GE38" s="2"/>
      <c r="GF38" s="2">
        <v>1532692704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2"/>
        <v>0</v>
      </c>
      <c r="GM38" s="2">
        <f t="shared" si="53"/>
        <v>20.5</v>
      </c>
      <c r="GN38" s="2">
        <f t="shared" si="54"/>
        <v>0</v>
      </c>
      <c r="GO38" s="2">
        <f t="shared" si="55"/>
        <v>20.5</v>
      </c>
      <c r="GP38" s="2">
        <f t="shared" si="5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 s="3">
        <v>17</v>
      </c>
      <c r="B39" s="3">
        <v>1</v>
      </c>
      <c r="C39" s="3">
        <f>ROW(SmtRes!A18)</f>
        <v>18</v>
      </c>
      <c r="D39" s="3">
        <f>ROW(EtalonRes!A20)</f>
        <v>20</v>
      </c>
      <c r="E39" s="3" t="s">
        <v>44</v>
      </c>
      <c r="F39" s="3" t="s">
        <v>45</v>
      </c>
      <c r="G39" s="3" t="s">
        <v>46</v>
      </c>
      <c r="H39" s="3" t="s">
        <v>22</v>
      </c>
      <c r="I39" s="3">
        <v>1</v>
      </c>
      <c r="J39" s="3">
        <v>0</v>
      </c>
      <c r="K39" s="3">
        <v>1</v>
      </c>
      <c r="O39" s="3">
        <f t="shared" si="21"/>
        <v>489.52</v>
      </c>
      <c r="P39" s="3">
        <f t="shared" si="22"/>
        <v>0</v>
      </c>
      <c r="Q39" s="3">
        <f t="shared" si="23"/>
        <v>0.4</v>
      </c>
      <c r="R39" s="3">
        <f t="shared" si="24"/>
        <v>0</v>
      </c>
      <c r="S39" s="3">
        <f t="shared" si="25"/>
        <v>489.12</v>
      </c>
      <c r="T39" s="3">
        <f t="shared" si="26"/>
        <v>0</v>
      </c>
      <c r="U39" s="3">
        <f t="shared" si="27"/>
        <v>0.67845599999999995</v>
      </c>
      <c r="V39" s="3">
        <f t="shared" si="28"/>
        <v>0</v>
      </c>
      <c r="W39" s="3">
        <f t="shared" si="29"/>
        <v>0</v>
      </c>
      <c r="X39" s="3">
        <f t="shared" si="30"/>
        <v>440.21</v>
      </c>
      <c r="Y39" s="3">
        <f t="shared" si="31"/>
        <v>225</v>
      </c>
      <c r="AA39" s="3">
        <v>55915258</v>
      </c>
      <c r="AB39" s="3">
        <f t="shared" si="32"/>
        <v>8.3124000000000002</v>
      </c>
      <c r="AC39" s="3">
        <f t="shared" si="33"/>
        <v>0</v>
      </c>
      <c r="AD39" s="3">
        <f t="shared" si="34"/>
        <v>1.7999999999999999E-2</v>
      </c>
      <c r="AE39" s="3">
        <f t="shared" si="35"/>
        <v>3.5999999999999999E-3</v>
      </c>
      <c r="AF39" s="3">
        <f t="shared" si="36"/>
        <v>8.2943999999999996</v>
      </c>
      <c r="AG39" s="3">
        <f t="shared" si="37"/>
        <v>0</v>
      </c>
      <c r="AH39" s="3">
        <f t="shared" si="38"/>
        <v>0.64800000000000002</v>
      </c>
      <c r="AI39" s="3">
        <f t="shared" si="39"/>
        <v>0</v>
      </c>
      <c r="AJ39" s="3">
        <f t="shared" si="40"/>
        <v>0</v>
      </c>
      <c r="AK39" s="3">
        <v>26.52</v>
      </c>
      <c r="AL39" s="3">
        <v>3.43</v>
      </c>
      <c r="AM39" s="3">
        <v>0.05</v>
      </c>
      <c r="AN39" s="3">
        <v>0.01</v>
      </c>
      <c r="AO39" s="3">
        <v>23.04</v>
      </c>
      <c r="AP39" s="3">
        <v>0</v>
      </c>
      <c r="AQ39" s="3">
        <v>1.8</v>
      </c>
      <c r="AR39" s="3">
        <v>0</v>
      </c>
      <c r="AS39" s="3">
        <v>0</v>
      </c>
      <c r="AT39" s="3">
        <v>90</v>
      </c>
      <c r="AU39" s="3">
        <v>46</v>
      </c>
      <c r="AV39" s="3">
        <v>1.0469999999999999</v>
      </c>
      <c r="AW39" s="3">
        <v>1</v>
      </c>
      <c r="AZ39" s="3">
        <v>1</v>
      </c>
      <c r="BA39" s="3">
        <v>56.35</v>
      </c>
      <c r="BB39" s="3">
        <v>20</v>
      </c>
      <c r="BC39" s="3">
        <v>9.84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2</v>
      </c>
      <c r="BJ39" s="3" t="s">
        <v>47</v>
      </c>
      <c r="BM39" s="3">
        <v>68</v>
      </c>
      <c r="BN39" s="3">
        <v>0</v>
      </c>
      <c r="BO39" s="3" t="s">
        <v>45</v>
      </c>
      <c r="BP39" s="3">
        <v>1</v>
      </c>
      <c r="BQ39" s="3">
        <v>40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90</v>
      </c>
      <c r="CA39" s="3">
        <v>46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604</v>
      </c>
      <c r="CO39" s="3">
        <v>0</v>
      </c>
      <c r="CP39" s="3">
        <f t="shared" si="41"/>
        <v>489.52</v>
      </c>
      <c r="CQ39" s="3">
        <f t="shared" si="42"/>
        <v>0</v>
      </c>
      <c r="CR39" s="3">
        <f t="shared" si="43"/>
        <v>0.4</v>
      </c>
      <c r="CS39" s="3">
        <f t="shared" si="44"/>
        <v>0</v>
      </c>
      <c r="CT39" s="3">
        <f t="shared" si="45"/>
        <v>489.12</v>
      </c>
      <c r="CU39" s="3">
        <f t="shared" si="46"/>
        <v>0</v>
      </c>
      <c r="CV39" s="3">
        <f t="shared" si="47"/>
        <v>0.67845599999999995</v>
      </c>
      <c r="CW39" s="3">
        <f t="shared" si="48"/>
        <v>0</v>
      </c>
      <c r="CX39" s="3">
        <f t="shared" si="49"/>
        <v>0</v>
      </c>
      <c r="CY39" s="3">
        <f t="shared" si="50"/>
        <v>440.21</v>
      </c>
      <c r="CZ39" s="3">
        <f t="shared" si="51"/>
        <v>225</v>
      </c>
      <c r="DB39" s="3">
        <v>23</v>
      </c>
      <c r="DC39" s="3" t="s">
        <v>3</v>
      </c>
      <c r="DD39" s="3" t="s">
        <v>24</v>
      </c>
      <c r="DE39" s="3" t="s">
        <v>25</v>
      </c>
      <c r="DF39" s="3" t="s">
        <v>25</v>
      </c>
      <c r="DG39" s="3" t="s">
        <v>25</v>
      </c>
      <c r="DH39" s="3" t="s">
        <v>3</v>
      </c>
      <c r="DI39" s="3" t="s">
        <v>25</v>
      </c>
      <c r="DJ39" s="3" t="s">
        <v>25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1013</v>
      </c>
      <c r="DV39" s="3" t="s">
        <v>22</v>
      </c>
      <c r="DW39" s="3" t="s">
        <v>22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55393700</v>
      </c>
      <c r="EF39" s="3">
        <v>40</v>
      </c>
      <c r="EG39" s="3" t="s">
        <v>26</v>
      </c>
      <c r="EH39" s="3">
        <v>0</v>
      </c>
      <c r="EI39" s="3" t="s">
        <v>3</v>
      </c>
      <c r="EJ39" s="3">
        <v>2</v>
      </c>
      <c r="EK39" s="3">
        <v>68</v>
      </c>
      <c r="EL39" s="3" t="s">
        <v>27</v>
      </c>
      <c r="EM39" s="3" t="s">
        <v>28</v>
      </c>
      <c r="EO39" s="3" t="s">
        <v>29</v>
      </c>
      <c r="EQ39" s="3">
        <v>0</v>
      </c>
      <c r="ER39" s="3">
        <v>26.52</v>
      </c>
      <c r="ES39" s="3">
        <v>3.43</v>
      </c>
      <c r="ET39" s="3">
        <v>0.05</v>
      </c>
      <c r="EU39" s="3">
        <v>0.01</v>
      </c>
      <c r="EV39" s="3">
        <v>23.04</v>
      </c>
      <c r="EW39" s="3">
        <v>1.8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90</v>
      </c>
      <c r="FY39" s="3">
        <v>46</v>
      </c>
      <c r="GA39" s="3" t="s">
        <v>3</v>
      </c>
      <c r="GD39" s="3">
        <v>1</v>
      </c>
      <c r="GF39" s="3">
        <v>1532692704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52"/>
        <v>0</v>
      </c>
      <c r="GM39" s="3">
        <f t="shared" si="53"/>
        <v>1154.73</v>
      </c>
      <c r="GN39" s="3">
        <f t="shared" si="54"/>
        <v>0</v>
      </c>
      <c r="GO39" s="3">
        <f t="shared" si="55"/>
        <v>1154.73</v>
      </c>
      <c r="GP39" s="3">
        <f t="shared" si="56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57"/>
        <v>0</v>
      </c>
      <c r="GW39" s="3">
        <v>1</v>
      </c>
      <c r="GX39" s="3">
        <f t="shared" si="58"/>
        <v>0</v>
      </c>
      <c r="HA39" s="3">
        <v>0</v>
      </c>
      <c r="HB39" s="3">
        <v>0</v>
      </c>
      <c r="HC39" s="3">
        <f t="shared" si="59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">
      <c r="A40" s="2">
        <v>17</v>
      </c>
      <c r="B40" s="2">
        <v>1</v>
      </c>
      <c r="C40" s="2">
        <f>ROW(SmtRes!A19)</f>
        <v>19</v>
      </c>
      <c r="D40" s="2">
        <f>ROW(EtalonRes!A21)</f>
        <v>21</v>
      </c>
      <c r="E40" s="2" t="s">
        <v>48</v>
      </c>
      <c r="F40" s="2" t="s">
        <v>49</v>
      </c>
      <c r="G40" s="2" t="s">
        <v>50</v>
      </c>
      <c r="H40" s="2" t="s">
        <v>22</v>
      </c>
      <c r="I40" s="2">
        <f>ROUND(57+98,9)</f>
        <v>155</v>
      </c>
      <c r="J40" s="2">
        <v>0</v>
      </c>
      <c r="K40" s="2">
        <f>ROUND(57+98,9)</f>
        <v>155</v>
      </c>
      <c r="L40" s="2"/>
      <c r="M40" s="2"/>
      <c r="N40" s="2"/>
      <c r="O40" s="2">
        <f t="shared" si="21"/>
        <v>619.28</v>
      </c>
      <c r="P40" s="2">
        <f t="shared" si="22"/>
        <v>0</v>
      </c>
      <c r="Q40" s="2">
        <f t="shared" si="23"/>
        <v>0</v>
      </c>
      <c r="R40" s="2">
        <f t="shared" si="24"/>
        <v>0</v>
      </c>
      <c r="S40" s="2">
        <f t="shared" si="25"/>
        <v>619.28</v>
      </c>
      <c r="T40" s="2">
        <f t="shared" si="26"/>
        <v>0</v>
      </c>
      <c r="U40" s="2">
        <f t="shared" si="27"/>
        <v>49.074983999999994</v>
      </c>
      <c r="V40" s="2">
        <f t="shared" si="28"/>
        <v>0</v>
      </c>
      <c r="W40" s="2">
        <f t="shared" si="29"/>
        <v>0</v>
      </c>
      <c r="X40" s="2">
        <f t="shared" si="30"/>
        <v>557.35</v>
      </c>
      <c r="Y40" s="2">
        <f t="shared" si="31"/>
        <v>284.87</v>
      </c>
      <c r="Z40" s="2"/>
      <c r="AA40" s="2">
        <v>55915256</v>
      </c>
      <c r="AB40" s="2">
        <f t="shared" si="32"/>
        <v>3.8159999999999998</v>
      </c>
      <c r="AC40" s="2">
        <f t="shared" si="33"/>
        <v>0</v>
      </c>
      <c r="AD40" s="2">
        <f t="shared" si="34"/>
        <v>0</v>
      </c>
      <c r="AE40" s="2">
        <f t="shared" si="35"/>
        <v>0</v>
      </c>
      <c r="AF40" s="2">
        <f t="shared" si="36"/>
        <v>3.8159999999999998</v>
      </c>
      <c r="AG40" s="2">
        <f t="shared" si="37"/>
        <v>0</v>
      </c>
      <c r="AH40" s="2">
        <f t="shared" si="38"/>
        <v>0.3024</v>
      </c>
      <c r="AI40" s="2">
        <f t="shared" si="39"/>
        <v>0</v>
      </c>
      <c r="AJ40" s="2">
        <f t="shared" si="40"/>
        <v>0</v>
      </c>
      <c r="AK40" s="2">
        <v>11.65</v>
      </c>
      <c r="AL40" s="2">
        <v>1.05</v>
      </c>
      <c r="AM40" s="2">
        <v>0</v>
      </c>
      <c r="AN40" s="2">
        <v>0</v>
      </c>
      <c r="AO40" s="2">
        <v>10.6</v>
      </c>
      <c r="AP40" s="2">
        <v>0</v>
      </c>
      <c r="AQ40" s="2">
        <v>0.84</v>
      </c>
      <c r="AR40" s="2">
        <v>0</v>
      </c>
      <c r="AS40" s="2">
        <v>0</v>
      </c>
      <c r="AT40" s="2">
        <v>90</v>
      </c>
      <c r="AU40" s="2">
        <v>46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51</v>
      </c>
      <c r="BK40" s="2"/>
      <c r="BL40" s="2"/>
      <c r="BM40" s="2">
        <v>68</v>
      </c>
      <c r="BN40" s="2">
        <v>0</v>
      </c>
      <c r="BO40" s="2" t="s">
        <v>49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604</v>
      </c>
      <c r="CO40" s="2">
        <v>0</v>
      </c>
      <c r="CP40" s="2">
        <f t="shared" si="41"/>
        <v>619.28</v>
      </c>
      <c r="CQ40" s="2">
        <f t="shared" si="42"/>
        <v>0</v>
      </c>
      <c r="CR40" s="2">
        <f t="shared" si="43"/>
        <v>0</v>
      </c>
      <c r="CS40" s="2">
        <f t="shared" si="44"/>
        <v>0</v>
      </c>
      <c r="CT40" s="2">
        <f t="shared" si="45"/>
        <v>4</v>
      </c>
      <c r="CU40" s="2">
        <f t="shared" si="46"/>
        <v>0</v>
      </c>
      <c r="CV40" s="2">
        <f t="shared" si="47"/>
        <v>0.31661279999999997</v>
      </c>
      <c r="CW40" s="2">
        <f t="shared" si="48"/>
        <v>0</v>
      </c>
      <c r="CX40" s="2">
        <f t="shared" si="49"/>
        <v>0</v>
      </c>
      <c r="CY40" s="2">
        <f t="shared" si="50"/>
        <v>557.35</v>
      </c>
      <c r="CZ40" s="2">
        <f t="shared" si="51"/>
        <v>284.87</v>
      </c>
      <c r="DA40" s="2"/>
      <c r="DB40" s="2">
        <v>25</v>
      </c>
      <c r="DC40" s="2" t="s">
        <v>3</v>
      </c>
      <c r="DD40" s="2" t="s">
        <v>24</v>
      </c>
      <c r="DE40" s="2" t="s">
        <v>25</v>
      </c>
      <c r="DF40" s="2" t="s">
        <v>25</v>
      </c>
      <c r="DG40" s="2" t="s">
        <v>25</v>
      </c>
      <c r="DH40" s="2" t="s">
        <v>3</v>
      </c>
      <c r="DI40" s="2" t="s">
        <v>25</v>
      </c>
      <c r="DJ40" s="2" t="s">
        <v>25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22</v>
      </c>
      <c r="DW40" s="2" t="s">
        <v>22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55393700</v>
      </c>
      <c r="EF40" s="2">
        <v>40</v>
      </c>
      <c r="EG40" s="2" t="s">
        <v>26</v>
      </c>
      <c r="EH40" s="2">
        <v>0</v>
      </c>
      <c r="EI40" s="2" t="s">
        <v>3</v>
      </c>
      <c r="EJ40" s="2">
        <v>2</v>
      </c>
      <c r="EK40" s="2">
        <v>68</v>
      </c>
      <c r="EL40" s="2" t="s">
        <v>27</v>
      </c>
      <c r="EM40" s="2" t="s">
        <v>28</v>
      </c>
      <c r="EN40" s="2"/>
      <c r="EO40" s="2" t="s">
        <v>29</v>
      </c>
      <c r="EP40" s="2"/>
      <c r="EQ40" s="2">
        <v>0</v>
      </c>
      <c r="ER40" s="2">
        <v>11.65</v>
      </c>
      <c r="ES40" s="2">
        <v>1.05</v>
      </c>
      <c r="ET40" s="2">
        <v>0</v>
      </c>
      <c r="EU40" s="2">
        <v>0</v>
      </c>
      <c r="EV40" s="2">
        <v>10.6</v>
      </c>
      <c r="EW40" s="2">
        <v>0.84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-1797125674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2"/>
        <v>0</v>
      </c>
      <c r="GM40" s="2">
        <f t="shared" si="53"/>
        <v>1461.5</v>
      </c>
      <c r="GN40" s="2">
        <f t="shared" si="54"/>
        <v>0</v>
      </c>
      <c r="GO40" s="2">
        <f t="shared" si="55"/>
        <v>1461.5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 s="3">
        <v>17</v>
      </c>
      <c r="B41" s="3">
        <v>1</v>
      </c>
      <c r="C41" s="3">
        <f>ROW(SmtRes!A20)</f>
        <v>20</v>
      </c>
      <c r="D41" s="3">
        <f>ROW(EtalonRes!A22)</f>
        <v>22</v>
      </c>
      <c r="E41" s="3" t="s">
        <v>48</v>
      </c>
      <c r="F41" s="3" t="s">
        <v>49</v>
      </c>
      <c r="G41" s="3" t="s">
        <v>50</v>
      </c>
      <c r="H41" s="3" t="s">
        <v>22</v>
      </c>
      <c r="I41" s="3">
        <f>ROUND(57+98,9)</f>
        <v>155</v>
      </c>
      <c r="J41" s="3">
        <v>0</v>
      </c>
      <c r="K41" s="3">
        <f>ROUND(57+98,9)</f>
        <v>155</v>
      </c>
      <c r="O41" s="3">
        <f t="shared" si="21"/>
        <v>34896.43</v>
      </c>
      <c r="P41" s="3">
        <f t="shared" si="22"/>
        <v>0</v>
      </c>
      <c r="Q41" s="3">
        <f t="shared" si="23"/>
        <v>0</v>
      </c>
      <c r="R41" s="3">
        <f t="shared" si="24"/>
        <v>0</v>
      </c>
      <c r="S41" s="3">
        <f t="shared" si="25"/>
        <v>34896.43</v>
      </c>
      <c r="T41" s="3">
        <f t="shared" si="26"/>
        <v>0</v>
      </c>
      <c r="U41" s="3">
        <f t="shared" si="27"/>
        <v>49.074983999999994</v>
      </c>
      <c r="V41" s="3">
        <f t="shared" si="28"/>
        <v>0</v>
      </c>
      <c r="W41" s="3">
        <f t="shared" si="29"/>
        <v>0</v>
      </c>
      <c r="X41" s="3">
        <f t="shared" si="30"/>
        <v>31406.79</v>
      </c>
      <c r="Y41" s="3">
        <f t="shared" si="31"/>
        <v>16052.36</v>
      </c>
      <c r="AA41" s="3">
        <v>55915258</v>
      </c>
      <c r="AB41" s="3">
        <f t="shared" si="32"/>
        <v>3.8159999999999998</v>
      </c>
      <c r="AC41" s="3">
        <f t="shared" si="33"/>
        <v>0</v>
      </c>
      <c r="AD41" s="3">
        <f t="shared" si="34"/>
        <v>0</v>
      </c>
      <c r="AE41" s="3">
        <f t="shared" si="35"/>
        <v>0</v>
      </c>
      <c r="AF41" s="3">
        <f t="shared" si="36"/>
        <v>3.8159999999999998</v>
      </c>
      <c r="AG41" s="3">
        <f t="shared" si="37"/>
        <v>0</v>
      </c>
      <c r="AH41" s="3">
        <f t="shared" si="38"/>
        <v>0.3024</v>
      </c>
      <c r="AI41" s="3">
        <f t="shared" si="39"/>
        <v>0</v>
      </c>
      <c r="AJ41" s="3">
        <f t="shared" si="40"/>
        <v>0</v>
      </c>
      <c r="AK41" s="3">
        <v>11.65</v>
      </c>
      <c r="AL41" s="3">
        <v>1.05</v>
      </c>
      <c r="AM41" s="3">
        <v>0</v>
      </c>
      <c r="AN41" s="3">
        <v>0</v>
      </c>
      <c r="AO41" s="3">
        <v>10.6</v>
      </c>
      <c r="AP41" s="3">
        <v>0</v>
      </c>
      <c r="AQ41" s="3">
        <v>0.84</v>
      </c>
      <c r="AR41" s="3">
        <v>0</v>
      </c>
      <c r="AS41" s="3">
        <v>0</v>
      </c>
      <c r="AT41" s="3">
        <v>90</v>
      </c>
      <c r="AU41" s="3">
        <v>46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</v>
      </c>
      <c r="BC41" s="3">
        <v>9.84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51</v>
      </c>
      <c r="BM41" s="3">
        <v>68</v>
      </c>
      <c r="BN41" s="3">
        <v>0</v>
      </c>
      <c r="BO41" s="3" t="s">
        <v>49</v>
      </c>
      <c r="BP41" s="3">
        <v>1</v>
      </c>
      <c r="BQ41" s="3">
        <v>40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90</v>
      </c>
      <c r="CA41" s="3">
        <v>46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604</v>
      </c>
      <c r="CO41" s="3">
        <v>0</v>
      </c>
      <c r="CP41" s="3">
        <f t="shared" si="41"/>
        <v>34896.43</v>
      </c>
      <c r="CQ41" s="3">
        <f t="shared" si="42"/>
        <v>0</v>
      </c>
      <c r="CR41" s="3">
        <f t="shared" si="43"/>
        <v>0</v>
      </c>
      <c r="CS41" s="3">
        <f t="shared" si="44"/>
        <v>0</v>
      </c>
      <c r="CT41" s="3">
        <f t="shared" si="45"/>
        <v>225.4</v>
      </c>
      <c r="CU41" s="3">
        <f t="shared" si="46"/>
        <v>0</v>
      </c>
      <c r="CV41" s="3">
        <f t="shared" si="47"/>
        <v>0.31661279999999997</v>
      </c>
      <c r="CW41" s="3">
        <f t="shared" si="48"/>
        <v>0</v>
      </c>
      <c r="CX41" s="3">
        <f t="shared" si="49"/>
        <v>0</v>
      </c>
      <c r="CY41" s="3">
        <f t="shared" si="50"/>
        <v>31406.79</v>
      </c>
      <c r="CZ41" s="3">
        <f t="shared" si="51"/>
        <v>16052.36</v>
      </c>
      <c r="DB41" s="3">
        <v>27</v>
      </c>
      <c r="DC41" s="3" t="s">
        <v>3</v>
      </c>
      <c r="DD41" s="3" t="s">
        <v>24</v>
      </c>
      <c r="DE41" s="3" t="s">
        <v>25</v>
      </c>
      <c r="DF41" s="3" t="s">
        <v>25</v>
      </c>
      <c r="DG41" s="3" t="s">
        <v>25</v>
      </c>
      <c r="DH41" s="3" t="s">
        <v>3</v>
      </c>
      <c r="DI41" s="3" t="s">
        <v>25</v>
      </c>
      <c r="DJ41" s="3" t="s">
        <v>25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22</v>
      </c>
      <c r="DW41" s="3" t="s">
        <v>22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55393700</v>
      </c>
      <c r="EF41" s="3">
        <v>40</v>
      </c>
      <c r="EG41" s="3" t="s">
        <v>26</v>
      </c>
      <c r="EH41" s="3">
        <v>0</v>
      </c>
      <c r="EI41" s="3" t="s">
        <v>3</v>
      </c>
      <c r="EJ41" s="3">
        <v>2</v>
      </c>
      <c r="EK41" s="3">
        <v>68</v>
      </c>
      <c r="EL41" s="3" t="s">
        <v>27</v>
      </c>
      <c r="EM41" s="3" t="s">
        <v>28</v>
      </c>
      <c r="EO41" s="3" t="s">
        <v>29</v>
      </c>
      <c r="EQ41" s="3">
        <v>0</v>
      </c>
      <c r="ER41" s="3">
        <v>11.65</v>
      </c>
      <c r="ES41" s="3">
        <v>1.05</v>
      </c>
      <c r="ET41" s="3">
        <v>0</v>
      </c>
      <c r="EU41" s="3">
        <v>0</v>
      </c>
      <c r="EV41" s="3">
        <v>10.6</v>
      </c>
      <c r="EW41" s="3">
        <v>0.84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90</v>
      </c>
      <c r="FY41" s="3">
        <v>46</v>
      </c>
      <c r="GA41" s="3" t="s">
        <v>3</v>
      </c>
      <c r="GD41" s="3">
        <v>1</v>
      </c>
      <c r="GF41" s="3">
        <v>-1797125674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52"/>
        <v>0</v>
      </c>
      <c r="GM41" s="3">
        <f t="shared" si="53"/>
        <v>82355.58</v>
      </c>
      <c r="GN41" s="3">
        <f t="shared" si="54"/>
        <v>0</v>
      </c>
      <c r="GO41" s="3">
        <f t="shared" si="55"/>
        <v>82355.58</v>
      </c>
      <c r="GP41" s="3">
        <f t="shared" si="56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57"/>
        <v>0</v>
      </c>
      <c r="GW41" s="3">
        <v>1</v>
      </c>
      <c r="GX41" s="3">
        <f t="shared" si="58"/>
        <v>0</v>
      </c>
      <c r="HA41" s="3">
        <v>0</v>
      </c>
      <c r="HB41" s="3">
        <v>0</v>
      </c>
      <c r="HC41" s="3">
        <f t="shared" si="59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">
      <c r="A42" s="2">
        <v>17</v>
      </c>
      <c r="B42" s="2">
        <v>1</v>
      </c>
      <c r="C42" s="2">
        <f>ROW(SmtRes!A21)</f>
        <v>21</v>
      </c>
      <c r="D42" s="2">
        <f>ROW(EtalonRes!A23)</f>
        <v>23</v>
      </c>
      <c r="E42" s="2" t="s">
        <v>52</v>
      </c>
      <c r="F42" s="2" t="s">
        <v>53</v>
      </c>
      <c r="G42" s="2" t="s">
        <v>54</v>
      </c>
      <c r="H42" s="2" t="s">
        <v>22</v>
      </c>
      <c r="I42" s="2">
        <f>ROUND(79+15+22,9)</f>
        <v>116</v>
      </c>
      <c r="J42" s="2">
        <v>0</v>
      </c>
      <c r="K42" s="2">
        <f>ROUND(79+15+22,9)</f>
        <v>116</v>
      </c>
      <c r="L42" s="2"/>
      <c r="M42" s="2"/>
      <c r="N42" s="2"/>
      <c r="O42" s="2">
        <f t="shared" si="21"/>
        <v>463.46</v>
      </c>
      <c r="P42" s="2">
        <f t="shared" si="22"/>
        <v>0</v>
      </c>
      <c r="Q42" s="2">
        <f t="shared" si="23"/>
        <v>0</v>
      </c>
      <c r="R42" s="2">
        <f t="shared" si="24"/>
        <v>0</v>
      </c>
      <c r="S42" s="2">
        <f t="shared" si="25"/>
        <v>463.46</v>
      </c>
      <c r="T42" s="2">
        <f t="shared" si="26"/>
        <v>0</v>
      </c>
      <c r="U42" s="2">
        <f t="shared" si="27"/>
        <v>36.7270848</v>
      </c>
      <c r="V42" s="2">
        <f t="shared" si="28"/>
        <v>0</v>
      </c>
      <c r="W42" s="2">
        <f t="shared" si="29"/>
        <v>0</v>
      </c>
      <c r="X42" s="2">
        <f t="shared" si="30"/>
        <v>417.11</v>
      </c>
      <c r="Y42" s="2">
        <f t="shared" si="31"/>
        <v>213.19</v>
      </c>
      <c r="Z42" s="2"/>
      <c r="AA42" s="2">
        <v>55915256</v>
      </c>
      <c r="AB42" s="2">
        <f t="shared" si="32"/>
        <v>3.8159999999999998</v>
      </c>
      <c r="AC42" s="2">
        <f t="shared" si="33"/>
        <v>0</v>
      </c>
      <c r="AD42" s="2">
        <f t="shared" si="34"/>
        <v>0</v>
      </c>
      <c r="AE42" s="2">
        <f t="shared" si="35"/>
        <v>0</v>
      </c>
      <c r="AF42" s="2">
        <f t="shared" si="36"/>
        <v>3.8159999999999998</v>
      </c>
      <c r="AG42" s="2">
        <f t="shared" si="37"/>
        <v>0</v>
      </c>
      <c r="AH42" s="2">
        <f t="shared" si="38"/>
        <v>0.3024</v>
      </c>
      <c r="AI42" s="2">
        <f t="shared" si="39"/>
        <v>0</v>
      </c>
      <c r="AJ42" s="2">
        <f t="shared" si="40"/>
        <v>0</v>
      </c>
      <c r="AK42" s="2">
        <v>11.79</v>
      </c>
      <c r="AL42" s="2">
        <v>1.19</v>
      </c>
      <c r="AM42" s="2">
        <v>0</v>
      </c>
      <c r="AN42" s="2">
        <v>0</v>
      </c>
      <c r="AO42" s="2">
        <v>10.6</v>
      </c>
      <c r="AP42" s="2">
        <v>0</v>
      </c>
      <c r="AQ42" s="2">
        <v>0.84</v>
      </c>
      <c r="AR42" s="2">
        <v>0</v>
      </c>
      <c r="AS42" s="2">
        <v>0</v>
      </c>
      <c r="AT42" s="2">
        <v>90</v>
      </c>
      <c r="AU42" s="2">
        <v>46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2</v>
      </c>
      <c r="BJ42" s="2" t="s">
        <v>55</v>
      </c>
      <c r="BK42" s="2"/>
      <c r="BL42" s="2"/>
      <c r="BM42" s="2">
        <v>68</v>
      </c>
      <c r="BN42" s="2">
        <v>0</v>
      </c>
      <c r="BO42" s="2" t="s">
        <v>53</v>
      </c>
      <c r="BP42" s="2">
        <v>1</v>
      </c>
      <c r="BQ42" s="2">
        <v>40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90</v>
      </c>
      <c r="CA42" s="2">
        <v>46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604</v>
      </c>
      <c r="CO42" s="2">
        <v>0</v>
      </c>
      <c r="CP42" s="2">
        <f t="shared" si="41"/>
        <v>463.46</v>
      </c>
      <c r="CQ42" s="2">
        <f t="shared" si="42"/>
        <v>0</v>
      </c>
      <c r="CR42" s="2">
        <f t="shared" si="43"/>
        <v>0</v>
      </c>
      <c r="CS42" s="2">
        <f t="shared" si="44"/>
        <v>0</v>
      </c>
      <c r="CT42" s="2">
        <f t="shared" si="45"/>
        <v>4</v>
      </c>
      <c r="CU42" s="2">
        <f t="shared" si="46"/>
        <v>0</v>
      </c>
      <c r="CV42" s="2">
        <f t="shared" si="47"/>
        <v>0.31661279999999997</v>
      </c>
      <c r="CW42" s="2">
        <f t="shared" si="48"/>
        <v>0</v>
      </c>
      <c r="CX42" s="2">
        <f t="shared" si="49"/>
        <v>0</v>
      </c>
      <c r="CY42" s="2">
        <f t="shared" si="50"/>
        <v>417.11</v>
      </c>
      <c r="CZ42" s="2">
        <f t="shared" si="51"/>
        <v>213.19</v>
      </c>
      <c r="DA42" s="2"/>
      <c r="DB42" s="2">
        <v>29</v>
      </c>
      <c r="DC42" s="2" t="s">
        <v>3</v>
      </c>
      <c r="DD42" s="2" t="s">
        <v>24</v>
      </c>
      <c r="DE42" s="2" t="s">
        <v>25</v>
      </c>
      <c r="DF42" s="2" t="s">
        <v>25</v>
      </c>
      <c r="DG42" s="2" t="s">
        <v>25</v>
      </c>
      <c r="DH42" s="2" t="s">
        <v>3</v>
      </c>
      <c r="DI42" s="2" t="s">
        <v>25</v>
      </c>
      <c r="DJ42" s="2" t="s">
        <v>25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22</v>
      </c>
      <c r="DW42" s="2" t="s">
        <v>22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55393700</v>
      </c>
      <c r="EF42" s="2">
        <v>40</v>
      </c>
      <c r="EG42" s="2" t="s">
        <v>26</v>
      </c>
      <c r="EH42" s="2">
        <v>0</v>
      </c>
      <c r="EI42" s="2" t="s">
        <v>3</v>
      </c>
      <c r="EJ42" s="2">
        <v>2</v>
      </c>
      <c r="EK42" s="2">
        <v>68</v>
      </c>
      <c r="EL42" s="2" t="s">
        <v>27</v>
      </c>
      <c r="EM42" s="2" t="s">
        <v>28</v>
      </c>
      <c r="EN42" s="2"/>
      <c r="EO42" s="2" t="s">
        <v>29</v>
      </c>
      <c r="EP42" s="2"/>
      <c r="EQ42" s="2">
        <v>0</v>
      </c>
      <c r="ER42" s="2">
        <v>11.79</v>
      </c>
      <c r="ES42" s="2">
        <v>1.19</v>
      </c>
      <c r="ET42" s="2">
        <v>0</v>
      </c>
      <c r="EU42" s="2">
        <v>0</v>
      </c>
      <c r="EV42" s="2">
        <v>10.6</v>
      </c>
      <c r="EW42" s="2">
        <v>0.84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90</v>
      </c>
      <c r="FY42" s="2">
        <v>46</v>
      </c>
      <c r="FZ42" s="2"/>
      <c r="GA42" s="2" t="s">
        <v>3</v>
      </c>
      <c r="GB42" s="2"/>
      <c r="GC42" s="2"/>
      <c r="GD42" s="2">
        <v>1</v>
      </c>
      <c r="GE42" s="2"/>
      <c r="GF42" s="2">
        <v>1812384029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2"/>
        <v>0</v>
      </c>
      <c r="GM42" s="2">
        <f t="shared" si="53"/>
        <v>1093.76</v>
      </c>
      <c r="GN42" s="2">
        <f t="shared" si="54"/>
        <v>0</v>
      </c>
      <c r="GO42" s="2">
        <f t="shared" si="55"/>
        <v>1093.76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 s="3">
        <v>17</v>
      </c>
      <c r="B43" s="3">
        <v>1</v>
      </c>
      <c r="C43" s="3">
        <f>ROW(SmtRes!A22)</f>
        <v>22</v>
      </c>
      <c r="D43" s="3">
        <f>ROW(EtalonRes!A24)</f>
        <v>24</v>
      </c>
      <c r="E43" s="3" t="s">
        <v>52</v>
      </c>
      <c r="F43" s="3" t="s">
        <v>53</v>
      </c>
      <c r="G43" s="3" t="s">
        <v>54</v>
      </c>
      <c r="H43" s="3" t="s">
        <v>22</v>
      </c>
      <c r="I43" s="3">
        <f>ROUND(79+15+22,9)</f>
        <v>116</v>
      </c>
      <c r="J43" s="3">
        <v>0</v>
      </c>
      <c r="K43" s="3">
        <f>ROUND(79+15+22,9)</f>
        <v>116</v>
      </c>
      <c r="O43" s="3">
        <f t="shared" si="21"/>
        <v>26115.97</v>
      </c>
      <c r="P43" s="3">
        <f t="shared" si="22"/>
        <v>0</v>
      </c>
      <c r="Q43" s="3">
        <f t="shared" si="23"/>
        <v>0</v>
      </c>
      <c r="R43" s="3">
        <f t="shared" si="24"/>
        <v>0</v>
      </c>
      <c r="S43" s="3">
        <f t="shared" si="25"/>
        <v>26115.97</v>
      </c>
      <c r="T43" s="3">
        <f t="shared" si="26"/>
        <v>0</v>
      </c>
      <c r="U43" s="3">
        <f t="shared" si="27"/>
        <v>36.7270848</v>
      </c>
      <c r="V43" s="3">
        <f t="shared" si="28"/>
        <v>0</v>
      </c>
      <c r="W43" s="3">
        <f t="shared" si="29"/>
        <v>0</v>
      </c>
      <c r="X43" s="3">
        <f t="shared" si="30"/>
        <v>23504.37</v>
      </c>
      <c r="Y43" s="3">
        <f t="shared" si="31"/>
        <v>12013.35</v>
      </c>
      <c r="AA43" s="3">
        <v>55915258</v>
      </c>
      <c r="AB43" s="3">
        <f t="shared" si="32"/>
        <v>3.8159999999999998</v>
      </c>
      <c r="AC43" s="3">
        <f t="shared" si="33"/>
        <v>0</v>
      </c>
      <c r="AD43" s="3">
        <f t="shared" si="34"/>
        <v>0</v>
      </c>
      <c r="AE43" s="3">
        <f t="shared" si="35"/>
        <v>0</v>
      </c>
      <c r="AF43" s="3">
        <f t="shared" si="36"/>
        <v>3.8159999999999998</v>
      </c>
      <c r="AG43" s="3">
        <f t="shared" si="37"/>
        <v>0</v>
      </c>
      <c r="AH43" s="3">
        <f t="shared" si="38"/>
        <v>0.3024</v>
      </c>
      <c r="AI43" s="3">
        <f t="shared" si="39"/>
        <v>0</v>
      </c>
      <c r="AJ43" s="3">
        <f t="shared" si="40"/>
        <v>0</v>
      </c>
      <c r="AK43" s="3">
        <v>11.79</v>
      </c>
      <c r="AL43" s="3">
        <v>1.19</v>
      </c>
      <c r="AM43" s="3">
        <v>0</v>
      </c>
      <c r="AN43" s="3">
        <v>0</v>
      </c>
      <c r="AO43" s="3">
        <v>10.6</v>
      </c>
      <c r="AP43" s="3">
        <v>0</v>
      </c>
      <c r="AQ43" s="3">
        <v>0.84</v>
      </c>
      <c r="AR43" s="3">
        <v>0</v>
      </c>
      <c r="AS43" s="3">
        <v>0</v>
      </c>
      <c r="AT43" s="3">
        <v>90</v>
      </c>
      <c r="AU43" s="3">
        <v>46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1</v>
      </c>
      <c r="BC43" s="3">
        <v>9.84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2</v>
      </c>
      <c r="BJ43" s="3" t="s">
        <v>55</v>
      </c>
      <c r="BM43" s="3">
        <v>68</v>
      </c>
      <c r="BN43" s="3">
        <v>0</v>
      </c>
      <c r="BO43" s="3" t="s">
        <v>53</v>
      </c>
      <c r="BP43" s="3">
        <v>1</v>
      </c>
      <c r="BQ43" s="3">
        <v>40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90</v>
      </c>
      <c r="CA43" s="3">
        <v>46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604</v>
      </c>
      <c r="CO43" s="3">
        <v>0</v>
      </c>
      <c r="CP43" s="3">
        <f t="shared" si="41"/>
        <v>26115.97</v>
      </c>
      <c r="CQ43" s="3">
        <f t="shared" si="42"/>
        <v>0</v>
      </c>
      <c r="CR43" s="3">
        <f t="shared" si="43"/>
        <v>0</v>
      </c>
      <c r="CS43" s="3">
        <f t="shared" si="44"/>
        <v>0</v>
      </c>
      <c r="CT43" s="3">
        <f t="shared" si="45"/>
        <v>225.4</v>
      </c>
      <c r="CU43" s="3">
        <f t="shared" si="46"/>
        <v>0</v>
      </c>
      <c r="CV43" s="3">
        <f t="shared" si="47"/>
        <v>0.31661279999999997</v>
      </c>
      <c r="CW43" s="3">
        <f t="shared" si="48"/>
        <v>0</v>
      </c>
      <c r="CX43" s="3">
        <f t="shared" si="49"/>
        <v>0</v>
      </c>
      <c r="CY43" s="3">
        <f t="shared" si="50"/>
        <v>23504.37</v>
      </c>
      <c r="CZ43" s="3">
        <f t="shared" si="51"/>
        <v>12013.35</v>
      </c>
      <c r="DB43" s="3">
        <v>31</v>
      </c>
      <c r="DC43" s="3" t="s">
        <v>3</v>
      </c>
      <c r="DD43" s="3" t="s">
        <v>24</v>
      </c>
      <c r="DE43" s="3" t="s">
        <v>25</v>
      </c>
      <c r="DF43" s="3" t="s">
        <v>25</v>
      </c>
      <c r="DG43" s="3" t="s">
        <v>25</v>
      </c>
      <c r="DH43" s="3" t="s">
        <v>3</v>
      </c>
      <c r="DI43" s="3" t="s">
        <v>25</v>
      </c>
      <c r="DJ43" s="3" t="s">
        <v>25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1013</v>
      </c>
      <c r="DV43" s="3" t="s">
        <v>22</v>
      </c>
      <c r="DW43" s="3" t="s">
        <v>22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55393700</v>
      </c>
      <c r="EF43" s="3">
        <v>40</v>
      </c>
      <c r="EG43" s="3" t="s">
        <v>26</v>
      </c>
      <c r="EH43" s="3">
        <v>0</v>
      </c>
      <c r="EI43" s="3" t="s">
        <v>3</v>
      </c>
      <c r="EJ43" s="3">
        <v>2</v>
      </c>
      <c r="EK43" s="3">
        <v>68</v>
      </c>
      <c r="EL43" s="3" t="s">
        <v>27</v>
      </c>
      <c r="EM43" s="3" t="s">
        <v>28</v>
      </c>
      <c r="EO43" s="3" t="s">
        <v>29</v>
      </c>
      <c r="EQ43" s="3">
        <v>0</v>
      </c>
      <c r="ER43" s="3">
        <v>11.79</v>
      </c>
      <c r="ES43" s="3">
        <v>1.19</v>
      </c>
      <c r="ET43" s="3">
        <v>0</v>
      </c>
      <c r="EU43" s="3">
        <v>0</v>
      </c>
      <c r="EV43" s="3">
        <v>10.6</v>
      </c>
      <c r="EW43" s="3">
        <v>0.84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90</v>
      </c>
      <c r="FY43" s="3">
        <v>46</v>
      </c>
      <c r="GA43" s="3" t="s">
        <v>3</v>
      </c>
      <c r="GD43" s="3">
        <v>1</v>
      </c>
      <c r="GF43" s="3">
        <v>1812384029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52"/>
        <v>0</v>
      </c>
      <c r="GM43" s="3">
        <f t="shared" si="53"/>
        <v>61633.69</v>
      </c>
      <c r="GN43" s="3">
        <f t="shared" si="54"/>
        <v>0</v>
      </c>
      <c r="GO43" s="3">
        <f t="shared" si="55"/>
        <v>61633.69</v>
      </c>
      <c r="GP43" s="3">
        <f t="shared" si="56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57"/>
        <v>0</v>
      </c>
      <c r="GW43" s="3">
        <v>1</v>
      </c>
      <c r="GX43" s="3">
        <f t="shared" si="58"/>
        <v>0</v>
      </c>
      <c r="HA43" s="3">
        <v>0</v>
      </c>
      <c r="HB43" s="3">
        <v>0</v>
      </c>
      <c r="HC43" s="3">
        <f t="shared" si="59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">
      <c r="A44" s="2">
        <v>17</v>
      </c>
      <c r="B44" s="2">
        <v>1</v>
      </c>
      <c r="C44" s="2">
        <f>ROW(SmtRes!A25)</f>
        <v>25</v>
      </c>
      <c r="D44" s="2">
        <f>ROW(EtalonRes!A28)</f>
        <v>28</v>
      </c>
      <c r="E44" s="2" t="s">
        <v>56</v>
      </c>
      <c r="F44" s="2" t="s">
        <v>57</v>
      </c>
      <c r="G44" s="2" t="s">
        <v>58</v>
      </c>
      <c r="H44" s="2" t="s">
        <v>22</v>
      </c>
      <c r="I44" s="2">
        <f>ROUND(1+9,9)</f>
        <v>10</v>
      </c>
      <c r="J44" s="2">
        <v>0</v>
      </c>
      <c r="K44" s="2">
        <f>ROUND(1+9,9)</f>
        <v>10</v>
      </c>
      <c r="L44" s="2"/>
      <c r="M44" s="2"/>
      <c r="N44" s="2"/>
      <c r="O44" s="2">
        <f t="shared" si="21"/>
        <v>44.82</v>
      </c>
      <c r="P44" s="2">
        <f t="shared" si="22"/>
        <v>0</v>
      </c>
      <c r="Q44" s="2">
        <f t="shared" si="23"/>
        <v>0</v>
      </c>
      <c r="R44" s="2">
        <f t="shared" si="24"/>
        <v>0</v>
      </c>
      <c r="S44" s="2">
        <f t="shared" si="25"/>
        <v>44.82</v>
      </c>
      <c r="T44" s="2">
        <f t="shared" si="26"/>
        <v>0</v>
      </c>
      <c r="U44" s="2">
        <f t="shared" si="27"/>
        <v>3.7691999999999997</v>
      </c>
      <c r="V44" s="2">
        <f t="shared" si="28"/>
        <v>0</v>
      </c>
      <c r="W44" s="2">
        <f t="shared" si="29"/>
        <v>0</v>
      </c>
      <c r="X44" s="2">
        <f t="shared" si="30"/>
        <v>42.58</v>
      </c>
      <c r="Y44" s="2">
        <f t="shared" si="31"/>
        <v>23.75</v>
      </c>
      <c r="Z44" s="2"/>
      <c r="AA44" s="2">
        <v>55915256</v>
      </c>
      <c r="AB44" s="2">
        <f t="shared" si="32"/>
        <v>4.2804000000000002</v>
      </c>
      <c r="AC44" s="2">
        <f t="shared" si="33"/>
        <v>0</v>
      </c>
      <c r="AD44" s="2">
        <f t="shared" si="34"/>
        <v>0</v>
      </c>
      <c r="AE44" s="2">
        <f t="shared" si="35"/>
        <v>0</v>
      </c>
      <c r="AF44" s="2">
        <f t="shared" si="36"/>
        <v>4.2804000000000002</v>
      </c>
      <c r="AG44" s="2">
        <f t="shared" si="37"/>
        <v>0</v>
      </c>
      <c r="AH44" s="2">
        <f t="shared" si="38"/>
        <v>0.36</v>
      </c>
      <c r="AI44" s="2">
        <f t="shared" si="39"/>
        <v>0</v>
      </c>
      <c r="AJ44" s="2">
        <f t="shared" si="40"/>
        <v>0</v>
      </c>
      <c r="AK44" s="2">
        <v>13.56</v>
      </c>
      <c r="AL44" s="2">
        <v>1.67</v>
      </c>
      <c r="AM44" s="2">
        <v>0</v>
      </c>
      <c r="AN44" s="2">
        <v>0</v>
      </c>
      <c r="AO44" s="2">
        <v>11.89</v>
      </c>
      <c r="AP44" s="2">
        <v>0</v>
      </c>
      <c r="AQ44" s="2">
        <v>1</v>
      </c>
      <c r="AR44" s="2">
        <v>0</v>
      </c>
      <c r="AS44" s="2">
        <v>0</v>
      </c>
      <c r="AT44" s="2">
        <v>95</v>
      </c>
      <c r="AU44" s="2">
        <v>53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2</v>
      </c>
      <c r="BJ44" s="2" t="s">
        <v>59</v>
      </c>
      <c r="BK44" s="2"/>
      <c r="BL44" s="2"/>
      <c r="BM44" s="2">
        <v>69</v>
      </c>
      <c r="BN44" s="2">
        <v>0</v>
      </c>
      <c r="BO44" s="2" t="s">
        <v>57</v>
      </c>
      <c r="BP44" s="2">
        <v>1</v>
      </c>
      <c r="BQ44" s="2">
        <v>40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95</v>
      </c>
      <c r="CA44" s="2">
        <v>53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604</v>
      </c>
      <c r="CO44" s="2">
        <v>0</v>
      </c>
      <c r="CP44" s="2">
        <f t="shared" si="41"/>
        <v>44.82</v>
      </c>
      <c r="CQ44" s="2">
        <f t="shared" si="42"/>
        <v>0</v>
      </c>
      <c r="CR44" s="2">
        <f t="shared" si="43"/>
        <v>0</v>
      </c>
      <c r="CS44" s="2">
        <f t="shared" si="44"/>
        <v>0</v>
      </c>
      <c r="CT44" s="2">
        <f t="shared" si="45"/>
        <v>4.4800000000000004</v>
      </c>
      <c r="CU44" s="2">
        <f t="shared" si="46"/>
        <v>0</v>
      </c>
      <c r="CV44" s="2">
        <f t="shared" si="47"/>
        <v>0.37691999999999998</v>
      </c>
      <c r="CW44" s="2">
        <f t="shared" si="48"/>
        <v>0</v>
      </c>
      <c r="CX44" s="2">
        <f t="shared" si="49"/>
        <v>0</v>
      </c>
      <c r="CY44" s="2">
        <f t="shared" si="50"/>
        <v>42.58</v>
      </c>
      <c r="CZ44" s="2">
        <f t="shared" si="51"/>
        <v>23.75</v>
      </c>
      <c r="DA44" s="2"/>
      <c r="DB44" s="2">
        <v>33</v>
      </c>
      <c r="DC44" s="2" t="s">
        <v>3</v>
      </c>
      <c r="DD44" s="2" t="s">
        <v>24</v>
      </c>
      <c r="DE44" s="2" t="s">
        <v>25</v>
      </c>
      <c r="DF44" s="2" t="s">
        <v>25</v>
      </c>
      <c r="DG44" s="2" t="s">
        <v>25</v>
      </c>
      <c r="DH44" s="2" t="s">
        <v>3</v>
      </c>
      <c r="DI44" s="2" t="s">
        <v>25</v>
      </c>
      <c r="DJ44" s="2" t="s">
        <v>25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22</v>
      </c>
      <c r="DW44" s="2" t="s">
        <v>22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55393701</v>
      </c>
      <c r="EF44" s="2">
        <v>40</v>
      </c>
      <c r="EG44" s="2" t="s">
        <v>26</v>
      </c>
      <c r="EH44" s="2">
        <v>0</v>
      </c>
      <c r="EI44" s="2" t="s">
        <v>3</v>
      </c>
      <c r="EJ44" s="2">
        <v>2</v>
      </c>
      <c r="EK44" s="2">
        <v>69</v>
      </c>
      <c r="EL44" s="2" t="s">
        <v>60</v>
      </c>
      <c r="EM44" s="2" t="s">
        <v>61</v>
      </c>
      <c r="EN44" s="2"/>
      <c r="EO44" s="2" t="s">
        <v>29</v>
      </c>
      <c r="EP44" s="2"/>
      <c r="EQ44" s="2">
        <v>0</v>
      </c>
      <c r="ER44" s="2">
        <v>13.56</v>
      </c>
      <c r="ES44" s="2">
        <v>1.67</v>
      </c>
      <c r="ET44" s="2">
        <v>0</v>
      </c>
      <c r="EU44" s="2">
        <v>0</v>
      </c>
      <c r="EV44" s="2">
        <v>11.89</v>
      </c>
      <c r="EW44" s="2">
        <v>1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95</v>
      </c>
      <c r="FY44" s="2">
        <v>53</v>
      </c>
      <c r="FZ44" s="2"/>
      <c r="GA44" s="2" t="s">
        <v>3</v>
      </c>
      <c r="GB44" s="2"/>
      <c r="GC44" s="2"/>
      <c r="GD44" s="2">
        <v>1</v>
      </c>
      <c r="GE44" s="2"/>
      <c r="GF44" s="2">
        <v>1345243680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2"/>
        <v>0</v>
      </c>
      <c r="GM44" s="2">
        <f t="shared" si="53"/>
        <v>111.15</v>
      </c>
      <c r="GN44" s="2">
        <f t="shared" si="54"/>
        <v>0</v>
      </c>
      <c r="GO44" s="2">
        <f t="shared" si="55"/>
        <v>111.15</v>
      </c>
      <c r="GP44" s="2">
        <f t="shared" si="5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 s="3">
        <v>17</v>
      </c>
      <c r="B45" s="3">
        <v>1</v>
      </c>
      <c r="C45" s="3">
        <f>ROW(SmtRes!A28)</f>
        <v>28</v>
      </c>
      <c r="D45" s="3">
        <f>ROW(EtalonRes!A32)</f>
        <v>32</v>
      </c>
      <c r="E45" s="3" t="s">
        <v>56</v>
      </c>
      <c r="F45" s="3" t="s">
        <v>57</v>
      </c>
      <c r="G45" s="3" t="s">
        <v>58</v>
      </c>
      <c r="H45" s="3" t="s">
        <v>22</v>
      </c>
      <c r="I45" s="3">
        <f>ROUND(1+9,9)</f>
        <v>10</v>
      </c>
      <c r="J45" s="3">
        <v>0</v>
      </c>
      <c r="K45" s="3">
        <f>ROUND(1+9,9)</f>
        <v>10</v>
      </c>
      <c r="O45" s="3">
        <f t="shared" si="21"/>
        <v>2525.61</v>
      </c>
      <c r="P45" s="3">
        <f t="shared" si="22"/>
        <v>0</v>
      </c>
      <c r="Q45" s="3">
        <f t="shared" si="23"/>
        <v>0</v>
      </c>
      <c r="R45" s="3">
        <f t="shared" si="24"/>
        <v>0</v>
      </c>
      <c r="S45" s="3">
        <f t="shared" si="25"/>
        <v>2525.61</v>
      </c>
      <c r="T45" s="3">
        <f t="shared" si="26"/>
        <v>0</v>
      </c>
      <c r="U45" s="3">
        <f t="shared" si="27"/>
        <v>3.7691999999999997</v>
      </c>
      <c r="V45" s="3">
        <f t="shared" si="28"/>
        <v>0</v>
      </c>
      <c r="W45" s="3">
        <f t="shared" si="29"/>
        <v>0</v>
      </c>
      <c r="X45" s="3">
        <f t="shared" si="30"/>
        <v>2399.33</v>
      </c>
      <c r="Y45" s="3">
        <f t="shared" si="31"/>
        <v>1338.57</v>
      </c>
      <c r="AA45" s="3">
        <v>55915258</v>
      </c>
      <c r="AB45" s="3">
        <f t="shared" si="32"/>
        <v>4.2804000000000002</v>
      </c>
      <c r="AC45" s="3">
        <f t="shared" si="33"/>
        <v>0</v>
      </c>
      <c r="AD45" s="3">
        <f t="shared" si="34"/>
        <v>0</v>
      </c>
      <c r="AE45" s="3">
        <f t="shared" si="35"/>
        <v>0</v>
      </c>
      <c r="AF45" s="3">
        <f t="shared" si="36"/>
        <v>4.2804000000000002</v>
      </c>
      <c r="AG45" s="3">
        <f t="shared" si="37"/>
        <v>0</v>
      </c>
      <c r="AH45" s="3">
        <f t="shared" si="38"/>
        <v>0.36</v>
      </c>
      <c r="AI45" s="3">
        <f t="shared" si="39"/>
        <v>0</v>
      </c>
      <c r="AJ45" s="3">
        <f t="shared" si="40"/>
        <v>0</v>
      </c>
      <c r="AK45" s="3">
        <v>13.56</v>
      </c>
      <c r="AL45" s="3">
        <v>1.67</v>
      </c>
      <c r="AM45" s="3">
        <v>0</v>
      </c>
      <c r="AN45" s="3">
        <v>0</v>
      </c>
      <c r="AO45" s="3">
        <v>11.89</v>
      </c>
      <c r="AP45" s="3">
        <v>0</v>
      </c>
      <c r="AQ45" s="3">
        <v>1</v>
      </c>
      <c r="AR45" s="3">
        <v>0</v>
      </c>
      <c r="AS45" s="3">
        <v>0</v>
      </c>
      <c r="AT45" s="3">
        <v>95</v>
      </c>
      <c r="AU45" s="3">
        <v>53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1</v>
      </c>
      <c r="BC45" s="3">
        <v>17.87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2</v>
      </c>
      <c r="BJ45" s="3" t="s">
        <v>59</v>
      </c>
      <c r="BM45" s="3">
        <v>69</v>
      </c>
      <c r="BN45" s="3">
        <v>0</v>
      </c>
      <c r="BO45" s="3" t="s">
        <v>57</v>
      </c>
      <c r="BP45" s="3">
        <v>1</v>
      </c>
      <c r="BQ45" s="3">
        <v>40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95</v>
      </c>
      <c r="CA45" s="3">
        <v>53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604</v>
      </c>
      <c r="CO45" s="3">
        <v>0</v>
      </c>
      <c r="CP45" s="3">
        <f t="shared" si="41"/>
        <v>2525.61</v>
      </c>
      <c r="CQ45" s="3">
        <f t="shared" si="42"/>
        <v>0</v>
      </c>
      <c r="CR45" s="3">
        <f t="shared" si="43"/>
        <v>0</v>
      </c>
      <c r="CS45" s="3">
        <f t="shared" si="44"/>
        <v>0</v>
      </c>
      <c r="CT45" s="3">
        <f t="shared" si="45"/>
        <v>252.45</v>
      </c>
      <c r="CU45" s="3">
        <f t="shared" si="46"/>
        <v>0</v>
      </c>
      <c r="CV45" s="3">
        <f t="shared" si="47"/>
        <v>0.37691999999999998</v>
      </c>
      <c r="CW45" s="3">
        <f t="shared" si="48"/>
        <v>0</v>
      </c>
      <c r="CX45" s="3">
        <f t="shared" si="49"/>
        <v>0</v>
      </c>
      <c r="CY45" s="3">
        <f t="shared" si="50"/>
        <v>2399.33</v>
      </c>
      <c r="CZ45" s="3">
        <f t="shared" si="51"/>
        <v>1338.57</v>
      </c>
      <c r="DB45" s="3">
        <v>35</v>
      </c>
      <c r="DC45" s="3" t="s">
        <v>3</v>
      </c>
      <c r="DD45" s="3" t="s">
        <v>24</v>
      </c>
      <c r="DE45" s="3" t="s">
        <v>25</v>
      </c>
      <c r="DF45" s="3" t="s">
        <v>25</v>
      </c>
      <c r="DG45" s="3" t="s">
        <v>25</v>
      </c>
      <c r="DH45" s="3" t="s">
        <v>3</v>
      </c>
      <c r="DI45" s="3" t="s">
        <v>25</v>
      </c>
      <c r="DJ45" s="3" t="s">
        <v>25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1013</v>
      </c>
      <c r="DV45" s="3" t="s">
        <v>22</v>
      </c>
      <c r="DW45" s="3" t="s">
        <v>22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55393701</v>
      </c>
      <c r="EF45" s="3">
        <v>40</v>
      </c>
      <c r="EG45" s="3" t="s">
        <v>26</v>
      </c>
      <c r="EH45" s="3">
        <v>0</v>
      </c>
      <c r="EI45" s="3" t="s">
        <v>3</v>
      </c>
      <c r="EJ45" s="3">
        <v>2</v>
      </c>
      <c r="EK45" s="3">
        <v>69</v>
      </c>
      <c r="EL45" s="3" t="s">
        <v>60</v>
      </c>
      <c r="EM45" s="3" t="s">
        <v>61</v>
      </c>
      <c r="EO45" s="3" t="s">
        <v>29</v>
      </c>
      <c r="EQ45" s="3">
        <v>0</v>
      </c>
      <c r="ER45" s="3">
        <v>13.56</v>
      </c>
      <c r="ES45" s="3">
        <v>1.67</v>
      </c>
      <c r="ET45" s="3">
        <v>0</v>
      </c>
      <c r="EU45" s="3">
        <v>0</v>
      </c>
      <c r="EV45" s="3">
        <v>11.89</v>
      </c>
      <c r="EW45" s="3">
        <v>1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95</v>
      </c>
      <c r="FY45" s="3">
        <v>53</v>
      </c>
      <c r="GA45" s="3" t="s">
        <v>3</v>
      </c>
      <c r="GD45" s="3">
        <v>1</v>
      </c>
      <c r="GF45" s="3">
        <v>1345243680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52"/>
        <v>0</v>
      </c>
      <c r="GM45" s="3">
        <f t="shared" si="53"/>
        <v>6263.51</v>
      </c>
      <c r="GN45" s="3">
        <f t="shared" si="54"/>
        <v>0</v>
      </c>
      <c r="GO45" s="3">
        <f t="shared" si="55"/>
        <v>6263.51</v>
      </c>
      <c r="GP45" s="3">
        <f t="shared" si="56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57"/>
        <v>0</v>
      </c>
      <c r="GW45" s="3">
        <v>1</v>
      </c>
      <c r="GX45" s="3">
        <f t="shared" si="58"/>
        <v>0</v>
      </c>
      <c r="HA45" s="3">
        <v>0</v>
      </c>
      <c r="HB45" s="3">
        <v>0</v>
      </c>
      <c r="HC45" s="3">
        <f t="shared" si="59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">
      <c r="A46" s="2">
        <v>17</v>
      </c>
      <c r="B46" s="2">
        <v>1</v>
      </c>
      <c r="C46" s="2">
        <f>ROW(SmtRes!A29)</f>
        <v>29</v>
      </c>
      <c r="D46" s="2">
        <f>ROW(EtalonRes!A33)</f>
        <v>33</v>
      </c>
      <c r="E46" s="2" t="s">
        <v>62</v>
      </c>
      <c r="F46" s="2" t="s">
        <v>63</v>
      </c>
      <c r="G46" s="2" t="s">
        <v>64</v>
      </c>
      <c r="H46" s="2" t="s">
        <v>22</v>
      </c>
      <c r="I46" s="2">
        <v>42</v>
      </c>
      <c r="J46" s="2">
        <v>0</v>
      </c>
      <c r="K46" s="2">
        <v>42</v>
      </c>
      <c r="L46" s="2"/>
      <c r="M46" s="2"/>
      <c r="N46" s="2"/>
      <c r="O46" s="2">
        <f t="shared" si="21"/>
        <v>142.16</v>
      </c>
      <c r="P46" s="2">
        <f t="shared" si="22"/>
        <v>0</v>
      </c>
      <c r="Q46" s="2">
        <f t="shared" si="23"/>
        <v>72.19</v>
      </c>
      <c r="R46" s="2">
        <f t="shared" si="24"/>
        <v>4.43</v>
      </c>
      <c r="S46" s="2">
        <f t="shared" si="25"/>
        <v>69.97</v>
      </c>
      <c r="T46" s="2">
        <f t="shared" si="26"/>
        <v>0</v>
      </c>
      <c r="U46" s="2">
        <f t="shared" si="27"/>
        <v>5.5407239999999991</v>
      </c>
      <c r="V46" s="2">
        <f t="shared" si="28"/>
        <v>0</v>
      </c>
      <c r="W46" s="2">
        <f t="shared" si="29"/>
        <v>0</v>
      </c>
      <c r="X46" s="2">
        <f t="shared" si="30"/>
        <v>66.959999999999994</v>
      </c>
      <c r="Y46" s="2">
        <f t="shared" si="31"/>
        <v>34.22</v>
      </c>
      <c r="Z46" s="2"/>
      <c r="AA46" s="2">
        <v>55915256</v>
      </c>
      <c r="AB46" s="2">
        <f t="shared" si="32"/>
        <v>3.2328000000000001</v>
      </c>
      <c r="AC46" s="2">
        <f t="shared" si="33"/>
        <v>0</v>
      </c>
      <c r="AD46" s="2">
        <f t="shared" si="34"/>
        <v>1.6415999999999999</v>
      </c>
      <c r="AE46" s="2">
        <f t="shared" si="35"/>
        <v>0.1008</v>
      </c>
      <c r="AF46" s="2">
        <f t="shared" si="36"/>
        <v>1.5911999999999999</v>
      </c>
      <c r="AG46" s="2">
        <f t="shared" si="37"/>
        <v>0</v>
      </c>
      <c r="AH46" s="2">
        <f t="shared" si="38"/>
        <v>0.126</v>
      </c>
      <c r="AI46" s="2">
        <f t="shared" si="39"/>
        <v>0</v>
      </c>
      <c r="AJ46" s="2">
        <f t="shared" si="40"/>
        <v>0</v>
      </c>
      <c r="AK46" s="2">
        <v>10.029999999999999</v>
      </c>
      <c r="AL46" s="2">
        <v>1.05</v>
      </c>
      <c r="AM46" s="2">
        <v>4.5599999999999996</v>
      </c>
      <c r="AN46" s="2">
        <v>0.28000000000000003</v>
      </c>
      <c r="AO46" s="2">
        <v>4.42</v>
      </c>
      <c r="AP46" s="2">
        <v>0</v>
      </c>
      <c r="AQ46" s="2">
        <v>0.35</v>
      </c>
      <c r="AR46" s="2">
        <v>0</v>
      </c>
      <c r="AS46" s="2">
        <v>0</v>
      </c>
      <c r="AT46" s="2">
        <v>90</v>
      </c>
      <c r="AU46" s="2">
        <v>46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65</v>
      </c>
      <c r="BK46" s="2"/>
      <c r="BL46" s="2"/>
      <c r="BM46" s="2">
        <v>68</v>
      </c>
      <c r="BN46" s="2">
        <v>0</v>
      </c>
      <c r="BO46" s="2" t="s">
        <v>63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90</v>
      </c>
      <c r="CA46" s="2">
        <v>46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604</v>
      </c>
      <c r="CO46" s="2">
        <v>0</v>
      </c>
      <c r="CP46" s="2">
        <f t="shared" si="41"/>
        <v>142.16</v>
      </c>
      <c r="CQ46" s="2">
        <f t="shared" si="42"/>
        <v>0</v>
      </c>
      <c r="CR46" s="2">
        <f t="shared" si="43"/>
        <v>1.72</v>
      </c>
      <c r="CS46" s="2">
        <f t="shared" si="44"/>
        <v>0.11</v>
      </c>
      <c r="CT46" s="2">
        <f t="shared" si="45"/>
        <v>1.67</v>
      </c>
      <c r="CU46" s="2">
        <f t="shared" si="46"/>
        <v>0</v>
      </c>
      <c r="CV46" s="2">
        <f t="shared" si="47"/>
        <v>0.13192199999999998</v>
      </c>
      <c r="CW46" s="2">
        <f t="shared" si="48"/>
        <v>0</v>
      </c>
      <c r="CX46" s="2">
        <f t="shared" si="49"/>
        <v>0</v>
      </c>
      <c r="CY46" s="2">
        <f t="shared" si="50"/>
        <v>63.07</v>
      </c>
      <c r="CZ46" s="2">
        <f t="shared" si="51"/>
        <v>32.24</v>
      </c>
      <c r="DA46" s="2"/>
      <c r="DB46" s="2">
        <v>37</v>
      </c>
      <c r="DC46" s="2" t="s">
        <v>3</v>
      </c>
      <c r="DD46" s="2" t="s">
        <v>24</v>
      </c>
      <c r="DE46" s="2" t="s">
        <v>25</v>
      </c>
      <c r="DF46" s="2" t="s">
        <v>25</v>
      </c>
      <c r="DG46" s="2" t="s">
        <v>25</v>
      </c>
      <c r="DH46" s="2" t="s">
        <v>3</v>
      </c>
      <c r="DI46" s="2" t="s">
        <v>25</v>
      </c>
      <c r="DJ46" s="2" t="s">
        <v>25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22</v>
      </c>
      <c r="DW46" s="2" t="s">
        <v>22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55393700</v>
      </c>
      <c r="EF46" s="2">
        <v>40</v>
      </c>
      <c r="EG46" s="2" t="s">
        <v>26</v>
      </c>
      <c r="EH46" s="2">
        <v>0</v>
      </c>
      <c r="EI46" s="2" t="s">
        <v>3</v>
      </c>
      <c r="EJ46" s="2">
        <v>2</v>
      </c>
      <c r="EK46" s="2">
        <v>68</v>
      </c>
      <c r="EL46" s="2" t="s">
        <v>27</v>
      </c>
      <c r="EM46" s="2" t="s">
        <v>28</v>
      </c>
      <c r="EN46" s="2"/>
      <c r="EO46" s="2" t="s">
        <v>29</v>
      </c>
      <c r="EP46" s="2"/>
      <c r="EQ46" s="2">
        <v>0</v>
      </c>
      <c r="ER46" s="2">
        <v>10.029999999999999</v>
      </c>
      <c r="ES46" s="2">
        <v>1.05</v>
      </c>
      <c r="ET46" s="2">
        <v>4.5599999999999996</v>
      </c>
      <c r="EU46" s="2">
        <v>0.28000000000000003</v>
      </c>
      <c r="EV46" s="2">
        <v>4.42</v>
      </c>
      <c r="EW46" s="2">
        <v>0.35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90</v>
      </c>
      <c r="FY46" s="2">
        <v>46</v>
      </c>
      <c r="FZ46" s="2"/>
      <c r="GA46" s="2" t="s">
        <v>3</v>
      </c>
      <c r="GB46" s="2"/>
      <c r="GC46" s="2"/>
      <c r="GD46" s="2">
        <v>1</v>
      </c>
      <c r="GE46" s="2"/>
      <c r="GF46" s="2">
        <v>-1362534984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2"/>
        <v>0</v>
      </c>
      <c r="GM46" s="2">
        <f t="shared" si="53"/>
        <v>243.34</v>
      </c>
      <c r="GN46" s="2">
        <f t="shared" si="54"/>
        <v>0</v>
      </c>
      <c r="GO46" s="2">
        <f t="shared" si="55"/>
        <v>243.34</v>
      </c>
      <c r="GP46" s="2">
        <f t="shared" si="56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 s="3">
        <v>17</v>
      </c>
      <c r="B47" s="3">
        <v>1</v>
      </c>
      <c r="C47" s="3">
        <f>ROW(SmtRes!A30)</f>
        <v>30</v>
      </c>
      <c r="D47" s="3">
        <f>ROW(EtalonRes!A34)</f>
        <v>34</v>
      </c>
      <c r="E47" s="3" t="s">
        <v>62</v>
      </c>
      <c r="F47" s="3" t="s">
        <v>63</v>
      </c>
      <c r="G47" s="3" t="s">
        <v>64</v>
      </c>
      <c r="H47" s="3" t="s">
        <v>22</v>
      </c>
      <c r="I47" s="3">
        <v>42</v>
      </c>
      <c r="J47" s="3">
        <v>0</v>
      </c>
      <c r="K47" s="3">
        <v>42</v>
      </c>
      <c r="O47" s="3">
        <f t="shared" si="21"/>
        <v>4935.42</v>
      </c>
      <c r="P47" s="3">
        <f t="shared" si="22"/>
        <v>0</v>
      </c>
      <c r="Q47" s="3">
        <f t="shared" si="23"/>
        <v>992.61</v>
      </c>
      <c r="R47" s="3">
        <f t="shared" si="24"/>
        <v>249.63</v>
      </c>
      <c r="S47" s="3">
        <f t="shared" si="25"/>
        <v>3942.81</v>
      </c>
      <c r="T47" s="3">
        <f t="shared" si="26"/>
        <v>0</v>
      </c>
      <c r="U47" s="3">
        <f t="shared" si="27"/>
        <v>5.5407239999999991</v>
      </c>
      <c r="V47" s="3">
        <f t="shared" si="28"/>
        <v>0</v>
      </c>
      <c r="W47" s="3">
        <f t="shared" si="29"/>
        <v>0</v>
      </c>
      <c r="X47" s="3">
        <f t="shared" si="30"/>
        <v>3773.2</v>
      </c>
      <c r="Y47" s="3">
        <f t="shared" si="31"/>
        <v>1928.52</v>
      </c>
      <c r="AA47" s="3">
        <v>55915258</v>
      </c>
      <c r="AB47" s="3">
        <f t="shared" si="32"/>
        <v>3.2328000000000001</v>
      </c>
      <c r="AC47" s="3">
        <f t="shared" si="33"/>
        <v>0</v>
      </c>
      <c r="AD47" s="3">
        <f t="shared" si="34"/>
        <v>1.6415999999999999</v>
      </c>
      <c r="AE47" s="3">
        <f t="shared" si="35"/>
        <v>0.1008</v>
      </c>
      <c r="AF47" s="3">
        <f t="shared" si="36"/>
        <v>1.5911999999999999</v>
      </c>
      <c r="AG47" s="3">
        <f t="shared" si="37"/>
        <v>0</v>
      </c>
      <c r="AH47" s="3">
        <f t="shared" si="38"/>
        <v>0.126</v>
      </c>
      <c r="AI47" s="3">
        <f t="shared" si="39"/>
        <v>0</v>
      </c>
      <c r="AJ47" s="3">
        <f t="shared" si="40"/>
        <v>0</v>
      </c>
      <c r="AK47" s="3">
        <v>10.029999999999999</v>
      </c>
      <c r="AL47" s="3">
        <v>1.05</v>
      </c>
      <c r="AM47" s="3">
        <v>4.5599999999999996</v>
      </c>
      <c r="AN47" s="3">
        <v>0.28000000000000003</v>
      </c>
      <c r="AO47" s="3">
        <v>4.42</v>
      </c>
      <c r="AP47" s="3">
        <v>0</v>
      </c>
      <c r="AQ47" s="3">
        <v>0.35</v>
      </c>
      <c r="AR47" s="3">
        <v>0</v>
      </c>
      <c r="AS47" s="3">
        <v>0</v>
      </c>
      <c r="AT47" s="3">
        <v>90</v>
      </c>
      <c r="AU47" s="3">
        <v>46</v>
      </c>
      <c r="AV47" s="3">
        <v>1.0469999999999999</v>
      </c>
      <c r="AW47" s="3">
        <v>1</v>
      </c>
      <c r="AZ47" s="3">
        <v>1</v>
      </c>
      <c r="BA47" s="3">
        <v>56.35</v>
      </c>
      <c r="BB47" s="3">
        <v>13.75</v>
      </c>
      <c r="BC47" s="3">
        <v>9.84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2</v>
      </c>
      <c r="BJ47" s="3" t="s">
        <v>65</v>
      </c>
      <c r="BM47" s="3">
        <v>68</v>
      </c>
      <c r="BN47" s="3">
        <v>0</v>
      </c>
      <c r="BO47" s="3" t="s">
        <v>63</v>
      </c>
      <c r="BP47" s="3">
        <v>1</v>
      </c>
      <c r="BQ47" s="3">
        <v>40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90</v>
      </c>
      <c r="CA47" s="3">
        <v>46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604</v>
      </c>
      <c r="CO47" s="3">
        <v>0</v>
      </c>
      <c r="CP47" s="3">
        <f t="shared" si="41"/>
        <v>4935.42</v>
      </c>
      <c r="CQ47" s="3">
        <f t="shared" si="42"/>
        <v>0</v>
      </c>
      <c r="CR47" s="3">
        <f t="shared" si="43"/>
        <v>23.65</v>
      </c>
      <c r="CS47" s="3">
        <f t="shared" si="44"/>
        <v>6.2</v>
      </c>
      <c r="CT47" s="3">
        <f t="shared" si="45"/>
        <v>94.1</v>
      </c>
      <c r="CU47" s="3">
        <f t="shared" si="46"/>
        <v>0</v>
      </c>
      <c r="CV47" s="3">
        <f t="shared" si="47"/>
        <v>0.13192199999999998</v>
      </c>
      <c r="CW47" s="3">
        <f t="shared" si="48"/>
        <v>0</v>
      </c>
      <c r="CX47" s="3">
        <f t="shared" si="49"/>
        <v>0</v>
      </c>
      <c r="CY47" s="3">
        <f t="shared" si="50"/>
        <v>3554.11</v>
      </c>
      <c r="CZ47" s="3">
        <f t="shared" si="51"/>
        <v>1816.54</v>
      </c>
      <c r="DB47" s="3">
        <v>39</v>
      </c>
      <c r="DC47" s="3" t="s">
        <v>3</v>
      </c>
      <c r="DD47" s="3" t="s">
        <v>24</v>
      </c>
      <c r="DE47" s="3" t="s">
        <v>25</v>
      </c>
      <c r="DF47" s="3" t="s">
        <v>25</v>
      </c>
      <c r="DG47" s="3" t="s">
        <v>25</v>
      </c>
      <c r="DH47" s="3" t="s">
        <v>3</v>
      </c>
      <c r="DI47" s="3" t="s">
        <v>25</v>
      </c>
      <c r="DJ47" s="3" t="s">
        <v>25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1013</v>
      </c>
      <c r="DV47" s="3" t="s">
        <v>22</v>
      </c>
      <c r="DW47" s="3" t="s">
        <v>22</v>
      </c>
      <c r="DX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55393700</v>
      </c>
      <c r="EF47" s="3">
        <v>40</v>
      </c>
      <c r="EG47" s="3" t="s">
        <v>26</v>
      </c>
      <c r="EH47" s="3">
        <v>0</v>
      </c>
      <c r="EI47" s="3" t="s">
        <v>3</v>
      </c>
      <c r="EJ47" s="3">
        <v>2</v>
      </c>
      <c r="EK47" s="3">
        <v>68</v>
      </c>
      <c r="EL47" s="3" t="s">
        <v>27</v>
      </c>
      <c r="EM47" s="3" t="s">
        <v>28</v>
      </c>
      <c r="EO47" s="3" t="s">
        <v>29</v>
      </c>
      <c r="EQ47" s="3">
        <v>0</v>
      </c>
      <c r="ER47" s="3">
        <v>10.029999999999999</v>
      </c>
      <c r="ES47" s="3">
        <v>1.05</v>
      </c>
      <c r="ET47" s="3">
        <v>4.5599999999999996</v>
      </c>
      <c r="EU47" s="3">
        <v>0.28000000000000003</v>
      </c>
      <c r="EV47" s="3">
        <v>4.42</v>
      </c>
      <c r="EW47" s="3">
        <v>0.35</v>
      </c>
      <c r="EX47" s="3">
        <v>0</v>
      </c>
      <c r="EY47" s="3">
        <v>0</v>
      </c>
      <c r="FQ47" s="3">
        <v>0</v>
      </c>
      <c r="FR47" s="3">
        <v>0</v>
      </c>
      <c r="FS47" s="3">
        <v>0</v>
      </c>
      <c r="FX47" s="3">
        <v>90</v>
      </c>
      <c r="FY47" s="3">
        <v>46</v>
      </c>
      <c r="GA47" s="3" t="s">
        <v>3</v>
      </c>
      <c r="GD47" s="3">
        <v>1</v>
      </c>
      <c r="GF47" s="3">
        <v>-1362534984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52"/>
        <v>0</v>
      </c>
      <c r="GM47" s="3">
        <f t="shared" si="53"/>
        <v>10637.14</v>
      </c>
      <c r="GN47" s="3">
        <f t="shared" si="54"/>
        <v>0</v>
      </c>
      <c r="GO47" s="3">
        <f t="shared" si="55"/>
        <v>10637.14</v>
      </c>
      <c r="GP47" s="3">
        <f t="shared" si="56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57"/>
        <v>0</v>
      </c>
      <c r="GW47" s="3">
        <v>1</v>
      </c>
      <c r="GX47" s="3">
        <f t="shared" si="58"/>
        <v>0</v>
      </c>
      <c r="HA47" s="3">
        <v>0</v>
      </c>
      <c r="HB47" s="3">
        <v>0</v>
      </c>
      <c r="HC47" s="3">
        <f t="shared" si="59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">
      <c r="A48" s="2">
        <v>17</v>
      </c>
      <c r="B48" s="2">
        <v>1</v>
      </c>
      <c r="C48" s="2">
        <f>ROW(SmtRes!A34)</f>
        <v>34</v>
      </c>
      <c r="D48" s="2">
        <f>ROW(EtalonRes!A39)</f>
        <v>39</v>
      </c>
      <c r="E48" s="2" t="s">
        <v>66</v>
      </c>
      <c r="F48" s="2" t="s">
        <v>67</v>
      </c>
      <c r="G48" s="2" t="s">
        <v>68</v>
      </c>
      <c r="H48" s="2" t="s">
        <v>22</v>
      </c>
      <c r="I48" s="2">
        <v>4</v>
      </c>
      <c r="J48" s="2">
        <v>0</v>
      </c>
      <c r="K48" s="2">
        <v>4</v>
      </c>
      <c r="L48" s="2"/>
      <c r="M48" s="2"/>
      <c r="N48" s="2"/>
      <c r="O48" s="2">
        <f t="shared" si="21"/>
        <v>60.56</v>
      </c>
      <c r="P48" s="2">
        <f t="shared" si="22"/>
        <v>0</v>
      </c>
      <c r="Q48" s="2">
        <f t="shared" si="23"/>
        <v>0</v>
      </c>
      <c r="R48" s="2">
        <f t="shared" si="24"/>
        <v>0</v>
      </c>
      <c r="S48" s="2">
        <f t="shared" si="25"/>
        <v>60.56</v>
      </c>
      <c r="T48" s="2">
        <f t="shared" si="26"/>
        <v>0</v>
      </c>
      <c r="U48" s="2">
        <f t="shared" si="27"/>
        <v>4.7944223999999993</v>
      </c>
      <c r="V48" s="2">
        <f t="shared" si="28"/>
        <v>0</v>
      </c>
      <c r="W48" s="2">
        <f t="shared" si="29"/>
        <v>0</v>
      </c>
      <c r="X48" s="2">
        <f t="shared" si="30"/>
        <v>54.5</v>
      </c>
      <c r="Y48" s="2">
        <f t="shared" si="31"/>
        <v>27.86</v>
      </c>
      <c r="Z48" s="2"/>
      <c r="AA48" s="2">
        <v>55915256</v>
      </c>
      <c r="AB48" s="2">
        <f t="shared" si="32"/>
        <v>14.4612</v>
      </c>
      <c r="AC48" s="2">
        <f t="shared" si="33"/>
        <v>0</v>
      </c>
      <c r="AD48" s="2">
        <f t="shared" si="34"/>
        <v>0</v>
      </c>
      <c r="AE48" s="2">
        <f t="shared" si="35"/>
        <v>0</v>
      </c>
      <c r="AF48" s="2">
        <f t="shared" si="36"/>
        <v>14.4612</v>
      </c>
      <c r="AG48" s="2">
        <f t="shared" si="37"/>
        <v>0</v>
      </c>
      <c r="AH48" s="2">
        <f t="shared" si="38"/>
        <v>1.1447999999999998</v>
      </c>
      <c r="AI48" s="2">
        <f t="shared" si="39"/>
        <v>0</v>
      </c>
      <c r="AJ48" s="2">
        <f t="shared" si="40"/>
        <v>0</v>
      </c>
      <c r="AK48" s="2">
        <v>42.51</v>
      </c>
      <c r="AL48" s="2">
        <v>2.34</v>
      </c>
      <c r="AM48" s="2">
        <v>0</v>
      </c>
      <c r="AN48" s="2">
        <v>0</v>
      </c>
      <c r="AO48" s="2">
        <v>40.17</v>
      </c>
      <c r="AP48" s="2">
        <v>0</v>
      </c>
      <c r="AQ48" s="2">
        <v>3.18</v>
      </c>
      <c r="AR48" s="2">
        <v>0</v>
      </c>
      <c r="AS48" s="2">
        <v>0</v>
      </c>
      <c r="AT48" s="2">
        <v>90</v>
      </c>
      <c r="AU48" s="2">
        <v>46</v>
      </c>
      <c r="AV48" s="2">
        <v>1.0469999999999999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2</v>
      </c>
      <c r="BJ48" s="2" t="s">
        <v>69</v>
      </c>
      <c r="BK48" s="2"/>
      <c r="BL48" s="2"/>
      <c r="BM48" s="2">
        <v>68</v>
      </c>
      <c r="BN48" s="2">
        <v>0</v>
      </c>
      <c r="BO48" s="2" t="s">
        <v>67</v>
      </c>
      <c r="BP48" s="2">
        <v>1</v>
      </c>
      <c r="BQ48" s="2">
        <v>40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90</v>
      </c>
      <c r="CA48" s="2">
        <v>46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604</v>
      </c>
      <c r="CO48" s="2">
        <v>0</v>
      </c>
      <c r="CP48" s="2">
        <f t="shared" si="41"/>
        <v>60.56</v>
      </c>
      <c r="CQ48" s="2">
        <f t="shared" si="42"/>
        <v>0</v>
      </c>
      <c r="CR48" s="2">
        <f t="shared" si="43"/>
        <v>0</v>
      </c>
      <c r="CS48" s="2">
        <f t="shared" si="44"/>
        <v>0</v>
      </c>
      <c r="CT48" s="2">
        <f t="shared" si="45"/>
        <v>15.14</v>
      </c>
      <c r="CU48" s="2">
        <f t="shared" si="46"/>
        <v>0</v>
      </c>
      <c r="CV48" s="2">
        <f t="shared" si="47"/>
        <v>1.1986055999999998</v>
      </c>
      <c r="CW48" s="2">
        <f t="shared" si="48"/>
        <v>0</v>
      </c>
      <c r="CX48" s="2">
        <f t="shared" si="49"/>
        <v>0</v>
      </c>
      <c r="CY48" s="2">
        <f t="shared" si="50"/>
        <v>54.5</v>
      </c>
      <c r="CZ48" s="2">
        <f t="shared" si="51"/>
        <v>27.86</v>
      </c>
      <c r="DA48" s="2"/>
      <c r="DB48" s="2">
        <v>41</v>
      </c>
      <c r="DC48" s="2" t="s">
        <v>3</v>
      </c>
      <c r="DD48" s="2" t="s">
        <v>24</v>
      </c>
      <c r="DE48" s="2" t="s">
        <v>25</v>
      </c>
      <c r="DF48" s="2" t="s">
        <v>25</v>
      </c>
      <c r="DG48" s="2" t="s">
        <v>25</v>
      </c>
      <c r="DH48" s="2" t="s">
        <v>3</v>
      </c>
      <c r="DI48" s="2" t="s">
        <v>25</v>
      </c>
      <c r="DJ48" s="2" t="s">
        <v>25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1013</v>
      </c>
      <c r="DV48" s="2" t="s">
        <v>22</v>
      </c>
      <c r="DW48" s="2" t="s">
        <v>22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55393700</v>
      </c>
      <c r="EF48" s="2">
        <v>40</v>
      </c>
      <c r="EG48" s="2" t="s">
        <v>26</v>
      </c>
      <c r="EH48" s="2">
        <v>0</v>
      </c>
      <c r="EI48" s="2" t="s">
        <v>3</v>
      </c>
      <c r="EJ48" s="2">
        <v>2</v>
      </c>
      <c r="EK48" s="2">
        <v>68</v>
      </c>
      <c r="EL48" s="2" t="s">
        <v>27</v>
      </c>
      <c r="EM48" s="2" t="s">
        <v>28</v>
      </c>
      <c r="EN48" s="2"/>
      <c r="EO48" s="2" t="s">
        <v>29</v>
      </c>
      <c r="EP48" s="2"/>
      <c r="EQ48" s="2">
        <v>0</v>
      </c>
      <c r="ER48" s="2">
        <v>42.51</v>
      </c>
      <c r="ES48" s="2">
        <v>2.34</v>
      </c>
      <c r="ET48" s="2">
        <v>0</v>
      </c>
      <c r="EU48" s="2">
        <v>0</v>
      </c>
      <c r="EV48" s="2">
        <v>40.17</v>
      </c>
      <c r="EW48" s="2">
        <v>3.18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90</v>
      </c>
      <c r="FY48" s="2">
        <v>46</v>
      </c>
      <c r="FZ48" s="2"/>
      <c r="GA48" s="2" t="s">
        <v>3</v>
      </c>
      <c r="GB48" s="2"/>
      <c r="GC48" s="2"/>
      <c r="GD48" s="2">
        <v>1</v>
      </c>
      <c r="GE48" s="2"/>
      <c r="GF48" s="2">
        <v>-1684676572</v>
      </c>
      <c r="GG48" s="2">
        <v>2</v>
      </c>
      <c r="GH48" s="2">
        <v>1</v>
      </c>
      <c r="GI48" s="2">
        <v>2</v>
      </c>
      <c r="GJ48" s="2">
        <v>0</v>
      </c>
      <c r="GK48" s="2">
        <v>0</v>
      </c>
      <c r="GL48" s="2">
        <f t="shared" si="52"/>
        <v>0</v>
      </c>
      <c r="GM48" s="2">
        <f t="shared" si="53"/>
        <v>142.91999999999999</v>
      </c>
      <c r="GN48" s="2">
        <f t="shared" si="54"/>
        <v>0</v>
      </c>
      <c r="GO48" s="2">
        <f t="shared" si="55"/>
        <v>142.91999999999999</v>
      </c>
      <c r="GP48" s="2">
        <f t="shared" si="56"/>
        <v>0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57"/>
        <v>0</v>
      </c>
      <c r="GW48" s="2">
        <v>1</v>
      </c>
      <c r="GX48" s="2">
        <f t="shared" si="58"/>
        <v>0</v>
      </c>
      <c r="GY48" s="2"/>
      <c r="GZ48" s="2"/>
      <c r="HA48" s="2">
        <v>0</v>
      </c>
      <c r="HB48" s="2">
        <v>0</v>
      </c>
      <c r="HC48" s="2">
        <f t="shared" si="59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 s="3">
        <v>17</v>
      </c>
      <c r="B49" s="3">
        <v>1</v>
      </c>
      <c r="C49" s="3">
        <f>ROW(SmtRes!A38)</f>
        <v>38</v>
      </c>
      <c r="D49" s="3">
        <f>ROW(EtalonRes!A44)</f>
        <v>44</v>
      </c>
      <c r="E49" s="3" t="s">
        <v>66</v>
      </c>
      <c r="F49" s="3" t="s">
        <v>67</v>
      </c>
      <c r="G49" s="3" t="s">
        <v>68</v>
      </c>
      <c r="H49" s="3" t="s">
        <v>22</v>
      </c>
      <c r="I49" s="3">
        <v>4</v>
      </c>
      <c r="J49" s="3">
        <v>0</v>
      </c>
      <c r="K49" s="3">
        <v>4</v>
      </c>
      <c r="O49" s="3">
        <f t="shared" si="21"/>
        <v>3412.56</v>
      </c>
      <c r="P49" s="3">
        <f t="shared" si="22"/>
        <v>0</v>
      </c>
      <c r="Q49" s="3">
        <f t="shared" si="23"/>
        <v>0</v>
      </c>
      <c r="R49" s="3">
        <f t="shared" si="24"/>
        <v>0</v>
      </c>
      <c r="S49" s="3">
        <f t="shared" si="25"/>
        <v>3412.56</v>
      </c>
      <c r="T49" s="3">
        <f t="shared" si="26"/>
        <v>0</v>
      </c>
      <c r="U49" s="3">
        <f t="shared" si="27"/>
        <v>4.7944223999999993</v>
      </c>
      <c r="V49" s="3">
        <f t="shared" si="28"/>
        <v>0</v>
      </c>
      <c r="W49" s="3">
        <f t="shared" si="29"/>
        <v>0</v>
      </c>
      <c r="X49" s="3">
        <f t="shared" si="30"/>
        <v>3071.3</v>
      </c>
      <c r="Y49" s="3">
        <f t="shared" si="31"/>
        <v>1569.78</v>
      </c>
      <c r="AA49" s="3">
        <v>55915258</v>
      </c>
      <c r="AB49" s="3">
        <f t="shared" si="32"/>
        <v>14.4612</v>
      </c>
      <c r="AC49" s="3">
        <f t="shared" si="33"/>
        <v>0</v>
      </c>
      <c r="AD49" s="3">
        <f t="shared" si="34"/>
        <v>0</v>
      </c>
      <c r="AE49" s="3">
        <f t="shared" si="35"/>
        <v>0</v>
      </c>
      <c r="AF49" s="3">
        <f t="shared" si="36"/>
        <v>14.4612</v>
      </c>
      <c r="AG49" s="3">
        <f t="shared" si="37"/>
        <v>0</v>
      </c>
      <c r="AH49" s="3">
        <f t="shared" si="38"/>
        <v>1.1447999999999998</v>
      </c>
      <c r="AI49" s="3">
        <f t="shared" si="39"/>
        <v>0</v>
      </c>
      <c r="AJ49" s="3">
        <f t="shared" si="40"/>
        <v>0</v>
      </c>
      <c r="AK49" s="3">
        <v>42.51</v>
      </c>
      <c r="AL49" s="3">
        <v>2.34</v>
      </c>
      <c r="AM49" s="3">
        <v>0</v>
      </c>
      <c r="AN49" s="3">
        <v>0</v>
      </c>
      <c r="AO49" s="3">
        <v>40.17</v>
      </c>
      <c r="AP49" s="3">
        <v>0</v>
      </c>
      <c r="AQ49" s="3">
        <v>3.18</v>
      </c>
      <c r="AR49" s="3">
        <v>0</v>
      </c>
      <c r="AS49" s="3">
        <v>0</v>
      </c>
      <c r="AT49" s="3">
        <v>90</v>
      </c>
      <c r="AU49" s="3">
        <v>46</v>
      </c>
      <c r="AV49" s="3">
        <v>1.0469999999999999</v>
      </c>
      <c r="AW49" s="3">
        <v>1</v>
      </c>
      <c r="AZ49" s="3">
        <v>1</v>
      </c>
      <c r="BA49" s="3">
        <v>56.35</v>
      </c>
      <c r="BB49" s="3">
        <v>1</v>
      </c>
      <c r="BC49" s="3">
        <v>10.24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0</v>
      </c>
      <c r="BI49" s="3">
        <v>2</v>
      </c>
      <c r="BJ49" s="3" t="s">
        <v>69</v>
      </c>
      <c r="BM49" s="3">
        <v>68</v>
      </c>
      <c r="BN49" s="3">
        <v>0</v>
      </c>
      <c r="BO49" s="3" t="s">
        <v>67</v>
      </c>
      <c r="BP49" s="3">
        <v>1</v>
      </c>
      <c r="BQ49" s="3">
        <v>40</v>
      </c>
      <c r="BR49" s="3">
        <v>0</v>
      </c>
      <c r="BS49" s="3">
        <v>56.35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90</v>
      </c>
      <c r="CA49" s="3">
        <v>46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604</v>
      </c>
      <c r="CO49" s="3">
        <v>0</v>
      </c>
      <c r="CP49" s="3">
        <f t="shared" si="41"/>
        <v>3412.56</v>
      </c>
      <c r="CQ49" s="3">
        <f t="shared" si="42"/>
        <v>0</v>
      </c>
      <c r="CR49" s="3">
        <f t="shared" si="43"/>
        <v>0</v>
      </c>
      <c r="CS49" s="3">
        <f t="shared" si="44"/>
        <v>0</v>
      </c>
      <c r="CT49" s="3">
        <f t="shared" si="45"/>
        <v>853.14</v>
      </c>
      <c r="CU49" s="3">
        <f t="shared" si="46"/>
        <v>0</v>
      </c>
      <c r="CV49" s="3">
        <f t="shared" si="47"/>
        <v>1.1986055999999998</v>
      </c>
      <c r="CW49" s="3">
        <f t="shared" si="48"/>
        <v>0</v>
      </c>
      <c r="CX49" s="3">
        <f t="shared" si="49"/>
        <v>0</v>
      </c>
      <c r="CY49" s="3">
        <f t="shared" si="50"/>
        <v>3071.3</v>
      </c>
      <c r="CZ49" s="3">
        <f t="shared" si="51"/>
        <v>1569.78</v>
      </c>
      <c r="DB49" s="3">
        <v>43</v>
      </c>
      <c r="DC49" s="3" t="s">
        <v>3</v>
      </c>
      <c r="DD49" s="3" t="s">
        <v>24</v>
      </c>
      <c r="DE49" s="3" t="s">
        <v>25</v>
      </c>
      <c r="DF49" s="3" t="s">
        <v>25</v>
      </c>
      <c r="DG49" s="3" t="s">
        <v>25</v>
      </c>
      <c r="DH49" s="3" t="s">
        <v>3</v>
      </c>
      <c r="DI49" s="3" t="s">
        <v>25</v>
      </c>
      <c r="DJ49" s="3" t="s">
        <v>25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1013</v>
      </c>
      <c r="DV49" s="3" t="s">
        <v>22</v>
      </c>
      <c r="DW49" s="3" t="s">
        <v>22</v>
      </c>
      <c r="DX49" s="3">
        <v>1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55393700</v>
      </c>
      <c r="EF49" s="3">
        <v>40</v>
      </c>
      <c r="EG49" s="3" t="s">
        <v>26</v>
      </c>
      <c r="EH49" s="3">
        <v>0</v>
      </c>
      <c r="EI49" s="3" t="s">
        <v>3</v>
      </c>
      <c r="EJ49" s="3">
        <v>2</v>
      </c>
      <c r="EK49" s="3">
        <v>68</v>
      </c>
      <c r="EL49" s="3" t="s">
        <v>27</v>
      </c>
      <c r="EM49" s="3" t="s">
        <v>28</v>
      </c>
      <c r="EO49" s="3" t="s">
        <v>29</v>
      </c>
      <c r="EQ49" s="3">
        <v>0</v>
      </c>
      <c r="ER49" s="3">
        <v>42.51</v>
      </c>
      <c r="ES49" s="3">
        <v>2.34</v>
      </c>
      <c r="ET49" s="3">
        <v>0</v>
      </c>
      <c r="EU49" s="3">
        <v>0</v>
      </c>
      <c r="EV49" s="3">
        <v>40.17</v>
      </c>
      <c r="EW49" s="3">
        <v>3.18</v>
      </c>
      <c r="EX49" s="3">
        <v>0</v>
      </c>
      <c r="EY49" s="3">
        <v>0</v>
      </c>
      <c r="FQ49" s="3">
        <v>0</v>
      </c>
      <c r="FR49" s="3">
        <v>0</v>
      </c>
      <c r="FS49" s="3">
        <v>0</v>
      </c>
      <c r="FX49" s="3">
        <v>90</v>
      </c>
      <c r="FY49" s="3">
        <v>46</v>
      </c>
      <c r="GA49" s="3" t="s">
        <v>3</v>
      </c>
      <c r="GD49" s="3">
        <v>1</v>
      </c>
      <c r="GF49" s="3">
        <v>-1684676572</v>
      </c>
      <c r="GG49" s="3">
        <v>2</v>
      </c>
      <c r="GH49" s="3">
        <v>1</v>
      </c>
      <c r="GI49" s="3">
        <v>2</v>
      </c>
      <c r="GJ49" s="3">
        <v>0</v>
      </c>
      <c r="GK49" s="3">
        <v>0</v>
      </c>
      <c r="GL49" s="3">
        <f t="shared" si="52"/>
        <v>0</v>
      </c>
      <c r="GM49" s="3">
        <f t="shared" si="53"/>
        <v>8053.64</v>
      </c>
      <c r="GN49" s="3">
        <f t="shared" si="54"/>
        <v>0</v>
      </c>
      <c r="GO49" s="3">
        <f t="shared" si="55"/>
        <v>8053.64</v>
      </c>
      <c r="GP49" s="3">
        <f t="shared" si="56"/>
        <v>0</v>
      </c>
      <c r="GR49" s="3">
        <v>0</v>
      </c>
      <c r="GS49" s="3">
        <v>3</v>
      </c>
      <c r="GT49" s="3">
        <v>0</v>
      </c>
      <c r="GU49" s="3" t="s">
        <v>3</v>
      </c>
      <c r="GV49" s="3">
        <f t="shared" si="57"/>
        <v>0</v>
      </c>
      <c r="GW49" s="3">
        <v>1</v>
      </c>
      <c r="GX49" s="3">
        <f t="shared" si="58"/>
        <v>0</v>
      </c>
      <c r="HA49" s="3">
        <v>0</v>
      </c>
      <c r="HB49" s="3">
        <v>0</v>
      </c>
      <c r="HC49" s="3">
        <f t="shared" si="59"/>
        <v>0</v>
      </c>
      <c r="HE49" s="3" t="s">
        <v>3</v>
      </c>
      <c r="HF49" s="3" t="s">
        <v>3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">
      <c r="A50" s="2">
        <v>17</v>
      </c>
      <c r="B50" s="2">
        <v>1</v>
      </c>
      <c r="C50" s="2">
        <f>ROW(SmtRes!A42)</f>
        <v>42</v>
      </c>
      <c r="D50" s="2">
        <f>ROW(EtalonRes!A49)</f>
        <v>49</v>
      </c>
      <c r="E50" s="2" t="s">
        <v>70</v>
      </c>
      <c r="F50" s="2" t="s">
        <v>67</v>
      </c>
      <c r="G50" s="2" t="s">
        <v>71</v>
      </c>
      <c r="H50" s="2" t="s">
        <v>22</v>
      </c>
      <c r="I50" s="2">
        <f>ROUND(3+2,9)</f>
        <v>5</v>
      </c>
      <c r="J50" s="2">
        <v>0</v>
      </c>
      <c r="K50" s="2">
        <f>ROUND(3+2,9)</f>
        <v>5</v>
      </c>
      <c r="L50" s="2"/>
      <c r="M50" s="2"/>
      <c r="N50" s="2"/>
      <c r="O50" s="2">
        <f t="shared" si="21"/>
        <v>75.7</v>
      </c>
      <c r="P50" s="2">
        <f t="shared" si="22"/>
        <v>0</v>
      </c>
      <c r="Q50" s="2">
        <f t="shared" si="23"/>
        <v>0</v>
      </c>
      <c r="R50" s="2">
        <f t="shared" si="24"/>
        <v>0</v>
      </c>
      <c r="S50" s="2">
        <f t="shared" si="25"/>
        <v>75.7</v>
      </c>
      <c r="T50" s="2">
        <f t="shared" si="26"/>
        <v>0</v>
      </c>
      <c r="U50" s="2">
        <f t="shared" si="27"/>
        <v>5.9930279999999989</v>
      </c>
      <c r="V50" s="2">
        <f t="shared" si="28"/>
        <v>0</v>
      </c>
      <c r="W50" s="2">
        <f t="shared" si="29"/>
        <v>0</v>
      </c>
      <c r="X50" s="2">
        <f t="shared" si="30"/>
        <v>68.13</v>
      </c>
      <c r="Y50" s="2">
        <f t="shared" si="31"/>
        <v>34.82</v>
      </c>
      <c r="Z50" s="2"/>
      <c r="AA50" s="2">
        <v>55915256</v>
      </c>
      <c r="AB50" s="2">
        <f t="shared" si="32"/>
        <v>14.4612</v>
      </c>
      <c r="AC50" s="2">
        <f t="shared" si="33"/>
        <v>0</v>
      </c>
      <c r="AD50" s="2">
        <f t="shared" si="34"/>
        <v>0</v>
      </c>
      <c r="AE50" s="2">
        <f t="shared" si="35"/>
        <v>0</v>
      </c>
      <c r="AF50" s="2">
        <f t="shared" si="36"/>
        <v>14.4612</v>
      </c>
      <c r="AG50" s="2">
        <f t="shared" si="37"/>
        <v>0</v>
      </c>
      <c r="AH50" s="2">
        <f t="shared" si="38"/>
        <v>1.1447999999999998</v>
      </c>
      <c r="AI50" s="2">
        <f t="shared" si="39"/>
        <v>0</v>
      </c>
      <c r="AJ50" s="2">
        <f t="shared" si="40"/>
        <v>0</v>
      </c>
      <c r="AK50" s="2">
        <v>42.51</v>
      </c>
      <c r="AL50" s="2">
        <v>2.34</v>
      </c>
      <c r="AM50" s="2">
        <v>0</v>
      </c>
      <c r="AN50" s="2">
        <v>0</v>
      </c>
      <c r="AO50" s="2">
        <v>40.17</v>
      </c>
      <c r="AP50" s="2">
        <v>0</v>
      </c>
      <c r="AQ50" s="2">
        <v>3.18</v>
      </c>
      <c r="AR50" s="2">
        <v>0</v>
      </c>
      <c r="AS50" s="2">
        <v>0</v>
      </c>
      <c r="AT50" s="2">
        <v>90</v>
      </c>
      <c r="AU50" s="2">
        <v>46</v>
      </c>
      <c r="AV50" s="2">
        <v>1.0469999999999999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2</v>
      </c>
      <c r="BJ50" s="2" t="s">
        <v>69</v>
      </c>
      <c r="BK50" s="2"/>
      <c r="BL50" s="2"/>
      <c r="BM50" s="2">
        <v>68</v>
      </c>
      <c r="BN50" s="2">
        <v>0</v>
      </c>
      <c r="BO50" s="2" t="s">
        <v>67</v>
      </c>
      <c r="BP50" s="2">
        <v>1</v>
      </c>
      <c r="BQ50" s="2">
        <v>40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90</v>
      </c>
      <c r="CA50" s="2">
        <v>46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604</v>
      </c>
      <c r="CO50" s="2">
        <v>0</v>
      </c>
      <c r="CP50" s="2">
        <f t="shared" si="41"/>
        <v>75.7</v>
      </c>
      <c r="CQ50" s="2">
        <f t="shared" si="42"/>
        <v>0</v>
      </c>
      <c r="CR50" s="2">
        <f t="shared" si="43"/>
        <v>0</v>
      </c>
      <c r="CS50" s="2">
        <f t="shared" si="44"/>
        <v>0</v>
      </c>
      <c r="CT50" s="2">
        <f t="shared" si="45"/>
        <v>15.14</v>
      </c>
      <c r="CU50" s="2">
        <f t="shared" si="46"/>
        <v>0</v>
      </c>
      <c r="CV50" s="2">
        <f t="shared" si="47"/>
        <v>1.1986055999999998</v>
      </c>
      <c r="CW50" s="2">
        <f t="shared" si="48"/>
        <v>0</v>
      </c>
      <c r="CX50" s="2">
        <f t="shared" si="49"/>
        <v>0</v>
      </c>
      <c r="CY50" s="2">
        <f t="shared" si="50"/>
        <v>68.13</v>
      </c>
      <c r="CZ50" s="2">
        <f t="shared" si="51"/>
        <v>34.82</v>
      </c>
      <c r="DA50" s="2"/>
      <c r="DB50" s="2">
        <v>45</v>
      </c>
      <c r="DC50" s="2" t="s">
        <v>3</v>
      </c>
      <c r="DD50" s="2" t="s">
        <v>24</v>
      </c>
      <c r="DE50" s="2" t="s">
        <v>25</v>
      </c>
      <c r="DF50" s="2" t="s">
        <v>25</v>
      </c>
      <c r="DG50" s="2" t="s">
        <v>25</v>
      </c>
      <c r="DH50" s="2" t="s">
        <v>3</v>
      </c>
      <c r="DI50" s="2" t="s">
        <v>25</v>
      </c>
      <c r="DJ50" s="2" t="s">
        <v>25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22</v>
      </c>
      <c r="DW50" s="2" t="s">
        <v>22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55393700</v>
      </c>
      <c r="EF50" s="2">
        <v>40</v>
      </c>
      <c r="EG50" s="2" t="s">
        <v>26</v>
      </c>
      <c r="EH50" s="2">
        <v>0</v>
      </c>
      <c r="EI50" s="2" t="s">
        <v>3</v>
      </c>
      <c r="EJ50" s="2">
        <v>2</v>
      </c>
      <c r="EK50" s="2">
        <v>68</v>
      </c>
      <c r="EL50" s="2" t="s">
        <v>27</v>
      </c>
      <c r="EM50" s="2" t="s">
        <v>28</v>
      </c>
      <c r="EN50" s="2"/>
      <c r="EO50" s="2" t="s">
        <v>29</v>
      </c>
      <c r="EP50" s="2"/>
      <c r="EQ50" s="2">
        <v>0</v>
      </c>
      <c r="ER50" s="2">
        <v>42.51</v>
      </c>
      <c r="ES50" s="2">
        <v>2.34</v>
      </c>
      <c r="ET50" s="2">
        <v>0</v>
      </c>
      <c r="EU50" s="2">
        <v>0</v>
      </c>
      <c r="EV50" s="2">
        <v>40.17</v>
      </c>
      <c r="EW50" s="2">
        <v>3.18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90</v>
      </c>
      <c r="FY50" s="2">
        <v>46</v>
      </c>
      <c r="FZ50" s="2"/>
      <c r="GA50" s="2" t="s">
        <v>3</v>
      </c>
      <c r="GB50" s="2"/>
      <c r="GC50" s="2"/>
      <c r="GD50" s="2">
        <v>1</v>
      </c>
      <c r="GE50" s="2"/>
      <c r="GF50" s="2">
        <v>564945025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52"/>
        <v>0</v>
      </c>
      <c r="GM50" s="2">
        <f t="shared" si="53"/>
        <v>178.65</v>
      </c>
      <c r="GN50" s="2">
        <f t="shared" si="54"/>
        <v>0</v>
      </c>
      <c r="GO50" s="2">
        <f t="shared" si="55"/>
        <v>178.65</v>
      </c>
      <c r="GP50" s="2">
        <f t="shared" si="56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57"/>
        <v>0</v>
      </c>
      <c r="GW50" s="2">
        <v>1</v>
      </c>
      <c r="GX50" s="2">
        <f t="shared" si="58"/>
        <v>0</v>
      </c>
      <c r="GY50" s="2"/>
      <c r="GZ50" s="2"/>
      <c r="HA50" s="2">
        <v>0</v>
      </c>
      <c r="HB50" s="2">
        <v>0</v>
      </c>
      <c r="HC50" s="2">
        <f t="shared" si="59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 s="3">
        <v>17</v>
      </c>
      <c r="B51" s="3">
        <v>1</v>
      </c>
      <c r="C51" s="3">
        <f>ROW(SmtRes!A46)</f>
        <v>46</v>
      </c>
      <c r="D51" s="3">
        <f>ROW(EtalonRes!A54)</f>
        <v>54</v>
      </c>
      <c r="E51" s="3" t="s">
        <v>70</v>
      </c>
      <c r="F51" s="3" t="s">
        <v>67</v>
      </c>
      <c r="G51" s="3" t="s">
        <v>71</v>
      </c>
      <c r="H51" s="3" t="s">
        <v>22</v>
      </c>
      <c r="I51" s="3">
        <f>ROUND(3+2,9)</f>
        <v>5</v>
      </c>
      <c r="J51" s="3">
        <v>0</v>
      </c>
      <c r="K51" s="3">
        <f>ROUND(3+2,9)</f>
        <v>5</v>
      </c>
      <c r="O51" s="3">
        <f t="shared" si="21"/>
        <v>4265.7</v>
      </c>
      <c r="P51" s="3">
        <f t="shared" si="22"/>
        <v>0</v>
      </c>
      <c r="Q51" s="3">
        <f t="shared" si="23"/>
        <v>0</v>
      </c>
      <c r="R51" s="3">
        <f t="shared" si="24"/>
        <v>0</v>
      </c>
      <c r="S51" s="3">
        <f t="shared" si="25"/>
        <v>4265.7</v>
      </c>
      <c r="T51" s="3">
        <f t="shared" si="26"/>
        <v>0</v>
      </c>
      <c r="U51" s="3">
        <f t="shared" si="27"/>
        <v>5.9930279999999989</v>
      </c>
      <c r="V51" s="3">
        <f t="shared" si="28"/>
        <v>0</v>
      </c>
      <c r="W51" s="3">
        <f t="shared" si="29"/>
        <v>0</v>
      </c>
      <c r="X51" s="3">
        <f t="shared" si="30"/>
        <v>3839.13</v>
      </c>
      <c r="Y51" s="3">
        <f t="shared" si="31"/>
        <v>1962.22</v>
      </c>
      <c r="AA51" s="3">
        <v>55915258</v>
      </c>
      <c r="AB51" s="3">
        <f t="shared" si="32"/>
        <v>14.4612</v>
      </c>
      <c r="AC51" s="3">
        <f t="shared" si="33"/>
        <v>0</v>
      </c>
      <c r="AD51" s="3">
        <f t="shared" si="34"/>
        <v>0</v>
      </c>
      <c r="AE51" s="3">
        <f t="shared" si="35"/>
        <v>0</v>
      </c>
      <c r="AF51" s="3">
        <f t="shared" si="36"/>
        <v>14.4612</v>
      </c>
      <c r="AG51" s="3">
        <f t="shared" si="37"/>
        <v>0</v>
      </c>
      <c r="AH51" s="3">
        <f t="shared" si="38"/>
        <v>1.1447999999999998</v>
      </c>
      <c r="AI51" s="3">
        <f t="shared" si="39"/>
        <v>0</v>
      </c>
      <c r="AJ51" s="3">
        <f t="shared" si="40"/>
        <v>0</v>
      </c>
      <c r="AK51" s="3">
        <v>42.51</v>
      </c>
      <c r="AL51" s="3">
        <v>2.34</v>
      </c>
      <c r="AM51" s="3">
        <v>0</v>
      </c>
      <c r="AN51" s="3">
        <v>0</v>
      </c>
      <c r="AO51" s="3">
        <v>40.17</v>
      </c>
      <c r="AP51" s="3">
        <v>0</v>
      </c>
      <c r="AQ51" s="3">
        <v>3.18</v>
      </c>
      <c r="AR51" s="3">
        <v>0</v>
      </c>
      <c r="AS51" s="3">
        <v>0</v>
      </c>
      <c r="AT51" s="3">
        <v>90</v>
      </c>
      <c r="AU51" s="3">
        <v>46</v>
      </c>
      <c r="AV51" s="3">
        <v>1.0469999999999999</v>
      </c>
      <c r="AW51" s="3">
        <v>1</v>
      </c>
      <c r="AZ51" s="3">
        <v>1</v>
      </c>
      <c r="BA51" s="3">
        <v>56.35</v>
      </c>
      <c r="BB51" s="3">
        <v>1</v>
      </c>
      <c r="BC51" s="3">
        <v>10.24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0</v>
      </c>
      <c r="BI51" s="3">
        <v>2</v>
      </c>
      <c r="BJ51" s="3" t="s">
        <v>69</v>
      </c>
      <c r="BM51" s="3">
        <v>68</v>
      </c>
      <c r="BN51" s="3">
        <v>0</v>
      </c>
      <c r="BO51" s="3" t="s">
        <v>67</v>
      </c>
      <c r="BP51" s="3">
        <v>1</v>
      </c>
      <c r="BQ51" s="3">
        <v>40</v>
      </c>
      <c r="BR51" s="3">
        <v>0</v>
      </c>
      <c r="BS51" s="3">
        <v>56.35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90</v>
      </c>
      <c r="CA51" s="3">
        <v>46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604</v>
      </c>
      <c r="CO51" s="3">
        <v>0</v>
      </c>
      <c r="CP51" s="3">
        <f t="shared" si="41"/>
        <v>4265.7</v>
      </c>
      <c r="CQ51" s="3">
        <f t="shared" si="42"/>
        <v>0</v>
      </c>
      <c r="CR51" s="3">
        <f t="shared" si="43"/>
        <v>0</v>
      </c>
      <c r="CS51" s="3">
        <f t="shared" si="44"/>
        <v>0</v>
      </c>
      <c r="CT51" s="3">
        <f t="shared" si="45"/>
        <v>853.14</v>
      </c>
      <c r="CU51" s="3">
        <f t="shared" si="46"/>
        <v>0</v>
      </c>
      <c r="CV51" s="3">
        <f t="shared" si="47"/>
        <v>1.1986055999999998</v>
      </c>
      <c r="CW51" s="3">
        <f t="shared" si="48"/>
        <v>0</v>
      </c>
      <c r="CX51" s="3">
        <f t="shared" si="49"/>
        <v>0</v>
      </c>
      <c r="CY51" s="3">
        <f t="shared" si="50"/>
        <v>3839.13</v>
      </c>
      <c r="CZ51" s="3">
        <f t="shared" si="51"/>
        <v>1962.22</v>
      </c>
      <c r="DB51" s="3">
        <v>47</v>
      </c>
      <c r="DC51" s="3" t="s">
        <v>3</v>
      </c>
      <c r="DD51" s="3" t="s">
        <v>24</v>
      </c>
      <c r="DE51" s="3" t="s">
        <v>25</v>
      </c>
      <c r="DF51" s="3" t="s">
        <v>25</v>
      </c>
      <c r="DG51" s="3" t="s">
        <v>25</v>
      </c>
      <c r="DH51" s="3" t="s">
        <v>3</v>
      </c>
      <c r="DI51" s="3" t="s">
        <v>25</v>
      </c>
      <c r="DJ51" s="3" t="s">
        <v>25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1013</v>
      </c>
      <c r="DV51" s="3" t="s">
        <v>22</v>
      </c>
      <c r="DW51" s="3" t="s">
        <v>22</v>
      </c>
      <c r="DX51" s="3">
        <v>1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55393700</v>
      </c>
      <c r="EF51" s="3">
        <v>40</v>
      </c>
      <c r="EG51" s="3" t="s">
        <v>26</v>
      </c>
      <c r="EH51" s="3">
        <v>0</v>
      </c>
      <c r="EI51" s="3" t="s">
        <v>3</v>
      </c>
      <c r="EJ51" s="3">
        <v>2</v>
      </c>
      <c r="EK51" s="3">
        <v>68</v>
      </c>
      <c r="EL51" s="3" t="s">
        <v>27</v>
      </c>
      <c r="EM51" s="3" t="s">
        <v>28</v>
      </c>
      <c r="EO51" s="3" t="s">
        <v>29</v>
      </c>
      <c r="EQ51" s="3">
        <v>0</v>
      </c>
      <c r="ER51" s="3">
        <v>42.51</v>
      </c>
      <c r="ES51" s="3">
        <v>2.34</v>
      </c>
      <c r="ET51" s="3">
        <v>0</v>
      </c>
      <c r="EU51" s="3">
        <v>0</v>
      </c>
      <c r="EV51" s="3">
        <v>40.17</v>
      </c>
      <c r="EW51" s="3">
        <v>3.18</v>
      </c>
      <c r="EX51" s="3">
        <v>0</v>
      </c>
      <c r="EY51" s="3">
        <v>0</v>
      </c>
      <c r="FQ51" s="3">
        <v>0</v>
      </c>
      <c r="FR51" s="3">
        <v>0</v>
      </c>
      <c r="FS51" s="3">
        <v>0</v>
      </c>
      <c r="FX51" s="3">
        <v>90</v>
      </c>
      <c r="FY51" s="3">
        <v>46</v>
      </c>
      <c r="GA51" s="3" t="s">
        <v>3</v>
      </c>
      <c r="GD51" s="3">
        <v>1</v>
      </c>
      <c r="GF51" s="3">
        <v>564945025</v>
      </c>
      <c r="GG51" s="3">
        <v>2</v>
      </c>
      <c r="GH51" s="3">
        <v>1</v>
      </c>
      <c r="GI51" s="3">
        <v>2</v>
      </c>
      <c r="GJ51" s="3">
        <v>0</v>
      </c>
      <c r="GK51" s="3">
        <v>0</v>
      </c>
      <c r="GL51" s="3">
        <f t="shared" si="52"/>
        <v>0</v>
      </c>
      <c r="GM51" s="3">
        <f t="shared" si="53"/>
        <v>10067.049999999999</v>
      </c>
      <c r="GN51" s="3">
        <f t="shared" si="54"/>
        <v>0</v>
      </c>
      <c r="GO51" s="3">
        <f t="shared" si="55"/>
        <v>10067.049999999999</v>
      </c>
      <c r="GP51" s="3">
        <f t="shared" si="56"/>
        <v>0</v>
      </c>
      <c r="GR51" s="3">
        <v>0</v>
      </c>
      <c r="GS51" s="3">
        <v>3</v>
      </c>
      <c r="GT51" s="3">
        <v>0</v>
      </c>
      <c r="GU51" s="3" t="s">
        <v>3</v>
      </c>
      <c r="GV51" s="3">
        <f t="shared" si="57"/>
        <v>0</v>
      </c>
      <c r="GW51" s="3">
        <v>1</v>
      </c>
      <c r="GX51" s="3">
        <f t="shared" si="58"/>
        <v>0</v>
      </c>
      <c r="HA51" s="3">
        <v>0</v>
      </c>
      <c r="HB51" s="3">
        <v>0</v>
      </c>
      <c r="HC51" s="3">
        <f t="shared" si="59"/>
        <v>0</v>
      </c>
      <c r="HE51" s="3" t="s">
        <v>3</v>
      </c>
      <c r="HF51" s="3" t="s">
        <v>3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">
      <c r="A52" s="2">
        <v>17</v>
      </c>
      <c r="B52" s="2">
        <v>1</v>
      </c>
      <c r="C52" s="2">
        <f>ROW(SmtRes!A47)</f>
        <v>47</v>
      </c>
      <c r="D52" s="2">
        <f>ROW(EtalonRes!A55)</f>
        <v>55</v>
      </c>
      <c r="E52" s="2" t="s">
        <v>72</v>
      </c>
      <c r="F52" s="2" t="s">
        <v>73</v>
      </c>
      <c r="G52" s="2" t="s">
        <v>74</v>
      </c>
      <c r="H52" s="2" t="s">
        <v>75</v>
      </c>
      <c r="I52" s="2">
        <f>ROUND((3181+55)/100,9)</f>
        <v>32.36</v>
      </c>
      <c r="J52" s="2">
        <v>0</v>
      </c>
      <c r="K52" s="2">
        <f>ROUND((3181+55)/100,9)</f>
        <v>32.36</v>
      </c>
      <c r="L52" s="2"/>
      <c r="M52" s="2"/>
      <c r="N52" s="2"/>
      <c r="O52" s="2">
        <f t="shared" si="21"/>
        <v>4005.54</v>
      </c>
      <c r="P52" s="2">
        <f t="shared" si="22"/>
        <v>0</v>
      </c>
      <c r="Q52" s="2">
        <f>(ROUND((ROUND((((ET52*1.2))*AV52*I52),2)*BB52),2)+ROUND((ROUND(((AE52-((EU52*1.2)))*AV52*I52),2)*BS52),2))</f>
        <v>0</v>
      </c>
      <c r="R52" s="2">
        <f>(ROUND((ROUND((((EU52*1.2))*AV52*I52),2)*BS52),2)+ROUND((ROUND(((AE52-((EU52*1.2)))*AV52*I52),2)*BS52),2))</f>
        <v>0</v>
      </c>
      <c r="S52" s="2">
        <f t="shared" si="25"/>
        <v>4005.54</v>
      </c>
      <c r="T52" s="2">
        <f t="shared" si="26"/>
        <v>0</v>
      </c>
      <c r="U52" s="2">
        <f t="shared" si="27"/>
        <v>391.93448255999994</v>
      </c>
      <c r="V52" s="2">
        <f t="shared" si="28"/>
        <v>0</v>
      </c>
      <c r="W52" s="2">
        <f t="shared" si="29"/>
        <v>0</v>
      </c>
      <c r="X52" s="2">
        <f>(ROUND((((S52+ROUND((ROUND((((EU52*1.2))*AV52*I52),2)*BS52),2))*AT52)/100),2)+ROUND(((ROUND((ROUND(((AE52-((EU52*1.2)))*AV52*I52),2)*BS52),2)*AT52)/100),2))</f>
        <v>3645.04</v>
      </c>
      <c r="Y52" s="2">
        <f>(ROUND((((S52+ROUND((ROUND((((EU52*1.2))*AV52*I52),2)*BS52),2))*AU52)/100),2)+ROUND(((ROUND((ROUND(((AE52-((EU52*1.2)))*AV52*I52),2)*BS52),2)*AU52)/100),2))</f>
        <v>1922.66</v>
      </c>
      <c r="Z52" s="2"/>
      <c r="AA52" s="2">
        <v>55915256</v>
      </c>
      <c r="AB52" s="2">
        <f t="shared" si="32"/>
        <v>118.224</v>
      </c>
      <c r="AC52" s="2">
        <f>ROUND(((ES52*1)),6)</f>
        <v>0</v>
      </c>
      <c r="AD52" s="2">
        <f>ROUND(((((ET52*1.2))-((EU52*1.2)))+AE52),6)</f>
        <v>0</v>
      </c>
      <c r="AE52" s="2">
        <f t="shared" ref="AE52:AF55" si="60">ROUND(((EU52*1.2)),6)</f>
        <v>0</v>
      </c>
      <c r="AF52" s="2">
        <f t="shared" si="60"/>
        <v>118.224</v>
      </c>
      <c r="AG52" s="2">
        <f t="shared" si="37"/>
        <v>0</v>
      </c>
      <c r="AH52" s="2">
        <f t="shared" ref="AH52:AI55" si="61">((EW52*1.2))</f>
        <v>11.568</v>
      </c>
      <c r="AI52" s="2">
        <f t="shared" si="61"/>
        <v>0</v>
      </c>
      <c r="AJ52" s="2">
        <f t="shared" si="40"/>
        <v>0</v>
      </c>
      <c r="AK52" s="2">
        <v>98.52</v>
      </c>
      <c r="AL52" s="2">
        <v>0</v>
      </c>
      <c r="AM52" s="2">
        <v>0</v>
      </c>
      <c r="AN52" s="2">
        <v>0</v>
      </c>
      <c r="AO52" s="2">
        <v>98.52</v>
      </c>
      <c r="AP52" s="2">
        <v>0</v>
      </c>
      <c r="AQ52" s="2">
        <v>9.64</v>
      </c>
      <c r="AR52" s="2">
        <v>0</v>
      </c>
      <c r="AS52" s="2">
        <v>0</v>
      </c>
      <c r="AT52" s="2">
        <v>91</v>
      </c>
      <c r="AU52" s="2">
        <v>48</v>
      </c>
      <c r="AV52" s="2">
        <v>1.0469999999999999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0</v>
      </c>
      <c r="BI52" s="2">
        <v>1</v>
      </c>
      <c r="BJ52" s="2" t="s">
        <v>76</v>
      </c>
      <c r="BK52" s="2"/>
      <c r="BL52" s="2"/>
      <c r="BM52" s="2">
        <v>106</v>
      </c>
      <c r="BN52" s="2">
        <v>0</v>
      </c>
      <c r="BO52" s="2" t="s">
        <v>73</v>
      </c>
      <c r="BP52" s="2">
        <v>1</v>
      </c>
      <c r="BQ52" s="2">
        <v>60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91</v>
      </c>
      <c r="CA52" s="2">
        <v>48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605</v>
      </c>
      <c r="CO52" s="2">
        <v>0</v>
      </c>
      <c r="CP52" s="2">
        <f t="shared" si="41"/>
        <v>4005.54</v>
      </c>
      <c r="CQ52" s="2">
        <f t="shared" si="42"/>
        <v>0</v>
      </c>
      <c r="CR52" s="2">
        <f>(ROUND((ROUND((((ET52*1.2))*AV52*1),2)*BB52),2)+ROUND((ROUND(((AE52-((EU52*1.2)))*AV52*1),2)*BS52),2))</f>
        <v>0</v>
      </c>
      <c r="CS52" s="2">
        <f>(ROUND((ROUND((((EU52*1.2))*AV52*1),2)*BS52),2)+ROUND((ROUND(((AE52-((EU52*1.2)))*AV52*1),2)*BS52),2))</f>
        <v>0</v>
      </c>
      <c r="CT52" s="2">
        <f t="shared" si="45"/>
        <v>123.78</v>
      </c>
      <c r="CU52" s="2">
        <f t="shared" si="46"/>
        <v>0</v>
      </c>
      <c r="CV52" s="2">
        <f t="shared" si="47"/>
        <v>12.111695999999998</v>
      </c>
      <c r="CW52" s="2">
        <f t="shared" si="48"/>
        <v>0</v>
      </c>
      <c r="CX52" s="2">
        <f t="shared" si="49"/>
        <v>0</v>
      </c>
      <c r="CY52" s="2">
        <f>(ROUND((((S52+ROUND((ROUND((((EU52*1.2))*AV52*1),2)*BS52),2))*AT52)/100),2)+ROUND(((ROUND((ROUND(((AE52-((EU52*1.2)))*AV52*1),2)*BS52),2)*AT52)/100),2))</f>
        <v>3645.04</v>
      </c>
      <c r="CZ52" s="2">
        <f>(ROUND((((S52+ROUND((ROUND((((EU52*1.2))*AV52*1),2)*BS52),2))*AU52)/100),2)+ROUND(((ROUND((ROUND(((AE52-((EU52*1.2)))*AV52*1),2)*BS52),2)*AU52)/100),2))</f>
        <v>1922.66</v>
      </c>
      <c r="DA52" s="2"/>
      <c r="DB52" s="2">
        <v>49</v>
      </c>
      <c r="DC52" s="2" t="s">
        <v>3</v>
      </c>
      <c r="DD52" s="2" t="s">
        <v>77</v>
      </c>
      <c r="DE52" s="2" t="s">
        <v>78</v>
      </c>
      <c r="DF52" s="2" t="s">
        <v>78</v>
      </c>
      <c r="DG52" s="2" t="s">
        <v>78</v>
      </c>
      <c r="DH52" s="2" t="s">
        <v>3</v>
      </c>
      <c r="DI52" s="2" t="s">
        <v>78</v>
      </c>
      <c r="DJ52" s="2" t="s">
        <v>78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1003</v>
      </c>
      <c r="DV52" s="2" t="s">
        <v>75</v>
      </c>
      <c r="DW52" s="2" t="s">
        <v>75</v>
      </c>
      <c r="DX52" s="2">
        <v>100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55393738</v>
      </c>
      <c r="EF52" s="2">
        <v>60</v>
      </c>
      <c r="EG52" s="2" t="s">
        <v>79</v>
      </c>
      <c r="EH52" s="2">
        <v>0</v>
      </c>
      <c r="EI52" s="2" t="s">
        <v>3</v>
      </c>
      <c r="EJ52" s="2">
        <v>1</v>
      </c>
      <c r="EK52" s="2">
        <v>106</v>
      </c>
      <c r="EL52" s="2" t="s">
        <v>80</v>
      </c>
      <c r="EM52" s="2" t="s">
        <v>81</v>
      </c>
      <c r="EN52" s="2"/>
      <c r="EO52" s="2" t="s">
        <v>82</v>
      </c>
      <c r="EP52" s="2"/>
      <c r="EQ52" s="2">
        <v>0</v>
      </c>
      <c r="ER52" s="2">
        <v>98.52</v>
      </c>
      <c r="ES52" s="2">
        <v>0</v>
      </c>
      <c r="ET52" s="2">
        <v>0</v>
      </c>
      <c r="EU52" s="2">
        <v>0</v>
      </c>
      <c r="EV52" s="2">
        <v>98.52</v>
      </c>
      <c r="EW52" s="2">
        <v>9.64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91</v>
      </c>
      <c r="FY52" s="2">
        <v>48</v>
      </c>
      <c r="FZ52" s="2"/>
      <c r="GA52" s="2" t="s">
        <v>3</v>
      </c>
      <c r="GB52" s="2"/>
      <c r="GC52" s="2"/>
      <c r="GD52" s="2">
        <v>1</v>
      </c>
      <c r="GE52" s="2"/>
      <c r="GF52" s="2">
        <v>1114236003</v>
      </c>
      <c r="GG52" s="2">
        <v>2</v>
      </c>
      <c r="GH52" s="2">
        <v>1</v>
      </c>
      <c r="GI52" s="2">
        <v>2</v>
      </c>
      <c r="GJ52" s="2">
        <v>0</v>
      </c>
      <c r="GK52" s="2">
        <v>0</v>
      </c>
      <c r="GL52" s="2">
        <f t="shared" si="52"/>
        <v>0</v>
      </c>
      <c r="GM52" s="2">
        <f t="shared" si="53"/>
        <v>9573.24</v>
      </c>
      <c r="GN52" s="2">
        <f t="shared" si="54"/>
        <v>9573.24</v>
      </c>
      <c r="GO52" s="2">
        <f t="shared" si="55"/>
        <v>0</v>
      </c>
      <c r="GP52" s="2">
        <f t="shared" si="56"/>
        <v>0</v>
      </c>
      <c r="GQ52" s="2"/>
      <c r="GR52" s="2">
        <v>0</v>
      </c>
      <c r="GS52" s="2">
        <v>3</v>
      </c>
      <c r="GT52" s="2">
        <v>0</v>
      </c>
      <c r="GU52" s="2" t="s">
        <v>3</v>
      </c>
      <c r="GV52" s="2">
        <f t="shared" si="57"/>
        <v>0</v>
      </c>
      <c r="GW52" s="2">
        <v>1</v>
      </c>
      <c r="GX52" s="2">
        <f t="shared" si="58"/>
        <v>0</v>
      </c>
      <c r="GY52" s="2"/>
      <c r="GZ52" s="2"/>
      <c r="HA52" s="2">
        <v>0</v>
      </c>
      <c r="HB52" s="2">
        <v>0</v>
      </c>
      <c r="HC52" s="2">
        <f t="shared" si="59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 s="3">
        <v>17</v>
      </c>
      <c r="B53" s="3">
        <v>1</v>
      </c>
      <c r="C53" s="3">
        <f>ROW(SmtRes!A48)</f>
        <v>48</v>
      </c>
      <c r="D53" s="3">
        <f>ROW(EtalonRes!A56)</f>
        <v>56</v>
      </c>
      <c r="E53" s="3" t="s">
        <v>72</v>
      </c>
      <c r="F53" s="3" t="s">
        <v>73</v>
      </c>
      <c r="G53" s="3" t="s">
        <v>74</v>
      </c>
      <c r="H53" s="3" t="s">
        <v>75</v>
      </c>
      <c r="I53" s="3">
        <f>ROUND((3181+55)/100,9)</f>
        <v>32.36</v>
      </c>
      <c r="J53" s="3">
        <v>0</v>
      </c>
      <c r="K53" s="3">
        <f>ROUND((3181+55)/100,9)</f>
        <v>32.36</v>
      </c>
      <c r="O53" s="3">
        <f t="shared" si="21"/>
        <v>225712.18</v>
      </c>
      <c r="P53" s="3">
        <f t="shared" si="22"/>
        <v>0</v>
      </c>
      <c r="Q53" s="3">
        <f>(ROUND((ROUND((((ET53*1.2))*AV53*I53),2)*BB53),2)+ROUND((ROUND(((AE53-((EU53*1.2)))*AV53*I53),2)*BS53),2))</f>
        <v>0</v>
      </c>
      <c r="R53" s="3">
        <f>(ROUND((ROUND((((EU53*1.2))*AV53*I53),2)*BS53),2)+ROUND((ROUND(((AE53-((EU53*1.2)))*AV53*I53),2)*BS53),2))</f>
        <v>0</v>
      </c>
      <c r="S53" s="3">
        <f t="shared" si="25"/>
        <v>225712.18</v>
      </c>
      <c r="T53" s="3">
        <f t="shared" si="26"/>
        <v>0</v>
      </c>
      <c r="U53" s="3">
        <f t="shared" si="27"/>
        <v>391.93448255999994</v>
      </c>
      <c r="V53" s="3">
        <f t="shared" si="28"/>
        <v>0</v>
      </c>
      <c r="W53" s="3">
        <f t="shared" si="29"/>
        <v>0</v>
      </c>
      <c r="X53" s="3">
        <f>(ROUND((((S53+ROUND((ROUND((((EU53*1.2))*AV53*I53),2)*BS53),2))*AT53)/100),2)+ROUND(((ROUND((ROUND(((AE53-((EU53*1.2)))*AV53*I53),2)*BS53),2)*AT53)/100),2))</f>
        <v>205398.08</v>
      </c>
      <c r="Y53" s="3">
        <f>(ROUND((((S53+ROUND((ROUND((((EU53*1.2))*AV53*I53),2)*BS53),2))*AU53)/100),2)+ROUND(((ROUND((ROUND(((AE53-((EU53*1.2)))*AV53*I53),2)*BS53),2)*AU53)/100),2))</f>
        <v>108341.85</v>
      </c>
      <c r="AA53" s="3">
        <v>55915258</v>
      </c>
      <c r="AB53" s="3">
        <f t="shared" si="32"/>
        <v>118.224</v>
      </c>
      <c r="AC53" s="3">
        <f>ROUND(((ES53*1)),6)</f>
        <v>0</v>
      </c>
      <c r="AD53" s="3">
        <f>ROUND(((((ET53*1.2))-((EU53*1.2)))+AE53),6)</f>
        <v>0</v>
      </c>
      <c r="AE53" s="3">
        <f t="shared" si="60"/>
        <v>0</v>
      </c>
      <c r="AF53" s="3">
        <f t="shared" si="60"/>
        <v>118.224</v>
      </c>
      <c r="AG53" s="3">
        <f t="shared" si="37"/>
        <v>0</v>
      </c>
      <c r="AH53" s="3">
        <f t="shared" si="61"/>
        <v>11.568</v>
      </c>
      <c r="AI53" s="3">
        <f t="shared" si="61"/>
        <v>0</v>
      </c>
      <c r="AJ53" s="3">
        <f t="shared" si="40"/>
        <v>0</v>
      </c>
      <c r="AK53" s="3">
        <v>98.52</v>
      </c>
      <c r="AL53" s="3">
        <v>0</v>
      </c>
      <c r="AM53" s="3">
        <v>0</v>
      </c>
      <c r="AN53" s="3">
        <v>0</v>
      </c>
      <c r="AO53" s="3">
        <v>98.52</v>
      </c>
      <c r="AP53" s="3">
        <v>0</v>
      </c>
      <c r="AQ53" s="3">
        <v>9.64</v>
      </c>
      <c r="AR53" s="3">
        <v>0</v>
      </c>
      <c r="AS53" s="3">
        <v>0</v>
      </c>
      <c r="AT53" s="3">
        <v>91</v>
      </c>
      <c r="AU53" s="3">
        <v>48</v>
      </c>
      <c r="AV53" s="3">
        <v>1.0469999999999999</v>
      </c>
      <c r="AW53" s="3">
        <v>1</v>
      </c>
      <c r="AZ53" s="3">
        <v>1</v>
      </c>
      <c r="BA53" s="3">
        <v>56.35</v>
      </c>
      <c r="BB53" s="3">
        <v>1</v>
      </c>
      <c r="BC53" s="3">
        <v>1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0</v>
      </c>
      <c r="BI53" s="3">
        <v>1</v>
      </c>
      <c r="BJ53" s="3" t="s">
        <v>76</v>
      </c>
      <c r="BM53" s="3">
        <v>106</v>
      </c>
      <c r="BN53" s="3">
        <v>0</v>
      </c>
      <c r="BO53" s="3" t="s">
        <v>73</v>
      </c>
      <c r="BP53" s="3">
        <v>1</v>
      </c>
      <c r="BQ53" s="3">
        <v>60</v>
      </c>
      <c r="BR53" s="3">
        <v>0</v>
      </c>
      <c r="BS53" s="3">
        <v>56.35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91</v>
      </c>
      <c r="CA53" s="3">
        <v>48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605</v>
      </c>
      <c r="CO53" s="3">
        <v>0</v>
      </c>
      <c r="CP53" s="3">
        <f t="shared" si="41"/>
        <v>225712.18</v>
      </c>
      <c r="CQ53" s="3">
        <f t="shared" si="42"/>
        <v>0</v>
      </c>
      <c r="CR53" s="3">
        <f>(ROUND((ROUND((((ET53*1.2))*AV53*1),2)*BB53),2)+ROUND((ROUND(((AE53-((EU53*1.2)))*AV53*1),2)*BS53),2))</f>
        <v>0</v>
      </c>
      <c r="CS53" s="3">
        <f>(ROUND((ROUND((((EU53*1.2))*AV53*1),2)*BS53),2)+ROUND((ROUND(((AE53-((EU53*1.2)))*AV53*1),2)*BS53),2))</f>
        <v>0</v>
      </c>
      <c r="CT53" s="3">
        <f t="shared" si="45"/>
        <v>6975</v>
      </c>
      <c r="CU53" s="3">
        <f t="shared" si="46"/>
        <v>0</v>
      </c>
      <c r="CV53" s="3">
        <f t="shared" si="47"/>
        <v>12.111695999999998</v>
      </c>
      <c r="CW53" s="3">
        <f t="shared" si="48"/>
        <v>0</v>
      </c>
      <c r="CX53" s="3">
        <f t="shared" si="49"/>
        <v>0</v>
      </c>
      <c r="CY53" s="3">
        <f>(ROUND((((S53+ROUND((ROUND((((EU53*1.2))*AV53*1),2)*BS53),2))*AT53)/100),2)+ROUND(((ROUND((ROUND(((AE53-((EU53*1.2)))*AV53*1),2)*BS53),2)*AT53)/100),2))</f>
        <v>205398.08</v>
      </c>
      <c r="CZ53" s="3">
        <f>(ROUND((((S53+ROUND((ROUND((((EU53*1.2))*AV53*1),2)*BS53),2))*AU53)/100),2)+ROUND(((ROUND((ROUND(((AE53-((EU53*1.2)))*AV53*1),2)*BS53),2)*AU53)/100),2))</f>
        <v>108341.85</v>
      </c>
      <c r="DB53" s="3">
        <v>50</v>
      </c>
      <c r="DC53" s="3" t="s">
        <v>3</v>
      </c>
      <c r="DD53" s="3" t="s">
        <v>77</v>
      </c>
      <c r="DE53" s="3" t="s">
        <v>78</v>
      </c>
      <c r="DF53" s="3" t="s">
        <v>78</v>
      </c>
      <c r="DG53" s="3" t="s">
        <v>78</v>
      </c>
      <c r="DH53" s="3" t="s">
        <v>3</v>
      </c>
      <c r="DI53" s="3" t="s">
        <v>78</v>
      </c>
      <c r="DJ53" s="3" t="s">
        <v>78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1003</v>
      </c>
      <c r="DV53" s="3" t="s">
        <v>75</v>
      </c>
      <c r="DW53" s="3" t="s">
        <v>75</v>
      </c>
      <c r="DX53" s="3">
        <v>100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55393738</v>
      </c>
      <c r="EF53" s="3">
        <v>60</v>
      </c>
      <c r="EG53" s="3" t="s">
        <v>79</v>
      </c>
      <c r="EH53" s="3">
        <v>0</v>
      </c>
      <c r="EI53" s="3" t="s">
        <v>3</v>
      </c>
      <c r="EJ53" s="3">
        <v>1</v>
      </c>
      <c r="EK53" s="3">
        <v>106</v>
      </c>
      <c r="EL53" s="3" t="s">
        <v>80</v>
      </c>
      <c r="EM53" s="3" t="s">
        <v>81</v>
      </c>
      <c r="EO53" s="3" t="s">
        <v>82</v>
      </c>
      <c r="EQ53" s="3">
        <v>0</v>
      </c>
      <c r="ER53" s="3">
        <v>98.52</v>
      </c>
      <c r="ES53" s="3">
        <v>0</v>
      </c>
      <c r="ET53" s="3">
        <v>0</v>
      </c>
      <c r="EU53" s="3">
        <v>0</v>
      </c>
      <c r="EV53" s="3">
        <v>98.52</v>
      </c>
      <c r="EW53" s="3">
        <v>9.64</v>
      </c>
      <c r="EX53" s="3">
        <v>0</v>
      </c>
      <c r="EY53" s="3">
        <v>0</v>
      </c>
      <c r="FQ53" s="3">
        <v>0</v>
      </c>
      <c r="FR53" s="3">
        <v>0</v>
      </c>
      <c r="FS53" s="3">
        <v>0</v>
      </c>
      <c r="FX53" s="3">
        <v>91</v>
      </c>
      <c r="FY53" s="3">
        <v>48</v>
      </c>
      <c r="GA53" s="3" t="s">
        <v>3</v>
      </c>
      <c r="GD53" s="3">
        <v>1</v>
      </c>
      <c r="GF53" s="3">
        <v>1114236003</v>
      </c>
      <c r="GG53" s="3">
        <v>2</v>
      </c>
      <c r="GH53" s="3">
        <v>1</v>
      </c>
      <c r="GI53" s="3">
        <v>2</v>
      </c>
      <c r="GJ53" s="3">
        <v>0</v>
      </c>
      <c r="GK53" s="3">
        <v>0</v>
      </c>
      <c r="GL53" s="3">
        <f t="shared" si="52"/>
        <v>0</v>
      </c>
      <c r="GM53" s="3">
        <f t="shared" si="53"/>
        <v>539452.11</v>
      </c>
      <c r="GN53" s="3">
        <f t="shared" si="54"/>
        <v>539452.11</v>
      </c>
      <c r="GO53" s="3">
        <f t="shared" si="55"/>
        <v>0</v>
      </c>
      <c r="GP53" s="3">
        <f t="shared" si="56"/>
        <v>0</v>
      </c>
      <c r="GR53" s="3">
        <v>0</v>
      </c>
      <c r="GS53" s="3">
        <v>3</v>
      </c>
      <c r="GT53" s="3">
        <v>0</v>
      </c>
      <c r="GU53" s="3" t="s">
        <v>3</v>
      </c>
      <c r="GV53" s="3">
        <f t="shared" si="57"/>
        <v>0</v>
      </c>
      <c r="GW53" s="3">
        <v>1</v>
      </c>
      <c r="GX53" s="3">
        <f t="shared" si="58"/>
        <v>0</v>
      </c>
      <c r="HA53" s="3">
        <v>0</v>
      </c>
      <c r="HB53" s="3">
        <v>0</v>
      </c>
      <c r="HC53" s="3">
        <f t="shared" si="59"/>
        <v>0</v>
      </c>
      <c r="HE53" s="3" t="s">
        <v>3</v>
      </c>
      <c r="HF53" s="3" t="s">
        <v>3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">
      <c r="A54" s="2">
        <v>17</v>
      </c>
      <c r="B54" s="2">
        <v>1</v>
      </c>
      <c r="C54" s="2">
        <f>ROW(SmtRes!A50)</f>
        <v>50</v>
      </c>
      <c r="D54" s="2">
        <f>ROW(EtalonRes!A58)</f>
        <v>58</v>
      </c>
      <c r="E54" s="2" t="s">
        <v>83</v>
      </c>
      <c r="F54" s="2" t="s">
        <v>84</v>
      </c>
      <c r="G54" s="2" t="s">
        <v>85</v>
      </c>
      <c r="H54" s="2" t="s">
        <v>75</v>
      </c>
      <c r="I54" s="2">
        <f>ROUND(2189/100,9)</f>
        <v>21.89</v>
      </c>
      <c r="J54" s="2">
        <v>0</v>
      </c>
      <c r="K54" s="2">
        <f>ROUND(2189/100,9)</f>
        <v>21.89</v>
      </c>
      <c r="L54" s="2"/>
      <c r="M54" s="2"/>
      <c r="N54" s="2"/>
      <c r="O54" s="2">
        <f t="shared" si="21"/>
        <v>8807.16</v>
      </c>
      <c r="P54" s="2">
        <f t="shared" si="22"/>
        <v>0</v>
      </c>
      <c r="Q54" s="2">
        <f>(ROUND((ROUND((((ET54*1.2))*AV54*I54),2)*BB54),2)+ROUND((ROUND(((AE54-((EU54*1.2)))*AV54*I54),2)*BS54),2))</f>
        <v>0</v>
      </c>
      <c r="R54" s="2">
        <f>(ROUND((ROUND((((EU54*1.2))*AV54*I54),2)*BS54),2)+ROUND((ROUND(((AE54-((EU54*1.2)))*AV54*I54),2)*BS54),2))</f>
        <v>0</v>
      </c>
      <c r="S54" s="2">
        <f t="shared" si="25"/>
        <v>8807.16</v>
      </c>
      <c r="T54" s="2">
        <f t="shared" si="26"/>
        <v>0</v>
      </c>
      <c r="U54" s="2">
        <f t="shared" si="27"/>
        <v>837.17902223999988</v>
      </c>
      <c r="V54" s="2">
        <f t="shared" si="28"/>
        <v>0</v>
      </c>
      <c r="W54" s="2">
        <f t="shared" si="29"/>
        <v>0</v>
      </c>
      <c r="X54" s="2">
        <f>(ROUND((((S54+ROUND((ROUND((((EU54*1.2))*AV54*I54),2)*BS54),2))*AT54)/100),2)+ROUND(((ROUND((ROUND(((AE54-((EU54*1.2)))*AV54*I54),2)*BS54),2)*AT54)/100),2))</f>
        <v>8014.52</v>
      </c>
      <c r="Y54" s="2">
        <f>(ROUND((((S54+ROUND((ROUND((((EU54*1.2))*AV54*I54),2)*BS54),2))*AU54)/100),2)+ROUND(((ROUND((ROUND(((AE54-((EU54*1.2)))*AV54*I54),2)*BS54),2)*AU54)/100),2))</f>
        <v>4227.4399999999996</v>
      </c>
      <c r="Z54" s="2"/>
      <c r="AA54" s="2">
        <v>55915256</v>
      </c>
      <c r="AB54" s="2">
        <f t="shared" si="32"/>
        <v>384.27600000000001</v>
      </c>
      <c r="AC54" s="2">
        <f>ROUND(((ES54*1)),6)</f>
        <v>0</v>
      </c>
      <c r="AD54" s="2">
        <f>ROUND(((((ET54*1.2))-((EU54*1.2)))+AE54),6)</f>
        <v>0</v>
      </c>
      <c r="AE54" s="2">
        <f t="shared" si="60"/>
        <v>0</v>
      </c>
      <c r="AF54" s="2">
        <f t="shared" si="60"/>
        <v>384.27600000000001</v>
      </c>
      <c r="AG54" s="2">
        <f t="shared" si="37"/>
        <v>0</v>
      </c>
      <c r="AH54" s="2">
        <f t="shared" si="61"/>
        <v>36.527999999999999</v>
      </c>
      <c r="AI54" s="2">
        <f t="shared" si="61"/>
        <v>0</v>
      </c>
      <c r="AJ54" s="2">
        <f t="shared" si="40"/>
        <v>0</v>
      </c>
      <c r="AK54" s="2">
        <v>320.23</v>
      </c>
      <c r="AL54" s="2">
        <v>0</v>
      </c>
      <c r="AM54" s="2">
        <v>0</v>
      </c>
      <c r="AN54" s="2">
        <v>0</v>
      </c>
      <c r="AO54" s="2">
        <v>320.23</v>
      </c>
      <c r="AP54" s="2">
        <v>0</v>
      </c>
      <c r="AQ54" s="2">
        <v>30.44</v>
      </c>
      <c r="AR54" s="2">
        <v>0</v>
      </c>
      <c r="AS54" s="2">
        <v>0</v>
      </c>
      <c r="AT54" s="2">
        <v>91</v>
      </c>
      <c r="AU54" s="2">
        <v>48</v>
      </c>
      <c r="AV54" s="2">
        <v>1.0469999999999999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1</v>
      </c>
      <c r="BJ54" s="2" t="s">
        <v>86</v>
      </c>
      <c r="BK54" s="2"/>
      <c r="BL54" s="2"/>
      <c r="BM54" s="2">
        <v>106</v>
      </c>
      <c r="BN54" s="2">
        <v>0</v>
      </c>
      <c r="BO54" s="2" t="s">
        <v>84</v>
      </c>
      <c r="BP54" s="2">
        <v>1</v>
      </c>
      <c r="BQ54" s="2">
        <v>60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91</v>
      </c>
      <c r="CA54" s="2">
        <v>48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605</v>
      </c>
      <c r="CO54" s="2">
        <v>0</v>
      </c>
      <c r="CP54" s="2">
        <f t="shared" si="41"/>
        <v>8807.16</v>
      </c>
      <c r="CQ54" s="2">
        <f t="shared" si="42"/>
        <v>0</v>
      </c>
      <c r="CR54" s="2">
        <f>(ROUND((ROUND((((ET54*1.2))*AV54*1),2)*BB54),2)+ROUND((ROUND(((AE54-((EU54*1.2)))*AV54*1),2)*BS54),2))</f>
        <v>0</v>
      </c>
      <c r="CS54" s="2">
        <f>(ROUND((ROUND((((EU54*1.2))*AV54*1),2)*BS54),2)+ROUND((ROUND(((AE54-((EU54*1.2)))*AV54*1),2)*BS54),2))</f>
        <v>0</v>
      </c>
      <c r="CT54" s="2">
        <f t="shared" si="45"/>
        <v>402.34</v>
      </c>
      <c r="CU54" s="2">
        <f t="shared" si="46"/>
        <v>0</v>
      </c>
      <c r="CV54" s="2">
        <f t="shared" si="47"/>
        <v>38.244815999999993</v>
      </c>
      <c r="CW54" s="2">
        <f t="shared" si="48"/>
        <v>0</v>
      </c>
      <c r="CX54" s="2">
        <f t="shared" si="49"/>
        <v>0</v>
      </c>
      <c r="CY54" s="2">
        <f>(ROUND((((S54+ROUND((ROUND((((EU54*1.2))*AV54*1),2)*BS54),2))*AT54)/100),2)+ROUND(((ROUND((ROUND(((AE54-((EU54*1.2)))*AV54*1),2)*BS54),2)*AT54)/100),2))</f>
        <v>8014.52</v>
      </c>
      <c r="CZ54" s="2">
        <f>(ROUND((((S54+ROUND((ROUND((((EU54*1.2))*AV54*1),2)*BS54),2))*AU54)/100),2)+ROUND(((ROUND((ROUND(((AE54-((EU54*1.2)))*AV54*1),2)*BS54),2)*AU54)/100),2))</f>
        <v>4227.4399999999996</v>
      </c>
      <c r="DA54" s="2"/>
      <c r="DB54" s="2">
        <v>51</v>
      </c>
      <c r="DC54" s="2" t="s">
        <v>3</v>
      </c>
      <c r="DD54" s="2" t="s">
        <v>77</v>
      </c>
      <c r="DE54" s="2" t="s">
        <v>78</v>
      </c>
      <c r="DF54" s="2" t="s">
        <v>78</v>
      </c>
      <c r="DG54" s="2" t="s">
        <v>78</v>
      </c>
      <c r="DH54" s="2" t="s">
        <v>3</v>
      </c>
      <c r="DI54" s="2" t="s">
        <v>78</v>
      </c>
      <c r="DJ54" s="2" t="s">
        <v>78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1003</v>
      </c>
      <c r="DV54" s="2" t="s">
        <v>75</v>
      </c>
      <c r="DW54" s="2" t="s">
        <v>75</v>
      </c>
      <c r="DX54" s="2">
        <v>100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55393738</v>
      </c>
      <c r="EF54" s="2">
        <v>60</v>
      </c>
      <c r="EG54" s="2" t="s">
        <v>79</v>
      </c>
      <c r="EH54" s="2">
        <v>0</v>
      </c>
      <c r="EI54" s="2" t="s">
        <v>3</v>
      </c>
      <c r="EJ54" s="2">
        <v>1</v>
      </c>
      <c r="EK54" s="2">
        <v>106</v>
      </c>
      <c r="EL54" s="2" t="s">
        <v>80</v>
      </c>
      <c r="EM54" s="2" t="s">
        <v>81</v>
      </c>
      <c r="EN54" s="2"/>
      <c r="EO54" s="2" t="s">
        <v>82</v>
      </c>
      <c r="EP54" s="2"/>
      <c r="EQ54" s="2">
        <v>0</v>
      </c>
      <c r="ER54" s="2">
        <v>320.23</v>
      </c>
      <c r="ES54" s="2">
        <v>0</v>
      </c>
      <c r="ET54" s="2">
        <v>0</v>
      </c>
      <c r="EU54" s="2">
        <v>0</v>
      </c>
      <c r="EV54" s="2">
        <v>320.23</v>
      </c>
      <c r="EW54" s="2">
        <v>30.44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91</v>
      </c>
      <c r="FY54" s="2">
        <v>48</v>
      </c>
      <c r="FZ54" s="2"/>
      <c r="GA54" s="2" t="s">
        <v>3</v>
      </c>
      <c r="GB54" s="2"/>
      <c r="GC54" s="2"/>
      <c r="GD54" s="2">
        <v>1</v>
      </c>
      <c r="GE54" s="2"/>
      <c r="GF54" s="2">
        <v>-1403822920</v>
      </c>
      <c r="GG54" s="2">
        <v>2</v>
      </c>
      <c r="GH54" s="2">
        <v>1</v>
      </c>
      <c r="GI54" s="2">
        <v>2</v>
      </c>
      <c r="GJ54" s="2">
        <v>0</v>
      </c>
      <c r="GK54" s="2">
        <v>0</v>
      </c>
      <c r="GL54" s="2">
        <f t="shared" si="52"/>
        <v>0</v>
      </c>
      <c r="GM54" s="2">
        <f t="shared" si="53"/>
        <v>21049.119999999999</v>
      </c>
      <c r="GN54" s="2">
        <f t="shared" si="54"/>
        <v>21049.119999999999</v>
      </c>
      <c r="GO54" s="2">
        <f t="shared" si="55"/>
        <v>0</v>
      </c>
      <c r="GP54" s="2">
        <f t="shared" si="56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57"/>
        <v>0</v>
      </c>
      <c r="GW54" s="2">
        <v>1</v>
      </c>
      <c r="GX54" s="2">
        <f t="shared" si="58"/>
        <v>0</v>
      </c>
      <c r="GY54" s="2"/>
      <c r="GZ54" s="2"/>
      <c r="HA54" s="2">
        <v>0</v>
      </c>
      <c r="HB54" s="2">
        <v>0</v>
      </c>
      <c r="HC54" s="2">
        <f t="shared" si="59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 s="3">
        <v>17</v>
      </c>
      <c r="B55" s="3">
        <v>1</v>
      </c>
      <c r="C55" s="3">
        <f>ROW(SmtRes!A52)</f>
        <v>52</v>
      </c>
      <c r="D55" s="3">
        <f>ROW(EtalonRes!A60)</f>
        <v>60</v>
      </c>
      <c r="E55" s="3" t="s">
        <v>83</v>
      </c>
      <c r="F55" s="3" t="s">
        <v>84</v>
      </c>
      <c r="G55" s="3" t="s">
        <v>85</v>
      </c>
      <c r="H55" s="3" t="s">
        <v>75</v>
      </c>
      <c r="I55" s="3">
        <f>ROUND(2189/100,9)</f>
        <v>21.89</v>
      </c>
      <c r="J55" s="3">
        <v>0</v>
      </c>
      <c r="K55" s="3">
        <f>ROUND(2189/100,9)</f>
        <v>21.89</v>
      </c>
      <c r="O55" s="3">
        <f t="shared" si="21"/>
        <v>496283.47</v>
      </c>
      <c r="P55" s="3">
        <f t="shared" si="22"/>
        <v>0</v>
      </c>
      <c r="Q55" s="3">
        <f>(ROUND((ROUND((((ET55*1.2))*AV55*I55),2)*BB55),2)+ROUND((ROUND(((AE55-((EU55*1.2)))*AV55*I55),2)*BS55),2))</f>
        <v>0</v>
      </c>
      <c r="R55" s="3">
        <f>(ROUND((ROUND((((EU55*1.2))*AV55*I55),2)*BS55),2)+ROUND((ROUND(((AE55-((EU55*1.2)))*AV55*I55),2)*BS55),2))</f>
        <v>0</v>
      </c>
      <c r="S55" s="3">
        <f t="shared" si="25"/>
        <v>496283.47</v>
      </c>
      <c r="T55" s="3">
        <f t="shared" si="26"/>
        <v>0</v>
      </c>
      <c r="U55" s="3">
        <f t="shared" si="27"/>
        <v>837.17902223999988</v>
      </c>
      <c r="V55" s="3">
        <f t="shared" si="28"/>
        <v>0</v>
      </c>
      <c r="W55" s="3">
        <f t="shared" si="29"/>
        <v>0</v>
      </c>
      <c r="X55" s="3">
        <f>(ROUND((((S55+ROUND((ROUND((((EU55*1.2))*AV55*I55),2)*BS55),2))*AT55)/100),2)+ROUND(((ROUND((ROUND(((AE55-((EU55*1.2)))*AV55*I55),2)*BS55),2)*AT55)/100),2))</f>
        <v>451617.96</v>
      </c>
      <c r="Y55" s="3">
        <f>(ROUND((((S55+ROUND((ROUND((((EU55*1.2))*AV55*I55),2)*BS55),2))*AU55)/100),2)+ROUND(((ROUND((ROUND(((AE55-((EU55*1.2)))*AV55*I55),2)*BS55),2)*AU55)/100),2))</f>
        <v>238216.07</v>
      </c>
      <c r="AA55" s="3">
        <v>55915258</v>
      </c>
      <c r="AB55" s="3">
        <f t="shared" si="32"/>
        <v>384.27600000000001</v>
      </c>
      <c r="AC55" s="3">
        <f>ROUND(((ES55*1)),6)</f>
        <v>0</v>
      </c>
      <c r="AD55" s="3">
        <f>ROUND(((((ET55*1.2))-((EU55*1.2)))+AE55),6)</f>
        <v>0</v>
      </c>
      <c r="AE55" s="3">
        <f t="shared" si="60"/>
        <v>0</v>
      </c>
      <c r="AF55" s="3">
        <f t="shared" si="60"/>
        <v>384.27600000000001</v>
      </c>
      <c r="AG55" s="3">
        <f t="shared" si="37"/>
        <v>0</v>
      </c>
      <c r="AH55" s="3">
        <f t="shared" si="61"/>
        <v>36.527999999999999</v>
      </c>
      <c r="AI55" s="3">
        <f t="shared" si="61"/>
        <v>0</v>
      </c>
      <c r="AJ55" s="3">
        <f t="shared" si="40"/>
        <v>0</v>
      </c>
      <c r="AK55" s="3">
        <v>320.23</v>
      </c>
      <c r="AL55" s="3">
        <v>0</v>
      </c>
      <c r="AM55" s="3">
        <v>0</v>
      </c>
      <c r="AN55" s="3">
        <v>0</v>
      </c>
      <c r="AO55" s="3">
        <v>320.23</v>
      </c>
      <c r="AP55" s="3">
        <v>0</v>
      </c>
      <c r="AQ55" s="3">
        <v>30.44</v>
      </c>
      <c r="AR55" s="3">
        <v>0</v>
      </c>
      <c r="AS55" s="3">
        <v>0</v>
      </c>
      <c r="AT55" s="3">
        <v>91</v>
      </c>
      <c r="AU55" s="3">
        <v>48</v>
      </c>
      <c r="AV55" s="3">
        <v>1.0469999999999999</v>
      </c>
      <c r="AW55" s="3">
        <v>1</v>
      </c>
      <c r="AZ55" s="3">
        <v>1</v>
      </c>
      <c r="BA55" s="3">
        <v>56.35</v>
      </c>
      <c r="BB55" s="3">
        <v>1</v>
      </c>
      <c r="BC55" s="3">
        <v>1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0</v>
      </c>
      <c r="BI55" s="3">
        <v>1</v>
      </c>
      <c r="BJ55" s="3" t="s">
        <v>86</v>
      </c>
      <c r="BM55" s="3">
        <v>106</v>
      </c>
      <c r="BN55" s="3">
        <v>0</v>
      </c>
      <c r="BO55" s="3" t="s">
        <v>84</v>
      </c>
      <c r="BP55" s="3">
        <v>1</v>
      </c>
      <c r="BQ55" s="3">
        <v>60</v>
      </c>
      <c r="BR55" s="3">
        <v>0</v>
      </c>
      <c r="BS55" s="3">
        <v>56.35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91</v>
      </c>
      <c r="CA55" s="3">
        <v>48</v>
      </c>
      <c r="CB55" s="3" t="s">
        <v>3</v>
      </c>
      <c r="CE55" s="3">
        <v>1566</v>
      </c>
      <c r="CF55" s="3">
        <v>0</v>
      </c>
      <c r="CG55" s="3">
        <v>0</v>
      </c>
      <c r="CM55" s="3">
        <v>0</v>
      </c>
      <c r="CN55" s="3" t="s">
        <v>605</v>
      </c>
      <c r="CO55" s="3">
        <v>0</v>
      </c>
      <c r="CP55" s="3">
        <f t="shared" si="41"/>
        <v>496283.47</v>
      </c>
      <c r="CQ55" s="3">
        <f t="shared" si="42"/>
        <v>0</v>
      </c>
      <c r="CR55" s="3">
        <f>(ROUND((ROUND((((ET55*1.2))*AV55*1),2)*BB55),2)+ROUND((ROUND(((AE55-((EU55*1.2)))*AV55*1),2)*BS55),2))</f>
        <v>0</v>
      </c>
      <c r="CS55" s="3">
        <f>(ROUND((ROUND((((EU55*1.2))*AV55*1),2)*BS55),2)+ROUND((ROUND(((AE55-((EU55*1.2)))*AV55*1),2)*BS55),2))</f>
        <v>0</v>
      </c>
      <c r="CT55" s="3">
        <f t="shared" si="45"/>
        <v>22671.86</v>
      </c>
      <c r="CU55" s="3">
        <f t="shared" si="46"/>
        <v>0</v>
      </c>
      <c r="CV55" s="3">
        <f t="shared" si="47"/>
        <v>38.244815999999993</v>
      </c>
      <c r="CW55" s="3">
        <f t="shared" si="48"/>
        <v>0</v>
      </c>
      <c r="CX55" s="3">
        <f t="shared" si="49"/>
        <v>0</v>
      </c>
      <c r="CY55" s="3">
        <f>(ROUND((((S55+ROUND((ROUND((((EU55*1.2))*AV55*1),2)*BS55),2))*AT55)/100),2)+ROUND(((ROUND((ROUND(((AE55-((EU55*1.2)))*AV55*1),2)*BS55),2)*AT55)/100),2))</f>
        <v>451617.96</v>
      </c>
      <c r="CZ55" s="3">
        <f>(ROUND((((S55+ROUND((ROUND((((EU55*1.2))*AV55*1),2)*BS55),2))*AU55)/100),2)+ROUND(((ROUND((ROUND(((AE55-((EU55*1.2)))*AV55*1),2)*BS55),2)*AU55)/100),2))</f>
        <v>238216.07</v>
      </c>
      <c r="DB55" s="3">
        <v>52</v>
      </c>
      <c r="DC55" s="3" t="s">
        <v>3</v>
      </c>
      <c r="DD55" s="3" t="s">
        <v>77</v>
      </c>
      <c r="DE55" s="3" t="s">
        <v>78</v>
      </c>
      <c r="DF55" s="3" t="s">
        <v>78</v>
      </c>
      <c r="DG55" s="3" t="s">
        <v>78</v>
      </c>
      <c r="DH55" s="3" t="s">
        <v>3</v>
      </c>
      <c r="DI55" s="3" t="s">
        <v>78</v>
      </c>
      <c r="DJ55" s="3" t="s">
        <v>78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U55" s="3">
        <v>1003</v>
      </c>
      <c r="DV55" s="3" t="s">
        <v>75</v>
      </c>
      <c r="DW55" s="3" t="s">
        <v>75</v>
      </c>
      <c r="DX55" s="3">
        <v>100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55393738</v>
      </c>
      <c r="EF55" s="3">
        <v>60</v>
      </c>
      <c r="EG55" s="3" t="s">
        <v>79</v>
      </c>
      <c r="EH55" s="3">
        <v>0</v>
      </c>
      <c r="EI55" s="3" t="s">
        <v>3</v>
      </c>
      <c r="EJ55" s="3">
        <v>1</v>
      </c>
      <c r="EK55" s="3">
        <v>106</v>
      </c>
      <c r="EL55" s="3" t="s">
        <v>80</v>
      </c>
      <c r="EM55" s="3" t="s">
        <v>81</v>
      </c>
      <c r="EO55" s="3" t="s">
        <v>82</v>
      </c>
      <c r="EQ55" s="3">
        <v>0</v>
      </c>
      <c r="ER55" s="3">
        <v>320.23</v>
      </c>
      <c r="ES55" s="3">
        <v>0</v>
      </c>
      <c r="ET55" s="3">
        <v>0</v>
      </c>
      <c r="EU55" s="3">
        <v>0</v>
      </c>
      <c r="EV55" s="3">
        <v>320.23</v>
      </c>
      <c r="EW55" s="3">
        <v>30.44</v>
      </c>
      <c r="EX55" s="3">
        <v>0</v>
      </c>
      <c r="EY55" s="3">
        <v>0</v>
      </c>
      <c r="FQ55" s="3">
        <v>0</v>
      </c>
      <c r="FR55" s="3">
        <v>0</v>
      </c>
      <c r="FS55" s="3">
        <v>0</v>
      </c>
      <c r="FX55" s="3">
        <v>91</v>
      </c>
      <c r="FY55" s="3">
        <v>48</v>
      </c>
      <c r="GA55" s="3" t="s">
        <v>3</v>
      </c>
      <c r="GD55" s="3">
        <v>1</v>
      </c>
      <c r="GF55" s="3">
        <v>-1403822920</v>
      </c>
      <c r="GG55" s="3">
        <v>2</v>
      </c>
      <c r="GH55" s="3">
        <v>1</v>
      </c>
      <c r="GI55" s="3">
        <v>2</v>
      </c>
      <c r="GJ55" s="3">
        <v>0</v>
      </c>
      <c r="GK55" s="3">
        <v>0</v>
      </c>
      <c r="GL55" s="3">
        <f t="shared" si="52"/>
        <v>0</v>
      </c>
      <c r="GM55" s="3">
        <f t="shared" si="53"/>
        <v>1186117.5</v>
      </c>
      <c r="GN55" s="3">
        <f t="shared" si="54"/>
        <v>1186117.5</v>
      </c>
      <c r="GO55" s="3">
        <f t="shared" si="55"/>
        <v>0</v>
      </c>
      <c r="GP55" s="3">
        <f t="shared" si="56"/>
        <v>0</v>
      </c>
      <c r="GR55" s="3">
        <v>0</v>
      </c>
      <c r="GS55" s="3">
        <v>3</v>
      </c>
      <c r="GT55" s="3">
        <v>0</v>
      </c>
      <c r="GU55" s="3" t="s">
        <v>3</v>
      </c>
      <c r="GV55" s="3">
        <f t="shared" si="57"/>
        <v>0</v>
      </c>
      <c r="GW55" s="3">
        <v>1</v>
      </c>
      <c r="GX55" s="3">
        <f t="shared" si="58"/>
        <v>0</v>
      </c>
      <c r="HA55" s="3">
        <v>0</v>
      </c>
      <c r="HB55" s="3">
        <v>0</v>
      </c>
      <c r="HC55" s="3">
        <f t="shared" si="59"/>
        <v>0</v>
      </c>
      <c r="HE55" s="3" t="s">
        <v>3</v>
      </c>
      <c r="HF55" s="3" t="s">
        <v>3</v>
      </c>
      <c r="HM55" s="3" t="s">
        <v>3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">
      <c r="A56" s="2">
        <v>17</v>
      </c>
      <c r="B56" s="2">
        <v>1</v>
      </c>
      <c r="C56" s="2">
        <f>ROW(SmtRes!A55)</f>
        <v>55</v>
      </c>
      <c r="D56" s="2">
        <f>ROW(EtalonRes!A65)</f>
        <v>65</v>
      </c>
      <c r="E56" s="2" t="s">
        <v>87</v>
      </c>
      <c r="F56" s="2" t="s">
        <v>88</v>
      </c>
      <c r="G56" s="2" t="s">
        <v>89</v>
      </c>
      <c r="H56" s="2" t="s">
        <v>22</v>
      </c>
      <c r="I56" s="2">
        <v>15</v>
      </c>
      <c r="J56" s="2">
        <v>0</v>
      </c>
      <c r="K56" s="2">
        <v>15</v>
      </c>
      <c r="L56" s="2"/>
      <c r="M56" s="2"/>
      <c r="N56" s="2"/>
      <c r="O56" s="2">
        <f t="shared" si="21"/>
        <v>147</v>
      </c>
      <c r="P56" s="2">
        <f t="shared" si="22"/>
        <v>0</v>
      </c>
      <c r="Q56" s="2">
        <f>(ROUND((ROUND(((((ET56*1.2)*0.3))*AV56*I56),2)*BB56),2)+ROUND((ROUND(((AE56-(((EU56*1.2)*0.3)))*AV56*I56),2)*BS56),2))</f>
        <v>0</v>
      </c>
      <c r="R56" s="2">
        <f>(ROUND((ROUND(((((EU56*1.2)*0.3))*AV56*I56),2)*BS56),2)+ROUND((ROUND(((AE56-(((EU56*1.2)*0.3)))*AV56*I56),2)*BS56),2))</f>
        <v>0</v>
      </c>
      <c r="S56" s="2">
        <f t="shared" si="25"/>
        <v>147</v>
      </c>
      <c r="T56" s="2">
        <f t="shared" si="26"/>
        <v>0</v>
      </c>
      <c r="U56" s="2">
        <f t="shared" si="27"/>
        <v>11.646827999999999</v>
      </c>
      <c r="V56" s="2">
        <f t="shared" si="28"/>
        <v>0</v>
      </c>
      <c r="W56" s="2">
        <f t="shared" si="29"/>
        <v>0</v>
      </c>
      <c r="X56" s="2">
        <f>(ROUND((((S56+ROUND((ROUND(((((EU56*1.2)*0.3))*AV56*I56),2)*BS56),2))*AT56)/100),2)+ROUND(((ROUND((ROUND(((AE56-(((EU56*1.2)*0.3)))*AV56*I56),2)*BS56),2)*AT56)/100),2))</f>
        <v>142.59</v>
      </c>
      <c r="Y56" s="2">
        <f>(ROUND((((S56+ROUND((ROUND(((((EU56*1.2)*0.3))*AV56*I56),2)*BS56),2))*AU56)/100),2)+ROUND(((ROUND((ROUND(((AE56-(((EU56*1.2)*0.3)))*AV56*I56),2)*BS56),2)*AU56)/100),2))</f>
        <v>74.97</v>
      </c>
      <c r="Z56" s="2"/>
      <c r="AA56" s="2">
        <v>55915256</v>
      </c>
      <c r="AB56" s="2">
        <f t="shared" si="32"/>
        <v>9.36</v>
      </c>
      <c r="AC56" s="2">
        <f>ROUND((((ES56*1)*0)),6)</f>
        <v>0</v>
      </c>
      <c r="AD56" s="2">
        <f>ROUND((((((ET56*1.2)*0.3))-(((EU56*1.2)*0.3)))+AE56),6)</f>
        <v>0</v>
      </c>
      <c r="AE56" s="2">
        <f>ROUND((((EU56*1.2)*0.3)),6)</f>
        <v>0</v>
      </c>
      <c r="AF56" s="2">
        <f>ROUND((((EV56*1.2)*0.3)),6)</f>
        <v>9.36</v>
      </c>
      <c r="AG56" s="2">
        <f t="shared" si="37"/>
        <v>0</v>
      </c>
      <c r="AH56" s="2">
        <f>(((EW56*1.2)*0.3))</f>
        <v>0.74159999999999993</v>
      </c>
      <c r="AI56" s="2">
        <f>(((EX56*1.2)*0.3))</f>
        <v>0</v>
      </c>
      <c r="AJ56" s="2">
        <f t="shared" si="40"/>
        <v>0</v>
      </c>
      <c r="AK56" s="2">
        <v>54.45</v>
      </c>
      <c r="AL56" s="2">
        <v>28.45</v>
      </c>
      <c r="AM56" s="2">
        <v>0</v>
      </c>
      <c r="AN56" s="2">
        <v>0</v>
      </c>
      <c r="AO56" s="2">
        <v>26</v>
      </c>
      <c r="AP56" s="2">
        <v>0</v>
      </c>
      <c r="AQ56" s="2">
        <v>2.06</v>
      </c>
      <c r="AR56" s="2">
        <v>0</v>
      </c>
      <c r="AS56" s="2">
        <v>0</v>
      </c>
      <c r="AT56" s="2">
        <v>97</v>
      </c>
      <c r="AU56" s="2">
        <v>51</v>
      </c>
      <c r="AV56" s="2">
        <v>1.0469999999999999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0</v>
      </c>
      <c r="BI56" s="2">
        <v>2</v>
      </c>
      <c r="BJ56" s="2" t="s">
        <v>90</v>
      </c>
      <c r="BK56" s="2"/>
      <c r="BL56" s="2"/>
      <c r="BM56" s="2">
        <v>67</v>
      </c>
      <c r="BN56" s="2">
        <v>0</v>
      </c>
      <c r="BO56" s="2" t="s">
        <v>88</v>
      </c>
      <c r="BP56" s="2">
        <v>1</v>
      </c>
      <c r="BQ56" s="2">
        <v>40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97</v>
      </c>
      <c r="CA56" s="2">
        <v>51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604</v>
      </c>
      <c r="CO56" s="2">
        <v>0</v>
      </c>
      <c r="CP56" s="2">
        <f t="shared" si="41"/>
        <v>147</v>
      </c>
      <c r="CQ56" s="2">
        <f t="shared" si="42"/>
        <v>0</v>
      </c>
      <c r="CR56" s="2">
        <f>(ROUND((ROUND(((((ET56*1.2)*0.3))*AV56*1),2)*BB56),2)+ROUND((ROUND(((AE56-(((EU56*1.2)*0.3)))*AV56*1),2)*BS56),2))</f>
        <v>0</v>
      </c>
      <c r="CS56" s="2">
        <f>(ROUND((ROUND(((((EU56*1.2)*0.3))*AV56*1),2)*BS56),2)+ROUND((ROUND(((AE56-(((EU56*1.2)*0.3)))*AV56*1),2)*BS56),2))</f>
        <v>0</v>
      </c>
      <c r="CT56" s="2">
        <f t="shared" si="45"/>
        <v>9.8000000000000007</v>
      </c>
      <c r="CU56" s="2">
        <f t="shared" si="46"/>
        <v>0</v>
      </c>
      <c r="CV56" s="2">
        <f t="shared" si="47"/>
        <v>0.7764551999999999</v>
      </c>
      <c r="CW56" s="2">
        <f t="shared" si="48"/>
        <v>0</v>
      </c>
      <c r="CX56" s="2">
        <f t="shared" si="49"/>
        <v>0</v>
      </c>
      <c r="CY56" s="2">
        <f>(ROUND((((S56+ROUND((ROUND(((((EU56*1.2)*0.3))*AV56*1),2)*BS56),2))*AT56)/100),2)+ROUND(((ROUND((ROUND(((AE56-(((EU56*1.2)*0.3)))*AV56*1),2)*BS56),2)*AT56)/100),2))</f>
        <v>142.59</v>
      </c>
      <c r="CZ56" s="2">
        <f>(ROUND((((S56+ROUND((ROUND(((((EU56*1.2)*0.3))*AV56*1),2)*BS56),2))*AU56)/100),2)+ROUND(((ROUND((ROUND(((AE56-(((EU56*1.2)*0.3)))*AV56*1),2)*BS56),2)*AU56)/100),2))</f>
        <v>74.97</v>
      </c>
      <c r="DA56" s="2"/>
      <c r="DB56" s="2">
        <v>53</v>
      </c>
      <c r="DC56" s="2" t="s">
        <v>3</v>
      </c>
      <c r="DD56" s="2" t="s">
        <v>24</v>
      </c>
      <c r="DE56" s="2" t="s">
        <v>25</v>
      </c>
      <c r="DF56" s="2" t="s">
        <v>25</v>
      </c>
      <c r="DG56" s="2" t="s">
        <v>25</v>
      </c>
      <c r="DH56" s="2" t="s">
        <v>3</v>
      </c>
      <c r="DI56" s="2" t="s">
        <v>25</v>
      </c>
      <c r="DJ56" s="2" t="s">
        <v>25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1013</v>
      </c>
      <c r="DV56" s="2" t="s">
        <v>22</v>
      </c>
      <c r="DW56" s="2" t="s">
        <v>22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55393699</v>
      </c>
      <c r="EF56" s="2">
        <v>40</v>
      </c>
      <c r="EG56" s="2" t="s">
        <v>26</v>
      </c>
      <c r="EH56" s="2">
        <v>0</v>
      </c>
      <c r="EI56" s="2" t="s">
        <v>3</v>
      </c>
      <c r="EJ56" s="2">
        <v>2</v>
      </c>
      <c r="EK56" s="2">
        <v>67</v>
      </c>
      <c r="EL56" s="2" t="s">
        <v>91</v>
      </c>
      <c r="EM56" s="2" t="s">
        <v>92</v>
      </c>
      <c r="EN56" s="2"/>
      <c r="EO56" s="2" t="s">
        <v>29</v>
      </c>
      <c r="EP56" s="2"/>
      <c r="EQ56" s="2">
        <v>0</v>
      </c>
      <c r="ER56" s="2">
        <v>54.45</v>
      </c>
      <c r="ES56" s="2">
        <v>28.45</v>
      </c>
      <c r="ET56" s="2">
        <v>0</v>
      </c>
      <c r="EU56" s="2">
        <v>0</v>
      </c>
      <c r="EV56" s="2">
        <v>26</v>
      </c>
      <c r="EW56" s="2">
        <v>2.06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97</v>
      </c>
      <c r="FY56" s="2">
        <v>51</v>
      </c>
      <c r="FZ56" s="2"/>
      <c r="GA56" s="2" t="s">
        <v>3</v>
      </c>
      <c r="GB56" s="2"/>
      <c r="GC56" s="2"/>
      <c r="GD56" s="2">
        <v>1</v>
      </c>
      <c r="GE56" s="2"/>
      <c r="GF56" s="2">
        <v>1346071223</v>
      </c>
      <c r="GG56" s="2">
        <v>2</v>
      </c>
      <c r="GH56" s="2">
        <v>1</v>
      </c>
      <c r="GI56" s="2">
        <v>2</v>
      </c>
      <c r="GJ56" s="2">
        <v>0</v>
      </c>
      <c r="GK56" s="2">
        <v>0</v>
      </c>
      <c r="GL56" s="2">
        <f t="shared" si="52"/>
        <v>0</v>
      </c>
      <c r="GM56" s="2">
        <f t="shared" si="53"/>
        <v>364.56</v>
      </c>
      <c r="GN56" s="2">
        <f t="shared" si="54"/>
        <v>0</v>
      </c>
      <c r="GO56" s="2">
        <f t="shared" si="55"/>
        <v>364.56</v>
      </c>
      <c r="GP56" s="2">
        <f t="shared" si="56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57"/>
        <v>0</v>
      </c>
      <c r="GW56" s="2">
        <v>1</v>
      </c>
      <c r="GX56" s="2">
        <f t="shared" si="58"/>
        <v>0</v>
      </c>
      <c r="GY56" s="2"/>
      <c r="GZ56" s="2"/>
      <c r="HA56" s="2">
        <v>0</v>
      </c>
      <c r="HB56" s="2">
        <v>0</v>
      </c>
      <c r="HC56" s="2">
        <f t="shared" si="59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 s="3">
        <v>17</v>
      </c>
      <c r="B57" s="3">
        <v>1</v>
      </c>
      <c r="C57" s="3">
        <f>ROW(SmtRes!A58)</f>
        <v>58</v>
      </c>
      <c r="D57" s="3">
        <f>ROW(EtalonRes!A70)</f>
        <v>70</v>
      </c>
      <c r="E57" s="3" t="s">
        <v>87</v>
      </c>
      <c r="F57" s="3" t="s">
        <v>88</v>
      </c>
      <c r="G57" s="3" t="s">
        <v>89</v>
      </c>
      <c r="H57" s="3" t="s">
        <v>22</v>
      </c>
      <c r="I57" s="3">
        <v>15</v>
      </c>
      <c r="J57" s="3">
        <v>0</v>
      </c>
      <c r="K57" s="3">
        <v>15</v>
      </c>
      <c r="O57" s="3">
        <f t="shared" si="21"/>
        <v>8283.4500000000007</v>
      </c>
      <c r="P57" s="3">
        <f t="shared" si="22"/>
        <v>0</v>
      </c>
      <c r="Q57" s="3">
        <f>(ROUND((ROUND(((((ET57*1.2)*0.3))*AV57*I57),2)*BB57),2)+ROUND((ROUND(((AE57-(((EU57*1.2)*0.3)))*AV57*I57),2)*BS57),2))</f>
        <v>0</v>
      </c>
      <c r="R57" s="3">
        <f>(ROUND((ROUND(((((EU57*1.2)*0.3))*AV57*I57),2)*BS57),2)+ROUND((ROUND(((AE57-(((EU57*1.2)*0.3)))*AV57*I57),2)*BS57),2))</f>
        <v>0</v>
      </c>
      <c r="S57" s="3">
        <f t="shared" si="25"/>
        <v>8283.4500000000007</v>
      </c>
      <c r="T57" s="3">
        <f t="shared" si="26"/>
        <v>0</v>
      </c>
      <c r="U57" s="3">
        <f t="shared" si="27"/>
        <v>11.646827999999999</v>
      </c>
      <c r="V57" s="3">
        <f t="shared" si="28"/>
        <v>0</v>
      </c>
      <c r="W57" s="3">
        <f t="shared" si="29"/>
        <v>0</v>
      </c>
      <c r="X57" s="3">
        <f>(ROUND((((S57+ROUND((ROUND(((((EU57*1.2)*0.3))*AV57*I57),2)*BS57),2))*AT57)/100),2)+ROUND(((ROUND((ROUND(((AE57-(((EU57*1.2)*0.3)))*AV57*I57),2)*BS57),2)*AT57)/100),2))</f>
        <v>8034.95</v>
      </c>
      <c r="Y57" s="3">
        <f>(ROUND((((S57+ROUND((ROUND(((((EU57*1.2)*0.3))*AV57*I57),2)*BS57),2))*AU57)/100),2)+ROUND(((ROUND((ROUND(((AE57-(((EU57*1.2)*0.3)))*AV57*I57),2)*BS57),2)*AU57)/100),2))</f>
        <v>4224.5600000000004</v>
      </c>
      <c r="AA57" s="3">
        <v>55915258</v>
      </c>
      <c r="AB57" s="3">
        <f t="shared" si="32"/>
        <v>9.36</v>
      </c>
      <c r="AC57" s="3">
        <f>ROUND((((ES57*1)*0)),6)</f>
        <v>0</v>
      </c>
      <c r="AD57" s="3">
        <f>ROUND((((((ET57*1.2)*0.3))-(((EU57*1.2)*0.3)))+AE57),6)</f>
        <v>0</v>
      </c>
      <c r="AE57" s="3">
        <f>ROUND((((EU57*1.2)*0.3)),6)</f>
        <v>0</v>
      </c>
      <c r="AF57" s="3">
        <f>ROUND((((EV57*1.2)*0.3)),6)</f>
        <v>9.36</v>
      </c>
      <c r="AG57" s="3">
        <f t="shared" si="37"/>
        <v>0</v>
      </c>
      <c r="AH57" s="3">
        <f>(((EW57*1.2)*0.3))</f>
        <v>0.74159999999999993</v>
      </c>
      <c r="AI57" s="3">
        <f>(((EX57*1.2)*0.3))</f>
        <v>0</v>
      </c>
      <c r="AJ57" s="3">
        <f t="shared" si="40"/>
        <v>0</v>
      </c>
      <c r="AK57" s="3">
        <v>54.45</v>
      </c>
      <c r="AL57" s="3">
        <v>28.45</v>
      </c>
      <c r="AM57" s="3">
        <v>0</v>
      </c>
      <c r="AN57" s="3">
        <v>0</v>
      </c>
      <c r="AO57" s="3">
        <v>26</v>
      </c>
      <c r="AP57" s="3">
        <v>0</v>
      </c>
      <c r="AQ57" s="3">
        <v>2.06</v>
      </c>
      <c r="AR57" s="3">
        <v>0</v>
      </c>
      <c r="AS57" s="3">
        <v>0</v>
      </c>
      <c r="AT57" s="3">
        <v>97</v>
      </c>
      <c r="AU57" s="3">
        <v>51</v>
      </c>
      <c r="AV57" s="3">
        <v>1.0469999999999999</v>
      </c>
      <c r="AW57" s="3">
        <v>1</v>
      </c>
      <c r="AZ57" s="3">
        <v>1</v>
      </c>
      <c r="BA57" s="3">
        <v>56.35</v>
      </c>
      <c r="BB57" s="3">
        <v>1</v>
      </c>
      <c r="BC57" s="3">
        <v>6.28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0</v>
      </c>
      <c r="BI57" s="3">
        <v>2</v>
      </c>
      <c r="BJ57" s="3" t="s">
        <v>90</v>
      </c>
      <c r="BM57" s="3">
        <v>67</v>
      </c>
      <c r="BN57" s="3">
        <v>0</v>
      </c>
      <c r="BO57" s="3" t="s">
        <v>88</v>
      </c>
      <c r="BP57" s="3">
        <v>1</v>
      </c>
      <c r="BQ57" s="3">
        <v>40</v>
      </c>
      <c r="BR57" s="3">
        <v>0</v>
      </c>
      <c r="BS57" s="3">
        <v>56.35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97</v>
      </c>
      <c r="CA57" s="3">
        <v>51</v>
      </c>
      <c r="CB57" s="3" t="s">
        <v>3</v>
      </c>
      <c r="CE57" s="3">
        <v>1566</v>
      </c>
      <c r="CF57" s="3">
        <v>0</v>
      </c>
      <c r="CG57" s="3">
        <v>0</v>
      </c>
      <c r="CM57" s="3">
        <v>0</v>
      </c>
      <c r="CN57" s="3" t="s">
        <v>604</v>
      </c>
      <c r="CO57" s="3">
        <v>0</v>
      </c>
      <c r="CP57" s="3">
        <f t="shared" si="41"/>
        <v>8283.4500000000007</v>
      </c>
      <c r="CQ57" s="3">
        <f t="shared" si="42"/>
        <v>0</v>
      </c>
      <c r="CR57" s="3">
        <f>(ROUND((ROUND(((((ET57*1.2)*0.3))*AV57*1),2)*BB57),2)+ROUND((ROUND(((AE57-(((EU57*1.2)*0.3)))*AV57*1),2)*BS57),2))</f>
        <v>0</v>
      </c>
      <c r="CS57" s="3">
        <f>(ROUND((ROUND(((((EU57*1.2)*0.3))*AV57*1),2)*BS57),2)+ROUND((ROUND(((AE57-(((EU57*1.2)*0.3)))*AV57*1),2)*BS57),2))</f>
        <v>0</v>
      </c>
      <c r="CT57" s="3">
        <f t="shared" si="45"/>
        <v>552.23</v>
      </c>
      <c r="CU57" s="3">
        <f t="shared" si="46"/>
        <v>0</v>
      </c>
      <c r="CV57" s="3">
        <f t="shared" si="47"/>
        <v>0.7764551999999999</v>
      </c>
      <c r="CW57" s="3">
        <f t="shared" si="48"/>
        <v>0</v>
      </c>
      <c r="CX57" s="3">
        <f t="shared" si="49"/>
        <v>0</v>
      </c>
      <c r="CY57" s="3">
        <f>(ROUND((((S57+ROUND((ROUND(((((EU57*1.2)*0.3))*AV57*1),2)*BS57),2))*AT57)/100),2)+ROUND(((ROUND((ROUND(((AE57-(((EU57*1.2)*0.3)))*AV57*1),2)*BS57),2)*AT57)/100),2))</f>
        <v>8034.95</v>
      </c>
      <c r="CZ57" s="3">
        <f>(ROUND((((S57+ROUND((ROUND(((((EU57*1.2)*0.3))*AV57*1),2)*BS57),2))*AU57)/100),2)+ROUND(((ROUND((ROUND(((AE57-(((EU57*1.2)*0.3)))*AV57*1),2)*BS57),2)*AU57)/100),2))</f>
        <v>4224.5600000000004</v>
      </c>
      <c r="DB57" s="3">
        <v>55</v>
      </c>
      <c r="DC57" s="3" t="s">
        <v>3</v>
      </c>
      <c r="DD57" s="3" t="s">
        <v>24</v>
      </c>
      <c r="DE57" s="3" t="s">
        <v>25</v>
      </c>
      <c r="DF57" s="3" t="s">
        <v>25</v>
      </c>
      <c r="DG57" s="3" t="s">
        <v>25</v>
      </c>
      <c r="DH57" s="3" t="s">
        <v>3</v>
      </c>
      <c r="DI57" s="3" t="s">
        <v>25</v>
      </c>
      <c r="DJ57" s="3" t="s">
        <v>25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1013</v>
      </c>
      <c r="DV57" s="3" t="s">
        <v>22</v>
      </c>
      <c r="DW57" s="3" t="s">
        <v>22</v>
      </c>
      <c r="DX57" s="3">
        <v>1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55393699</v>
      </c>
      <c r="EF57" s="3">
        <v>40</v>
      </c>
      <c r="EG57" s="3" t="s">
        <v>26</v>
      </c>
      <c r="EH57" s="3">
        <v>0</v>
      </c>
      <c r="EI57" s="3" t="s">
        <v>3</v>
      </c>
      <c r="EJ57" s="3">
        <v>2</v>
      </c>
      <c r="EK57" s="3">
        <v>67</v>
      </c>
      <c r="EL57" s="3" t="s">
        <v>91</v>
      </c>
      <c r="EM57" s="3" t="s">
        <v>92</v>
      </c>
      <c r="EO57" s="3" t="s">
        <v>29</v>
      </c>
      <c r="EQ57" s="3">
        <v>0</v>
      </c>
      <c r="ER57" s="3">
        <v>54.45</v>
      </c>
      <c r="ES57" s="3">
        <v>28.45</v>
      </c>
      <c r="ET57" s="3">
        <v>0</v>
      </c>
      <c r="EU57" s="3">
        <v>0</v>
      </c>
      <c r="EV57" s="3">
        <v>26</v>
      </c>
      <c r="EW57" s="3">
        <v>2.06</v>
      </c>
      <c r="EX57" s="3">
        <v>0</v>
      </c>
      <c r="EY57" s="3">
        <v>0</v>
      </c>
      <c r="FQ57" s="3">
        <v>0</v>
      </c>
      <c r="FR57" s="3">
        <v>0</v>
      </c>
      <c r="FS57" s="3">
        <v>0</v>
      </c>
      <c r="FX57" s="3">
        <v>97</v>
      </c>
      <c r="FY57" s="3">
        <v>51</v>
      </c>
      <c r="GA57" s="3" t="s">
        <v>3</v>
      </c>
      <c r="GD57" s="3">
        <v>1</v>
      </c>
      <c r="GF57" s="3">
        <v>1346071223</v>
      </c>
      <c r="GG57" s="3">
        <v>2</v>
      </c>
      <c r="GH57" s="3">
        <v>1</v>
      </c>
      <c r="GI57" s="3">
        <v>2</v>
      </c>
      <c r="GJ57" s="3">
        <v>0</v>
      </c>
      <c r="GK57" s="3">
        <v>0</v>
      </c>
      <c r="GL57" s="3">
        <f t="shared" si="52"/>
        <v>0</v>
      </c>
      <c r="GM57" s="3">
        <f t="shared" si="53"/>
        <v>20542.96</v>
      </c>
      <c r="GN57" s="3">
        <f t="shared" si="54"/>
        <v>0</v>
      </c>
      <c r="GO57" s="3">
        <f t="shared" si="55"/>
        <v>20542.96</v>
      </c>
      <c r="GP57" s="3">
        <f t="shared" si="56"/>
        <v>0</v>
      </c>
      <c r="GR57" s="3">
        <v>0</v>
      </c>
      <c r="GS57" s="3">
        <v>3</v>
      </c>
      <c r="GT57" s="3">
        <v>0</v>
      </c>
      <c r="GU57" s="3" t="s">
        <v>3</v>
      </c>
      <c r="GV57" s="3">
        <f t="shared" si="57"/>
        <v>0</v>
      </c>
      <c r="GW57" s="3">
        <v>1</v>
      </c>
      <c r="GX57" s="3">
        <f t="shared" si="58"/>
        <v>0</v>
      </c>
      <c r="HA57" s="3">
        <v>0</v>
      </c>
      <c r="HB57" s="3">
        <v>0</v>
      </c>
      <c r="HC57" s="3">
        <f t="shared" si="59"/>
        <v>0</v>
      </c>
      <c r="HE57" s="3" t="s">
        <v>3</v>
      </c>
      <c r="HF57" s="3" t="s">
        <v>3</v>
      </c>
      <c r="HM57" s="3" t="s">
        <v>3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9" spans="1:255" x14ac:dyDescent="0.2">
      <c r="A59" s="11">
        <v>51</v>
      </c>
      <c r="B59" s="11">
        <f>B24</f>
        <v>1</v>
      </c>
      <c r="C59" s="11">
        <f>A24</f>
        <v>4</v>
      </c>
      <c r="D59" s="11">
        <f>ROW(A24)</f>
        <v>24</v>
      </c>
      <c r="E59" s="11"/>
      <c r="F59" s="11" t="str">
        <f>IF(F24&lt;&gt;"",F24,"")</f>
        <v>Новый раздел</v>
      </c>
      <c r="G59" s="11" t="str">
        <f>IF(G24&lt;&gt;"",G24,"")</f>
        <v>Демонтажные работы</v>
      </c>
      <c r="H59" s="11">
        <v>0</v>
      </c>
      <c r="I59" s="11"/>
      <c r="J59" s="11"/>
      <c r="K59" s="11"/>
      <c r="L59" s="11"/>
      <c r="M59" s="11"/>
      <c r="N59" s="11"/>
      <c r="O59" s="11">
        <f t="shared" ref="O59:T59" si="62">ROUND(AB59,2)</f>
        <v>14645.99</v>
      </c>
      <c r="P59" s="11">
        <f t="shared" si="62"/>
        <v>0</v>
      </c>
      <c r="Q59" s="11">
        <f t="shared" si="62"/>
        <v>72.849999999999994</v>
      </c>
      <c r="R59" s="11">
        <f t="shared" si="62"/>
        <v>4.55</v>
      </c>
      <c r="S59" s="11">
        <f t="shared" si="62"/>
        <v>14573.14</v>
      </c>
      <c r="T59" s="11">
        <f t="shared" si="62"/>
        <v>0</v>
      </c>
      <c r="U59" s="11">
        <f>AH59</f>
        <v>1367.5599899999997</v>
      </c>
      <c r="V59" s="11">
        <f>AI59</f>
        <v>0</v>
      </c>
      <c r="W59" s="11">
        <f>ROUND(AJ59,2)</f>
        <v>0</v>
      </c>
      <c r="X59" s="11">
        <f>ROUND(AK59,2)</f>
        <v>13260.58</v>
      </c>
      <c r="Y59" s="11">
        <f>ROUND(AL59,2)</f>
        <v>6972.48</v>
      </c>
      <c r="Z59" s="11"/>
      <c r="AA59" s="11"/>
      <c r="AB59" s="11">
        <f>ROUND(SUMIF(AA28:AA57,"=55915256",O28:O57),2)</f>
        <v>14645.99</v>
      </c>
      <c r="AC59" s="11">
        <f>ROUND(SUMIF(AA28:AA57,"=55915256",P28:P57),2)</f>
        <v>0</v>
      </c>
      <c r="AD59" s="11">
        <f>ROUND(SUMIF(AA28:AA57,"=55915256",Q28:Q57),2)</f>
        <v>72.849999999999994</v>
      </c>
      <c r="AE59" s="11">
        <f>ROUND(SUMIF(AA28:AA57,"=55915256",R28:R57),2)</f>
        <v>4.55</v>
      </c>
      <c r="AF59" s="11">
        <f>ROUND(SUMIF(AA28:AA57,"=55915256",S28:S57),2)</f>
        <v>14573.14</v>
      </c>
      <c r="AG59" s="11">
        <f>ROUND(SUMIF(AA28:AA57,"=55915256",T28:T57),2)</f>
        <v>0</v>
      </c>
      <c r="AH59" s="11">
        <f>SUMIF(AA28:AA57,"=55915256",U28:U57)</f>
        <v>1367.5599899999997</v>
      </c>
      <c r="AI59" s="11">
        <f>SUMIF(AA28:AA57,"=55915256",V28:V57)</f>
        <v>0</v>
      </c>
      <c r="AJ59" s="11">
        <f>ROUND(SUMIF(AA28:AA57,"=55915256",W28:W57),2)</f>
        <v>0</v>
      </c>
      <c r="AK59" s="11">
        <f>ROUND(SUMIF(AA28:AA57,"=55915256",X28:X57),2)</f>
        <v>13260.58</v>
      </c>
      <c r="AL59" s="11">
        <f>ROUND(SUMIF(AA28:AA57,"=55915256",Y28:Y57),2)</f>
        <v>6972.48</v>
      </c>
      <c r="AM59" s="11"/>
      <c r="AN59" s="11"/>
      <c r="AO59" s="11">
        <f t="shared" ref="AO59:BD59" si="63">ROUND(BX59,2)</f>
        <v>0</v>
      </c>
      <c r="AP59" s="11">
        <f t="shared" si="63"/>
        <v>0</v>
      </c>
      <c r="AQ59" s="11">
        <f t="shared" si="63"/>
        <v>0</v>
      </c>
      <c r="AR59" s="11">
        <f t="shared" si="63"/>
        <v>34879.050000000003</v>
      </c>
      <c r="AS59" s="11">
        <f t="shared" si="63"/>
        <v>30622.36</v>
      </c>
      <c r="AT59" s="11">
        <f t="shared" si="63"/>
        <v>4256.6899999999996</v>
      </c>
      <c r="AU59" s="11">
        <f t="shared" si="63"/>
        <v>0</v>
      </c>
      <c r="AV59" s="11">
        <f t="shared" si="63"/>
        <v>0</v>
      </c>
      <c r="AW59" s="11">
        <f t="shared" si="63"/>
        <v>0</v>
      </c>
      <c r="AX59" s="11">
        <f t="shared" si="63"/>
        <v>0</v>
      </c>
      <c r="AY59" s="11">
        <f t="shared" si="63"/>
        <v>0</v>
      </c>
      <c r="AZ59" s="11">
        <f t="shared" si="63"/>
        <v>0</v>
      </c>
      <c r="BA59" s="11">
        <f t="shared" si="63"/>
        <v>0</v>
      </c>
      <c r="BB59" s="11">
        <f t="shared" si="63"/>
        <v>0</v>
      </c>
      <c r="BC59" s="11">
        <f t="shared" si="63"/>
        <v>0</v>
      </c>
      <c r="BD59" s="11">
        <f t="shared" si="63"/>
        <v>0</v>
      </c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>
        <f>ROUND(SUMIF(AA28:AA57,"=55915256",FQ28:FQ57),2)</f>
        <v>0</v>
      </c>
      <c r="BY59" s="11">
        <f>ROUND(SUMIF(AA28:AA57,"=55915256",FR28:FR57),2)</f>
        <v>0</v>
      </c>
      <c r="BZ59" s="11">
        <f>ROUND(SUMIF(AA28:AA57,"=55915256",GL28:GL57),2)</f>
        <v>0</v>
      </c>
      <c r="CA59" s="11">
        <f>ROUND(SUMIF(AA28:AA57,"=55915256",GM28:GM57),2)</f>
        <v>34879.050000000003</v>
      </c>
      <c r="CB59" s="11">
        <f>ROUND(SUMIF(AA28:AA57,"=55915256",GN28:GN57),2)</f>
        <v>30622.36</v>
      </c>
      <c r="CC59" s="11">
        <f>ROUND(SUMIF(AA28:AA57,"=55915256",GO28:GO57),2)</f>
        <v>4256.6899999999996</v>
      </c>
      <c r="CD59" s="11">
        <f>ROUND(SUMIF(AA28:AA57,"=55915256",GP28:GP57),2)</f>
        <v>0</v>
      </c>
      <c r="CE59" s="11">
        <f>AC59-BX59</f>
        <v>0</v>
      </c>
      <c r="CF59" s="11">
        <f>AC59-BY59</f>
        <v>0</v>
      </c>
      <c r="CG59" s="11">
        <f>BX59-BZ59</f>
        <v>0</v>
      </c>
      <c r="CH59" s="11">
        <f>AC59-BX59-BY59+BZ59</f>
        <v>0</v>
      </c>
      <c r="CI59" s="11">
        <f>BY59-BZ59</f>
        <v>0</v>
      </c>
      <c r="CJ59" s="11">
        <f>ROUND(SUMIF(AA28:AA57,"=55915256",GX28:GX57),2)</f>
        <v>0</v>
      </c>
      <c r="CK59" s="11">
        <f>ROUND(SUMIF(AA28:AA57,"=55915256",GY28:GY57),2)</f>
        <v>0</v>
      </c>
      <c r="CL59" s="11">
        <f>ROUND(SUMIF(AA28:AA57,"=55915256",GZ28:GZ57),2)</f>
        <v>0</v>
      </c>
      <c r="CM59" s="11">
        <f>ROUND(SUMIF(AA28:AA57,"=55915256",HD28:HD57),2)</f>
        <v>0</v>
      </c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2">
        <f t="shared" ref="DG59:DL59" si="64">ROUND(DT59,2)</f>
        <v>822202.27</v>
      </c>
      <c r="DH59" s="12">
        <f t="shared" si="64"/>
        <v>0</v>
      </c>
      <c r="DI59" s="12">
        <f t="shared" si="64"/>
        <v>1005.81</v>
      </c>
      <c r="DJ59" s="12">
        <f t="shared" si="64"/>
        <v>256.39</v>
      </c>
      <c r="DK59" s="12">
        <f t="shared" si="64"/>
        <v>821196.46</v>
      </c>
      <c r="DL59" s="12">
        <f t="shared" si="64"/>
        <v>0</v>
      </c>
      <c r="DM59" s="12">
        <f>DZ59</f>
        <v>1367.5599899999997</v>
      </c>
      <c r="DN59" s="12">
        <f>EA59</f>
        <v>0</v>
      </c>
      <c r="DO59" s="12">
        <f>ROUND(EB59,2)</f>
        <v>0</v>
      </c>
      <c r="DP59" s="12">
        <f>ROUND(EC59,2)</f>
        <v>747233.65</v>
      </c>
      <c r="DQ59" s="12">
        <f>ROUND(ED59,2)</f>
        <v>392899.21</v>
      </c>
      <c r="DR59" s="12"/>
      <c r="DS59" s="12"/>
      <c r="DT59" s="12">
        <f>ROUND(SUMIF(AA28:AA57,"=55915258",O28:O57),2)</f>
        <v>822202.27</v>
      </c>
      <c r="DU59" s="12">
        <f>ROUND(SUMIF(AA28:AA57,"=55915258",P28:P57),2)</f>
        <v>0</v>
      </c>
      <c r="DV59" s="12">
        <f>ROUND(SUMIF(AA28:AA57,"=55915258",Q28:Q57),2)</f>
        <v>1005.81</v>
      </c>
      <c r="DW59" s="12">
        <f>ROUND(SUMIF(AA28:AA57,"=55915258",R28:R57),2)</f>
        <v>256.39</v>
      </c>
      <c r="DX59" s="12">
        <f>ROUND(SUMIF(AA28:AA57,"=55915258",S28:S57),2)</f>
        <v>821196.46</v>
      </c>
      <c r="DY59" s="12">
        <f>ROUND(SUMIF(AA28:AA57,"=55915258",T28:T57),2)</f>
        <v>0</v>
      </c>
      <c r="DZ59" s="12">
        <f>SUMIF(AA28:AA57,"=55915258",U28:U57)</f>
        <v>1367.5599899999997</v>
      </c>
      <c r="EA59" s="12">
        <f>SUMIF(AA28:AA57,"=55915258",V28:V57)</f>
        <v>0</v>
      </c>
      <c r="EB59" s="12">
        <f>ROUND(SUMIF(AA28:AA57,"=55915258",W28:W57),2)</f>
        <v>0</v>
      </c>
      <c r="EC59" s="12">
        <f>ROUND(SUMIF(AA28:AA57,"=55915258",X28:X57),2)</f>
        <v>747233.65</v>
      </c>
      <c r="ED59" s="12">
        <f>ROUND(SUMIF(AA28:AA57,"=55915258",Y28:Y57),2)</f>
        <v>392899.21</v>
      </c>
      <c r="EE59" s="12"/>
      <c r="EF59" s="12"/>
      <c r="EG59" s="12">
        <f t="shared" ref="EG59:EV59" si="65">ROUND(FP59,2)</f>
        <v>0</v>
      </c>
      <c r="EH59" s="12">
        <f t="shared" si="65"/>
        <v>0</v>
      </c>
      <c r="EI59" s="12">
        <f t="shared" si="65"/>
        <v>0</v>
      </c>
      <c r="EJ59" s="12">
        <f t="shared" si="65"/>
        <v>1962335.13</v>
      </c>
      <c r="EK59" s="12">
        <f t="shared" si="65"/>
        <v>1725569.61</v>
      </c>
      <c r="EL59" s="12">
        <f t="shared" si="65"/>
        <v>236765.52</v>
      </c>
      <c r="EM59" s="12">
        <f t="shared" si="65"/>
        <v>0</v>
      </c>
      <c r="EN59" s="12">
        <f t="shared" si="65"/>
        <v>0</v>
      </c>
      <c r="EO59" s="12">
        <f t="shared" si="65"/>
        <v>0</v>
      </c>
      <c r="EP59" s="12">
        <f t="shared" si="65"/>
        <v>0</v>
      </c>
      <c r="EQ59" s="12">
        <f t="shared" si="65"/>
        <v>0</v>
      </c>
      <c r="ER59" s="12">
        <f t="shared" si="65"/>
        <v>0</v>
      </c>
      <c r="ES59" s="12">
        <f t="shared" si="65"/>
        <v>0</v>
      </c>
      <c r="ET59" s="12">
        <f t="shared" si="65"/>
        <v>0</v>
      </c>
      <c r="EU59" s="12">
        <f t="shared" si="65"/>
        <v>0</v>
      </c>
      <c r="EV59" s="12">
        <f t="shared" si="65"/>
        <v>0</v>
      </c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>
        <f>ROUND(SUMIF(AA28:AA57,"=55915258",FQ28:FQ57),2)</f>
        <v>0</v>
      </c>
      <c r="FQ59" s="12">
        <f>ROUND(SUMIF(AA28:AA57,"=55915258",FR28:FR57),2)</f>
        <v>0</v>
      </c>
      <c r="FR59" s="12">
        <f>ROUND(SUMIF(AA28:AA57,"=55915258",GL28:GL57),2)</f>
        <v>0</v>
      </c>
      <c r="FS59" s="12">
        <f>ROUND(SUMIF(AA28:AA57,"=55915258",GM28:GM57),2)</f>
        <v>1962335.13</v>
      </c>
      <c r="FT59" s="12">
        <f>ROUND(SUMIF(AA28:AA57,"=55915258",GN28:GN57),2)</f>
        <v>1725569.61</v>
      </c>
      <c r="FU59" s="12">
        <f>ROUND(SUMIF(AA28:AA57,"=55915258",GO28:GO57),2)</f>
        <v>236765.52</v>
      </c>
      <c r="FV59" s="12">
        <f>ROUND(SUMIF(AA28:AA57,"=55915258",GP28:GP57),2)</f>
        <v>0</v>
      </c>
      <c r="FW59" s="12">
        <f>DU59-FP59</f>
        <v>0</v>
      </c>
      <c r="FX59" s="12">
        <f>DU59-FQ59</f>
        <v>0</v>
      </c>
      <c r="FY59" s="12">
        <f>FP59-FR59</f>
        <v>0</v>
      </c>
      <c r="FZ59" s="12">
        <f>DU59-FP59-FQ59+FR59</f>
        <v>0</v>
      </c>
      <c r="GA59" s="12">
        <f>FQ59-FR59</f>
        <v>0</v>
      </c>
      <c r="GB59" s="12">
        <f>ROUND(SUMIF(AA28:AA57,"=55915258",GX28:GX57),2)</f>
        <v>0</v>
      </c>
      <c r="GC59" s="12">
        <f>ROUND(SUMIF(AA28:AA57,"=55915258",GY28:GY57),2)</f>
        <v>0</v>
      </c>
      <c r="GD59" s="12">
        <f>ROUND(SUMIF(AA28:AA57,"=55915258",GZ28:GZ57),2)</f>
        <v>0</v>
      </c>
      <c r="GE59" s="12">
        <f>ROUND(SUMIF(AA28:AA57,"=55915258",HD28:HD57),2)</f>
        <v>0</v>
      </c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>
        <v>0</v>
      </c>
    </row>
    <row r="61" spans="1:255" x14ac:dyDescent="0.2">
      <c r="A61" s="13">
        <v>50</v>
      </c>
      <c r="B61" s="13">
        <v>0</v>
      </c>
      <c r="C61" s="13">
        <v>0</v>
      </c>
      <c r="D61" s="13">
        <v>1</v>
      </c>
      <c r="E61" s="13">
        <v>201</v>
      </c>
      <c r="F61" s="13">
        <f>ROUND(Source!O59,O61)</f>
        <v>14645.99</v>
      </c>
      <c r="G61" s="13" t="s">
        <v>93</v>
      </c>
      <c r="H61" s="13" t="s">
        <v>94</v>
      </c>
      <c r="I61" s="13"/>
      <c r="J61" s="13"/>
      <c r="K61" s="13">
        <v>201</v>
      </c>
      <c r="L61" s="13">
        <v>1</v>
      </c>
      <c r="M61" s="13">
        <v>3</v>
      </c>
      <c r="N61" s="13" t="s">
        <v>3</v>
      </c>
      <c r="O61" s="13">
        <v>2</v>
      </c>
      <c r="P61" s="13">
        <f>ROUND(Source!DG59,O61)</f>
        <v>822202.27</v>
      </c>
      <c r="Q61" s="13"/>
      <c r="R61" s="13"/>
      <c r="S61" s="13"/>
      <c r="T61" s="13"/>
      <c r="U61" s="13"/>
      <c r="V61" s="13"/>
      <c r="W61" s="13">
        <v>14645.99</v>
      </c>
      <c r="X61" s="13">
        <v>1</v>
      </c>
      <c r="Y61" s="13">
        <v>14645.99</v>
      </c>
      <c r="Z61" s="13">
        <v>822202.27</v>
      </c>
      <c r="AA61" s="13">
        <v>1</v>
      </c>
      <c r="AB61" s="13">
        <v>822202.27</v>
      </c>
    </row>
    <row r="62" spans="1:255" x14ac:dyDescent="0.2">
      <c r="A62" s="13">
        <v>50</v>
      </c>
      <c r="B62" s="13">
        <v>0</v>
      </c>
      <c r="C62" s="13">
        <v>0</v>
      </c>
      <c r="D62" s="13">
        <v>1</v>
      </c>
      <c r="E62" s="13">
        <v>202</v>
      </c>
      <c r="F62" s="13">
        <f>ROUND(Source!P59,O62)</f>
        <v>0</v>
      </c>
      <c r="G62" s="13" t="s">
        <v>95</v>
      </c>
      <c r="H62" s="13" t="s">
        <v>96</v>
      </c>
      <c r="I62" s="13"/>
      <c r="J62" s="13"/>
      <c r="K62" s="13">
        <v>202</v>
      </c>
      <c r="L62" s="13">
        <v>2</v>
      </c>
      <c r="M62" s="13">
        <v>3</v>
      </c>
      <c r="N62" s="13" t="s">
        <v>3</v>
      </c>
      <c r="O62" s="13">
        <v>2</v>
      </c>
      <c r="P62" s="13">
        <f>ROUND(Source!DH59,O62)</f>
        <v>0</v>
      </c>
      <c r="Q62" s="13"/>
      <c r="R62" s="13"/>
      <c r="S62" s="13"/>
      <c r="T62" s="13"/>
      <c r="U62" s="13"/>
      <c r="V62" s="13"/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0</v>
      </c>
    </row>
    <row r="63" spans="1:255" x14ac:dyDescent="0.2">
      <c r="A63" s="13">
        <v>50</v>
      </c>
      <c r="B63" s="13">
        <v>0</v>
      </c>
      <c r="C63" s="13">
        <v>0</v>
      </c>
      <c r="D63" s="13">
        <v>1</v>
      </c>
      <c r="E63" s="13">
        <v>222</v>
      </c>
      <c r="F63" s="13">
        <f>ROUND(Source!AO59,O63)</f>
        <v>0</v>
      </c>
      <c r="G63" s="13" t="s">
        <v>97</v>
      </c>
      <c r="H63" s="13" t="s">
        <v>98</v>
      </c>
      <c r="I63" s="13"/>
      <c r="J63" s="13"/>
      <c r="K63" s="13">
        <v>222</v>
      </c>
      <c r="L63" s="13">
        <v>3</v>
      </c>
      <c r="M63" s="13">
        <v>3</v>
      </c>
      <c r="N63" s="13" t="s">
        <v>3</v>
      </c>
      <c r="O63" s="13">
        <v>2</v>
      </c>
      <c r="P63" s="13">
        <f>ROUND(Source!EG59,O63)</f>
        <v>0</v>
      </c>
      <c r="Q63" s="13"/>
      <c r="R63" s="13"/>
      <c r="S63" s="13"/>
      <c r="T63" s="13"/>
      <c r="U63" s="13"/>
      <c r="V63" s="13"/>
      <c r="W63" s="13">
        <v>0</v>
      </c>
      <c r="X63" s="13">
        <v>1</v>
      </c>
      <c r="Y63" s="13">
        <v>0</v>
      </c>
      <c r="Z63" s="13">
        <v>0</v>
      </c>
      <c r="AA63" s="13">
        <v>1</v>
      </c>
      <c r="AB63" s="13">
        <v>0</v>
      </c>
    </row>
    <row r="64" spans="1:255" x14ac:dyDescent="0.2">
      <c r="A64" s="13">
        <v>50</v>
      </c>
      <c r="B64" s="13">
        <v>0</v>
      </c>
      <c r="C64" s="13">
        <v>0</v>
      </c>
      <c r="D64" s="13">
        <v>1</v>
      </c>
      <c r="E64" s="13">
        <v>225</v>
      </c>
      <c r="F64" s="13">
        <f>ROUND(Source!AV59,O64)</f>
        <v>0</v>
      </c>
      <c r="G64" s="13" t="s">
        <v>99</v>
      </c>
      <c r="H64" s="13" t="s">
        <v>100</v>
      </c>
      <c r="I64" s="13"/>
      <c r="J64" s="13"/>
      <c r="K64" s="13">
        <v>225</v>
      </c>
      <c r="L64" s="13">
        <v>4</v>
      </c>
      <c r="M64" s="13">
        <v>3</v>
      </c>
      <c r="N64" s="13" t="s">
        <v>3</v>
      </c>
      <c r="O64" s="13">
        <v>2</v>
      </c>
      <c r="P64" s="13">
        <f>ROUND(Source!EN59,O64)</f>
        <v>0</v>
      </c>
      <c r="Q64" s="13"/>
      <c r="R64" s="13"/>
      <c r="S64" s="13"/>
      <c r="T64" s="13"/>
      <c r="U64" s="13"/>
      <c r="V64" s="13"/>
      <c r="W64" s="13">
        <v>0</v>
      </c>
      <c r="X64" s="13">
        <v>1</v>
      </c>
      <c r="Y64" s="13">
        <v>0</v>
      </c>
      <c r="Z64" s="13">
        <v>0</v>
      </c>
      <c r="AA64" s="13">
        <v>1</v>
      </c>
      <c r="AB64" s="13">
        <v>0</v>
      </c>
    </row>
    <row r="65" spans="1:28" x14ac:dyDescent="0.2">
      <c r="A65" s="13">
        <v>50</v>
      </c>
      <c r="B65" s="13">
        <v>0</v>
      </c>
      <c r="C65" s="13">
        <v>0</v>
      </c>
      <c r="D65" s="13">
        <v>1</v>
      </c>
      <c r="E65" s="13">
        <v>226</v>
      </c>
      <c r="F65" s="13">
        <f>ROUND(Source!AW59,O65)</f>
        <v>0</v>
      </c>
      <c r="G65" s="13" t="s">
        <v>101</v>
      </c>
      <c r="H65" s="13" t="s">
        <v>102</v>
      </c>
      <c r="I65" s="13"/>
      <c r="J65" s="13"/>
      <c r="K65" s="13">
        <v>226</v>
      </c>
      <c r="L65" s="13">
        <v>5</v>
      </c>
      <c r="M65" s="13">
        <v>3</v>
      </c>
      <c r="N65" s="13" t="s">
        <v>3</v>
      </c>
      <c r="O65" s="13">
        <v>2</v>
      </c>
      <c r="P65" s="13">
        <f>ROUND(Source!EO59,O65)</f>
        <v>0</v>
      </c>
      <c r="Q65" s="13"/>
      <c r="R65" s="13"/>
      <c r="S65" s="13"/>
      <c r="T65" s="13"/>
      <c r="U65" s="13"/>
      <c r="V65" s="13"/>
      <c r="W65" s="13">
        <v>0</v>
      </c>
      <c r="X65" s="13">
        <v>1</v>
      </c>
      <c r="Y65" s="13">
        <v>0</v>
      </c>
      <c r="Z65" s="13">
        <v>0</v>
      </c>
      <c r="AA65" s="13">
        <v>1</v>
      </c>
      <c r="AB65" s="13">
        <v>0</v>
      </c>
    </row>
    <row r="66" spans="1:28" x14ac:dyDescent="0.2">
      <c r="A66" s="13">
        <v>50</v>
      </c>
      <c r="B66" s="13">
        <v>0</v>
      </c>
      <c r="C66" s="13">
        <v>0</v>
      </c>
      <c r="D66" s="13">
        <v>1</v>
      </c>
      <c r="E66" s="13">
        <v>227</v>
      </c>
      <c r="F66" s="13">
        <f>ROUND(Source!AX59,O66)</f>
        <v>0</v>
      </c>
      <c r="G66" s="13" t="s">
        <v>103</v>
      </c>
      <c r="H66" s="13" t="s">
        <v>104</v>
      </c>
      <c r="I66" s="13"/>
      <c r="J66" s="13"/>
      <c r="K66" s="13">
        <v>227</v>
      </c>
      <c r="L66" s="13">
        <v>6</v>
      </c>
      <c r="M66" s="13">
        <v>3</v>
      </c>
      <c r="N66" s="13" t="s">
        <v>3</v>
      </c>
      <c r="O66" s="13">
        <v>2</v>
      </c>
      <c r="P66" s="13">
        <f>ROUND(Source!EP59,O66)</f>
        <v>0</v>
      </c>
      <c r="Q66" s="13"/>
      <c r="R66" s="13"/>
      <c r="S66" s="13"/>
      <c r="T66" s="13"/>
      <c r="U66" s="13"/>
      <c r="V66" s="13"/>
      <c r="W66" s="13">
        <v>0</v>
      </c>
      <c r="X66" s="13">
        <v>1</v>
      </c>
      <c r="Y66" s="13">
        <v>0</v>
      </c>
      <c r="Z66" s="13">
        <v>0</v>
      </c>
      <c r="AA66" s="13">
        <v>1</v>
      </c>
      <c r="AB66" s="13">
        <v>0</v>
      </c>
    </row>
    <row r="67" spans="1:28" x14ac:dyDescent="0.2">
      <c r="A67" s="13">
        <v>50</v>
      </c>
      <c r="B67" s="13">
        <v>0</v>
      </c>
      <c r="C67" s="13">
        <v>0</v>
      </c>
      <c r="D67" s="13">
        <v>1</v>
      </c>
      <c r="E67" s="13">
        <v>228</v>
      </c>
      <c r="F67" s="13">
        <f>ROUND(Source!AY59,O67)</f>
        <v>0</v>
      </c>
      <c r="G67" s="13" t="s">
        <v>105</v>
      </c>
      <c r="H67" s="13" t="s">
        <v>106</v>
      </c>
      <c r="I67" s="13"/>
      <c r="J67" s="13"/>
      <c r="K67" s="13">
        <v>228</v>
      </c>
      <c r="L67" s="13">
        <v>7</v>
      </c>
      <c r="M67" s="13">
        <v>3</v>
      </c>
      <c r="N67" s="13" t="s">
        <v>3</v>
      </c>
      <c r="O67" s="13">
        <v>2</v>
      </c>
      <c r="P67" s="13">
        <f>ROUND(Source!EQ59,O67)</f>
        <v>0</v>
      </c>
      <c r="Q67" s="13"/>
      <c r="R67" s="13"/>
      <c r="S67" s="13"/>
      <c r="T67" s="13"/>
      <c r="U67" s="13"/>
      <c r="V67" s="13"/>
      <c r="W67" s="13">
        <v>0</v>
      </c>
      <c r="X67" s="13">
        <v>1</v>
      </c>
      <c r="Y67" s="13">
        <v>0</v>
      </c>
      <c r="Z67" s="13">
        <v>0</v>
      </c>
      <c r="AA67" s="13">
        <v>1</v>
      </c>
      <c r="AB67" s="13">
        <v>0</v>
      </c>
    </row>
    <row r="68" spans="1:28" x14ac:dyDescent="0.2">
      <c r="A68" s="13">
        <v>50</v>
      </c>
      <c r="B68" s="13">
        <v>0</v>
      </c>
      <c r="C68" s="13">
        <v>0</v>
      </c>
      <c r="D68" s="13">
        <v>1</v>
      </c>
      <c r="E68" s="13">
        <v>216</v>
      </c>
      <c r="F68" s="13">
        <f>ROUND(Source!AP59,O68)</f>
        <v>0</v>
      </c>
      <c r="G68" s="13" t="s">
        <v>107</v>
      </c>
      <c r="H68" s="13" t="s">
        <v>108</v>
      </c>
      <c r="I68" s="13"/>
      <c r="J68" s="13"/>
      <c r="K68" s="13">
        <v>216</v>
      </c>
      <c r="L68" s="13">
        <v>8</v>
      </c>
      <c r="M68" s="13">
        <v>3</v>
      </c>
      <c r="N68" s="13" t="s">
        <v>3</v>
      </c>
      <c r="O68" s="13">
        <v>2</v>
      </c>
      <c r="P68" s="13">
        <f>ROUND(Source!EH59,O68)</f>
        <v>0</v>
      </c>
      <c r="Q68" s="13"/>
      <c r="R68" s="13"/>
      <c r="S68" s="13"/>
      <c r="T68" s="13"/>
      <c r="U68" s="13"/>
      <c r="V68" s="13"/>
      <c r="W68" s="13">
        <v>0</v>
      </c>
      <c r="X68" s="13">
        <v>1</v>
      </c>
      <c r="Y68" s="13">
        <v>0</v>
      </c>
      <c r="Z68" s="13">
        <v>0</v>
      </c>
      <c r="AA68" s="13">
        <v>1</v>
      </c>
      <c r="AB68" s="13">
        <v>0</v>
      </c>
    </row>
    <row r="69" spans="1:28" x14ac:dyDescent="0.2">
      <c r="A69" s="13">
        <v>50</v>
      </c>
      <c r="B69" s="13">
        <v>0</v>
      </c>
      <c r="C69" s="13">
        <v>0</v>
      </c>
      <c r="D69" s="13">
        <v>1</v>
      </c>
      <c r="E69" s="13">
        <v>223</v>
      </c>
      <c r="F69" s="13">
        <f>ROUND(Source!AQ59,O69)</f>
        <v>0</v>
      </c>
      <c r="G69" s="13" t="s">
        <v>109</v>
      </c>
      <c r="H69" s="13" t="s">
        <v>110</v>
      </c>
      <c r="I69" s="13"/>
      <c r="J69" s="13"/>
      <c r="K69" s="13">
        <v>223</v>
      </c>
      <c r="L69" s="13">
        <v>9</v>
      </c>
      <c r="M69" s="13">
        <v>3</v>
      </c>
      <c r="N69" s="13" t="s">
        <v>3</v>
      </c>
      <c r="O69" s="13">
        <v>2</v>
      </c>
      <c r="P69" s="13">
        <f>ROUND(Source!EI59,O69)</f>
        <v>0</v>
      </c>
      <c r="Q69" s="13"/>
      <c r="R69" s="13"/>
      <c r="S69" s="13"/>
      <c r="T69" s="13"/>
      <c r="U69" s="13"/>
      <c r="V69" s="13"/>
      <c r="W69" s="13">
        <v>0</v>
      </c>
      <c r="X69" s="13">
        <v>1</v>
      </c>
      <c r="Y69" s="13">
        <v>0</v>
      </c>
      <c r="Z69" s="13">
        <v>0</v>
      </c>
      <c r="AA69" s="13">
        <v>1</v>
      </c>
      <c r="AB69" s="13">
        <v>0</v>
      </c>
    </row>
    <row r="70" spans="1:28" x14ac:dyDescent="0.2">
      <c r="A70" s="13">
        <v>50</v>
      </c>
      <c r="B70" s="13">
        <v>0</v>
      </c>
      <c r="C70" s="13">
        <v>0</v>
      </c>
      <c r="D70" s="13">
        <v>1</v>
      </c>
      <c r="E70" s="13">
        <v>229</v>
      </c>
      <c r="F70" s="13">
        <f>ROUND(Source!AZ59,O70)</f>
        <v>0</v>
      </c>
      <c r="G70" s="13" t="s">
        <v>111</v>
      </c>
      <c r="H70" s="13" t="s">
        <v>112</v>
      </c>
      <c r="I70" s="13"/>
      <c r="J70" s="13"/>
      <c r="K70" s="13">
        <v>229</v>
      </c>
      <c r="L70" s="13">
        <v>10</v>
      </c>
      <c r="M70" s="13">
        <v>3</v>
      </c>
      <c r="N70" s="13" t="s">
        <v>3</v>
      </c>
      <c r="O70" s="13">
        <v>2</v>
      </c>
      <c r="P70" s="13">
        <f>ROUND(Source!ER59,O70)</f>
        <v>0</v>
      </c>
      <c r="Q70" s="13"/>
      <c r="R70" s="13"/>
      <c r="S70" s="13"/>
      <c r="T70" s="13"/>
      <c r="U70" s="13"/>
      <c r="V70" s="13"/>
      <c r="W70" s="13">
        <v>0</v>
      </c>
      <c r="X70" s="13">
        <v>1</v>
      </c>
      <c r="Y70" s="13">
        <v>0</v>
      </c>
      <c r="Z70" s="13">
        <v>0</v>
      </c>
      <c r="AA70" s="13">
        <v>1</v>
      </c>
      <c r="AB70" s="13">
        <v>0</v>
      </c>
    </row>
    <row r="71" spans="1:28" x14ac:dyDescent="0.2">
      <c r="A71" s="13">
        <v>50</v>
      </c>
      <c r="B71" s="13">
        <v>0</v>
      </c>
      <c r="C71" s="13">
        <v>0</v>
      </c>
      <c r="D71" s="13">
        <v>1</v>
      </c>
      <c r="E71" s="13">
        <v>203</v>
      </c>
      <c r="F71" s="13">
        <f>ROUND(Source!Q59,O71)</f>
        <v>72.849999999999994</v>
      </c>
      <c r="G71" s="13" t="s">
        <v>113</v>
      </c>
      <c r="H71" s="13" t="s">
        <v>114</v>
      </c>
      <c r="I71" s="13"/>
      <c r="J71" s="13"/>
      <c r="K71" s="13">
        <v>203</v>
      </c>
      <c r="L71" s="13">
        <v>11</v>
      </c>
      <c r="M71" s="13">
        <v>3</v>
      </c>
      <c r="N71" s="13" t="s">
        <v>3</v>
      </c>
      <c r="O71" s="13">
        <v>2</v>
      </c>
      <c r="P71" s="13">
        <f>ROUND(Source!DI59,O71)</f>
        <v>1005.81</v>
      </c>
      <c r="Q71" s="13"/>
      <c r="R71" s="13"/>
      <c r="S71" s="13"/>
      <c r="T71" s="13"/>
      <c r="U71" s="13"/>
      <c r="V71" s="13"/>
      <c r="W71" s="13">
        <v>72.849999999999994</v>
      </c>
      <c r="X71" s="13">
        <v>1</v>
      </c>
      <c r="Y71" s="13">
        <v>72.849999999999994</v>
      </c>
      <c r="Z71" s="13">
        <v>1005.81</v>
      </c>
      <c r="AA71" s="13">
        <v>1</v>
      </c>
      <c r="AB71" s="13">
        <v>1005.81</v>
      </c>
    </row>
    <row r="72" spans="1:28" x14ac:dyDescent="0.2">
      <c r="A72" s="13">
        <v>50</v>
      </c>
      <c r="B72" s="13">
        <v>0</v>
      </c>
      <c r="C72" s="13">
        <v>0</v>
      </c>
      <c r="D72" s="13">
        <v>1</v>
      </c>
      <c r="E72" s="13">
        <v>231</v>
      </c>
      <c r="F72" s="13">
        <f>ROUND(Source!BB59,O72)</f>
        <v>0</v>
      </c>
      <c r="G72" s="13" t="s">
        <v>115</v>
      </c>
      <c r="H72" s="13" t="s">
        <v>116</v>
      </c>
      <c r="I72" s="13"/>
      <c r="J72" s="13"/>
      <c r="K72" s="13">
        <v>231</v>
      </c>
      <c r="L72" s="13">
        <v>12</v>
      </c>
      <c r="M72" s="13">
        <v>3</v>
      </c>
      <c r="N72" s="13" t="s">
        <v>3</v>
      </c>
      <c r="O72" s="13">
        <v>2</v>
      </c>
      <c r="P72" s="13">
        <f>ROUND(Source!ET59,O72)</f>
        <v>0</v>
      </c>
      <c r="Q72" s="13"/>
      <c r="R72" s="13"/>
      <c r="S72" s="13"/>
      <c r="T72" s="13"/>
      <c r="U72" s="13"/>
      <c r="V72" s="13"/>
      <c r="W72" s="13">
        <v>0</v>
      </c>
      <c r="X72" s="13">
        <v>1</v>
      </c>
      <c r="Y72" s="13">
        <v>0</v>
      </c>
      <c r="Z72" s="13">
        <v>0</v>
      </c>
      <c r="AA72" s="13">
        <v>1</v>
      </c>
      <c r="AB72" s="13">
        <v>0</v>
      </c>
    </row>
    <row r="73" spans="1:28" x14ac:dyDescent="0.2">
      <c r="A73" s="13">
        <v>50</v>
      </c>
      <c r="B73" s="13">
        <v>0</v>
      </c>
      <c r="C73" s="13">
        <v>0</v>
      </c>
      <c r="D73" s="13">
        <v>1</v>
      </c>
      <c r="E73" s="13">
        <v>204</v>
      </c>
      <c r="F73" s="13">
        <f>ROUND(Source!R59,O73)</f>
        <v>4.55</v>
      </c>
      <c r="G73" s="13" t="s">
        <v>117</v>
      </c>
      <c r="H73" s="13" t="s">
        <v>118</v>
      </c>
      <c r="I73" s="13"/>
      <c r="J73" s="13"/>
      <c r="K73" s="13">
        <v>204</v>
      </c>
      <c r="L73" s="13">
        <v>13</v>
      </c>
      <c r="M73" s="13">
        <v>3</v>
      </c>
      <c r="N73" s="13" t="s">
        <v>3</v>
      </c>
      <c r="O73" s="13">
        <v>2</v>
      </c>
      <c r="P73" s="13">
        <f>ROUND(Source!DJ59,O73)</f>
        <v>256.39</v>
      </c>
      <c r="Q73" s="13"/>
      <c r="R73" s="13"/>
      <c r="S73" s="13"/>
      <c r="T73" s="13"/>
      <c r="U73" s="13"/>
      <c r="V73" s="13"/>
      <c r="W73" s="13">
        <v>4.55</v>
      </c>
      <c r="X73" s="13">
        <v>1</v>
      </c>
      <c r="Y73" s="13">
        <v>4.55</v>
      </c>
      <c r="Z73" s="13">
        <v>256.39</v>
      </c>
      <c r="AA73" s="13">
        <v>1</v>
      </c>
      <c r="AB73" s="13">
        <v>256.39</v>
      </c>
    </row>
    <row r="74" spans="1:28" x14ac:dyDescent="0.2">
      <c r="A74" s="13">
        <v>50</v>
      </c>
      <c r="B74" s="13">
        <v>0</v>
      </c>
      <c r="C74" s="13">
        <v>0</v>
      </c>
      <c r="D74" s="13">
        <v>1</v>
      </c>
      <c r="E74" s="13">
        <v>205</v>
      </c>
      <c r="F74" s="13">
        <f>ROUND(Source!S59,O74)</f>
        <v>14573.14</v>
      </c>
      <c r="G74" s="13" t="s">
        <v>119</v>
      </c>
      <c r="H74" s="13" t="s">
        <v>120</v>
      </c>
      <c r="I74" s="13"/>
      <c r="J74" s="13"/>
      <c r="K74" s="13">
        <v>205</v>
      </c>
      <c r="L74" s="13">
        <v>14</v>
      </c>
      <c r="M74" s="13">
        <v>3</v>
      </c>
      <c r="N74" s="13" t="s">
        <v>3</v>
      </c>
      <c r="O74" s="13">
        <v>2</v>
      </c>
      <c r="P74" s="13">
        <f>ROUND(Source!DK59,O74)</f>
        <v>821196.46</v>
      </c>
      <c r="Q74" s="13"/>
      <c r="R74" s="13"/>
      <c r="S74" s="13"/>
      <c r="T74" s="13"/>
      <c r="U74" s="13"/>
      <c r="V74" s="13"/>
      <c r="W74" s="13">
        <v>14573.14</v>
      </c>
      <c r="X74" s="13">
        <v>1</v>
      </c>
      <c r="Y74" s="13">
        <v>14573.14</v>
      </c>
      <c r="Z74" s="13">
        <v>821196.46</v>
      </c>
      <c r="AA74" s="13">
        <v>1</v>
      </c>
      <c r="AB74" s="13">
        <v>821196.46</v>
      </c>
    </row>
    <row r="75" spans="1:28" x14ac:dyDescent="0.2">
      <c r="A75" s="13">
        <v>50</v>
      </c>
      <c r="B75" s="13">
        <v>0</v>
      </c>
      <c r="C75" s="13">
        <v>0</v>
      </c>
      <c r="D75" s="13">
        <v>1</v>
      </c>
      <c r="E75" s="13">
        <v>232</v>
      </c>
      <c r="F75" s="13">
        <f>ROUND(Source!BC59,O75)</f>
        <v>0</v>
      </c>
      <c r="G75" s="13" t="s">
        <v>121</v>
      </c>
      <c r="H75" s="13" t="s">
        <v>122</v>
      </c>
      <c r="I75" s="13"/>
      <c r="J75" s="13"/>
      <c r="K75" s="13">
        <v>232</v>
      </c>
      <c r="L75" s="13">
        <v>15</v>
      </c>
      <c r="M75" s="13">
        <v>3</v>
      </c>
      <c r="N75" s="13" t="s">
        <v>3</v>
      </c>
      <c r="O75" s="13">
        <v>2</v>
      </c>
      <c r="P75" s="13">
        <f>ROUND(Source!EU59,O75)</f>
        <v>0</v>
      </c>
      <c r="Q75" s="13"/>
      <c r="R75" s="13"/>
      <c r="S75" s="13"/>
      <c r="T75" s="13"/>
      <c r="U75" s="13"/>
      <c r="V75" s="13"/>
      <c r="W75" s="13">
        <v>0</v>
      </c>
      <c r="X75" s="13">
        <v>1</v>
      </c>
      <c r="Y75" s="13">
        <v>0</v>
      </c>
      <c r="Z75" s="13">
        <v>0</v>
      </c>
      <c r="AA75" s="13">
        <v>1</v>
      </c>
      <c r="AB75" s="13">
        <v>0</v>
      </c>
    </row>
    <row r="76" spans="1:28" x14ac:dyDescent="0.2">
      <c r="A76" s="13">
        <v>50</v>
      </c>
      <c r="B76" s="13">
        <v>0</v>
      </c>
      <c r="C76" s="13">
        <v>0</v>
      </c>
      <c r="D76" s="13">
        <v>1</v>
      </c>
      <c r="E76" s="13">
        <v>214</v>
      </c>
      <c r="F76" s="13">
        <f>ROUND(Source!AS59,O76)</f>
        <v>30622.36</v>
      </c>
      <c r="G76" s="13" t="s">
        <v>123</v>
      </c>
      <c r="H76" s="13" t="s">
        <v>124</v>
      </c>
      <c r="I76" s="13"/>
      <c r="J76" s="13"/>
      <c r="K76" s="13">
        <v>214</v>
      </c>
      <c r="L76" s="13">
        <v>16</v>
      </c>
      <c r="M76" s="13">
        <v>3</v>
      </c>
      <c r="N76" s="13" t="s">
        <v>3</v>
      </c>
      <c r="O76" s="13">
        <v>2</v>
      </c>
      <c r="P76" s="13">
        <f>ROUND(Source!EK59,O76)</f>
        <v>1725569.61</v>
      </c>
      <c r="Q76" s="13"/>
      <c r="R76" s="13"/>
      <c r="S76" s="13"/>
      <c r="T76" s="13"/>
      <c r="U76" s="13"/>
      <c r="V76" s="13"/>
      <c r="W76" s="13">
        <v>30622.36</v>
      </c>
      <c r="X76" s="13">
        <v>1</v>
      </c>
      <c r="Y76" s="13">
        <v>30622.36</v>
      </c>
      <c r="Z76" s="13">
        <v>1725569.61</v>
      </c>
      <c r="AA76" s="13">
        <v>1</v>
      </c>
      <c r="AB76" s="13">
        <v>1725569.61</v>
      </c>
    </row>
    <row r="77" spans="1:28" x14ac:dyDescent="0.2">
      <c r="A77" s="13">
        <v>50</v>
      </c>
      <c r="B77" s="13">
        <v>0</v>
      </c>
      <c r="C77" s="13">
        <v>0</v>
      </c>
      <c r="D77" s="13">
        <v>1</v>
      </c>
      <c r="E77" s="13">
        <v>215</v>
      </c>
      <c r="F77" s="13">
        <f>ROUND(Source!AT59,O77)</f>
        <v>4256.6899999999996</v>
      </c>
      <c r="G77" s="13" t="s">
        <v>125</v>
      </c>
      <c r="H77" s="13" t="s">
        <v>126</v>
      </c>
      <c r="I77" s="13"/>
      <c r="J77" s="13"/>
      <c r="K77" s="13">
        <v>215</v>
      </c>
      <c r="L77" s="13">
        <v>17</v>
      </c>
      <c r="M77" s="13">
        <v>3</v>
      </c>
      <c r="N77" s="13" t="s">
        <v>3</v>
      </c>
      <c r="O77" s="13">
        <v>2</v>
      </c>
      <c r="P77" s="13">
        <f>ROUND(Source!EL59,O77)</f>
        <v>236765.52</v>
      </c>
      <c r="Q77" s="13"/>
      <c r="R77" s="13"/>
      <c r="S77" s="13"/>
      <c r="T77" s="13"/>
      <c r="U77" s="13"/>
      <c r="V77" s="13"/>
      <c r="W77" s="13">
        <v>4256.6899999999996</v>
      </c>
      <c r="X77" s="13">
        <v>1</v>
      </c>
      <c r="Y77" s="13">
        <v>4256.6899999999996</v>
      </c>
      <c r="Z77" s="13">
        <v>236765.52</v>
      </c>
      <c r="AA77" s="13">
        <v>1</v>
      </c>
      <c r="AB77" s="13">
        <v>236765.52</v>
      </c>
    </row>
    <row r="78" spans="1:28" x14ac:dyDescent="0.2">
      <c r="A78" s="13">
        <v>50</v>
      </c>
      <c r="B78" s="13">
        <v>0</v>
      </c>
      <c r="C78" s="13">
        <v>0</v>
      </c>
      <c r="D78" s="13">
        <v>1</v>
      </c>
      <c r="E78" s="13">
        <v>217</v>
      </c>
      <c r="F78" s="13">
        <f>ROUND(Source!AU59,O78)</f>
        <v>0</v>
      </c>
      <c r="G78" s="13" t="s">
        <v>127</v>
      </c>
      <c r="H78" s="13" t="s">
        <v>128</v>
      </c>
      <c r="I78" s="13"/>
      <c r="J78" s="13"/>
      <c r="K78" s="13">
        <v>217</v>
      </c>
      <c r="L78" s="13">
        <v>18</v>
      </c>
      <c r="M78" s="13">
        <v>3</v>
      </c>
      <c r="N78" s="13" t="s">
        <v>3</v>
      </c>
      <c r="O78" s="13">
        <v>2</v>
      </c>
      <c r="P78" s="13">
        <f>ROUND(Source!EM59,O78)</f>
        <v>0</v>
      </c>
      <c r="Q78" s="13"/>
      <c r="R78" s="13"/>
      <c r="S78" s="13"/>
      <c r="T78" s="13"/>
      <c r="U78" s="13"/>
      <c r="V78" s="13"/>
      <c r="W78" s="13">
        <v>0</v>
      </c>
      <c r="X78" s="13">
        <v>1</v>
      </c>
      <c r="Y78" s="13">
        <v>0</v>
      </c>
      <c r="Z78" s="13">
        <v>0</v>
      </c>
      <c r="AA78" s="13">
        <v>1</v>
      </c>
      <c r="AB78" s="13">
        <v>0</v>
      </c>
    </row>
    <row r="79" spans="1:28" x14ac:dyDescent="0.2">
      <c r="A79" s="13">
        <v>50</v>
      </c>
      <c r="B79" s="13">
        <v>0</v>
      </c>
      <c r="C79" s="13">
        <v>0</v>
      </c>
      <c r="D79" s="13">
        <v>1</v>
      </c>
      <c r="E79" s="13">
        <v>230</v>
      </c>
      <c r="F79" s="13">
        <f>ROUND(Source!BA59,O79)</f>
        <v>0</v>
      </c>
      <c r="G79" s="13" t="s">
        <v>129</v>
      </c>
      <c r="H79" s="13" t="s">
        <v>130</v>
      </c>
      <c r="I79" s="13"/>
      <c r="J79" s="13"/>
      <c r="K79" s="13">
        <v>230</v>
      </c>
      <c r="L79" s="13">
        <v>19</v>
      </c>
      <c r="M79" s="13">
        <v>3</v>
      </c>
      <c r="N79" s="13" t="s">
        <v>3</v>
      </c>
      <c r="O79" s="13">
        <v>2</v>
      </c>
      <c r="P79" s="13">
        <f>ROUND(Source!ES59,O79)</f>
        <v>0</v>
      </c>
      <c r="Q79" s="13"/>
      <c r="R79" s="13"/>
      <c r="S79" s="13"/>
      <c r="T79" s="13"/>
      <c r="U79" s="13"/>
      <c r="V79" s="13"/>
      <c r="W79" s="13">
        <v>0</v>
      </c>
      <c r="X79" s="13">
        <v>1</v>
      </c>
      <c r="Y79" s="13">
        <v>0</v>
      </c>
      <c r="Z79" s="13">
        <v>0</v>
      </c>
      <c r="AA79" s="13">
        <v>1</v>
      </c>
      <c r="AB79" s="13">
        <v>0</v>
      </c>
    </row>
    <row r="80" spans="1:28" x14ac:dyDescent="0.2">
      <c r="A80" s="13">
        <v>50</v>
      </c>
      <c r="B80" s="13">
        <v>0</v>
      </c>
      <c r="C80" s="13">
        <v>0</v>
      </c>
      <c r="D80" s="13">
        <v>1</v>
      </c>
      <c r="E80" s="13">
        <v>206</v>
      </c>
      <c r="F80" s="13">
        <f>ROUND(Source!T59,O80)</f>
        <v>0</v>
      </c>
      <c r="G80" s="13" t="s">
        <v>131</v>
      </c>
      <c r="H80" s="13" t="s">
        <v>132</v>
      </c>
      <c r="I80" s="13"/>
      <c r="J80" s="13"/>
      <c r="K80" s="13">
        <v>206</v>
      </c>
      <c r="L80" s="13">
        <v>20</v>
      </c>
      <c r="M80" s="13">
        <v>3</v>
      </c>
      <c r="N80" s="13" t="s">
        <v>3</v>
      </c>
      <c r="O80" s="13">
        <v>2</v>
      </c>
      <c r="P80" s="13">
        <f>ROUND(Source!DL59,O80)</f>
        <v>0</v>
      </c>
      <c r="Q80" s="13"/>
      <c r="R80" s="13"/>
      <c r="S80" s="13"/>
      <c r="T80" s="13"/>
      <c r="U80" s="13"/>
      <c r="V80" s="13"/>
      <c r="W80" s="13">
        <v>0</v>
      </c>
      <c r="X80" s="13">
        <v>1</v>
      </c>
      <c r="Y80" s="13">
        <v>0</v>
      </c>
      <c r="Z80" s="13">
        <v>0</v>
      </c>
      <c r="AA80" s="13">
        <v>1</v>
      </c>
      <c r="AB80" s="13">
        <v>0</v>
      </c>
    </row>
    <row r="81" spans="1:255" x14ac:dyDescent="0.2">
      <c r="A81" s="13">
        <v>50</v>
      </c>
      <c r="B81" s="13">
        <v>0</v>
      </c>
      <c r="C81" s="13">
        <v>0</v>
      </c>
      <c r="D81" s="13">
        <v>1</v>
      </c>
      <c r="E81" s="13">
        <v>207</v>
      </c>
      <c r="F81" s="13">
        <f>Source!U59</f>
        <v>1367.5599899999997</v>
      </c>
      <c r="G81" s="13" t="s">
        <v>133</v>
      </c>
      <c r="H81" s="13" t="s">
        <v>134</v>
      </c>
      <c r="I81" s="13"/>
      <c r="J81" s="13"/>
      <c r="K81" s="13">
        <v>207</v>
      </c>
      <c r="L81" s="13">
        <v>21</v>
      </c>
      <c r="M81" s="13">
        <v>3</v>
      </c>
      <c r="N81" s="13" t="s">
        <v>3</v>
      </c>
      <c r="O81" s="13">
        <v>-1</v>
      </c>
      <c r="P81" s="13">
        <f>Source!DM59</f>
        <v>1367.5599899999997</v>
      </c>
      <c r="Q81" s="13"/>
      <c r="R81" s="13"/>
      <c r="S81" s="13"/>
      <c r="T81" s="13"/>
      <c r="U81" s="13"/>
      <c r="V81" s="13"/>
      <c r="W81" s="13">
        <v>1367.5599899999997</v>
      </c>
      <c r="X81" s="13">
        <v>1</v>
      </c>
      <c r="Y81" s="13">
        <v>1367.5599899999997</v>
      </c>
      <c r="Z81" s="13">
        <v>1367.5599899999997</v>
      </c>
      <c r="AA81" s="13">
        <v>1</v>
      </c>
      <c r="AB81" s="13">
        <v>1367.5599899999997</v>
      </c>
    </row>
    <row r="82" spans="1:255" x14ac:dyDescent="0.2">
      <c r="A82" s="13">
        <v>50</v>
      </c>
      <c r="B82" s="13">
        <v>0</v>
      </c>
      <c r="C82" s="13">
        <v>0</v>
      </c>
      <c r="D82" s="13">
        <v>1</v>
      </c>
      <c r="E82" s="13">
        <v>208</v>
      </c>
      <c r="F82" s="13">
        <f>Source!V59</f>
        <v>0</v>
      </c>
      <c r="G82" s="13" t="s">
        <v>135</v>
      </c>
      <c r="H82" s="13" t="s">
        <v>136</v>
      </c>
      <c r="I82" s="13"/>
      <c r="J82" s="13"/>
      <c r="K82" s="13">
        <v>208</v>
      </c>
      <c r="L82" s="13">
        <v>22</v>
      </c>
      <c r="M82" s="13">
        <v>3</v>
      </c>
      <c r="N82" s="13" t="s">
        <v>3</v>
      </c>
      <c r="O82" s="13">
        <v>-1</v>
      </c>
      <c r="P82" s="13">
        <f>Source!DN59</f>
        <v>0</v>
      </c>
      <c r="Q82" s="13"/>
      <c r="R82" s="13"/>
      <c r="S82" s="13"/>
      <c r="T82" s="13"/>
      <c r="U82" s="13"/>
      <c r="V82" s="13"/>
      <c r="W82" s="13">
        <v>0</v>
      </c>
      <c r="X82" s="13">
        <v>1</v>
      </c>
      <c r="Y82" s="13">
        <v>0</v>
      </c>
      <c r="Z82" s="13">
        <v>0</v>
      </c>
      <c r="AA82" s="13">
        <v>1</v>
      </c>
      <c r="AB82" s="13">
        <v>0</v>
      </c>
    </row>
    <row r="83" spans="1:255" x14ac:dyDescent="0.2">
      <c r="A83" s="13">
        <v>50</v>
      </c>
      <c r="B83" s="13">
        <v>0</v>
      </c>
      <c r="C83" s="13">
        <v>0</v>
      </c>
      <c r="D83" s="13">
        <v>1</v>
      </c>
      <c r="E83" s="13">
        <v>209</v>
      </c>
      <c r="F83" s="13">
        <f>ROUND(Source!W59,O83)</f>
        <v>0</v>
      </c>
      <c r="G83" s="13" t="s">
        <v>137</v>
      </c>
      <c r="H83" s="13" t="s">
        <v>138</v>
      </c>
      <c r="I83" s="13"/>
      <c r="J83" s="13"/>
      <c r="K83" s="13">
        <v>209</v>
      </c>
      <c r="L83" s="13">
        <v>23</v>
      </c>
      <c r="M83" s="13">
        <v>3</v>
      </c>
      <c r="N83" s="13" t="s">
        <v>3</v>
      </c>
      <c r="O83" s="13">
        <v>2</v>
      </c>
      <c r="P83" s="13">
        <f>ROUND(Source!DO59,O83)</f>
        <v>0</v>
      </c>
      <c r="Q83" s="13"/>
      <c r="R83" s="13"/>
      <c r="S83" s="13"/>
      <c r="T83" s="13"/>
      <c r="U83" s="13"/>
      <c r="V83" s="13"/>
      <c r="W83" s="13">
        <v>0</v>
      </c>
      <c r="X83" s="13">
        <v>1</v>
      </c>
      <c r="Y83" s="13">
        <v>0</v>
      </c>
      <c r="Z83" s="13">
        <v>0</v>
      </c>
      <c r="AA83" s="13">
        <v>1</v>
      </c>
      <c r="AB83" s="13">
        <v>0</v>
      </c>
    </row>
    <row r="84" spans="1:255" x14ac:dyDescent="0.2">
      <c r="A84" s="13">
        <v>50</v>
      </c>
      <c r="B84" s="13">
        <v>0</v>
      </c>
      <c r="C84" s="13">
        <v>0</v>
      </c>
      <c r="D84" s="13">
        <v>1</v>
      </c>
      <c r="E84" s="13">
        <v>233</v>
      </c>
      <c r="F84" s="13">
        <f>ROUND(Source!BD59,O84)</f>
        <v>0</v>
      </c>
      <c r="G84" s="13" t="s">
        <v>139</v>
      </c>
      <c r="H84" s="13" t="s">
        <v>140</v>
      </c>
      <c r="I84" s="13"/>
      <c r="J84" s="13"/>
      <c r="K84" s="13">
        <v>233</v>
      </c>
      <c r="L84" s="13">
        <v>24</v>
      </c>
      <c r="M84" s="13">
        <v>3</v>
      </c>
      <c r="N84" s="13" t="s">
        <v>3</v>
      </c>
      <c r="O84" s="13">
        <v>2</v>
      </c>
      <c r="P84" s="13">
        <f>ROUND(Source!EV59,O84)</f>
        <v>0</v>
      </c>
      <c r="Q84" s="13"/>
      <c r="R84" s="13"/>
      <c r="S84" s="13"/>
      <c r="T84" s="13"/>
      <c r="U84" s="13"/>
      <c r="V84" s="13"/>
      <c r="W84" s="13">
        <v>0</v>
      </c>
      <c r="X84" s="13">
        <v>1</v>
      </c>
      <c r="Y84" s="13">
        <v>0</v>
      </c>
      <c r="Z84" s="13">
        <v>0</v>
      </c>
      <c r="AA84" s="13">
        <v>1</v>
      </c>
      <c r="AB84" s="13">
        <v>0</v>
      </c>
    </row>
    <row r="85" spans="1:255" x14ac:dyDescent="0.2">
      <c r="A85" s="13">
        <v>50</v>
      </c>
      <c r="B85" s="13">
        <v>0</v>
      </c>
      <c r="C85" s="13">
        <v>0</v>
      </c>
      <c r="D85" s="13">
        <v>1</v>
      </c>
      <c r="E85" s="13">
        <v>210</v>
      </c>
      <c r="F85" s="13">
        <f>ROUND(Source!X59,O85)</f>
        <v>13260.58</v>
      </c>
      <c r="G85" s="13" t="s">
        <v>141</v>
      </c>
      <c r="H85" s="13" t="s">
        <v>142</v>
      </c>
      <c r="I85" s="13"/>
      <c r="J85" s="13"/>
      <c r="K85" s="13">
        <v>210</v>
      </c>
      <c r="L85" s="13">
        <v>25</v>
      </c>
      <c r="M85" s="13">
        <v>3</v>
      </c>
      <c r="N85" s="13" t="s">
        <v>3</v>
      </c>
      <c r="O85" s="13">
        <v>2</v>
      </c>
      <c r="P85" s="13">
        <f>ROUND(Source!DP59,O85)</f>
        <v>747233.65</v>
      </c>
      <c r="Q85" s="13"/>
      <c r="R85" s="13"/>
      <c r="S85" s="13"/>
      <c r="T85" s="13"/>
      <c r="U85" s="13"/>
      <c r="V85" s="13"/>
      <c r="W85" s="13">
        <v>13260.58</v>
      </c>
      <c r="X85" s="13">
        <v>1</v>
      </c>
      <c r="Y85" s="13">
        <v>13260.58</v>
      </c>
      <c r="Z85" s="13">
        <v>747233.65</v>
      </c>
      <c r="AA85" s="13">
        <v>1</v>
      </c>
      <c r="AB85" s="13">
        <v>747233.65</v>
      </c>
    </row>
    <row r="86" spans="1:255" x14ac:dyDescent="0.2">
      <c r="A86" s="13">
        <v>50</v>
      </c>
      <c r="B86" s="13">
        <v>0</v>
      </c>
      <c r="C86" s="13">
        <v>0</v>
      </c>
      <c r="D86" s="13">
        <v>1</v>
      </c>
      <c r="E86" s="13">
        <v>211</v>
      </c>
      <c r="F86" s="13">
        <f>ROUND(Source!Y59,O86)</f>
        <v>6972.48</v>
      </c>
      <c r="G86" s="13" t="s">
        <v>143</v>
      </c>
      <c r="H86" s="13" t="s">
        <v>144</v>
      </c>
      <c r="I86" s="13"/>
      <c r="J86" s="13"/>
      <c r="K86" s="13">
        <v>211</v>
      </c>
      <c r="L86" s="13">
        <v>26</v>
      </c>
      <c r="M86" s="13">
        <v>3</v>
      </c>
      <c r="N86" s="13" t="s">
        <v>3</v>
      </c>
      <c r="O86" s="13">
        <v>2</v>
      </c>
      <c r="P86" s="13">
        <f>ROUND(Source!DQ59,O86)</f>
        <v>392899.21</v>
      </c>
      <c r="Q86" s="13"/>
      <c r="R86" s="13"/>
      <c r="S86" s="13"/>
      <c r="T86" s="13"/>
      <c r="U86" s="13"/>
      <c r="V86" s="13"/>
      <c r="W86" s="13">
        <v>6972.48</v>
      </c>
      <c r="X86" s="13">
        <v>1</v>
      </c>
      <c r="Y86" s="13">
        <v>6972.48</v>
      </c>
      <c r="Z86" s="13">
        <v>392899.21</v>
      </c>
      <c r="AA86" s="13">
        <v>1</v>
      </c>
      <c r="AB86" s="13">
        <v>392899.21</v>
      </c>
    </row>
    <row r="87" spans="1:255" x14ac:dyDescent="0.2">
      <c r="A87" s="13">
        <v>50</v>
      </c>
      <c r="B87" s="13">
        <v>0</v>
      </c>
      <c r="C87" s="13">
        <v>0</v>
      </c>
      <c r="D87" s="13">
        <v>1</v>
      </c>
      <c r="E87" s="13">
        <v>224</v>
      </c>
      <c r="F87" s="13">
        <f>ROUND(Source!AR59,O87)</f>
        <v>34879.050000000003</v>
      </c>
      <c r="G87" s="13" t="s">
        <v>145</v>
      </c>
      <c r="H87" s="13" t="s">
        <v>146</v>
      </c>
      <c r="I87" s="13"/>
      <c r="J87" s="13"/>
      <c r="K87" s="13">
        <v>224</v>
      </c>
      <c r="L87" s="13">
        <v>27</v>
      </c>
      <c r="M87" s="13">
        <v>3</v>
      </c>
      <c r="N87" s="13" t="s">
        <v>3</v>
      </c>
      <c r="O87" s="13">
        <v>2</v>
      </c>
      <c r="P87" s="13">
        <f>ROUND(Source!EJ59,O87)</f>
        <v>1962335.13</v>
      </c>
      <c r="Q87" s="13"/>
      <c r="R87" s="13"/>
      <c r="S87" s="13"/>
      <c r="T87" s="13"/>
      <c r="U87" s="13"/>
      <c r="V87" s="13"/>
      <c r="W87" s="13">
        <v>34879.050000000003</v>
      </c>
      <c r="X87" s="13">
        <v>1</v>
      </c>
      <c r="Y87" s="13">
        <v>34879.050000000003</v>
      </c>
      <c r="Z87" s="13">
        <v>1962335.13</v>
      </c>
      <c r="AA87" s="13">
        <v>1</v>
      </c>
      <c r="AB87" s="13">
        <v>1962335.13</v>
      </c>
    </row>
    <row r="89" spans="1:255" x14ac:dyDescent="0.2">
      <c r="A89" s="10">
        <v>4</v>
      </c>
      <c r="B89" s="10">
        <v>1</v>
      </c>
      <c r="C89" s="10"/>
      <c r="D89" s="10">
        <f>ROW(A118)</f>
        <v>118</v>
      </c>
      <c r="E89" s="10"/>
      <c r="F89" s="10" t="s">
        <v>19</v>
      </c>
      <c r="G89" s="10" t="s">
        <v>147</v>
      </c>
      <c r="H89" s="10" t="s">
        <v>3</v>
      </c>
      <c r="I89" s="10">
        <v>0</v>
      </c>
      <c r="J89" s="10"/>
      <c r="K89" s="10">
        <v>-1</v>
      </c>
      <c r="L89" s="10"/>
      <c r="M89" s="10" t="s">
        <v>3</v>
      </c>
      <c r="N89" s="10"/>
      <c r="O89" s="10"/>
      <c r="P89" s="10"/>
      <c r="Q89" s="10"/>
      <c r="R89" s="10"/>
      <c r="S89" s="10">
        <v>0</v>
      </c>
      <c r="T89" s="10">
        <v>0</v>
      </c>
      <c r="U89" s="10" t="s">
        <v>3</v>
      </c>
      <c r="V89" s="10">
        <v>0</v>
      </c>
      <c r="W89" s="10"/>
      <c r="X89" s="10"/>
      <c r="Y89" s="10"/>
      <c r="Z89" s="10"/>
      <c r="AA89" s="10"/>
      <c r="AB89" s="10" t="s">
        <v>3</v>
      </c>
      <c r="AC89" s="10" t="s">
        <v>3</v>
      </c>
      <c r="AD89" s="10" t="s">
        <v>3</v>
      </c>
      <c r="AE89" s="10" t="s">
        <v>3</v>
      </c>
      <c r="AF89" s="10" t="s">
        <v>3</v>
      </c>
      <c r="AG89" s="10" t="s">
        <v>3</v>
      </c>
      <c r="AH89" s="10"/>
      <c r="AI89" s="10"/>
      <c r="AJ89" s="10"/>
      <c r="AK89" s="10"/>
      <c r="AL89" s="10"/>
      <c r="AM89" s="10"/>
      <c r="AN89" s="10"/>
      <c r="AO89" s="10"/>
      <c r="AP89" s="10" t="s">
        <v>3</v>
      </c>
      <c r="AQ89" s="10" t="s">
        <v>3</v>
      </c>
      <c r="AR89" s="10" t="s">
        <v>3</v>
      </c>
      <c r="AS89" s="10"/>
      <c r="AT89" s="10"/>
      <c r="AU89" s="10"/>
      <c r="AV89" s="10"/>
      <c r="AW89" s="10"/>
      <c r="AX89" s="10"/>
      <c r="AY89" s="10"/>
      <c r="AZ89" s="10" t="s">
        <v>3</v>
      </c>
      <c r="BA89" s="10"/>
      <c r="BB89" s="10" t="s">
        <v>3</v>
      </c>
      <c r="BC89" s="10" t="s">
        <v>3</v>
      </c>
      <c r="BD89" s="10" t="s">
        <v>3</v>
      </c>
      <c r="BE89" s="10" t="s">
        <v>3</v>
      </c>
      <c r="BF89" s="10" t="s">
        <v>3</v>
      </c>
      <c r="BG89" s="10" t="s">
        <v>3</v>
      </c>
      <c r="BH89" s="10" t="s">
        <v>3</v>
      </c>
      <c r="BI89" s="10" t="s">
        <v>3</v>
      </c>
      <c r="BJ89" s="10" t="s">
        <v>3</v>
      </c>
      <c r="BK89" s="10" t="s">
        <v>3</v>
      </c>
      <c r="BL89" s="10" t="s">
        <v>3</v>
      </c>
      <c r="BM89" s="10" t="s">
        <v>3</v>
      </c>
      <c r="BN89" s="10" t="s">
        <v>3</v>
      </c>
      <c r="BO89" s="10" t="s">
        <v>3</v>
      </c>
      <c r="BP89" s="10" t="s">
        <v>3</v>
      </c>
      <c r="BQ89" s="10"/>
      <c r="BR89" s="10"/>
      <c r="BS89" s="10"/>
      <c r="BT89" s="10"/>
      <c r="BU89" s="10"/>
      <c r="BV89" s="10"/>
      <c r="BW89" s="10"/>
      <c r="BX89" s="10">
        <v>0</v>
      </c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>
        <v>0</v>
      </c>
    </row>
    <row r="91" spans="1:255" x14ac:dyDescent="0.2">
      <c r="A91" s="11">
        <v>52</v>
      </c>
      <c r="B91" s="11">
        <f t="shared" ref="B91:G91" si="66">B118</f>
        <v>1</v>
      </c>
      <c r="C91" s="11">
        <f t="shared" si="66"/>
        <v>4</v>
      </c>
      <c r="D91" s="11">
        <f t="shared" si="66"/>
        <v>89</v>
      </c>
      <c r="E91" s="11">
        <f t="shared" si="66"/>
        <v>0</v>
      </c>
      <c r="F91" s="11" t="str">
        <f t="shared" si="66"/>
        <v>1</v>
      </c>
      <c r="G91" s="11" t="str">
        <f t="shared" si="66"/>
        <v>Приборы управления</v>
      </c>
      <c r="H91" s="11"/>
      <c r="I91" s="11"/>
      <c r="J91" s="11"/>
      <c r="K91" s="11"/>
      <c r="L91" s="11"/>
      <c r="M91" s="11"/>
      <c r="N91" s="11"/>
      <c r="O91" s="11">
        <f t="shared" ref="O91:AT91" si="67">O118</f>
        <v>11894.88</v>
      </c>
      <c r="P91" s="11">
        <f t="shared" si="67"/>
        <v>10960.51</v>
      </c>
      <c r="Q91" s="11">
        <f t="shared" si="67"/>
        <v>2.19</v>
      </c>
      <c r="R91" s="11">
        <f t="shared" si="67"/>
        <v>0.43</v>
      </c>
      <c r="S91" s="11">
        <f t="shared" si="67"/>
        <v>932.18</v>
      </c>
      <c r="T91" s="11">
        <f t="shared" si="67"/>
        <v>0</v>
      </c>
      <c r="U91" s="11">
        <f t="shared" si="67"/>
        <v>69.667379999999994</v>
      </c>
      <c r="V91" s="11">
        <f t="shared" si="67"/>
        <v>0</v>
      </c>
      <c r="W91" s="11">
        <f t="shared" si="67"/>
        <v>0</v>
      </c>
      <c r="X91" s="11">
        <f t="shared" si="67"/>
        <v>839.35</v>
      </c>
      <c r="Y91" s="11">
        <f t="shared" si="67"/>
        <v>429</v>
      </c>
      <c r="Z91" s="11">
        <f t="shared" si="67"/>
        <v>0</v>
      </c>
      <c r="AA91" s="11">
        <f t="shared" si="67"/>
        <v>0</v>
      </c>
      <c r="AB91" s="11">
        <f t="shared" si="67"/>
        <v>11894.88</v>
      </c>
      <c r="AC91" s="11">
        <f t="shared" si="67"/>
        <v>10960.51</v>
      </c>
      <c r="AD91" s="11">
        <f t="shared" si="67"/>
        <v>2.19</v>
      </c>
      <c r="AE91" s="11">
        <f t="shared" si="67"/>
        <v>0.43</v>
      </c>
      <c r="AF91" s="11">
        <f t="shared" si="67"/>
        <v>932.18</v>
      </c>
      <c r="AG91" s="11">
        <f t="shared" si="67"/>
        <v>0</v>
      </c>
      <c r="AH91" s="11">
        <f t="shared" si="67"/>
        <v>69.667379999999994</v>
      </c>
      <c r="AI91" s="11">
        <f t="shared" si="67"/>
        <v>0</v>
      </c>
      <c r="AJ91" s="11">
        <f t="shared" si="67"/>
        <v>0</v>
      </c>
      <c r="AK91" s="11">
        <f t="shared" si="67"/>
        <v>839.35</v>
      </c>
      <c r="AL91" s="11">
        <f t="shared" si="67"/>
        <v>429</v>
      </c>
      <c r="AM91" s="11">
        <f t="shared" si="67"/>
        <v>0</v>
      </c>
      <c r="AN91" s="11">
        <f t="shared" si="67"/>
        <v>0</v>
      </c>
      <c r="AO91" s="11">
        <f t="shared" si="67"/>
        <v>0</v>
      </c>
      <c r="AP91" s="11">
        <f t="shared" si="67"/>
        <v>10880.61</v>
      </c>
      <c r="AQ91" s="11">
        <f t="shared" si="67"/>
        <v>0</v>
      </c>
      <c r="AR91" s="11">
        <f t="shared" si="67"/>
        <v>13163.23</v>
      </c>
      <c r="AS91" s="11">
        <f t="shared" si="67"/>
        <v>0</v>
      </c>
      <c r="AT91" s="11">
        <f t="shared" si="67"/>
        <v>2282.62</v>
      </c>
      <c r="AU91" s="11">
        <f t="shared" ref="AU91:BZ91" si="68">AU118</f>
        <v>0</v>
      </c>
      <c r="AV91" s="11">
        <f t="shared" si="68"/>
        <v>10960.51</v>
      </c>
      <c r="AW91" s="11">
        <f t="shared" si="68"/>
        <v>79.900000000000006</v>
      </c>
      <c r="AX91" s="11">
        <f t="shared" si="68"/>
        <v>0</v>
      </c>
      <c r="AY91" s="11">
        <f t="shared" si="68"/>
        <v>79.900000000000006</v>
      </c>
      <c r="AZ91" s="11">
        <f t="shared" si="68"/>
        <v>10880.61</v>
      </c>
      <c r="BA91" s="11">
        <f t="shared" si="68"/>
        <v>0</v>
      </c>
      <c r="BB91" s="11">
        <f t="shared" si="68"/>
        <v>0</v>
      </c>
      <c r="BC91" s="11">
        <f t="shared" si="68"/>
        <v>0</v>
      </c>
      <c r="BD91" s="11">
        <f t="shared" si="68"/>
        <v>0</v>
      </c>
      <c r="BE91" s="11">
        <f t="shared" si="68"/>
        <v>0</v>
      </c>
      <c r="BF91" s="11">
        <f t="shared" si="68"/>
        <v>0</v>
      </c>
      <c r="BG91" s="11">
        <f t="shared" si="68"/>
        <v>0</v>
      </c>
      <c r="BH91" s="11">
        <f t="shared" si="68"/>
        <v>0</v>
      </c>
      <c r="BI91" s="11">
        <f t="shared" si="68"/>
        <v>0</v>
      </c>
      <c r="BJ91" s="11">
        <f t="shared" si="68"/>
        <v>0</v>
      </c>
      <c r="BK91" s="11">
        <f t="shared" si="68"/>
        <v>0</v>
      </c>
      <c r="BL91" s="11">
        <f t="shared" si="68"/>
        <v>0</v>
      </c>
      <c r="BM91" s="11">
        <f t="shared" si="68"/>
        <v>0</v>
      </c>
      <c r="BN91" s="11">
        <f t="shared" si="68"/>
        <v>0</v>
      </c>
      <c r="BO91" s="11">
        <f t="shared" si="68"/>
        <v>0</v>
      </c>
      <c r="BP91" s="11">
        <f t="shared" si="68"/>
        <v>0</v>
      </c>
      <c r="BQ91" s="11">
        <f t="shared" si="68"/>
        <v>0</v>
      </c>
      <c r="BR91" s="11">
        <f t="shared" si="68"/>
        <v>0</v>
      </c>
      <c r="BS91" s="11">
        <f t="shared" si="68"/>
        <v>0</v>
      </c>
      <c r="BT91" s="11">
        <f t="shared" si="68"/>
        <v>0</v>
      </c>
      <c r="BU91" s="11">
        <f t="shared" si="68"/>
        <v>0</v>
      </c>
      <c r="BV91" s="11">
        <f t="shared" si="68"/>
        <v>0</v>
      </c>
      <c r="BW91" s="11">
        <f t="shared" si="68"/>
        <v>0</v>
      </c>
      <c r="BX91" s="11">
        <f t="shared" si="68"/>
        <v>0</v>
      </c>
      <c r="BY91" s="11">
        <f t="shared" si="68"/>
        <v>10880.61</v>
      </c>
      <c r="BZ91" s="11">
        <f t="shared" si="68"/>
        <v>0</v>
      </c>
      <c r="CA91" s="11">
        <f t="shared" ref="CA91:DF91" si="69">CA118</f>
        <v>13163.23</v>
      </c>
      <c r="CB91" s="11">
        <f t="shared" si="69"/>
        <v>0</v>
      </c>
      <c r="CC91" s="11">
        <f t="shared" si="69"/>
        <v>2282.62</v>
      </c>
      <c r="CD91" s="11">
        <f t="shared" si="69"/>
        <v>0</v>
      </c>
      <c r="CE91" s="11">
        <f t="shared" si="69"/>
        <v>10960.51</v>
      </c>
      <c r="CF91" s="11">
        <f t="shared" si="69"/>
        <v>79.899999999999636</v>
      </c>
      <c r="CG91" s="11">
        <f t="shared" si="69"/>
        <v>0</v>
      </c>
      <c r="CH91" s="11">
        <f t="shared" si="69"/>
        <v>79.899999999999636</v>
      </c>
      <c r="CI91" s="11">
        <f t="shared" si="69"/>
        <v>10880.61</v>
      </c>
      <c r="CJ91" s="11">
        <f t="shared" si="69"/>
        <v>0</v>
      </c>
      <c r="CK91" s="11">
        <f t="shared" si="69"/>
        <v>0</v>
      </c>
      <c r="CL91" s="11">
        <f t="shared" si="69"/>
        <v>0</v>
      </c>
      <c r="CM91" s="11">
        <f t="shared" si="69"/>
        <v>0</v>
      </c>
      <c r="CN91" s="11">
        <f t="shared" si="69"/>
        <v>0</v>
      </c>
      <c r="CO91" s="11">
        <f t="shared" si="69"/>
        <v>0</v>
      </c>
      <c r="CP91" s="11">
        <f t="shared" si="69"/>
        <v>0</v>
      </c>
      <c r="CQ91" s="11">
        <f t="shared" si="69"/>
        <v>0</v>
      </c>
      <c r="CR91" s="11">
        <f t="shared" si="69"/>
        <v>0</v>
      </c>
      <c r="CS91" s="11">
        <f t="shared" si="69"/>
        <v>0</v>
      </c>
      <c r="CT91" s="11">
        <f t="shared" si="69"/>
        <v>0</v>
      </c>
      <c r="CU91" s="11">
        <f t="shared" si="69"/>
        <v>0</v>
      </c>
      <c r="CV91" s="11">
        <f t="shared" si="69"/>
        <v>0</v>
      </c>
      <c r="CW91" s="11">
        <f t="shared" si="69"/>
        <v>0</v>
      </c>
      <c r="CX91" s="11">
        <f t="shared" si="69"/>
        <v>0</v>
      </c>
      <c r="CY91" s="11">
        <f t="shared" si="69"/>
        <v>0</v>
      </c>
      <c r="CZ91" s="11">
        <f t="shared" si="69"/>
        <v>0</v>
      </c>
      <c r="DA91" s="11">
        <f t="shared" si="69"/>
        <v>0</v>
      </c>
      <c r="DB91" s="11">
        <f t="shared" si="69"/>
        <v>0</v>
      </c>
      <c r="DC91" s="11">
        <f t="shared" si="69"/>
        <v>0</v>
      </c>
      <c r="DD91" s="11">
        <f t="shared" si="69"/>
        <v>0</v>
      </c>
      <c r="DE91" s="11">
        <f t="shared" si="69"/>
        <v>0</v>
      </c>
      <c r="DF91" s="11">
        <f t="shared" si="69"/>
        <v>0</v>
      </c>
      <c r="DG91" s="12">
        <f t="shared" ref="DG91:EL91" si="70">DG118</f>
        <v>160424.5</v>
      </c>
      <c r="DH91" s="12">
        <f t="shared" si="70"/>
        <v>107852.36</v>
      </c>
      <c r="DI91" s="12">
        <f t="shared" si="70"/>
        <v>43.8</v>
      </c>
      <c r="DJ91" s="12">
        <f t="shared" si="70"/>
        <v>24.22</v>
      </c>
      <c r="DK91" s="12">
        <f t="shared" si="70"/>
        <v>52528.34</v>
      </c>
      <c r="DL91" s="12">
        <f t="shared" si="70"/>
        <v>0</v>
      </c>
      <c r="DM91" s="12">
        <f t="shared" si="70"/>
        <v>69.667379999999994</v>
      </c>
      <c r="DN91" s="12">
        <f t="shared" si="70"/>
        <v>0</v>
      </c>
      <c r="DO91" s="12">
        <f t="shared" si="70"/>
        <v>0</v>
      </c>
      <c r="DP91" s="12">
        <f t="shared" si="70"/>
        <v>47297.32</v>
      </c>
      <c r="DQ91" s="12">
        <f t="shared" si="70"/>
        <v>24174.18</v>
      </c>
      <c r="DR91" s="12">
        <f t="shared" si="70"/>
        <v>0</v>
      </c>
      <c r="DS91" s="12">
        <f t="shared" si="70"/>
        <v>0</v>
      </c>
      <c r="DT91" s="12">
        <f t="shared" si="70"/>
        <v>160424.5</v>
      </c>
      <c r="DU91" s="12">
        <f t="shared" si="70"/>
        <v>107852.36</v>
      </c>
      <c r="DV91" s="12">
        <f t="shared" si="70"/>
        <v>43.8</v>
      </c>
      <c r="DW91" s="12">
        <f t="shared" si="70"/>
        <v>24.22</v>
      </c>
      <c r="DX91" s="12">
        <f t="shared" si="70"/>
        <v>52528.34</v>
      </c>
      <c r="DY91" s="12">
        <f t="shared" si="70"/>
        <v>0</v>
      </c>
      <c r="DZ91" s="12">
        <f t="shared" si="70"/>
        <v>69.667379999999994</v>
      </c>
      <c r="EA91" s="12">
        <f t="shared" si="70"/>
        <v>0</v>
      </c>
      <c r="EB91" s="12">
        <f t="shared" si="70"/>
        <v>0</v>
      </c>
      <c r="EC91" s="12">
        <f t="shared" si="70"/>
        <v>47297.32</v>
      </c>
      <c r="ED91" s="12">
        <f t="shared" si="70"/>
        <v>24174.18</v>
      </c>
      <c r="EE91" s="12">
        <f t="shared" si="70"/>
        <v>0</v>
      </c>
      <c r="EF91" s="12">
        <f t="shared" si="70"/>
        <v>0</v>
      </c>
      <c r="EG91" s="12">
        <f t="shared" si="70"/>
        <v>0</v>
      </c>
      <c r="EH91" s="12">
        <f t="shared" si="70"/>
        <v>107065.2</v>
      </c>
      <c r="EI91" s="12">
        <f t="shared" si="70"/>
        <v>0</v>
      </c>
      <c r="EJ91" s="12">
        <f t="shared" si="70"/>
        <v>231896</v>
      </c>
      <c r="EK91" s="12">
        <f t="shared" si="70"/>
        <v>0</v>
      </c>
      <c r="EL91" s="12">
        <f t="shared" si="70"/>
        <v>124830.8</v>
      </c>
      <c r="EM91" s="12">
        <f t="shared" ref="EM91:FR91" si="71">EM118</f>
        <v>0</v>
      </c>
      <c r="EN91" s="12">
        <f t="shared" si="71"/>
        <v>107852.36</v>
      </c>
      <c r="EO91" s="12">
        <f t="shared" si="71"/>
        <v>787.16</v>
      </c>
      <c r="EP91" s="12">
        <f t="shared" si="71"/>
        <v>0</v>
      </c>
      <c r="EQ91" s="12">
        <f t="shared" si="71"/>
        <v>787.16</v>
      </c>
      <c r="ER91" s="12">
        <f t="shared" si="71"/>
        <v>107065.2</v>
      </c>
      <c r="ES91" s="12">
        <f t="shared" si="71"/>
        <v>0</v>
      </c>
      <c r="ET91" s="12">
        <f t="shared" si="71"/>
        <v>0</v>
      </c>
      <c r="EU91" s="12">
        <f t="shared" si="71"/>
        <v>0</v>
      </c>
      <c r="EV91" s="12">
        <f t="shared" si="71"/>
        <v>0</v>
      </c>
      <c r="EW91" s="12">
        <f t="shared" si="71"/>
        <v>0</v>
      </c>
      <c r="EX91" s="12">
        <f t="shared" si="71"/>
        <v>0</v>
      </c>
      <c r="EY91" s="12">
        <f t="shared" si="71"/>
        <v>0</v>
      </c>
      <c r="EZ91" s="12">
        <f t="shared" si="71"/>
        <v>0</v>
      </c>
      <c r="FA91" s="12">
        <f t="shared" si="71"/>
        <v>0</v>
      </c>
      <c r="FB91" s="12">
        <f t="shared" si="71"/>
        <v>0</v>
      </c>
      <c r="FC91" s="12">
        <f t="shared" si="71"/>
        <v>0</v>
      </c>
      <c r="FD91" s="12">
        <f t="shared" si="71"/>
        <v>0</v>
      </c>
      <c r="FE91" s="12">
        <f t="shared" si="71"/>
        <v>0</v>
      </c>
      <c r="FF91" s="12">
        <f t="shared" si="71"/>
        <v>0</v>
      </c>
      <c r="FG91" s="12">
        <f t="shared" si="71"/>
        <v>0</v>
      </c>
      <c r="FH91" s="12">
        <f t="shared" si="71"/>
        <v>0</v>
      </c>
      <c r="FI91" s="12">
        <f t="shared" si="71"/>
        <v>0</v>
      </c>
      <c r="FJ91" s="12">
        <f t="shared" si="71"/>
        <v>0</v>
      </c>
      <c r="FK91" s="12">
        <f t="shared" si="71"/>
        <v>0</v>
      </c>
      <c r="FL91" s="12">
        <f t="shared" si="71"/>
        <v>0</v>
      </c>
      <c r="FM91" s="12">
        <f t="shared" si="71"/>
        <v>0</v>
      </c>
      <c r="FN91" s="12">
        <f t="shared" si="71"/>
        <v>0</v>
      </c>
      <c r="FO91" s="12">
        <f t="shared" si="71"/>
        <v>0</v>
      </c>
      <c r="FP91" s="12">
        <f t="shared" si="71"/>
        <v>0</v>
      </c>
      <c r="FQ91" s="12">
        <f t="shared" si="71"/>
        <v>107065.2</v>
      </c>
      <c r="FR91" s="12">
        <f t="shared" si="71"/>
        <v>0</v>
      </c>
      <c r="FS91" s="12">
        <f t="shared" ref="FS91:GX91" si="72">FS118</f>
        <v>231896</v>
      </c>
      <c r="FT91" s="12">
        <f t="shared" si="72"/>
        <v>0</v>
      </c>
      <c r="FU91" s="12">
        <f t="shared" si="72"/>
        <v>124830.8</v>
      </c>
      <c r="FV91" s="12">
        <f t="shared" si="72"/>
        <v>0</v>
      </c>
      <c r="FW91" s="12">
        <f t="shared" si="72"/>
        <v>107852.36</v>
      </c>
      <c r="FX91" s="12">
        <f t="shared" si="72"/>
        <v>787.16000000000349</v>
      </c>
      <c r="FY91" s="12">
        <f t="shared" si="72"/>
        <v>0</v>
      </c>
      <c r="FZ91" s="12">
        <f t="shared" si="72"/>
        <v>787.16000000000349</v>
      </c>
      <c r="GA91" s="12">
        <f t="shared" si="72"/>
        <v>107065.2</v>
      </c>
      <c r="GB91" s="12">
        <f t="shared" si="72"/>
        <v>0</v>
      </c>
      <c r="GC91" s="12">
        <f t="shared" si="72"/>
        <v>0</v>
      </c>
      <c r="GD91" s="12">
        <f t="shared" si="72"/>
        <v>0</v>
      </c>
      <c r="GE91" s="12">
        <f t="shared" si="72"/>
        <v>0</v>
      </c>
      <c r="GF91" s="12">
        <f t="shared" si="72"/>
        <v>0</v>
      </c>
      <c r="GG91" s="12">
        <f t="shared" si="72"/>
        <v>0</v>
      </c>
      <c r="GH91" s="12">
        <f t="shared" si="72"/>
        <v>0</v>
      </c>
      <c r="GI91" s="12">
        <f t="shared" si="72"/>
        <v>0</v>
      </c>
      <c r="GJ91" s="12">
        <f t="shared" si="72"/>
        <v>0</v>
      </c>
      <c r="GK91" s="12">
        <f t="shared" si="72"/>
        <v>0</v>
      </c>
      <c r="GL91" s="12">
        <f t="shared" si="72"/>
        <v>0</v>
      </c>
      <c r="GM91" s="12">
        <f t="shared" si="72"/>
        <v>0</v>
      </c>
      <c r="GN91" s="12">
        <f t="shared" si="72"/>
        <v>0</v>
      </c>
      <c r="GO91" s="12">
        <f t="shared" si="72"/>
        <v>0</v>
      </c>
      <c r="GP91" s="12">
        <f t="shared" si="72"/>
        <v>0</v>
      </c>
      <c r="GQ91" s="12">
        <f t="shared" si="72"/>
        <v>0</v>
      </c>
      <c r="GR91" s="12">
        <f t="shared" si="72"/>
        <v>0</v>
      </c>
      <c r="GS91" s="12">
        <f t="shared" si="72"/>
        <v>0</v>
      </c>
      <c r="GT91" s="12">
        <f t="shared" si="72"/>
        <v>0</v>
      </c>
      <c r="GU91" s="12">
        <f t="shared" si="72"/>
        <v>0</v>
      </c>
      <c r="GV91" s="12">
        <f t="shared" si="72"/>
        <v>0</v>
      </c>
      <c r="GW91" s="12">
        <f t="shared" si="72"/>
        <v>0</v>
      </c>
      <c r="GX91" s="12">
        <f t="shared" si="72"/>
        <v>0</v>
      </c>
    </row>
    <row r="93" spans="1:255" x14ac:dyDescent="0.2">
      <c r="A93" s="2">
        <v>17</v>
      </c>
      <c r="B93" s="2">
        <v>1</v>
      </c>
      <c r="C93" s="2">
        <f>ROW(SmtRes!A59)</f>
        <v>59</v>
      </c>
      <c r="D93" s="2">
        <f>ROW(EtalonRes!A71)</f>
        <v>71</v>
      </c>
      <c r="E93" s="2" t="s">
        <v>148</v>
      </c>
      <c r="F93" s="2" t="s">
        <v>20</v>
      </c>
      <c r="G93" s="2" t="s">
        <v>149</v>
      </c>
      <c r="H93" s="2" t="s">
        <v>22</v>
      </c>
      <c r="I93" s="2">
        <v>1</v>
      </c>
      <c r="J93" s="2">
        <v>0</v>
      </c>
      <c r="K93" s="2">
        <v>1</v>
      </c>
      <c r="L93" s="2"/>
      <c r="M93" s="2"/>
      <c r="N93" s="2"/>
      <c r="O93" s="2">
        <f t="shared" ref="O93:O116" si="73">ROUND(CP93,2)</f>
        <v>102.07</v>
      </c>
      <c r="P93" s="2">
        <f t="shared" ref="P93:P116" si="74">ROUND((ROUND((AC93*AW93*I93),2)*BC93),2)</f>
        <v>4.83</v>
      </c>
      <c r="Q93" s="2">
        <f>(ROUND((ROUND((((ET93*1.2))*AV93*I93),2)*BB93),2)+ROUND((ROUND(((AE93-((EU93*1.2)))*AV93*I93),2)*BS93),2))</f>
        <v>0.06</v>
      </c>
      <c r="R93" s="2">
        <f>(ROUND((ROUND((((EU93*1.2))*AV93*I93),2)*BS93),2)+ROUND((ROUND(((AE93-((EU93*1.2)))*AV93*I93),2)*BS93),2))</f>
        <v>0.01</v>
      </c>
      <c r="S93" s="2">
        <f t="shared" ref="S93:S116" si="75">ROUND((ROUND((AF93*AV93*I93),2)*BA93),2)</f>
        <v>97.18</v>
      </c>
      <c r="T93" s="2">
        <f t="shared" ref="T93:T116" si="76">ROUND(CU93*I93,2)</f>
        <v>0</v>
      </c>
      <c r="U93" s="2">
        <f t="shared" ref="U93:U116" si="77">CV93*I93</f>
        <v>7.1614799999999992</v>
      </c>
      <c r="V93" s="2">
        <f t="shared" ref="V93:V116" si="78">CW93*I93</f>
        <v>0</v>
      </c>
      <c r="W93" s="2">
        <f t="shared" ref="W93:W116" si="79">ROUND(CX93*I93,2)</f>
        <v>0</v>
      </c>
      <c r="X93" s="2">
        <f>(ROUND((((S93+ROUND((ROUND((((EU93*1.2))*AV93*I93),2)*BS93),2))*AT93)/100),2)+ROUND(((ROUND((ROUND(((AE93-((EU93*1.2)))*AV93*I93),2)*BS93),2)*AT93)/100),2))</f>
        <v>87.47</v>
      </c>
      <c r="Y93" s="2">
        <f>(ROUND((((S93+ROUND((ROUND((((EU93*1.2))*AV93*I93),2)*BS93),2))*AU93)/100),2)+ROUND(((ROUND((ROUND(((AE93-((EU93*1.2)))*AV93*I93),2)*BS93),2)*AU93)/100),2))</f>
        <v>44.71</v>
      </c>
      <c r="Z93" s="2"/>
      <c r="AA93" s="2">
        <v>55915256</v>
      </c>
      <c r="AB93" s="2">
        <f t="shared" ref="AB93:AB116" si="80">ROUND((AC93+AD93+AF93),6)</f>
        <v>97.71</v>
      </c>
      <c r="AC93" s="2">
        <f>ROUND(((ES93*1)),6)</f>
        <v>4.83</v>
      </c>
      <c r="AD93" s="2">
        <f>ROUND(((((ET93*1.2))-((EU93*1.2)))+AE93),6)</f>
        <v>0.06</v>
      </c>
      <c r="AE93" s="2">
        <f>ROUND(((EU93*1.2)),6)</f>
        <v>1.2E-2</v>
      </c>
      <c r="AF93" s="2">
        <f>ROUND(((EV93*1.2)),6)</f>
        <v>92.82</v>
      </c>
      <c r="AG93" s="2">
        <f t="shared" ref="AG93:AG116" si="81">ROUND((AP93),6)</f>
        <v>0</v>
      </c>
      <c r="AH93" s="2">
        <f>((EW93*1.2))</f>
        <v>6.84</v>
      </c>
      <c r="AI93" s="2">
        <f>((EX93*1.2))</f>
        <v>0</v>
      </c>
      <c r="AJ93" s="2">
        <f t="shared" ref="AJ93:AJ116" si="82">(AS93)</f>
        <v>0</v>
      </c>
      <c r="AK93" s="2">
        <v>82.23</v>
      </c>
      <c r="AL93" s="2">
        <v>4.83</v>
      </c>
      <c r="AM93" s="2">
        <v>0.05</v>
      </c>
      <c r="AN93" s="2">
        <v>0.01</v>
      </c>
      <c r="AO93" s="2">
        <v>77.349999999999994</v>
      </c>
      <c r="AP93" s="2">
        <v>0</v>
      </c>
      <c r="AQ93" s="2">
        <v>5.7</v>
      </c>
      <c r="AR93" s="2">
        <v>0</v>
      </c>
      <c r="AS93" s="2">
        <v>0</v>
      </c>
      <c r="AT93" s="2">
        <v>90</v>
      </c>
      <c r="AU93" s="2">
        <v>46</v>
      </c>
      <c r="AV93" s="2">
        <v>1.0469999999999999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0</v>
      </c>
      <c r="BI93" s="2">
        <v>2</v>
      </c>
      <c r="BJ93" s="2" t="s">
        <v>23</v>
      </c>
      <c r="BK93" s="2"/>
      <c r="BL93" s="2"/>
      <c r="BM93" s="2">
        <v>68</v>
      </c>
      <c r="BN93" s="2">
        <v>0</v>
      </c>
      <c r="BO93" s="2" t="s">
        <v>20</v>
      </c>
      <c r="BP93" s="2">
        <v>1</v>
      </c>
      <c r="BQ93" s="2">
        <v>40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90</v>
      </c>
      <c r="CA93" s="2">
        <v>46</v>
      </c>
      <c r="CB93" s="2" t="s">
        <v>3</v>
      </c>
      <c r="CC93" s="2"/>
      <c r="CD93" s="2"/>
      <c r="CE93" s="2">
        <v>1566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605</v>
      </c>
      <c r="CO93" s="2">
        <v>0</v>
      </c>
      <c r="CP93" s="2">
        <f t="shared" ref="CP93:CP116" si="83">(P93+Q93+S93)</f>
        <v>102.07000000000001</v>
      </c>
      <c r="CQ93" s="2">
        <f t="shared" ref="CQ93:CQ116" si="84">ROUND((ROUND((AC93*AW93*1),2)*BC93),2)</f>
        <v>4.83</v>
      </c>
      <c r="CR93" s="2">
        <f>(ROUND((ROUND((((ET93*1.2))*AV93*1),2)*BB93),2)+ROUND((ROUND(((AE93-((EU93*1.2)))*AV93*1),2)*BS93),2))</f>
        <v>0.06</v>
      </c>
      <c r="CS93" s="2">
        <f>(ROUND((ROUND((((EU93*1.2))*AV93*1),2)*BS93),2)+ROUND((ROUND(((AE93-((EU93*1.2)))*AV93*1),2)*BS93),2))</f>
        <v>0.01</v>
      </c>
      <c r="CT93" s="2">
        <f t="shared" ref="CT93:CT116" si="85">ROUND((ROUND((AF93*AV93*1),2)*BA93),2)</f>
        <v>97.18</v>
      </c>
      <c r="CU93" s="2">
        <f t="shared" ref="CU93:CU116" si="86">AG93</f>
        <v>0</v>
      </c>
      <c r="CV93" s="2">
        <f t="shared" ref="CV93:CV116" si="87">(AH93*AV93)</f>
        <v>7.1614799999999992</v>
      </c>
      <c r="CW93" s="2">
        <f t="shared" ref="CW93:CW116" si="88">AI93</f>
        <v>0</v>
      </c>
      <c r="CX93" s="2">
        <f t="shared" ref="CX93:CX116" si="89">AJ93</f>
        <v>0</v>
      </c>
      <c r="CY93" s="2">
        <f>(ROUND((((S93+ROUND((ROUND((((EU93*1.2))*AV93*1),2)*BS93),2))*AT93)/100),2)+ROUND(((ROUND((ROUND(((AE93-((EU93*1.2)))*AV93*1),2)*BS93),2)*AT93)/100),2))</f>
        <v>87.47</v>
      </c>
      <c r="CZ93" s="2">
        <f>(ROUND((((S93+ROUND((ROUND((((EU93*1.2))*AV93*1),2)*BS93),2))*AU93)/100),2)+ROUND(((ROUND((ROUND(((AE93-((EU93*1.2)))*AV93*1),2)*BS93),2)*AU93)/100),2))</f>
        <v>44.71</v>
      </c>
      <c r="DA93" s="2"/>
      <c r="DB93" s="2">
        <v>57</v>
      </c>
      <c r="DC93" s="2" t="s">
        <v>3</v>
      </c>
      <c r="DD93" s="2" t="s">
        <v>77</v>
      </c>
      <c r="DE93" s="2" t="s">
        <v>78</v>
      </c>
      <c r="DF93" s="2" t="s">
        <v>78</v>
      </c>
      <c r="DG93" s="2" t="s">
        <v>78</v>
      </c>
      <c r="DH93" s="2" t="s">
        <v>3</v>
      </c>
      <c r="DI93" s="2" t="s">
        <v>78</v>
      </c>
      <c r="DJ93" s="2" t="s">
        <v>78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1013</v>
      </c>
      <c r="DV93" s="2" t="s">
        <v>22</v>
      </c>
      <c r="DW93" s="2" t="s">
        <v>22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55393700</v>
      </c>
      <c r="EF93" s="2">
        <v>40</v>
      </c>
      <c r="EG93" s="2" t="s">
        <v>26</v>
      </c>
      <c r="EH93" s="2">
        <v>0</v>
      </c>
      <c r="EI93" s="2" t="s">
        <v>3</v>
      </c>
      <c r="EJ93" s="2">
        <v>2</v>
      </c>
      <c r="EK93" s="2">
        <v>68</v>
      </c>
      <c r="EL93" s="2" t="s">
        <v>27</v>
      </c>
      <c r="EM93" s="2" t="s">
        <v>28</v>
      </c>
      <c r="EN93" s="2"/>
      <c r="EO93" s="2" t="s">
        <v>82</v>
      </c>
      <c r="EP93" s="2"/>
      <c r="EQ93" s="2">
        <v>0</v>
      </c>
      <c r="ER93" s="2">
        <v>82.23</v>
      </c>
      <c r="ES93" s="2">
        <v>4.83</v>
      </c>
      <c r="ET93" s="2">
        <v>0.05</v>
      </c>
      <c r="EU93" s="2">
        <v>0.01</v>
      </c>
      <c r="EV93" s="2">
        <v>77.349999999999994</v>
      </c>
      <c r="EW93" s="2">
        <v>5.7</v>
      </c>
      <c r="EX93" s="2">
        <v>0</v>
      </c>
      <c r="EY93" s="2">
        <v>0</v>
      </c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90</v>
      </c>
      <c r="FY93" s="2">
        <v>46</v>
      </c>
      <c r="FZ93" s="2"/>
      <c r="GA93" s="2" t="s">
        <v>3</v>
      </c>
      <c r="GB93" s="2"/>
      <c r="GC93" s="2"/>
      <c r="GD93" s="2">
        <v>1</v>
      </c>
      <c r="GE93" s="2"/>
      <c r="GF93" s="2">
        <v>1726408577</v>
      </c>
      <c r="GG93" s="2">
        <v>2</v>
      </c>
      <c r="GH93" s="2">
        <v>1</v>
      </c>
      <c r="GI93" s="2">
        <v>2</v>
      </c>
      <c r="GJ93" s="2">
        <v>0</v>
      </c>
      <c r="GK93" s="2">
        <v>0</v>
      </c>
      <c r="GL93" s="2">
        <f t="shared" ref="GL93:GL116" si="90">ROUND(IF(AND(BH93=3,BI93=3,FS93&lt;&gt;0),P93,0),2)</f>
        <v>0</v>
      </c>
      <c r="GM93" s="2">
        <f t="shared" ref="GM93:GM116" si="91">ROUND(O93+X93+Y93,2)+GX93</f>
        <v>234.25</v>
      </c>
      <c r="GN93" s="2">
        <f t="shared" ref="GN93:GN116" si="92">IF(OR(BI93=0,BI93=1),GM93-GX93,0)</f>
        <v>0</v>
      </c>
      <c r="GO93" s="2">
        <f t="shared" ref="GO93:GO116" si="93">IF(BI93=2,GM93-GX93,0)</f>
        <v>234.25</v>
      </c>
      <c r="GP93" s="2">
        <f t="shared" ref="GP93:GP116" si="94">IF(BI93=4,GM93-GX93,0)</f>
        <v>0</v>
      </c>
      <c r="GQ93" s="2"/>
      <c r="GR93" s="2">
        <v>0</v>
      </c>
      <c r="GS93" s="2">
        <v>3</v>
      </c>
      <c r="GT93" s="2">
        <v>0</v>
      </c>
      <c r="GU93" s="2" t="s">
        <v>3</v>
      </c>
      <c r="GV93" s="2">
        <f t="shared" ref="GV93:GV116" si="95">ROUND((GT93),6)</f>
        <v>0</v>
      </c>
      <c r="GW93" s="2">
        <v>1</v>
      </c>
      <c r="GX93" s="2">
        <f t="shared" ref="GX93:GX116" si="96">ROUND(HC93*I93,2)</f>
        <v>0</v>
      </c>
      <c r="GY93" s="2"/>
      <c r="GZ93" s="2"/>
      <c r="HA93" s="2">
        <v>0</v>
      </c>
      <c r="HB93" s="2">
        <v>0</v>
      </c>
      <c r="HC93" s="2">
        <f t="shared" ref="HC93:HC116" si="97">GV93*GW93</f>
        <v>0</v>
      </c>
      <c r="HD93" s="2"/>
      <c r="HE93" s="2" t="s">
        <v>3</v>
      </c>
      <c r="HF93" s="2" t="s">
        <v>3</v>
      </c>
      <c r="HG93" s="2"/>
      <c r="HH93" s="2"/>
      <c r="HI93" s="2"/>
      <c r="HJ93" s="2"/>
      <c r="HK93" s="2"/>
      <c r="HL93" s="2"/>
      <c r="HM93" s="2" t="s">
        <v>3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">
      <c r="A94" s="3">
        <v>17</v>
      </c>
      <c r="B94" s="3">
        <v>1</v>
      </c>
      <c r="C94" s="3">
        <f>ROW(SmtRes!A60)</f>
        <v>60</v>
      </c>
      <c r="D94" s="3">
        <f>ROW(EtalonRes!A72)</f>
        <v>72</v>
      </c>
      <c r="E94" s="3" t="s">
        <v>148</v>
      </c>
      <c r="F94" s="3" t="s">
        <v>20</v>
      </c>
      <c r="G94" s="3" t="s">
        <v>149</v>
      </c>
      <c r="H94" s="3" t="s">
        <v>22</v>
      </c>
      <c r="I94" s="3">
        <v>1</v>
      </c>
      <c r="J94" s="3">
        <v>0</v>
      </c>
      <c r="K94" s="3">
        <v>1</v>
      </c>
      <c r="O94" s="3">
        <f t="shared" si="73"/>
        <v>5524.82</v>
      </c>
      <c r="P94" s="3">
        <f t="shared" si="74"/>
        <v>47.53</v>
      </c>
      <c r="Q94" s="3">
        <f>(ROUND((ROUND((((ET94*1.2))*AV94*I94),2)*BB94),2)+ROUND((ROUND(((AE94-((EU94*1.2)))*AV94*I94),2)*BS94),2))</f>
        <v>1.2</v>
      </c>
      <c r="R94" s="3">
        <f>(ROUND((ROUND((((EU94*1.2))*AV94*I94),2)*BS94),2)+ROUND((ROUND(((AE94-((EU94*1.2)))*AV94*I94),2)*BS94),2))</f>
        <v>0.56000000000000005</v>
      </c>
      <c r="S94" s="3">
        <f t="shared" si="75"/>
        <v>5476.09</v>
      </c>
      <c r="T94" s="3">
        <f t="shared" si="76"/>
        <v>0</v>
      </c>
      <c r="U94" s="3">
        <f t="shared" si="77"/>
        <v>7.1614799999999992</v>
      </c>
      <c r="V94" s="3">
        <f t="shared" si="78"/>
        <v>0</v>
      </c>
      <c r="W94" s="3">
        <f t="shared" si="79"/>
        <v>0</v>
      </c>
      <c r="X94" s="3">
        <f>(ROUND((((S94+ROUND((ROUND((((EU94*1.2))*AV94*I94),2)*BS94),2))*AT94)/100),2)+ROUND(((ROUND((ROUND(((AE94-((EU94*1.2)))*AV94*I94),2)*BS94),2)*AT94)/100),2))</f>
        <v>4928.99</v>
      </c>
      <c r="Y94" s="3">
        <f>(ROUND((((S94+ROUND((ROUND((((EU94*1.2))*AV94*I94),2)*BS94),2))*AU94)/100),2)+ROUND(((ROUND((ROUND(((AE94-((EU94*1.2)))*AV94*I94),2)*BS94),2)*AU94)/100),2))</f>
        <v>2519.2600000000002</v>
      </c>
      <c r="AA94" s="3">
        <v>55915258</v>
      </c>
      <c r="AB94" s="3">
        <f t="shared" si="80"/>
        <v>97.71</v>
      </c>
      <c r="AC94" s="3">
        <f>ROUND(((ES94*1)),6)</f>
        <v>4.83</v>
      </c>
      <c r="AD94" s="3">
        <f>ROUND(((((ET94*1.2))-((EU94*1.2)))+AE94),6)</f>
        <v>0.06</v>
      </c>
      <c r="AE94" s="3">
        <f>ROUND(((EU94*1.2)),6)</f>
        <v>1.2E-2</v>
      </c>
      <c r="AF94" s="3">
        <f>ROUND(((EV94*1.2)),6)</f>
        <v>92.82</v>
      </c>
      <c r="AG94" s="3">
        <f t="shared" si="81"/>
        <v>0</v>
      </c>
      <c r="AH94" s="3">
        <f>((EW94*1.2))</f>
        <v>6.84</v>
      </c>
      <c r="AI94" s="3">
        <f>((EX94*1.2))</f>
        <v>0</v>
      </c>
      <c r="AJ94" s="3">
        <f t="shared" si="82"/>
        <v>0</v>
      </c>
      <c r="AK94" s="3">
        <v>82.23</v>
      </c>
      <c r="AL94" s="3">
        <v>4.83</v>
      </c>
      <c r="AM94" s="3">
        <v>0.05</v>
      </c>
      <c r="AN94" s="3">
        <v>0.01</v>
      </c>
      <c r="AO94" s="3">
        <v>77.349999999999994</v>
      </c>
      <c r="AP94" s="3">
        <v>0</v>
      </c>
      <c r="AQ94" s="3">
        <v>5.7</v>
      </c>
      <c r="AR94" s="3">
        <v>0</v>
      </c>
      <c r="AS94" s="3">
        <v>0</v>
      </c>
      <c r="AT94" s="3">
        <v>90</v>
      </c>
      <c r="AU94" s="3">
        <v>46</v>
      </c>
      <c r="AV94" s="3">
        <v>1.0469999999999999</v>
      </c>
      <c r="AW94" s="3">
        <v>1</v>
      </c>
      <c r="AZ94" s="3">
        <v>1</v>
      </c>
      <c r="BA94" s="3">
        <v>56.35</v>
      </c>
      <c r="BB94" s="3">
        <v>20</v>
      </c>
      <c r="BC94" s="3">
        <v>9.84</v>
      </c>
      <c r="BD94" s="3" t="s">
        <v>3</v>
      </c>
      <c r="BE94" s="3" t="s">
        <v>3</v>
      </c>
      <c r="BF94" s="3" t="s">
        <v>3</v>
      </c>
      <c r="BG94" s="3" t="s">
        <v>3</v>
      </c>
      <c r="BH94" s="3">
        <v>0</v>
      </c>
      <c r="BI94" s="3">
        <v>2</v>
      </c>
      <c r="BJ94" s="3" t="s">
        <v>23</v>
      </c>
      <c r="BM94" s="3">
        <v>68</v>
      </c>
      <c r="BN94" s="3">
        <v>0</v>
      </c>
      <c r="BO94" s="3" t="s">
        <v>20</v>
      </c>
      <c r="BP94" s="3">
        <v>1</v>
      </c>
      <c r="BQ94" s="3">
        <v>40</v>
      </c>
      <c r="BR94" s="3">
        <v>0</v>
      </c>
      <c r="BS94" s="3">
        <v>56.35</v>
      </c>
      <c r="BT94" s="3">
        <v>1</v>
      </c>
      <c r="BU94" s="3">
        <v>1</v>
      </c>
      <c r="BV94" s="3">
        <v>1</v>
      </c>
      <c r="BW94" s="3">
        <v>1</v>
      </c>
      <c r="BX94" s="3">
        <v>1</v>
      </c>
      <c r="BY94" s="3" t="s">
        <v>3</v>
      </c>
      <c r="BZ94" s="3">
        <v>90</v>
      </c>
      <c r="CA94" s="3">
        <v>46</v>
      </c>
      <c r="CB94" s="3" t="s">
        <v>3</v>
      </c>
      <c r="CE94" s="3">
        <v>1566</v>
      </c>
      <c r="CF94" s="3">
        <v>0</v>
      </c>
      <c r="CG94" s="3">
        <v>0</v>
      </c>
      <c r="CM94" s="3">
        <v>0</v>
      </c>
      <c r="CN94" s="3" t="s">
        <v>605</v>
      </c>
      <c r="CO94" s="3">
        <v>0</v>
      </c>
      <c r="CP94" s="3">
        <f t="shared" si="83"/>
        <v>5524.82</v>
      </c>
      <c r="CQ94" s="3">
        <f t="shared" si="84"/>
        <v>47.53</v>
      </c>
      <c r="CR94" s="3">
        <f>(ROUND((ROUND((((ET94*1.2))*AV94*1),2)*BB94),2)+ROUND((ROUND(((AE94-((EU94*1.2)))*AV94*1),2)*BS94),2))</f>
        <v>1.2</v>
      </c>
      <c r="CS94" s="3">
        <f>(ROUND((ROUND((((EU94*1.2))*AV94*1),2)*BS94),2)+ROUND((ROUND(((AE94-((EU94*1.2)))*AV94*1),2)*BS94),2))</f>
        <v>0.56000000000000005</v>
      </c>
      <c r="CT94" s="3">
        <f t="shared" si="85"/>
        <v>5476.09</v>
      </c>
      <c r="CU94" s="3">
        <f t="shared" si="86"/>
        <v>0</v>
      </c>
      <c r="CV94" s="3">
        <f t="shared" si="87"/>
        <v>7.1614799999999992</v>
      </c>
      <c r="CW94" s="3">
        <f t="shared" si="88"/>
        <v>0</v>
      </c>
      <c r="CX94" s="3">
        <f t="shared" si="89"/>
        <v>0</v>
      </c>
      <c r="CY94" s="3">
        <f>(ROUND((((S94+ROUND((ROUND((((EU94*1.2))*AV94*1),2)*BS94),2))*AT94)/100),2)+ROUND(((ROUND((ROUND(((AE94-((EU94*1.2)))*AV94*1),2)*BS94),2)*AT94)/100),2))</f>
        <v>4928.99</v>
      </c>
      <c r="CZ94" s="3">
        <f>(ROUND((((S94+ROUND((ROUND((((EU94*1.2))*AV94*1),2)*BS94),2))*AU94)/100),2)+ROUND(((ROUND((ROUND(((AE94-((EU94*1.2)))*AV94*1),2)*BS94),2)*AU94)/100),2))</f>
        <v>2519.2600000000002</v>
      </c>
      <c r="DB94" s="3">
        <v>58</v>
      </c>
      <c r="DC94" s="3" t="s">
        <v>3</v>
      </c>
      <c r="DD94" s="3" t="s">
        <v>77</v>
      </c>
      <c r="DE94" s="3" t="s">
        <v>78</v>
      </c>
      <c r="DF94" s="3" t="s">
        <v>78</v>
      </c>
      <c r="DG94" s="3" t="s">
        <v>78</v>
      </c>
      <c r="DH94" s="3" t="s">
        <v>3</v>
      </c>
      <c r="DI94" s="3" t="s">
        <v>78</v>
      </c>
      <c r="DJ94" s="3" t="s">
        <v>78</v>
      </c>
      <c r="DK94" s="3" t="s">
        <v>3</v>
      </c>
      <c r="DL94" s="3" t="s">
        <v>3</v>
      </c>
      <c r="DM94" s="3" t="s">
        <v>3</v>
      </c>
      <c r="DN94" s="3">
        <v>0</v>
      </c>
      <c r="DO94" s="3">
        <v>0</v>
      </c>
      <c r="DP94" s="3">
        <v>1</v>
      </c>
      <c r="DQ94" s="3">
        <v>1</v>
      </c>
      <c r="DU94" s="3">
        <v>1013</v>
      </c>
      <c r="DV94" s="3" t="s">
        <v>22</v>
      </c>
      <c r="DW94" s="3" t="s">
        <v>22</v>
      </c>
      <c r="DX94" s="3">
        <v>1</v>
      </c>
      <c r="DZ94" s="3" t="s">
        <v>3</v>
      </c>
      <c r="EA94" s="3" t="s">
        <v>3</v>
      </c>
      <c r="EB94" s="3" t="s">
        <v>3</v>
      </c>
      <c r="EC94" s="3" t="s">
        <v>3</v>
      </c>
      <c r="EE94" s="3">
        <v>55393700</v>
      </c>
      <c r="EF94" s="3">
        <v>40</v>
      </c>
      <c r="EG94" s="3" t="s">
        <v>26</v>
      </c>
      <c r="EH94" s="3">
        <v>0</v>
      </c>
      <c r="EI94" s="3" t="s">
        <v>3</v>
      </c>
      <c r="EJ94" s="3">
        <v>2</v>
      </c>
      <c r="EK94" s="3">
        <v>68</v>
      </c>
      <c r="EL94" s="3" t="s">
        <v>27</v>
      </c>
      <c r="EM94" s="3" t="s">
        <v>28</v>
      </c>
      <c r="EO94" s="3" t="s">
        <v>82</v>
      </c>
      <c r="EQ94" s="3">
        <v>0</v>
      </c>
      <c r="ER94" s="3">
        <v>82.23</v>
      </c>
      <c r="ES94" s="3">
        <v>4.83</v>
      </c>
      <c r="ET94" s="3">
        <v>0.05</v>
      </c>
      <c r="EU94" s="3">
        <v>0.01</v>
      </c>
      <c r="EV94" s="3">
        <v>77.349999999999994</v>
      </c>
      <c r="EW94" s="3">
        <v>5.7</v>
      </c>
      <c r="EX94" s="3">
        <v>0</v>
      </c>
      <c r="EY94" s="3">
        <v>0</v>
      </c>
      <c r="FQ94" s="3">
        <v>0</v>
      </c>
      <c r="FR94" s="3">
        <v>0</v>
      </c>
      <c r="FS94" s="3">
        <v>0</v>
      </c>
      <c r="FX94" s="3">
        <v>90</v>
      </c>
      <c r="FY94" s="3">
        <v>46</v>
      </c>
      <c r="GA94" s="3" t="s">
        <v>3</v>
      </c>
      <c r="GD94" s="3">
        <v>1</v>
      </c>
      <c r="GF94" s="3">
        <v>1726408577</v>
      </c>
      <c r="GG94" s="3">
        <v>2</v>
      </c>
      <c r="GH94" s="3">
        <v>1</v>
      </c>
      <c r="GI94" s="3">
        <v>2</v>
      </c>
      <c r="GJ94" s="3">
        <v>0</v>
      </c>
      <c r="GK94" s="3">
        <v>0</v>
      </c>
      <c r="GL94" s="3">
        <f t="shared" si="90"/>
        <v>0</v>
      </c>
      <c r="GM94" s="3">
        <f t="shared" si="91"/>
        <v>12973.07</v>
      </c>
      <c r="GN94" s="3">
        <f t="shared" si="92"/>
        <v>0</v>
      </c>
      <c r="GO94" s="3">
        <f t="shared" si="93"/>
        <v>12973.07</v>
      </c>
      <c r="GP94" s="3">
        <f t="shared" si="94"/>
        <v>0</v>
      </c>
      <c r="GR94" s="3">
        <v>0</v>
      </c>
      <c r="GS94" s="3">
        <v>3</v>
      </c>
      <c r="GT94" s="3">
        <v>0</v>
      </c>
      <c r="GU94" s="3" t="s">
        <v>3</v>
      </c>
      <c r="GV94" s="3">
        <f t="shared" si="95"/>
        <v>0</v>
      </c>
      <c r="GW94" s="3">
        <v>1</v>
      </c>
      <c r="GX94" s="3">
        <f t="shared" si="96"/>
        <v>0</v>
      </c>
      <c r="HA94" s="3">
        <v>0</v>
      </c>
      <c r="HB94" s="3">
        <v>0</v>
      </c>
      <c r="HC94" s="3">
        <f t="shared" si="97"/>
        <v>0</v>
      </c>
      <c r="HE94" s="3" t="s">
        <v>3</v>
      </c>
      <c r="HF94" s="3" t="s">
        <v>3</v>
      </c>
      <c r="HM94" s="3" t="s">
        <v>3</v>
      </c>
      <c r="HN94" s="3" t="s">
        <v>3</v>
      </c>
      <c r="HO94" s="3" t="s">
        <v>3</v>
      </c>
      <c r="HP94" s="3" t="s">
        <v>3</v>
      </c>
      <c r="HQ94" s="3" t="s">
        <v>3</v>
      </c>
      <c r="HS94" s="3">
        <v>0</v>
      </c>
      <c r="IK94" s="3">
        <v>0</v>
      </c>
    </row>
    <row r="95" spans="1:255" x14ac:dyDescent="0.2">
      <c r="A95" s="2">
        <v>17</v>
      </c>
      <c r="B95" s="2">
        <v>1</v>
      </c>
      <c r="C95" s="2"/>
      <c r="D95" s="2"/>
      <c r="E95" s="2" t="s">
        <v>150</v>
      </c>
      <c r="F95" s="2" t="s">
        <v>151</v>
      </c>
      <c r="G95" s="2" t="s">
        <v>152</v>
      </c>
      <c r="H95" s="2" t="s">
        <v>153</v>
      </c>
      <c r="I95" s="2">
        <v>1</v>
      </c>
      <c r="J95" s="2">
        <v>0</v>
      </c>
      <c r="K95" s="2">
        <v>1</v>
      </c>
      <c r="L95" s="2"/>
      <c r="M95" s="2"/>
      <c r="N95" s="2"/>
      <c r="O95" s="2">
        <f t="shared" si="73"/>
        <v>2677.53</v>
      </c>
      <c r="P95" s="2">
        <f t="shared" si="74"/>
        <v>2677.53</v>
      </c>
      <c r="Q95" s="2">
        <f>(ROUND((ROUND(((ET95)*AV95*I95),2)*BB95),2)+ROUND((ROUND(((AE95-(EU95))*AV95*I95),2)*BS95),2))</f>
        <v>0</v>
      </c>
      <c r="R95" s="2">
        <f>(ROUND((ROUND(((EU95)*AV95*I95),2)*BS95),2)+ROUND((ROUND(((AE95-(EU95))*AV95*I95),2)*BS95),2))</f>
        <v>0</v>
      </c>
      <c r="S95" s="2">
        <f t="shared" si="75"/>
        <v>0</v>
      </c>
      <c r="T95" s="2">
        <f t="shared" si="76"/>
        <v>0</v>
      </c>
      <c r="U95" s="2">
        <f t="shared" si="77"/>
        <v>0</v>
      </c>
      <c r="V95" s="2">
        <f t="shared" si="78"/>
        <v>0</v>
      </c>
      <c r="W95" s="2">
        <f t="shared" si="79"/>
        <v>0</v>
      </c>
      <c r="X95" s="2">
        <f>(ROUND((((S95+ROUND((ROUND(((EU95)*AV95*I95),2)*BS95),2))*AT95)/100),2)+ROUND(((ROUND((ROUND(((AE95-(EU95))*AV95*I95),2)*BS95),2)*AT95)/100),2))</f>
        <v>0</v>
      </c>
      <c r="Y95" s="2">
        <f>(ROUND((((S95+ROUND((ROUND(((EU95)*AV95*I95),2)*BS95),2))*AU95)/100),2)+ROUND(((ROUND((ROUND(((AE95-(EU95))*AV95*I95),2)*BS95),2)*AU95)/100),2))</f>
        <v>0</v>
      </c>
      <c r="Z95" s="2"/>
      <c r="AA95" s="2">
        <v>55915256</v>
      </c>
      <c r="AB95" s="2">
        <f t="shared" si="80"/>
        <v>2677.53</v>
      </c>
      <c r="AC95" s="2">
        <f>ROUND((ES95),6)</f>
        <v>2677.53</v>
      </c>
      <c r="AD95" s="2">
        <f>ROUND((((ET95)-(EU95))+AE95),6)</f>
        <v>0</v>
      </c>
      <c r="AE95" s="2">
        <f>ROUND((EU95),6)</f>
        <v>0</v>
      </c>
      <c r="AF95" s="2">
        <f>ROUND((EV95),6)</f>
        <v>0</v>
      </c>
      <c r="AG95" s="2">
        <f t="shared" si="81"/>
        <v>0</v>
      </c>
      <c r="AH95" s="2">
        <f>(EW95)</f>
        <v>0</v>
      </c>
      <c r="AI95" s="2">
        <f>(EX95)</f>
        <v>0</v>
      </c>
      <c r="AJ95" s="2">
        <f t="shared" si="82"/>
        <v>0</v>
      </c>
      <c r="AK95" s="2">
        <v>2677.5299999999997</v>
      </c>
      <c r="AL95" s="2">
        <v>2677.5299999999997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1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3</v>
      </c>
      <c r="BI95" s="2">
        <v>3</v>
      </c>
      <c r="BJ95" s="2" t="s">
        <v>151</v>
      </c>
      <c r="BK95" s="2"/>
      <c r="BL95" s="2"/>
      <c r="BM95" s="2">
        <v>400007</v>
      </c>
      <c r="BN95" s="2">
        <v>0</v>
      </c>
      <c r="BO95" s="2" t="s">
        <v>3</v>
      </c>
      <c r="BP95" s="2">
        <v>0</v>
      </c>
      <c r="BQ95" s="2">
        <v>214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0</v>
      </c>
      <c r="CA95" s="2">
        <v>0</v>
      </c>
      <c r="CB95" s="2" t="s">
        <v>3</v>
      </c>
      <c r="CC95" s="2"/>
      <c r="CD95" s="2"/>
      <c r="CE95" s="2">
        <v>1566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3</v>
      </c>
      <c r="CO95" s="2">
        <v>0</v>
      </c>
      <c r="CP95" s="2">
        <f t="shared" si="83"/>
        <v>2677.53</v>
      </c>
      <c r="CQ95" s="2">
        <f t="shared" si="84"/>
        <v>2677.53</v>
      </c>
      <c r="CR95" s="2">
        <f>(ROUND((ROUND(((ET95)*AV95*1),2)*BB95),2)+ROUND((ROUND(((AE95-(EU95))*AV95*1),2)*BS95),2))</f>
        <v>0</v>
      </c>
      <c r="CS95" s="2">
        <f>(ROUND((ROUND(((EU95)*AV95*1),2)*BS95),2)+ROUND((ROUND(((AE95-(EU95))*AV95*1),2)*BS95),2))</f>
        <v>0</v>
      </c>
      <c r="CT95" s="2">
        <f t="shared" si="85"/>
        <v>0</v>
      </c>
      <c r="CU95" s="2">
        <f t="shared" si="86"/>
        <v>0</v>
      </c>
      <c r="CV95" s="2">
        <f t="shared" si="87"/>
        <v>0</v>
      </c>
      <c r="CW95" s="2">
        <f t="shared" si="88"/>
        <v>0</v>
      </c>
      <c r="CX95" s="2">
        <f t="shared" si="89"/>
        <v>0</v>
      </c>
      <c r="CY95" s="2">
        <f>(ROUND((((S95+ROUND((ROUND(((EU95)*AV95*1),2)*BS95),2))*AT95)/100),2)+ROUND(((ROUND((ROUND(((AE95-(EU95))*AV95*1),2)*BS95),2)*AT95)/100),2))</f>
        <v>0</v>
      </c>
      <c r="CZ95" s="2">
        <f>(ROUND((((S95+ROUND((ROUND(((EU95)*AV95*1),2)*BS95),2))*AU95)/100),2)+ROUND(((ROUND((ROUND(((AE95-(EU95))*AV95*1),2)*BS95),2)*AU95)/100),2))</f>
        <v>0</v>
      </c>
      <c r="DA95" s="2"/>
      <c r="DB95" s="2"/>
      <c r="DC95" s="2" t="s">
        <v>3</v>
      </c>
      <c r="DD95" s="2" t="s">
        <v>3</v>
      </c>
      <c r="DE95" s="2" t="s">
        <v>3</v>
      </c>
      <c r="DF95" s="2" t="s">
        <v>3</v>
      </c>
      <c r="DG95" s="2" t="s">
        <v>3</v>
      </c>
      <c r="DH95" s="2" t="s">
        <v>3</v>
      </c>
      <c r="DI95" s="2" t="s">
        <v>3</v>
      </c>
      <c r="DJ95" s="2" t="s">
        <v>3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1013</v>
      </c>
      <c r="DV95" s="2" t="s">
        <v>153</v>
      </c>
      <c r="DW95" s="2" t="s">
        <v>153</v>
      </c>
      <c r="DX95" s="2">
        <v>1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55393630</v>
      </c>
      <c r="EF95" s="2">
        <v>214</v>
      </c>
      <c r="EG95" s="2" t="s">
        <v>154</v>
      </c>
      <c r="EH95" s="2">
        <v>0</v>
      </c>
      <c r="EI95" s="2" t="s">
        <v>3</v>
      </c>
      <c r="EJ95" s="2">
        <v>3</v>
      </c>
      <c r="EK95" s="2">
        <v>400007</v>
      </c>
      <c r="EL95" s="2" t="s">
        <v>154</v>
      </c>
      <c r="EM95" s="2" t="s">
        <v>155</v>
      </c>
      <c r="EN95" s="2"/>
      <c r="EO95" s="2" t="s">
        <v>3</v>
      </c>
      <c r="EP95" s="2"/>
      <c r="EQ95" s="2">
        <v>16</v>
      </c>
      <c r="ER95" s="2">
        <v>0</v>
      </c>
      <c r="ES95" s="2">
        <v>2677.5299999999997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f>P95</f>
        <v>2677.53</v>
      </c>
      <c r="FS95" s="2">
        <v>0</v>
      </c>
      <c r="FT95" s="2"/>
      <c r="FU95" s="2"/>
      <c r="FV95" s="2"/>
      <c r="FW95" s="2"/>
      <c r="FX95" s="2">
        <v>0</v>
      </c>
      <c r="FY95" s="2">
        <v>0</v>
      </c>
      <c r="FZ95" s="2"/>
      <c r="GA95" s="2" t="s">
        <v>156</v>
      </c>
      <c r="GB95" s="2"/>
      <c r="GC95" s="2"/>
      <c r="GD95" s="2">
        <v>1</v>
      </c>
      <c r="GE95" s="2"/>
      <c r="GF95" s="2">
        <v>-408024930</v>
      </c>
      <c r="GG95" s="2">
        <v>2</v>
      </c>
      <c r="GH95" s="2">
        <v>4</v>
      </c>
      <c r="GI95" s="2">
        <v>-2</v>
      </c>
      <c r="GJ95" s="2">
        <v>0</v>
      </c>
      <c r="GK95" s="2">
        <v>0</v>
      </c>
      <c r="GL95" s="2">
        <f t="shared" si="90"/>
        <v>0</v>
      </c>
      <c r="GM95" s="2">
        <f t="shared" si="91"/>
        <v>2677.53</v>
      </c>
      <c r="GN95" s="2">
        <f t="shared" si="92"/>
        <v>0</v>
      </c>
      <c r="GO95" s="2">
        <f t="shared" si="93"/>
        <v>0</v>
      </c>
      <c r="GP95" s="2">
        <f t="shared" si="94"/>
        <v>0</v>
      </c>
      <c r="GQ95" s="2"/>
      <c r="GR95" s="2">
        <v>1</v>
      </c>
      <c r="GS95" s="2">
        <v>2</v>
      </c>
      <c r="GT95" s="2">
        <v>0</v>
      </c>
      <c r="GU95" s="2" t="s">
        <v>3</v>
      </c>
      <c r="GV95" s="2">
        <f t="shared" si="95"/>
        <v>0</v>
      </c>
      <c r="GW95" s="2">
        <v>1</v>
      </c>
      <c r="GX95" s="2">
        <f t="shared" si="96"/>
        <v>0</v>
      </c>
      <c r="GY95" s="2"/>
      <c r="GZ95" s="2"/>
      <c r="HA95" s="2">
        <v>0</v>
      </c>
      <c r="HB95" s="2">
        <v>0</v>
      </c>
      <c r="HC95" s="2">
        <f t="shared" si="97"/>
        <v>0</v>
      </c>
      <c r="HD95" s="2"/>
      <c r="HE95" s="2" t="s">
        <v>34</v>
      </c>
      <c r="HF95" s="2" t="s">
        <v>157</v>
      </c>
      <c r="HG95" s="2"/>
      <c r="HH95" s="2"/>
      <c r="HI95" s="2"/>
      <c r="HJ95" s="2"/>
      <c r="HK95" s="2"/>
      <c r="HL95" s="2"/>
      <c r="HM95" s="2" t="s">
        <v>3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">
      <c r="A96" s="3">
        <v>17</v>
      </c>
      <c r="B96" s="3">
        <v>1</v>
      </c>
      <c r="E96" s="3" t="s">
        <v>150</v>
      </c>
      <c r="F96" s="3" t="s">
        <v>151</v>
      </c>
      <c r="G96" s="3" t="s">
        <v>152</v>
      </c>
      <c r="H96" s="3" t="s">
        <v>153</v>
      </c>
      <c r="I96" s="3">
        <v>1</v>
      </c>
      <c r="J96" s="3">
        <v>0</v>
      </c>
      <c r="K96" s="3">
        <v>1</v>
      </c>
      <c r="O96" s="3">
        <f t="shared" si="73"/>
        <v>26346.9</v>
      </c>
      <c r="P96" s="3">
        <f t="shared" si="74"/>
        <v>26346.9</v>
      </c>
      <c r="Q96" s="3">
        <f>(ROUND((ROUND(((ET96)*AV96*I96),2)*BB96),2)+ROUND((ROUND(((AE96-(EU96))*AV96*I96),2)*BS96),2))</f>
        <v>0</v>
      </c>
      <c r="R96" s="3">
        <f>(ROUND((ROUND(((EU96)*AV96*I96),2)*BS96),2)+ROUND((ROUND(((AE96-(EU96))*AV96*I96),2)*BS96),2))</f>
        <v>0</v>
      </c>
      <c r="S96" s="3">
        <f t="shared" si="75"/>
        <v>0</v>
      </c>
      <c r="T96" s="3">
        <f t="shared" si="76"/>
        <v>0</v>
      </c>
      <c r="U96" s="3">
        <f t="shared" si="77"/>
        <v>0</v>
      </c>
      <c r="V96" s="3">
        <f t="shared" si="78"/>
        <v>0</v>
      </c>
      <c r="W96" s="3">
        <f t="shared" si="79"/>
        <v>0</v>
      </c>
      <c r="X96" s="3">
        <f>(ROUND((((S96+ROUND((ROUND(((EU96)*AV96*I96),2)*BS96),2))*AT96)/100),2)+ROUND(((ROUND((ROUND(((AE96-(EU96))*AV96*I96),2)*BS96),2)*AT96)/100),2))</f>
        <v>0</v>
      </c>
      <c r="Y96" s="3">
        <f>(ROUND((((S96+ROUND((ROUND(((EU96)*AV96*I96),2)*BS96),2))*AU96)/100),2)+ROUND(((ROUND((ROUND(((AE96-(EU96))*AV96*I96),2)*BS96),2)*AU96)/100),2))</f>
        <v>0</v>
      </c>
      <c r="AA96" s="3">
        <v>55915258</v>
      </c>
      <c r="AB96" s="3">
        <f t="shared" si="80"/>
        <v>2677.53</v>
      </c>
      <c r="AC96" s="3">
        <f>ROUND((ES96),6)</f>
        <v>2677.53</v>
      </c>
      <c r="AD96" s="3">
        <f>ROUND((((ET96)-(EU96))+AE96),6)</f>
        <v>0</v>
      </c>
      <c r="AE96" s="3">
        <f>ROUND((EU96),6)</f>
        <v>0</v>
      </c>
      <c r="AF96" s="3">
        <f>ROUND((EV96),6)</f>
        <v>0</v>
      </c>
      <c r="AG96" s="3">
        <f t="shared" si="81"/>
        <v>0</v>
      </c>
      <c r="AH96" s="3">
        <f>(EW96)</f>
        <v>0</v>
      </c>
      <c r="AI96" s="3">
        <f>(EX96)</f>
        <v>0</v>
      </c>
      <c r="AJ96" s="3">
        <f t="shared" si="82"/>
        <v>0</v>
      </c>
      <c r="AK96" s="3">
        <v>2677.5299999999997</v>
      </c>
      <c r="AL96" s="3">
        <v>2677.5299999999997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1</v>
      </c>
      <c r="AW96" s="3">
        <v>1</v>
      </c>
      <c r="AZ96" s="3">
        <v>1</v>
      </c>
      <c r="BA96" s="3">
        <v>1</v>
      </c>
      <c r="BB96" s="3">
        <v>1</v>
      </c>
      <c r="BC96" s="3">
        <v>9.84</v>
      </c>
      <c r="BD96" s="3" t="s">
        <v>3</v>
      </c>
      <c r="BE96" s="3" t="s">
        <v>3</v>
      </c>
      <c r="BF96" s="3" t="s">
        <v>3</v>
      </c>
      <c r="BG96" s="3" t="s">
        <v>3</v>
      </c>
      <c r="BH96" s="3">
        <v>3</v>
      </c>
      <c r="BI96" s="3">
        <v>3</v>
      </c>
      <c r="BJ96" s="3" t="s">
        <v>151</v>
      </c>
      <c r="BM96" s="3">
        <v>400007</v>
      </c>
      <c r="BN96" s="3">
        <v>0</v>
      </c>
      <c r="BO96" s="3" t="s">
        <v>3</v>
      </c>
      <c r="BP96" s="3">
        <v>0</v>
      </c>
      <c r="BQ96" s="3">
        <v>214</v>
      </c>
      <c r="BR96" s="3">
        <v>0</v>
      </c>
      <c r="BS96" s="3">
        <v>1</v>
      </c>
      <c r="BT96" s="3">
        <v>1</v>
      </c>
      <c r="BU96" s="3">
        <v>1</v>
      </c>
      <c r="BV96" s="3">
        <v>1</v>
      </c>
      <c r="BW96" s="3">
        <v>1</v>
      </c>
      <c r="BX96" s="3">
        <v>1</v>
      </c>
      <c r="BY96" s="3" t="s">
        <v>3</v>
      </c>
      <c r="BZ96" s="3">
        <v>0</v>
      </c>
      <c r="CA96" s="3">
        <v>0</v>
      </c>
      <c r="CB96" s="3" t="s">
        <v>3</v>
      </c>
      <c r="CE96" s="3">
        <v>1566</v>
      </c>
      <c r="CF96" s="3">
        <v>0</v>
      </c>
      <c r="CG96" s="3">
        <v>0</v>
      </c>
      <c r="CM96" s="3">
        <v>0</v>
      </c>
      <c r="CN96" s="3" t="s">
        <v>3</v>
      </c>
      <c r="CO96" s="3">
        <v>0</v>
      </c>
      <c r="CP96" s="3">
        <f t="shared" si="83"/>
        <v>26346.9</v>
      </c>
      <c r="CQ96" s="3">
        <f t="shared" si="84"/>
        <v>26346.9</v>
      </c>
      <c r="CR96" s="3">
        <f>(ROUND((ROUND(((ET96)*AV96*1),2)*BB96),2)+ROUND((ROUND(((AE96-(EU96))*AV96*1),2)*BS96),2))</f>
        <v>0</v>
      </c>
      <c r="CS96" s="3">
        <f>(ROUND((ROUND(((EU96)*AV96*1),2)*BS96),2)+ROUND((ROUND(((AE96-(EU96))*AV96*1),2)*BS96),2))</f>
        <v>0</v>
      </c>
      <c r="CT96" s="3">
        <f t="shared" si="85"/>
        <v>0</v>
      </c>
      <c r="CU96" s="3">
        <f t="shared" si="86"/>
        <v>0</v>
      </c>
      <c r="CV96" s="3">
        <f t="shared" si="87"/>
        <v>0</v>
      </c>
      <c r="CW96" s="3">
        <f t="shared" si="88"/>
        <v>0</v>
      </c>
      <c r="CX96" s="3">
        <f t="shared" si="89"/>
        <v>0</v>
      </c>
      <c r="CY96" s="3">
        <f>(ROUND((((S96+ROUND((ROUND(((EU96)*AV96*1),2)*BS96),2))*AT96)/100),2)+ROUND(((ROUND((ROUND(((AE96-(EU96))*AV96*1),2)*BS96),2)*AT96)/100),2))</f>
        <v>0</v>
      </c>
      <c r="CZ96" s="3">
        <f>(ROUND((((S96+ROUND((ROUND(((EU96)*AV96*1),2)*BS96),2))*AU96)/100),2)+ROUND(((ROUND((ROUND(((AE96-(EU96))*AV96*1),2)*BS96),2)*AU96)/100),2))</f>
        <v>0</v>
      </c>
      <c r="DC96" s="3" t="s">
        <v>3</v>
      </c>
      <c r="DD96" s="3" t="s">
        <v>3</v>
      </c>
      <c r="DE96" s="3" t="s">
        <v>3</v>
      </c>
      <c r="DF96" s="3" t="s">
        <v>3</v>
      </c>
      <c r="DG96" s="3" t="s">
        <v>3</v>
      </c>
      <c r="DH96" s="3" t="s">
        <v>3</v>
      </c>
      <c r="DI96" s="3" t="s">
        <v>3</v>
      </c>
      <c r="DJ96" s="3" t="s">
        <v>3</v>
      </c>
      <c r="DK96" s="3" t="s">
        <v>3</v>
      </c>
      <c r="DL96" s="3" t="s">
        <v>3</v>
      </c>
      <c r="DM96" s="3" t="s">
        <v>3</v>
      </c>
      <c r="DN96" s="3">
        <v>0</v>
      </c>
      <c r="DO96" s="3">
        <v>0</v>
      </c>
      <c r="DP96" s="3">
        <v>1</v>
      </c>
      <c r="DQ96" s="3">
        <v>1</v>
      </c>
      <c r="DU96" s="3">
        <v>1013</v>
      </c>
      <c r="DV96" s="3" t="s">
        <v>153</v>
      </c>
      <c r="DW96" s="3" t="s">
        <v>153</v>
      </c>
      <c r="DX96" s="3">
        <v>1</v>
      </c>
      <c r="DZ96" s="3" t="s">
        <v>3</v>
      </c>
      <c r="EA96" s="3" t="s">
        <v>3</v>
      </c>
      <c r="EB96" s="3" t="s">
        <v>3</v>
      </c>
      <c r="EC96" s="3" t="s">
        <v>3</v>
      </c>
      <c r="EE96" s="3">
        <v>55393630</v>
      </c>
      <c r="EF96" s="3">
        <v>214</v>
      </c>
      <c r="EG96" s="3" t="s">
        <v>154</v>
      </c>
      <c r="EH96" s="3">
        <v>0</v>
      </c>
      <c r="EI96" s="3" t="s">
        <v>3</v>
      </c>
      <c r="EJ96" s="3">
        <v>3</v>
      </c>
      <c r="EK96" s="3">
        <v>400007</v>
      </c>
      <c r="EL96" s="3" t="s">
        <v>154</v>
      </c>
      <c r="EM96" s="3" t="s">
        <v>155</v>
      </c>
      <c r="EO96" s="3" t="s">
        <v>3</v>
      </c>
      <c r="EQ96" s="3">
        <v>16</v>
      </c>
      <c r="ER96" s="3">
        <v>0</v>
      </c>
      <c r="ES96" s="3">
        <v>2677.5299999999997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5</v>
      </c>
      <c r="FC96" s="3">
        <v>1</v>
      </c>
      <c r="FD96" s="3">
        <v>18</v>
      </c>
      <c r="FF96" s="3">
        <v>30837</v>
      </c>
      <c r="FQ96" s="3">
        <v>0</v>
      </c>
      <c r="FR96" s="3">
        <f>P96</f>
        <v>26346.9</v>
      </c>
      <c r="FS96" s="3">
        <v>0</v>
      </c>
      <c r="FX96" s="3">
        <v>0</v>
      </c>
      <c r="FY96" s="3">
        <v>0</v>
      </c>
      <c r="GA96" s="3" t="s">
        <v>156</v>
      </c>
      <c r="GD96" s="3">
        <v>1</v>
      </c>
      <c r="GF96" s="3">
        <v>-408024930</v>
      </c>
      <c r="GG96" s="3">
        <v>2</v>
      </c>
      <c r="GH96" s="3">
        <v>3</v>
      </c>
      <c r="GI96" s="3">
        <v>5</v>
      </c>
      <c r="GJ96" s="3">
        <v>0</v>
      </c>
      <c r="GK96" s="3">
        <v>0</v>
      </c>
      <c r="GL96" s="3">
        <f t="shared" si="90"/>
        <v>0</v>
      </c>
      <c r="GM96" s="3">
        <f t="shared" si="91"/>
        <v>26346.9</v>
      </c>
      <c r="GN96" s="3">
        <f t="shared" si="92"/>
        <v>0</v>
      </c>
      <c r="GO96" s="3">
        <f t="shared" si="93"/>
        <v>0</v>
      </c>
      <c r="GP96" s="3">
        <f t="shared" si="94"/>
        <v>0</v>
      </c>
      <c r="GR96" s="3">
        <v>1</v>
      </c>
      <c r="GS96" s="3">
        <v>1</v>
      </c>
      <c r="GT96" s="3">
        <v>0</v>
      </c>
      <c r="GU96" s="3" t="s">
        <v>3</v>
      </c>
      <c r="GV96" s="3">
        <f t="shared" si="95"/>
        <v>0</v>
      </c>
      <c r="GW96" s="3">
        <v>1</v>
      </c>
      <c r="GX96" s="3">
        <f t="shared" si="96"/>
        <v>0</v>
      </c>
      <c r="HA96" s="3">
        <v>0</v>
      </c>
      <c r="HB96" s="3">
        <v>0</v>
      </c>
      <c r="HC96" s="3">
        <f t="shared" si="97"/>
        <v>0</v>
      </c>
      <c r="HE96" s="3" t="s">
        <v>34</v>
      </c>
      <c r="HF96" s="3" t="s">
        <v>157</v>
      </c>
      <c r="HM96" s="3" t="s">
        <v>3</v>
      </c>
      <c r="HN96" s="3" t="s">
        <v>3</v>
      </c>
      <c r="HO96" s="3" t="s">
        <v>3</v>
      </c>
      <c r="HP96" s="3" t="s">
        <v>3</v>
      </c>
      <c r="HQ96" s="3" t="s">
        <v>3</v>
      </c>
      <c r="HS96" s="3">
        <v>0</v>
      </c>
      <c r="IK96" s="3">
        <v>0</v>
      </c>
    </row>
    <row r="97" spans="1:255" x14ac:dyDescent="0.2">
      <c r="A97" s="2">
        <v>17</v>
      </c>
      <c r="B97" s="2">
        <v>1</v>
      </c>
      <c r="C97" s="2">
        <f>ROW(SmtRes!A64)</f>
        <v>64</v>
      </c>
      <c r="D97" s="2">
        <f>ROW(EtalonRes!A77)</f>
        <v>77</v>
      </c>
      <c r="E97" s="2" t="s">
        <v>158</v>
      </c>
      <c r="F97" s="2" t="s">
        <v>31</v>
      </c>
      <c r="G97" s="2" t="s">
        <v>159</v>
      </c>
      <c r="H97" s="2" t="s">
        <v>22</v>
      </c>
      <c r="I97" s="2">
        <v>1</v>
      </c>
      <c r="J97" s="2">
        <v>0</v>
      </c>
      <c r="K97" s="2">
        <v>1</v>
      </c>
      <c r="L97" s="2"/>
      <c r="M97" s="2"/>
      <c r="N97" s="2"/>
      <c r="O97" s="2">
        <f t="shared" si="73"/>
        <v>44.39</v>
      </c>
      <c r="P97" s="2">
        <f t="shared" si="74"/>
        <v>2.34</v>
      </c>
      <c r="Q97" s="2">
        <f>(ROUND((ROUND((((ET97*1.2))*AV97*I97),2)*BB97),2)+ROUND((ROUND(((AE97-((EU97*1.2)))*AV97*I97),2)*BS97),2))</f>
        <v>0</v>
      </c>
      <c r="R97" s="2">
        <f>(ROUND((ROUND((((EU97*1.2))*AV97*I97),2)*BS97),2)+ROUND((ROUND(((AE97-((EU97*1.2)))*AV97*I97),2)*BS97),2))</f>
        <v>0</v>
      </c>
      <c r="S97" s="2">
        <f t="shared" si="75"/>
        <v>42.05</v>
      </c>
      <c r="T97" s="2">
        <f t="shared" si="76"/>
        <v>0</v>
      </c>
      <c r="U97" s="2">
        <f t="shared" si="77"/>
        <v>3.3294599999999996</v>
      </c>
      <c r="V97" s="2">
        <f t="shared" si="78"/>
        <v>0</v>
      </c>
      <c r="W97" s="2">
        <f t="shared" si="79"/>
        <v>0</v>
      </c>
      <c r="X97" s="2">
        <f>(ROUND((((S97+ROUND((ROUND((((EU97*1.2))*AV97*I97),2)*BS97),2))*AT97)/100),2)+ROUND(((ROUND((ROUND(((AE97-((EU97*1.2)))*AV97*I97),2)*BS97),2)*AT97)/100),2))</f>
        <v>37.85</v>
      </c>
      <c r="Y97" s="2">
        <f>(ROUND((((S97+ROUND((ROUND((((EU97*1.2))*AV97*I97),2)*BS97),2))*AU97)/100),2)+ROUND(((ROUND((ROUND(((AE97-((EU97*1.2)))*AV97*I97),2)*BS97),2)*AU97)/100),2))</f>
        <v>19.34</v>
      </c>
      <c r="Z97" s="2"/>
      <c r="AA97" s="2">
        <v>55915256</v>
      </c>
      <c r="AB97" s="2">
        <f t="shared" si="80"/>
        <v>42.503999999999998</v>
      </c>
      <c r="AC97" s="2">
        <f>ROUND(((ES97*1)),6)</f>
        <v>2.34</v>
      </c>
      <c r="AD97" s="2">
        <f>ROUND(((((ET97*1.2))-((EU97*1.2)))+AE97),6)</f>
        <v>0</v>
      </c>
      <c r="AE97" s="2">
        <f>ROUND(((EU97*1.2)),6)</f>
        <v>0</v>
      </c>
      <c r="AF97" s="2">
        <f>ROUND(((EV97*1.2)),6)</f>
        <v>40.164000000000001</v>
      </c>
      <c r="AG97" s="2">
        <f t="shared" si="81"/>
        <v>0</v>
      </c>
      <c r="AH97" s="2">
        <f>((EW97*1.2))</f>
        <v>3.1799999999999997</v>
      </c>
      <c r="AI97" s="2">
        <f>((EX97*1.2))</f>
        <v>0</v>
      </c>
      <c r="AJ97" s="2">
        <f t="shared" si="82"/>
        <v>0</v>
      </c>
      <c r="AK97" s="2">
        <v>35.81</v>
      </c>
      <c r="AL97" s="2">
        <v>2.34</v>
      </c>
      <c r="AM97" s="2">
        <v>0</v>
      </c>
      <c r="AN97" s="2">
        <v>0</v>
      </c>
      <c r="AO97" s="2">
        <v>33.47</v>
      </c>
      <c r="AP97" s="2">
        <v>0</v>
      </c>
      <c r="AQ97" s="2">
        <v>2.65</v>
      </c>
      <c r="AR97" s="2">
        <v>0</v>
      </c>
      <c r="AS97" s="2">
        <v>0</v>
      </c>
      <c r="AT97" s="2">
        <v>90</v>
      </c>
      <c r="AU97" s="2">
        <v>46</v>
      </c>
      <c r="AV97" s="2">
        <v>1.0469999999999999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2</v>
      </c>
      <c r="BJ97" s="2" t="s">
        <v>33</v>
      </c>
      <c r="BK97" s="2"/>
      <c r="BL97" s="2"/>
      <c r="BM97" s="2">
        <v>68</v>
      </c>
      <c r="BN97" s="2">
        <v>0</v>
      </c>
      <c r="BO97" s="2" t="s">
        <v>31</v>
      </c>
      <c r="BP97" s="2">
        <v>1</v>
      </c>
      <c r="BQ97" s="2">
        <v>40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90</v>
      </c>
      <c r="CA97" s="2">
        <v>46</v>
      </c>
      <c r="CB97" s="2" t="s">
        <v>3</v>
      </c>
      <c r="CC97" s="2"/>
      <c r="CD97" s="2"/>
      <c r="CE97" s="2">
        <v>1566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605</v>
      </c>
      <c r="CO97" s="2">
        <v>0</v>
      </c>
      <c r="CP97" s="2">
        <f t="shared" si="83"/>
        <v>44.39</v>
      </c>
      <c r="CQ97" s="2">
        <f t="shared" si="84"/>
        <v>2.34</v>
      </c>
      <c r="CR97" s="2">
        <f>(ROUND((ROUND((((ET97*1.2))*AV97*1),2)*BB97),2)+ROUND((ROUND(((AE97-((EU97*1.2)))*AV97*1),2)*BS97),2))</f>
        <v>0</v>
      </c>
      <c r="CS97" s="2">
        <f>(ROUND((ROUND((((EU97*1.2))*AV97*1),2)*BS97),2)+ROUND((ROUND(((AE97-((EU97*1.2)))*AV97*1),2)*BS97),2))</f>
        <v>0</v>
      </c>
      <c r="CT97" s="2">
        <f t="shared" si="85"/>
        <v>42.05</v>
      </c>
      <c r="CU97" s="2">
        <f t="shared" si="86"/>
        <v>0</v>
      </c>
      <c r="CV97" s="2">
        <f t="shared" si="87"/>
        <v>3.3294599999999996</v>
      </c>
      <c r="CW97" s="2">
        <f t="shared" si="88"/>
        <v>0</v>
      </c>
      <c r="CX97" s="2">
        <f t="shared" si="89"/>
        <v>0</v>
      </c>
      <c r="CY97" s="2">
        <f>(ROUND((((S97+ROUND((ROUND((((EU97*1.2))*AV97*1),2)*BS97),2))*AT97)/100),2)+ROUND(((ROUND((ROUND(((AE97-((EU97*1.2)))*AV97*1),2)*BS97),2)*AT97)/100),2))</f>
        <v>37.85</v>
      </c>
      <c r="CZ97" s="2">
        <f>(ROUND((((S97+ROUND((ROUND((((EU97*1.2))*AV97*1),2)*BS97),2))*AU97)/100),2)+ROUND(((ROUND((ROUND(((AE97-((EU97*1.2)))*AV97*1),2)*BS97),2)*AU97)/100),2))</f>
        <v>19.34</v>
      </c>
      <c r="DA97" s="2"/>
      <c r="DB97" s="2">
        <v>59</v>
      </c>
      <c r="DC97" s="2" t="s">
        <v>3</v>
      </c>
      <c r="DD97" s="2" t="s">
        <v>77</v>
      </c>
      <c r="DE97" s="2" t="s">
        <v>78</v>
      </c>
      <c r="DF97" s="2" t="s">
        <v>78</v>
      </c>
      <c r="DG97" s="2" t="s">
        <v>78</v>
      </c>
      <c r="DH97" s="2" t="s">
        <v>3</v>
      </c>
      <c r="DI97" s="2" t="s">
        <v>78</v>
      </c>
      <c r="DJ97" s="2" t="s">
        <v>78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22</v>
      </c>
      <c r="DW97" s="2" t="s">
        <v>22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55393700</v>
      </c>
      <c r="EF97" s="2">
        <v>40</v>
      </c>
      <c r="EG97" s="2" t="s">
        <v>26</v>
      </c>
      <c r="EH97" s="2">
        <v>0</v>
      </c>
      <c r="EI97" s="2" t="s">
        <v>3</v>
      </c>
      <c r="EJ97" s="2">
        <v>2</v>
      </c>
      <c r="EK97" s="2">
        <v>68</v>
      </c>
      <c r="EL97" s="2" t="s">
        <v>27</v>
      </c>
      <c r="EM97" s="2" t="s">
        <v>28</v>
      </c>
      <c r="EN97" s="2"/>
      <c r="EO97" s="2" t="s">
        <v>82</v>
      </c>
      <c r="EP97" s="2"/>
      <c r="EQ97" s="2">
        <v>0</v>
      </c>
      <c r="ER97" s="2">
        <v>35.81</v>
      </c>
      <c r="ES97" s="2">
        <v>2.34</v>
      </c>
      <c r="ET97" s="2">
        <v>0</v>
      </c>
      <c r="EU97" s="2">
        <v>0</v>
      </c>
      <c r="EV97" s="2">
        <v>33.47</v>
      </c>
      <c r="EW97" s="2">
        <v>2.65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90</v>
      </c>
      <c r="FY97" s="2">
        <v>46</v>
      </c>
      <c r="FZ97" s="2"/>
      <c r="GA97" s="2" t="s">
        <v>3</v>
      </c>
      <c r="GB97" s="2"/>
      <c r="GC97" s="2"/>
      <c r="GD97" s="2">
        <v>1</v>
      </c>
      <c r="GE97" s="2"/>
      <c r="GF97" s="2">
        <v>1558984384</v>
      </c>
      <c r="GG97" s="2">
        <v>2</v>
      </c>
      <c r="GH97" s="2">
        <v>1</v>
      </c>
      <c r="GI97" s="2">
        <v>2</v>
      </c>
      <c r="GJ97" s="2">
        <v>0</v>
      </c>
      <c r="GK97" s="2">
        <v>0</v>
      </c>
      <c r="GL97" s="2">
        <f t="shared" si="90"/>
        <v>0</v>
      </c>
      <c r="GM97" s="2">
        <f t="shared" si="91"/>
        <v>101.58</v>
      </c>
      <c r="GN97" s="2">
        <f t="shared" si="92"/>
        <v>0</v>
      </c>
      <c r="GO97" s="2">
        <f t="shared" si="93"/>
        <v>101.58</v>
      </c>
      <c r="GP97" s="2">
        <f t="shared" si="94"/>
        <v>0</v>
      </c>
      <c r="GQ97" s="2"/>
      <c r="GR97" s="2">
        <v>0</v>
      </c>
      <c r="GS97" s="2">
        <v>3</v>
      </c>
      <c r="GT97" s="2">
        <v>0</v>
      </c>
      <c r="GU97" s="2" t="s">
        <v>3</v>
      </c>
      <c r="GV97" s="2">
        <f t="shared" si="95"/>
        <v>0</v>
      </c>
      <c r="GW97" s="2">
        <v>1</v>
      </c>
      <c r="GX97" s="2">
        <f t="shared" si="96"/>
        <v>0</v>
      </c>
      <c r="GY97" s="2"/>
      <c r="GZ97" s="2"/>
      <c r="HA97" s="2">
        <v>0</v>
      </c>
      <c r="HB97" s="2">
        <v>0</v>
      </c>
      <c r="HC97" s="2">
        <f t="shared" si="97"/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">
      <c r="A98" s="3">
        <v>17</v>
      </c>
      <c r="B98" s="3">
        <v>1</v>
      </c>
      <c r="C98" s="3">
        <f>ROW(SmtRes!A68)</f>
        <v>68</v>
      </c>
      <c r="D98" s="3">
        <f>ROW(EtalonRes!A82)</f>
        <v>82</v>
      </c>
      <c r="E98" s="3" t="s">
        <v>158</v>
      </c>
      <c r="F98" s="3" t="s">
        <v>31</v>
      </c>
      <c r="G98" s="3" t="s">
        <v>159</v>
      </c>
      <c r="H98" s="3" t="s">
        <v>22</v>
      </c>
      <c r="I98" s="3">
        <v>1</v>
      </c>
      <c r="J98" s="3">
        <v>0</v>
      </c>
      <c r="K98" s="3">
        <v>1</v>
      </c>
      <c r="O98" s="3">
        <f t="shared" si="73"/>
        <v>2393.48</v>
      </c>
      <c r="P98" s="3">
        <f t="shared" si="74"/>
        <v>23.96</v>
      </c>
      <c r="Q98" s="3">
        <f>(ROUND((ROUND((((ET98*1.2))*AV98*I98),2)*BB98),2)+ROUND((ROUND(((AE98-((EU98*1.2)))*AV98*I98),2)*BS98),2))</f>
        <v>0</v>
      </c>
      <c r="R98" s="3">
        <f>(ROUND((ROUND((((EU98*1.2))*AV98*I98),2)*BS98),2)+ROUND((ROUND(((AE98-((EU98*1.2)))*AV98*I98),2)*BS98),2))</f>
        <v>0</v>
      </c>
      <c r="S98" s="3">
        <f t="shared" si="75"/>
        <v>2369.52</v>
      </c>
      <c r="T98" s="3">
        <f t="shared" si="76"/>
        <v>0</v>
      </c>
      <c r="U98" s="3">
        <f t="shared" si="77"/>
        <v>3.3294599999999996</v>
      </c>
      <c r="V98" s="3">
        <f t="shared" si="78"/>
        <v>0</v>
      </c>
      <c r="W98" s="3">
        <f t="shared" si="79"/>
        <v>0</v>
      </c>
      <c r="X98" s="3">
        <f>(ROUND((((S98+ROUND((ROUND((((EU98*1.2))*AV98*I98),2)*BS98),2))*AT98)/100),2)+ROUND(((ROUND((ROUND(((AE98-((EU98*1.2)))*AV98*I98),2)*BS98),2)*AT98)/100),2))</f>
        <v>2132.5700000000002</v>
      </c>
      <c r="Y98" s="3">
        <f>(ROUND((((S98+ROUND((ROUND((((EU98*1.2))*AV98*I98),2)*BS98),2))*AU98)/100),2)+ROUND(((ROUND((ROUND(((AE98-((EU98*1.2)))*AV98*I98),2)*BS98),2)*AU98)/100),2))</f>
        <v>1089.98</v>
      </c>
      <c r="AA98" s="3">
        <v>55915258</v>
      </c>
      <c r="AB98" s="3">
        <f t="shared" si="80"/>
        <v>42.503999999999998</v>
      </c>
      <c r="AC98" s="3">
        <f>ROUND(((ES98*1)),6)</f>
        <v>2.34</v>
      </c>
      <c r="AD98" s="3">
        <f>ROUND(((((ET98*1.2))-((EU98*1.2)))+AE98),6)</f>
        <v>0</v>
      </c>
      <c r="AE98" s="3">
        <f>ROUND(((EU98*1.2)),6)</f>
        <v>0</v>
      </c>
      <c r="AF98" s="3">
        <f>ROUND(((EV98*1.2)),6)</f>
        <v>40.164000000000001</v>
      </c>
      <c r="AG98" s="3">
        <f t="shared" si="81"/>
        <v>0</v>
      </c>
      <c r="AH98" s="3">
        <f>((EW98*1.2))</f>
        <v>3.1799999999999997</v>
      </c>
      <c r="AI98" s="3">
        <f>((EX98*1.2))</f>
        <v>0</v>
      </c>
      <c r="AJ98" s="3">
        <f t="shared" si="82"/>
        <v>0</v>
      </c>
      <c r="AK98" s="3">
        <v>35.81</v>
      </c>
      <c r="AL98" s="3">
        <v>2.34</v>
      </c>
      <c r="AM98" s="3">
        <v>0</v>
      </c>
      <c r="AN98" s="3">
        <v>0</v>
      </c>
      <c r="AO98" s="3">
        <v>33.47</v>
      </c>
      <c r="AP98" s="3">
        <v>0</v>
      </c>
      <c r="AQ98" s="3">
        <v>2.65</v>
      </c>
      <c r="AR98" s="3">
        <v>0</v>
      </c>
      <c r="AS98" s="3">
        <v>0</v>
      </c>
      <c r="AT98" s="3">
        <v>90</v>
      </c>
      <c r="AU98" s="3">
        <v>46</v>
      </c>
      <c r="AV98" s="3">
        <v>1.0469999999999999</v>
      </c>
      <c r="AW98" s="3">
        <v>1</v>
      </c>
      <c r="AZ98" s="3">
        <v>1</v>
      </c>
      <c r="BA98" s="3">
        <v>56.35</v>
      </c>
      <c r="BB98" s="3">
        <v>1</v>
      </c>
      <c r="BC98" s="3">
        <v>10.24</v>
      </c>
      <c r="BD98" s="3" t="s">
        <v>3</v>
      </c>
      <c r="BE98" s="3" t="s">
        <v>3</v>
      </c>
      <c r="BF98" s="3" t="s">
        <v>3</v>
      </c>
      <c r="BG98" s="3" t="s">
        <v>3</v>
      </c>
      <c r="BH98" s="3">
        <v>0</v>
      </c>
      <c r="BI98" s="3">
        <v>2</v>
      </c>
      <c r="BJ98" s="3" t="s">
        <v>33</v>
      </c>
      <c r="BM98" s="3">
        <v>68</v>
      </c>
      <c r="BN98" s="3">
        <v>0</v>
      </c>
      <c r="BO98" s="3" t="s">
        <v>31</v>
      </c>
      <c r="BP98" s="3">
        <v>1</v>
      </c>
      <c r="BQ98" s="3">
        <v>40</v>
      </c>
      <c r="BR98" s="3">
        <v>0</v>
      </c>
      <c r="BS98" s="3">
        <v>56.35</v>
      </c>
      <c r="BT98" s="3">
        <v>1</v>
      </c>
      <c r="BU98" s="3">
        <v>1</v>
      </c>
      <c r="BV98" s="3">
        <v>1</v>
      </c>
      <c r="BW98" s="3">
        <v>1</v>
      </c>
      <c r="BX98" s="3">
        <v>1</v>
      </c>
      <c r="BY98" s="3" t="s">
        <v>3</v>
      </c>
      <c r="BZ98" s="3">
        <v>90</v>
      </c>
      <c r="CA98" s="3">
        <v>46</v>
      </c>
      <c r="CB98" s="3" t="s">
        <v>3</v>
      </c>
      <c r="CE98" s="3">
        <v>1566</v>
      </c>
      <c r="CF98" s="3">
        <v>0</v>
      </c>
      <c r="CG98" s="3">
        <v>0</v>
      </c>
      <c r="CM98" s="3">
        <v>0</v>
      </c>
      <c r="CN98" s="3" t="s">
        <v>605</v>
      </c>
      <c r="CO98" s="3">
        <v>0</v>
      </c>
      <c r="CP98" s="3">
        <f t="shared" si="83"/>
        <v>2393.48</v>
      </c>
      <c r="CQ98" s="3">
        <f t="shared" si="84"/>
        <v>23.96</v>
      </c>
      <c r="CR98" s="3">
        <f>(ROUND((ROUND((((ET98*1.2))*AV98*1),2)*BB98),2)+ROUND((ROUND(((AE98-((EU98*1.2)))*AV98*1),2)*BS98),2))</f>
        <v>0</v>
      </c>
      <c r="CS98" s="3">
        <f>(ROUND((ROUND((((EU98*1.2))*AV98*1),2)*BS98),2)+ROUND((ROUND(((AE98-((EU98*1.2)))*AV98*1),2)*BS98),2))</f>
        <v>0</v>
      </c>
      <c r="CT98" s="3">
        <f t="shared" si="85"/>
        <v>2369.52</v>
      </c>
      <c r="CU98" s="3">
        <f t="shared" si="86"/>
        <v>0</v>
      </c>
      <c r="CV98" s="3">
        <f t="shared" si="87"/>
        <v>3.3294599999999996</v>
      </c>
      <c r="CW98" s="3">
        <f t="shared" si="88"/>
        <v>0</v>
      </c>
      <c r="CX98" s="3">
        <f t="shared" si="89"/>
        <v>0</v>
      </c>
      <c r="CY98" s="3">
        <f>(ROUND((((S98+ROUND((ROUND((((EU98*1.2))*AV98*1),2)*BS98),2))*AT98)/100),2)+ROUND(((ROUND((ROUND(((AE98-((EU98*1.2)))*AV98*1),2)*BS98),2)*AT98)/100),2))</f>
        <v>2132.5700000000002</v>
      </c>
      <c r="CZ98" s="3">
        <f>(ROUND((((S98+ROUND((ROUND((((EU98*1.2))*AV98*1),2)*BS98),2))*AU98)/100),2)+ROUND(((ROUND((ROUND(((AE98-((EU98*1.2)))*AV98*1),2)*BS98),2)*AU98)/100),2))</f>
        <v>1089.98</v>
      </c>
      <c r="DB98" s="3">
        <v>60</v>
      </c>
      <c r="DC98" s="3" t="s">
        <v>3</v>
      </c>
      <c r="DD98" s="3" t="s">
        <v>77</v>
      </c>
      <c r="DE98" s="3" t="s">
        <v>78</v>
      </c>
      <c r="DF98" s="3" t="s">
        <v>78</v>
      </c>
      <c r="DG98" s="3" t="s">
        <v>78</v>
      </c>
      <c r="DH98" s="3" t="s">
        <v>3</v>
      </c>
      <c r="DI98" s="3" t="s">
        <v>78</v>
      </c>
      <c r="DJ98" s="3" t="s">
        <v>78</v>
      </c>
      <c r="DK98" s="3" t="s">
        <v>3</v>
      </c>
      <c r="DL98" s="3" t="s">
        <v>3</v>
      </c>
      <c r="DM98" s="3" t="s">
        <v>3</v>
      </c>
      <c r="DN98" s="3">
        <v>0</v>
      </c>
      <c r="DO98" s="3">
        <v>0</v>
      </c>
      <c r="DP98" s="3">
        <v>1</v>
      </c>
      <c r="DQ98" s="3">
        <v>1</v>
      </c>
      <c r="DU98" s="3">
        <v>1013</v>
      </c>
      <c r="DV98" s="3" t="s">
        <v>22</v>
      </c>
      <c r="DW98" s="3" t="s">
        <v>22</v>
      </c>
      <c r="DX98" s="3">
        <v>1</v>
      </c>
      <c r="DZ98" s="3" t="s">
        <v>3</v>
      </c>
      <c r="EA98" s="3" t="s">
        <v>3</v>
      </c>
      <c r="EB98" s="3" t="s">
        <v>3</v>
      </c>
      <c r="EC98" s="3" t="s">
        <v>3</v>
      </c>
      <c r="EE98" s="3">
        <v>55393700</v>
      </c>
      <c r="EF98" s="3">
        <v>40</v>
      </c>
      <c r="EG98" s="3" t="s">
        <v>26</v>
      </c>
      <c r="EH98" s="3">
        <v>0</v>
      </c>
      <c r="EI98" s="3" t="s">
        <v>3</v>
      </c>
      <c r="EJ98" s="3">
        <v>2</v>
      </c>
      <c r="EK98" s="3">
        <v>68</v>
      </c>
      <c r="EL98" s="3" t="s">
        <v>27</v>
      </c>
      <c r="EM98" s="3" t="s">
        <v>28</v>
      </c>
      <c r="EO98" s="3" t="s">
        <v>82</v>
      </c>
      <c r="EQ98" s="3">
        <v>0</v>
      </c>
      <c r="ER98" s="3">
        <v>35.81</v>
      </c>
      <c r="ES98" s="3">
        <v>2.34</v>
      </c>
      <c r="ET98" s="3">
        <v>0</v>
      </c>
      <c r="EU98" s="3">
        <v>0</v>
      </c>
      <c r="EV98" s="3">
        <v>33.47</v>
      </c>
      <c r="EW98" s="3">
        <v>2.65</v>
      </c>
      <c r="EX98" s="3">
        <v>0</v>
      </c>
      <c r="EY98" s="3">
        <v>0</v>
      </c>
      <c r="FQ98" s="3">
        <v>0</v>
      </c>
      <c r="FR98" s="3">
        <v>0</v>
      </c>
      <c r="FS98" s="3">
        <v>0</v>
      </c>
      <c r="FX98" s="3">
        <v>90</v>
      </c>
      <c r="FY98" s="3">
        <v>46</v>
      </c>
      <c r="GA98" s="3" t="s">
        <v>3</v>
      </c>
      <c r="GD98" s="3">
        <v>1</v>
      </c>
      <c r="GF98" s="3">
        <v>1558984384</v>
      </c>
      <c r="GG98" s="3">
        <v>2</v>
      </c>
      <c r="GH98" s="3">
        <v>1</v>
      </c>
      <c r="GI98" s="3">
        <v>2</v>
      </c>
      <c r="GJ98" s="3">
        <v>0</v>
      </c>
      <c r="GK98" s="3">
        <v>0</v>
      </c>
      <c r="GL98" s="3">
        <f t="shared" si="90"/>
        <v>0</v>
      </c>
      <c r="GM98" s="3">
        <f t="shared" si="91"/>
        <v>5616.03</v>
      </c>
      <c r="GN98" s="3">
        <f t="shared" si="92"/>
        <v>0</v>
      </c>
      <c r="GO98" s="3">
        <f t="shared" si="93"/>
        <v>5616.03</v>
      </c>
      <c r="GP98" s="3">
        <f t="shared" si="94"/>
        <v>0</v>
      </c>
      <c r="GR98" s="3">
        <v>0</v>
      </c>
      <c r="GS98" s="3">
        <v>3</v>
      </c>
      <c r="GT98" s="3">
        <v>0</v>
      </c>
      <c r="GU98" s="3" t="s">
        <v>3</v>
      </c>
      <c r="GV98" s="3">
        <f t="shared" si="95"/>
        <v>0</v>
      </c>
      <c r="GW98" s="3">
        <v>1</v>
      </c>
      <c r="GX98" s="3">
        <f t="shared" si="96"/>
        <v>0</v>
      </c>
      <c r="HA98" s="3">
        <v>0</v>
      </c>
      <c r="HB98" s="3">
        <v>0</v>
      </c>
      <c r="HC98" s="3">
        <f t="shared" si="97"/>
        <v>0</v>
      </c>
      <c r="HE98" s="3" t="s">
        <v>3</v>
      </c>
      <c r="HF98" s="3" t="s">
        <v>3</v>
      </c>
      <c r="HM98" s="3" t="s">
        <v>3</v>
      </c>
      <c r="HN98" s="3" t="s">
        <v>3</v>
      </c>
      <c r="HO98" s="3" t="s">
        <v>3</v>
      </c>
      <c r="HP98" s="3" t="s">
        <v>3</v>
      </c>
      <c r="HQ98" s="3" t="s">
        <v>3</v>
      </c>
      <c r="HS98" s="3">
        <v>0</v>
      </c>
      <c r="IK98" s="3">
        <v>0</v>
      </c>
    </row>
    <row r="99" spans="1:255" x14ac:dyDescent="0.2">
      <c r="A99" s="2">
        <v>17</v>
      </c>
      <c r="B99" s="2">
        <v>1</v>
      </c>
      <c r="C99" s="2"/>
      <c r="D99" s="2"/>
      <c r="E99" s="2" t="s">
        <v>160</v>
      </c>
      <c r="F99" s="2" t="s">
        <v>161</v>
      </c>
      <c r="G99" s="2" t="s">
        <v>162</v>
      </c>
      <c r="H99" s="2" t="s">
        <v>153</v>
      </c>
      <c r="I99" s="2">
        <v>1</v>
      </c>
      <c r="J99" s="2">
        <v>0</v>
      </c>
      <c r="K99" s="2">
        <v>1</v>
      </c>
      <c r="L99" s="2"/>
      <c r="M99" s="2"/>
      <c r="N99" s="2"/>
      <c r="O99" s="2">
        <f t="shared" si="73"/>
        <v>1743.09</v>
      </c>
      <c r="P99" s="2">
        <f t="shared" si="74"/>
        <v>1743.09</v>
      </c>
      <c r="Q99" s="2">
        <f>(ROUND((ROUND(((ET99)*AV99*I99),2)*BB99),2)+ROUND((ROUND(((AE99-(EU99))*AV99*I99),2)*BS99),2))</f>
        <v>0</v>
      </c>
      <c r="R99" s="2">
        <f>(ROUND((ROUND(((EU99)*AV99*I99),2)*BS99),2)+ROUND((ROUND(((AE99-(EU99))*AV99*I99),2)*BS99),2))</f>
        <v>0</v>
      </c>
      <c r="S99" s="2">
        <f t="shared" si="75"/>
        <v>0</v>
      </c>
      <c r="T99" s="2">
        <f t="shared" si="76"/>
        <v>0</v>
      </c>
      <c r="U99" s="2">
        <f t="shared" si="77"/>
        <v>0</v>
      </c>
      <c r="V99" s="2">
        <f t="shared" si="78"/>
        <v>0</v>
      </c>
      <c r="W99" s="2">
        <f t="shared" si="79"/>
        <v>0</v>
      </c>
      <c r="X99" s="2">
        <f>(ROUND((((S99+ROUND((ROUND(((EU99)*AV99*I99),2)*BS99),2))*AT99)/100),2)+ROUND(((ROUND((ROUND(((AE99-(EU99))*AV99*I99),2)*BS99),2)*AT99)/100),2))</f>
        <v>0</v>
      </c>
      <c r="Y99" s="2">
        <f>(ROUND((((S99+ROUND((ROUND(((EU99)*AV99*I99),2)*BS99),2))*AU99)/100),2)+ROUND(((ROUND((ROUND(((AE99-(EU99))*AV99*I99),2)*BS99),2)*AU99)/100),2))</f>
        <v>0</v>
      </c>
      <c r="Z99" s="2"/>
      <c r="AA99" s="2">
        <v>55915256</v>
      </c>
      <c r="AB99" s="2">
        <f t="shared" si="80"/>
        <v>1743.09</v>
      </c>
      <c r="AC99" s="2">
        <f>ROUND((ES99),6)</f>
        <v>1743.09</v>
      </c>
      <c r="AD99" s="2">
        <f>ROUND((((ET99)-(EU99))+AE99),6)</f>
        <v>0</v>
      </c>
      <c r="AE99" s="2">
        <f>ROUND((EU99),6)</f>
        <v>0</v>
      </c>
      <c r="AF99" s="2">
        <f>ROUND((EV99),6)</f>
        <v>0</v>
      </c>
      <c r="AG99" s="2">
        <f t="shared" si="81"/>
        <v>0</v>
      </c>
      <c r="AH99" s="2">
        <f>(EW99)</f>
        <v>0</v>
      </c>
      <c r="AI99" s="2">
        <f>(EX99)</f>
        <v>0</v>
      </c>
      <c r="AJ99" s="2">
        <f t="shared" si="82"/>
        <v>0</v>
      </c>
      <c r="AK99" s="2">
        <v>1743.0900000000001</v>
      </c>
      <c r="AL99" s="2">
        <v>1743.0900000000001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1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3</v>
      </c>
      <c r="BI99" s="2">
        <v>3</v>
      </c>
      <c r="BJ99" s="2" t="s">
        <v>161</v>
      </c>
      <c r="BK99" s="2"/>
      <c r="BL99" s="2"/>
      <c r="BM99" s="2">
        <v>400007</v>
      </c>
      <c r="BN99" s="2">
        <v>0</v>
      </c>
      <c r="BO99" s="2" t="s">
        <v>3</v>
      </c>
      <c r="BP99" s="2">
        <v>0</v>
      </c>
      <c r="BQ99" s="2">
        <v>214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0</v>
      </c>
      <c r="CA99" s="2">
        <v>0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3</v>
      </c>
      <c r="CO99" s="2">
        <v>0</v>
      </c>
      <c r="CP99" s="2">
        <f t="shared" si="83"/>
        <v>1743.09</v>
      </c>
      <c r="CQ99" s="2">
        <f t="shared" si="84"/>
        <v>1743.09</v>
      </c>
      <c r="CR99" s="2">
        <f>(ROUND((ROUND(((ET99)*AV99*1),2)*BB99),2)+ROUND((ROUND(((AE99-(EU99))*AV99*1),2)*BS99),2))</f>
        <v>0</v>
      </c>
      <c r="CS99" s="2">
        <f>(ROUND((ROUND(((EU99)*AV99*1),2)*BS99),2)+ROUND((ROUND(((AE99-(EU99))*AV99*1),2)*BS99),2))</f>
        <v>0</v>
      </c>
      <c r="CT99" s="2">
        <f t="shared" si="85"/>
        <v>0</v>
      </c>
      <c r="CU99" s="2">
        <f t="shared" si="86"/>
        <v>0</v>
      </c>
      <c r="CV99" s="2">
        <f t="shared" si="87"/>
        <v>0</v>
      </c>
      <c r="CW99" s="2">
        <f t="shared" si="88"/>
        <v>0</v>
      </c>
      <c r="CX99" s="2">
        <f t="shared" si="89"/>
        <v>0</v>
      </c>
      <c r="CY99" s="2">
        <f>(ROUND((((S99+ROUND((ROUND(((EU99)*AV99*1),2)*BS99),2))*AT99)/100),2)+ROUND(((ROUND((ROUND(((AE99-(EU99))*AV99*1),2)*BS99),2)*AT99)/100),2))</f>
        <v>0</v>
      </c>
      <c r="CZ99" s="2">
        <f>(ROUND((((S99+ROUND((ROUND(((EU99)*AV99*1),2)*BS99),2))*AU99)/100),2)+ROUND(((ROUND((ROUND(((AE99-(EU99))*AV99*1),2)*BS99),2)*AU99)/100),2))</f>
        <v>0</v>
      </c>
      <c r="DA99" s="2"/>
      <c r="DB99" s="2"/>
      <c r="DC99" s="2" t="s">
        <v>3</v>
      </c>
      <c r="DD99" s="2" t="s">
        <v>3</v>
      </c>
      <c r="DE99" s="2" t="s">
        <v>3</v>
      </c>
      <c r="DF99" s="2" t="s">
        <v>3</v>
      </c>
      <c r="DG99" s="2" t="s">
        <v>3</v>
      </c>
      <c r="DH99" s="2" t="s">
        <v>3</v>
      </c>
      <c r="DI99" s="2" t="s">
        <v>3</v>
      </c>
      <c r="DJ99" s="2" t="s">
        <v>3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153</v>
      </c>
      <c r="DW99" s="2" t="s">
        <v>153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55393630</v>
      </c>
      <c r="EF99" s="2">
        <v>214</v>
      </c>
      <c r="EG99" s="2" t="s">
        <v>154</v>
      </c>
      <c r="EH99" s="2">
        <v>0</v>
      </c>
      <c r="EI99" s="2" t="s">
        <v>3</v>
      </c>
      <c r="EJ99" s="2">
        <v>3</v>
      </c>
      <c r="EK99" s="2">
        <v>400007</v>
      </c>
      <c r="EL99" s="2" t="s">
        <v>154</v>
      </c>
      <c r="EM99" s="2" t="s">
        <v>155</v>
      </c>
      <c r="EN99" s="2"/>
      <c r="EO99" s="2" t="s">
        <v>3</v>
      </c>
      <c r="EP99" s="2"/>
      <c r="EQ99" s="2">
        <v>16</v>
      </c>
      <c r="ER99" s="2">
        <v>0</v>
      </c>
      <c r="ES99" s="2">
        <v>1743.0900000000001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f>P99</f>
        <v>1743.09</v>
      </c>
      <c r="FS99" s="2">
        <v>0</v>
      </c>
      <c r="FT99" s="2"/>
      <c r="FU99" s="2"/>
      <c r="FV99" s="2"/>
      <c r="FW99" s="2"/>
      <c r="FX99" s="2">
        <v>0</v>
      </c>
      <c r="FY99" s="2">
        <v>0</v>
      </c>
      <c r="FZ99" s="2"/>
      <c r="GA99" s="2" t="s">
        <v>163</v>
      </c>
      <c r="GB99" s="2"/>
      <c r="GC99" s="2"/>
      <c r="GD99" s="2">
        <v>1</v>
      </c>
      <c r="GE99" s="2"/>
      <c r="GF99" s="2">
        <v>1880482453</v>
      </c>
      <c r="GG99" s="2">
        <v>2</v>
      </c>
      <c r="GH99" s="2">
        <v>4</v>
      </c>
      <c r="GI99" s="2">
        <v>-2</v>
      </c>
      <c r="GJ99" s="2">
        <v>0</v>
      </c>
      <c r="GK99" s="2">
        <v>0</v>
      </c>
      <c r="GL99" s="2">
        <f t="shared" si="90"/>
        <v>0</v>
      </c>
      <c r="GM99" s="2">
        <f t="shared" si="91"/>
        <v>1743.09</v>
      </c>
      <c r="GN99" s="2">
        <f t="shared" si="92"/>
        <v>0</v>
      </c>
      <c r="GO99" s="2">
        <f t="shared" si="93"/>
        <v>0</v>
      </c>
      <c r="GP99" s="2">
        <f t="shared" si="94"/>
        <v>0</v>
      </c>
      <c r="GQ99" s="2"/>
      <c r="GR99" s="2">
        <v>1</v>
      </c>
      <c r="GS99" s="2">
        <v>2</v>
      </c>
      <c r="GT99" s="2">
        <v>0</v>
      </c>
      <c r="GU99" s="2" t="s">
        <v>3</v>
      </c>
      <c r="GV99" s="2">
        <f t="shared" si="95"/>
        <v>0</v>
      </c>
      <c r="GW99" s="2">
        <v>1</v>
      </c>
      <c r="GX99" s="2">
        <f t="shared" si="96"/>
        <v>0</v>
      </c>
      <c r="GY99" s="2"/>
      <c r="GZ99" s="2"/>
      <c r="HA99" s="2">
        <v>0</v>
      </c>
      <c r="HB99" s="2">
        <v>0</v>
      </c>
      <c r="HC99" s="2">
        <f t="shared" si="97"/>
        <v>0</v>
      </c>
      <c r="HD99" s="2"/>
      <c r="HE99" s="2" t="s">
        <v>34</v>
      </c>
      <c r="HF99" s="2" t="s">
        <v>157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">
      <c r="A100" s="3">
        <v>17</v>
      </c>
      <c r="B100" s="3">
        <v>1</v>
      </c>
      <c r="E100" s="3" t="s">
        <v>160</v>
      </c>
      <c r="F100" s="3" t="s">
        <v>161</v>
      </c>
      <c r="G100" s="3" t="s">
        <v>162</v>
      </c>
      <c r="H100" s="3" t="s">
        <v>153</v>
      </c>
      <c r="I100" s="3">
        <v>1</v>
      </c>
      <c r="J100" s="3">
        <v>0</v>
      </c>
      <c r="K100" s="3">
        <v>1</v>
      </c>
      <c r="O100" s="3">
        <f t="shared" si="73"/>
        <v>17152.009999999998</v>
      </c>
      <c r="P100" s="3">
        <f t="shared" si="74"/>
        <v>17152.009999999998</v>
      </c>
      <c r="Q100" s="3">
        <f>(ROUND((ROUND(((ET100)*AV100*I100),2)*BB100),2)+ROUND((ROUND(((AE100-(EU100))*AV100*I100),2)*BS100),2))</f>
        <v>0</v>
      </c>
      <c r="R100" s="3">
        <f>(ROUND((ROUND(((EU100)*AV100*I100),2)*BS100),2)+ROUND((ROUND(((AE100-(EU100))*AV100*I100),2)*BS100),2))</f>
        <v>0</v>
      </c>
      <c r="S100" s="3">
        <f t="shared" si="75"/>
        <v>0</v>
      </c>
      <c r="T100" s="3">
        <f t="shared" si="76"/>
        <v>0</v>
      </c>
      <c r="U100" s="3">
        <f t="shared" si="77"/>
        <v>0</v>
      </c>
      <c r="V100" s="3">
        <f t="shared" si="78"/>
        <v>0</v>
      </c>
      <c r="W100" s="3">
        <f t="shared" si="79"/>
        <v>0</v>
      </c>
      <c r="X100" s="3">
        <f>(ROUND((((S100+ROUND((ROUND(((EU100)*AV100*I100),2)*BS100),2))*AT100)/100),2)+ROUND(((ROUND((ROUND(((AE100-(EU100))*AV100*I100),2)*BS100),2)*AT100)/100),2))</f>
        <v>0</v>
      </c>
      <c r="Y100" s="3">
        <f>(ROUND((((S100+ROUND((ROUND(((EU100)*AV100*I100),2)*BS100),2))*AU100)/100),2)+ROUND(((ROUND((ROUND(((AE100-(EU100))*AV100*I100),2)*BS100),2)*AU100)/100),2))</f>
        <v>0</v>
      </c>
      <c r="AA100" s="3">
        <v>55915258</v>
      </c>
      <c r="AB100" s="3">
        <f t="shared" si="80"/>
        <v>1743.09</v>
      </c>
      <c r="AC100" s="3">
        <f>ROUND((ES100),6)</f>
        <v>1743.09</v>
      </c>
      <c r="AD100" s="3">
        <f>ROUND((((ET100)-(EU100))+AE100),6)</f>
        <v>0</v>
      </c>
      <c r="AE100" s="3">
        <f>ROUND((EU100),6)</f>
        <v>0</v>
      </c>
      <c r="AF100" s="3">
        <f>ROUND((EV100),6)</f>
        <v>0</v>
      </c>
      <c r="AG100" s="3">
        <f t="shared" si="81"/>
        <v>0</v>
      </c>
      <c r="AH100" s="3">
        <f>(EW100)</f>
        <v>0</v>
      </c>
      <c r="AI100" s="3">
        <f>(EX100)</f>
        <v>0</v>
      </c>
      <c r="AJ100" s="3">
        <f t="shared" si="82"/>
        <v>0</v>
      </c>
      <c r="AK100" s="3">
        <v>1743.0900000000001</v>
      </c>
      <c r="AL100" s="3">
        <v>1743.0900000000001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1</v>
      </c>
      <c r="AW100" s="3">
        <v>1</v>
      </c>
      <c r="AZ100" s="3">
        <v>1</v>
      </c>
      <c r="BA100" s="3">
        <v>1</v>
      </c>
      <c r="BB100" s="3">
        <v>1</v>
      </c>
      <c r="BC100" s="3">
        <v>9.84</v>
      </c>
      <c r="BD100" s="3" t="s">
        <v>3</v>
      </c>
      <c r="BE100" s="3" t="s">
        <v>3</v>
      </c>
      <c r="BF100" s="3" t="s">
        <v>3</v>
      </c>
      <c r="BG100" s="3" t="s">
        <v>3</v>
      </c>
      <c r="BH100" s="3">
        <v>3</v>
      </c>
      <c r="BI100" s="3">
        <v>3</v>
      </c>
      <c r="BJ100" s="3" t="s">
        <v>161</v>
      </c>
      <c r="BM100" s="3">
        <v>400007</v>
      </c>
      <c r="BN100" s="3">
        <v>0</v>
      </c>
      <c r="BO100" s="3" t="s">
        <v>3</v>
      </c>
      <c r="BP100" s="3">
        <v>0</v>
      </c>
      <c r="BQ100" s="3">
        <v>214</v>
      </c>
      <c r="BR100" s="3">
        <v>0</v>
      </c>
      <c r="BS100" s="3">
        <v>1</v>
      </c>
      <c r="BT100" s="3">
        <v>1</v>
      </c>
      <c r="BU100" s="3">
        <v>1</v>
      </c>
      <c r="BV100" s="3">
        <v>1</v>
      </c>
      <c r="BW100" s="3">
        <v>1</v>
      </c>
      <c r="BX100" s="3">
        <v>1</v>
      </c>
      <c r="BY100" s="3" t="s">
        <v>3</v>
      </c>
      <c r="BZ100" s="3">
        <v>0</v>
      </c>
      <c r="CA100" s="3">
        <v>0</v>
      </c>
      <c r="CB100" s="3" t="s">
        <v>3</v>
      </c>
      <c r="CE100" s="3">
        <v>1566</v>
      </c>
      <c r="CF100" s="3">
        <v>0</v>
      </c>
      <c r="CG100" s="3">
        <v>0</v>
      </c>
      <c r="CM100" s="3">
        <v>0</v>
      </c>
      <c r="CN100" s="3" t="s">
        <v>3</v>
      </c>
      <c r="CO100" s="3">
        <v>0</v>
      </c>
      <c r="CP100" s="3">
        <f t="shared" si="83"/>
        <v>17152.009999999998</v>
      </c>
      <c r="CQ100" s="3">
        <f t="shared" si="84"/>
        <v>17152.009999999998</v>
      </c>
      <c r="CR100" s="3">
        <f>(ROUND((ROUND(((ET100)*AV100*1),2)*BB100),2)+ROUND((ROUND(((AE100-(EU100))*AV100*1),2)*BS100),2))</f>
        <v>0</v>
      </c>
      <c r="CS100" s="3">
        <f>(ROUND((ROUND(((EU100)*AV100*1),2)*BS100),2)+ROUND((ROUND(((AE100-(EU100))*AV100*1),2)*BS100),2))</f>
        <v>0</v>
      </c>
      <c r="CT100" s="3">
        <f t="shared" si="85"/>
        <v>0</v>
      </c>
      <c r="CU100" s="3">
        <f t="shared" si="86"/>
        <v>0</v>
      </c>
      <c r="CV100" s="3">
        <f t="shared" si="87"/>
        <v>0</v>
      </c>
      <c r="CW100" s="3">
        <f t="shared" si="88"/>
        <v>0</v>
      </c>
      <c r="CX100" s="3">
        <f t="shared" si="89"/>
        <v>0</v>
      </c>
      <c r="CY100" s="3">
        <f>(ROUND((((S100+ROUND((ROUND(((EU100)*AV100*1),2)*BS100),2))*AT100)/100),2)+ROUND(((ROUND((ROUND(((AE100-(EU100))*AV100*1),2)*BS100),2)*AT100)/100),2))</f>
        <v>0</v>
      </c>
      <c r="CZ100" s="3">
        <f>(ROUND((((S100+ROUND((ROUND(((EU100)*AV100*1),2)*BS100),2))*AU100)/100),2)+ROUND(((ROUND((ROUND(((AE100-(EU100))*AV100*1),2)*BS100),2)*AU100)/100),2))</f>
        <v>0</v>
      </c>
      <c r="DC100" s="3" t="s">
        <v>3</v>
      </c>
      <c r="DD100" s="3" t="s">
        <v>3</v>
      </c>
      <c r="DE100" s="3" t="s">
        <v>3</v>
      </c>
      <c r="DF100" s="3" t="s">
        <v>3</v>
      </c>
      <c r="DG100" s="3" t="s">
        <v>3</v>
      </c>
      <c r="DH100" s="3" t="s">
        <v>3</v>
      </c>
      <c r="DI100" s="3" t="s">
        <v>3</v>
      </c>
      <c r="DJ100" s="3" t="s">
        <v>3</v>
      </c>
      <c r="DK100" s="3" t="s">
        <v>3</v>
      </c>
      <c r="DL100" s="3" t="s">
        <v>3</v>
      </c>
      <c r="DM100" s="3" t="s">
        <v>3</v>
      </c>
      <c r="DN100" s="3">
        <v>0</v>
      </c>
      <c r="DO100" s="3">
        <v>0</v>
      </c>
      <c r="DP100" s="3">
        <v>1</v>
      </c>
      <c r="DQ100" s="3">
        <v>1</v>
      </c>
      <c r="DU100" s="3">
        <v>1013</v>
      </c>
      <c r="DV100" s="3" t="s">
        <v>153</v>
      </c>
      <c r="DW100" s="3" t="s">
        <v>153</v>
      </c>
      <c r="DX100" s="3">
        <v>1</v>
      </c>
      <c r="DZ100" s="3" t="s">
        <v>3</v>
      </c>
      <c r="EA100" s="3" t="s">
        <v>3</v>
      </c>
      <c r="EB100" s="3" t="s">
        <v>3</v>
      </c>
      <c r="EC100" s="3" t="s">
        <v>3</v>
      </c>
      <c r="EE100" s="3">
        <v>55393630</v>
      </c>
      <c r="EF100" s="3">
        <v>214</v>
      </c>
      <c r="EG100" s="3" t="s">
        <v>154</v>
      </c>
      <c r="EH100" s="3">
        <v>0</v>
      </c>
      <c r="EI100" s="3" t="s">
        <v>3</v>
      </c>
      <c r="EJ100" s="3">
        <v>3</v>
      </c>
      <c r="EK100" s="3">
        <v>400007</v>
      </c>
      <c r="EL100" s="3" t="s">
        <v>154</v>
      </c>
      <c r="EM100" s="3" t="s">
        <v>155</v>
      </c>
      <c r="EO100" s="3" t="s">
        <v>3</v>
      </c>
      <c r="EQ100" s="3">
        <v>16</v>
      </c>
      <c r="ER100" s="3">
        <v>0</v>
      </c>
      <c r="ES100" s="3">
        <v>1743.0900000000001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5</v>
      </c>
      <c r="FC100" s="3">
        <v>1</v>
      </c>
      <c r="FD100" s="3">
        <v>18</v>
      </c>
      <c r="FF100" s="3">
        <v>20075</v>
      </c>
      <c r="FQ100" s="3">
        <v>0</v>
      </c>
      <c r="FR100" s="3">
        <f>P100</f>
        <v>17152.009999999998</v>
      </c>
      <c r="FS100" s="3">
        <v>0</v>
      </c>
      <c r="FX100" s="3">
        <v>0</v>
      </c>
      <c r="FY100" s="3">
        <v>0</v>
      </c>
      <c r="GA100" s="3" t="s">
        <v>163</v>
      </c>
      <c r="GD100" s="3">
        <v>1</v>
      </c>
      <c r="GF100" s="3">
        <v>1880482453</v>
      </c>
      <c r="GG100" s="3">
        <v>2</v>
      </c>
      <c r="GH100" s="3">
        <v>3</v>
      </c>
      <c r="GI100" s="3">
        <v>5</v>
      </c>
      <c r="GJ100" s="3">
        <v>0</v>
      </c>
      <c r="GK100" s="3">
        <v>0</v>
      </c>
      <c r="GL100" s="3">
        <f t="shared" si="90"/>
        <v>0</v>
      </c>
      <c r="GM100" s="3">
        <f t="shared" si="91"/>
        <v>17152.009999999998</v>
      </c>
      <c r="GN100" s="3">
        <f t="shared" si="92"/>
        <v>0</v>
      </c>
      <c r="GO100" s="3">
        <f t="shared" si="93"/>
        <v>0</v>
      </c>
      <c r="GP100" s="3">
        <f t="shared" si="94"/>
        <v>0</v>
      </c>
      <c r="GR100" s="3">
        <v>1</v>
      </c>
      <c r="GS100" s="3">
        <v>1</v>
      </c>
      <c r="GT100" s="3">
        <v>0</v>
      </c>
      <c r="GU100" s="3" t="s">
        <v>3</v>
      </c>
      <c r="GV100" s="3">
        <f t="shared" si="95"/>
        <v>0</v>
      </c>
      <c r="GW100" s="3">
        <v>1</v>
      </c>
      <c r="GX100" s="3">
        <f t="shared" si="96"/>
        <v>0</v>
      </c>
      <c r="HA100" s="3">
        <v>0</v>
      </c>
      <c r="HB100" s="3">
        <v>0</v>
      </c>
      <c r="HC100" s="3">
        <f t="shared" si="97"/>
        <v>0</v>
      </c>
      <c r="HE100" s="3" t="s">
        <v>34</v>
      </c>
      <c r="HF100" s="3" t="s">
        <v>157</v>
      </c>
      <c r="HM100" s="3" t="s">
        <v>3</v>
      </c>
      <c r="HN100" s="3" t="s">
        <v>3</v>
      </c>
      <c r="HO100" s="3" t="s">
        <v>3</v>
      </c>
      <c r="HP100" s="3" t="s">
        <v>3</v>
      </c>
      <c r="HQ100" s="3" t="s">
        <v>3</v>
      </c>
      <c r="HS100" s="3">
        <v>0</v>
      </c>
      <c r="IK100" s="3">
        <v>0</v>
      </c>
    </row>
    <row r="101" spans="1:255" x14ac:dyDescent="0.2">
      <c r="A101" s="2">
        <v>17</v>
      </c>
      <c r="B101" s="2">
        <v>1</v>
      </c>
      <c r="C101" s="2">
        <f>ROW(SmtRes!A69)</f>
        <v>69</v>
      </c>
      <c r="D101" s="2">
        <f>ROW(EtalonRes!A83)</f>
        <v>83</v>
      </c>
      <c r="E101" s="2" t="s">
        <v>164</v>
      </c>
      <c r="F101" s="2" t="s">
        <v>35</v>
      </c>
      <c r="G101" s="2" t="s">
        <v>165</v>
      </c>
      <c r="H101" s="2" t="s">
        <v>22</v>
      </c>
      <c r="I101" s="2">
        <v>1</v>
      </c>
      <c r="J101" s="2">
        <v>0</v>
      </c>
      <c r="K101" s="2">
        <v>1</v>
      </c>
      <c r="L101" s="2"/>
      <c r="M101" s="2"/>
      <c r="N101" s="2"/>
      <c r="O101" s="2">
        <f t="shared" si="73"/>
        <v>44.69</v>
      </c>
      <c r="P101" s="2">
        <f t="shared" si="74"/>
        <v>3.71</v>
      </c>
      <c r="Q101" s="2">
        <f>(ROUND((ROUND((((ET101*1.2))*AV101*I101),2)*BB101),2)+ROUND((ROUND(((AE101-((EU101*1.2)))*AV101*I101),2)*BS101),2))</f>
        <v>0.06</v>
      </c>
      <c r="R101" s="2">
        <f>(ROUND((ROUND((((EU101*1.2))*AV101*I101),2)*BS101),2)+ROUND((ROUND(((AE101-((EU101*1.2)))*AV101*I101),2)*BS101),2))</f>
        <v>0.01</v>
      </c>
      <c r="S101" s="2">
        <f t="shared" si="75"/>
        <v>40.92</v>
      </c>
      <c r="T101" s="2">
        <f t="shared" si="76"/>
        <v>0</v>
      </c>
      <c r="U101" s="2">
        <f t="shared" si="77"/>
        <v>3.0153599999999998</v>
      </c>
      <c r="V101" s="2">
        <f t="shared" si="78"/>
        <v>0</v>
      </c>
      <c r="W101" s="2">
        <f t="shared" si="79"/>
        <v>0</v>
      </c>
      <c r="X101" s="2">
        <f>(ROUND((((S101+ROUND((ROUND((((EU101*1.2))*AV101*I101),2)*BS101),2))*AT101)/100),2)+ROUND(((ROUND((ROUND(((AE101-((EU101*1.2)))*AV101*I101),2)*BS101),2)*AT101)/100),2))</f>
        <v>36.840000000000003</v>
      </c>
      <c r="Y101" s="2">
        <f>(ROUND((((S101+ROUND((ROUND((((EU101*1.2))*AV101*I101),2)*BS101),2))*AU101)/100),2)+ROUND(((ROUND((ROUND(((AE101-((EU101*1.2)))*AV101*I101),2)*BS101),2)*AU101)/100),2))</f>
        <v>18.829999999999998</v>
      </c>
      <c r="Z101" s="2"/>
      <c r="AA101" s="2">
        <v>55915256</v>
      </c>
      <c r="AB101" s="2">
        <f t="shared" si="80"/>
        <v>42.853999999999999</v>
      </c>
      <c r="AC101" s="2">
        <f>ROUND(((ES101*1)),6)</f>
        <v>3.71</v>
      </c>
      <c r="AD101" s="2">
        <f>ROUND(((((ET101*1.2))-((EU101*1.2)))+AE101),6)</f>
        <v>0.06</v>
      </c>
      <c r="AE101" s="2">
        <f>ROUND(((EU101*1.2)),6)</f>
        <v>1.2E-2</v>
      </c>
      <c r="AF101" s="2">
        <f>ROUND(((EV101*1.2)),6)</f>
        <v>39.084000000000003</v>
      </c>
      <c r="AG101" s="2">
        <f t="shared" si="81"/>
        <v>0</v>
      </c>
      <c r="AH101" s="2">
        <f>((EW101*1.2))</f>
        <v>2.88</v>
      </c>
      <c r="AI101" s="2">
        <f>((EX101*1.2))</f>
        <v>0</v>
      </c>
      <c r="AJ101" s="2">
        <f t="shared" si="82"/>
        <v>0</v>
      </c>
      <c r="AK101" s="2">
        <v>36.33</v>
      </c>
      <c r="AL101" s="2">
        <v>3.71</v>
      </c>
      <c r="AM101" s="2">
        <v>0.05</v>
      </c>
      <c r="AN101" s="2">
        <v>0.01</v>
      </c>
      <c r="AO101" s="2">
        <v>32.57</v>
      </c>
      <c r="AP101" s="2">
        <v>0</v>
      </c>
      <c r="AQ101" s="2">
        <v>2.4</v>
      </c>
      <c r="AR101" s="2">
        <v>0</v>
      </c>
      <c r="AS101" s="2">
        <v>0</v>
      </c>
      <c r="AT101" s="2">
        <v>90</v>
      </c>
      <c r="AU101" s="2">
        <v>46</v>
      </c>
      <c r="AV101" s="2">
        <v>1.0469999999999999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0</v>
      </c>
      <c r="BI101" s="2">
        <v>2</v>
      </c>
      <c r="BJ101" s="2" t="s">
        <v>37</v>
      </c>
      <c r="BK101" s="2"/>
      <c r="BL101" s="2"/>
      <c r="BM101" s="2">
        <v>68</v>
      </c>
      <c r="BN101" s="2">
        <v>0</v>
      </c>
      <c r="BO101" s="2" t="s">
        <v>35</v>
      </c>
      <c r="BP101" s="2">
        <v>1</v>
      </c>
      <c r="BQ101" s="2">
        <v>40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90</v>
      </c>
      <c r="CA101" s="2">
        <v>46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605</v>
      </c>
      <c r="CO101" s="2">
        <v>0</v>
      </c>
      <c r="CP101" s="2">
        <f t="shared" si="83"/>
        <v>44.690000000000005</v>
      </c>
      <c r="CQ101" s="2">
        <f t="shared" si="84"/>
        <v>3.71</v>
      </c>
      <c r="CR101" s="2">
        <f>(ROUND((ROUND((((ET101*1.2))*AV101*1),2)*BB101),2)+ROUND((ROUND(((AE101-((EU101*1.2)))*AV101*1),2)*BS101),2))</f>
        <v>0.06</v>
      </c>
      <c r="CS101" s="2">
        <f>(ROUND((ROUND((((EU101*1.2))*AV101*1),2)*BS101),2)+ROUND((ROUND(((AE101-((EU101*1.2)))*AV101*1),2)*BS101),2))</f>
        <v>0.01</v>
      </c>
      <c r="CT101" s="2">
        <f t="shared" si="85"/>
        <v>40.92</v>
      </c>
      <c r="CU101" s="2">
        <f t="shared" si="86"/>
        <v>0</v>
      </c>
      <c r="CV101" s="2">
        <f t="shared" si="87"/>
        <v>3.0153599999999998</v>
      </c>
      <c r="CW101" s="2">
        <f t="shared" si="88"/>
        <v>0</v>
      </c>
      <c r="CX101" s="2">
        <f t="shared" si="89"/>
        <v>0</v>
      </c>
      <c r="CY101" s="2">
        <f>(ROUND((((S101+ROUND((ROUND((((EU101*1.2))*AV101*1),2)*BS101),2))*AT101)/100),2)+ROUND(((ROUND((ROUND(((AE101-((EU101*1.2)))*AV101*1),2)*BS101),2)*AT101)/100),2))</f>
        <v>36.840000000000003</v>
      </c>
      <c r="CZ101" s="2">
        <f>(ROUND((((S101+ROUND((ROUND((((EU101*1.2))*AV101*1),2)*BS101),2))*AU101)/100),2)+ROUND(((ROUND((ROUND(((AE101-((EU101*1.2)))*AV101*1),2)*BS101),2)*AU101)/100),2))</f>
        <v>18.829999999999998</v>
      </c>
      <c r="DA101" s="2"/>
      <c r="DB101" s="2">
        <v>61</v>
      </c>
      <c r="DC101" s="2" t="s">
        <v>3</v>
      </c>
      <c r="DD101" s="2" t="s">
        <v>77</v>
      </c>
      <c r="DE101" s="2" t="s">
        <v>78</v>
      </c>
      <c r="DF101" s="2" t="s">
        <v>78</v>
      </c>
      <c r="DG101" s="2" t="s">
        <v>78</v>
      </c>
      <c r="DH101" s="2" t="s">
        <v>3</v>
      </c>
      <c r="DI101" s="2" t="s">
        <v>78</v>
      </c>
      <c r="DJ101" s="2" t="s">
        <v>78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22</v>
      </c>
      <c r="DW101" s="2" t="s">
        <v>22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55393700</v>
      </c>
      <c r="EF101" s="2">
        <v>40</v>
      </c>
      <c r="EG101" s="2" t="s">
        <v>26</v>
      </c>
      <c r="EH101" s="2">
        <v>0</v>
      </c>
      <c r="EI101" s="2" t="s">
        <v>3</v>
      </c>
      <c r="EJ101" s="2">
        <v>2</v>
      </c>
      <c r="EK101" s="2">
        <v>68</v>
      </c>
      <c r="EL101" s="2" t="s">
        <v>27</v>
      </c>
      <c r="EM101" s="2" t="s">
        <v>28</v>
      </c>
      <c r="EN101" s="2"/>
      <c r="EO101" s="2" t="s">
        <v>82</v>
      </c>
      <c r="EP101" s="2"/>
      <c r="EQ101" s="2">
        <v>0</v>
      </c>
      <c r="ER101" s="2">
        <v>36.33</v>
      </c>
      <c r="ES101" s="2">
        <v>3.71</v>
      </c>
      <c r="ET101" s="2">
        <v>0.05</v>
      </c>
      <c r="EU101" s="2">
        <v>0.01</v>
      </c>
      <c r="EV101" s="2">
        <v>32.57</v>
      </c>
      <c r="EW101" s="2">
        <v>2.4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90</v>
      </c>
      <c r="FY101" s="2">
        <v>46</v>
      </c>
      <c r="FZ101" s="2"/>
      <c r="GA101" s="2" t="s">
        <v>3</v>
      </c>
      <c r="GB101" s="2"/>
      <c r="GC101" s="2"/>
      <c r="GD101" s="2">
        <v>1</v>
      </c>
      <c r="GE101" s="2"/>
      <c r="GF101" s="2">
        <v>-836136775</v>
      </c>
      <c r="GG101" s="2">
        <v>2</v>
      </c>
      <c r="GH101" s="2">
        <v>1</v>
      </c>
      <c r="GI101" s="2">
        <v>2</v>
      </c>
      <c r="GJ101" s="2">
        <v>0</v>
      </c>
      <c r="GK101" s="2">
        <v>0</v>
      </c>
      <c r="GL101" s="2">
        <f t="shared" si="90"/>
        <v>0</v>
      </c>
      <c r="GM101" s="2">
        <f t="shared" si="91"/>
        <v>100.36</v>
      </c>
      <c r="GN101" s="2">
        <f t="shared" si="92"/>
        <v>0</v>
      </c>
      <c r="GO101" s="2">
        <f t="shared" si="93"/>
        <v>100.36</v>
      </c>
      <c r="GP101" s="2">
        <f t="shared" si="94"/>
        <v>0</v>
      </c>
      <c r="GQ101" s="2"/>
      <c r="GR101" s="2">
        <v>0</v>
      </c>
      <c r="GS101" s="2">
        <v>3</v>
      </c>
      <c r="GT101" s="2">
        <v>0</v>
      </c>
      <c r="GU101" s="2" t="s">
        <v>3</v>
      </c>
      <c r="GV101" s="2">
        <f t="shared" si="95"/>
        <v>0</v>
      </c>
      <c r="GW101" s="2">
        <v>1</v>
      </c>
      <c r="GX101" s="2">
        <f t="shared" si="96"/>
        <v>0</v>
      </c>
      <c r="GY101" s="2"/>
      <c r="GZ101" s="2"/>
      <c r="HA101" s="2">
        <v>0</v>
      </c>
      <c r="HB101" s="2">
        <v>0</v>
      </c>
      <c r="HC101" s="2">
        <f t="shared" si="97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">
      <c r="A102" s="3">
        <v>17</v>
      </c>
      <c r="B102" s="3">
        <v>1</v>
      </c>
      <c r="C102" s="3">
        <f>ROW(SmtRes!A70)</f>
        <v>70</v>
      </c>
      <c r="D102" s="3">
        <f>ROW(EtalonRes!A84)</f>
        <v>84</v>
      </c>
      <c r="E102" s="3" t="s">
        <v>164</v>
      </c>
      <c r="F102" s="3" t="s">
        <v>35</v>
      </c>
      <c r="G102" s="3" t="s">
        <v>165</v>
      </c>
      <c r="H102" s="3" t="s">
        <v>22</v>
      </c>
      <c r="I102" s="3">
        <v>1</v>
      </c>
      <c r="J102" s="3">
        <v>0</v>
      </c>
      <c r="K102" s="3">
        <v>1</v>
      </c>
      <c r="O102" s="3">
        <f t="shared" si="73"/>
        <v>2343.5500000000002</v>
      </c>
      <c r="P102" s="3">
        <f t="shared" si="74"/>
        <v>36.51</v>
      </c>
      <c r="Q102" s="3">
        <f>(ROUND((ROUND((((ET102*1.2))*AV102*I102),2)*BB102),2)+ROUND((ROUND(((AE102-((EU102*1.2)))*AV102*I102),2)*BS102),2))</f>
        <v>1.2</v>
      </c>
      <c r="R102" s="3">
        <f>(ROUND((ROUND((((EU102*1.2))*AV102*I102),2)*BS102),2)+ROUND((ROUND(((AE102-((EU102*1.2)))*AV102*I102),2)*BS102),2))</f>
        <v>0.56000000000000005</v>
      </c>
      <c r="S102" s="3">
        <f t="shared" si="75"/>
        <v>2305.84</v>
      </c>
      <c r="T102" s="3">
        <f t="shared" si="76"/>
        <v>0</v>
      </c>
      <c r="U102" s="3">
        <f t="shared" si="77"/>
        <v>3.0153599999999998</v>
      </c>
      <c r="V102" s="3">
        <f t="shared" si="78"/>
        <v>0</v>
      </c>
      <c r="W102" s="3">
        <f t="shared" si="79"/>
        <v>0</v>
      </c>
      <c r="X102" s="3">
        <f>(ROUND((((S102+ROUND((ROUND((((EU102*1.2))*AV102*I102),2)*BS102),2))*AT102)/100),2)+ROUND(((ROUND((ROUND(((AE102-((EU102*1.2)))*AV102*I102),2)*BS102),2)*AT102)/100),2))</f>
        <v>2075.7600000000002</v>
      </c>
      <c r="Y102" s="3">
        <f>(ROUND((((S102+ROUND((ROUND((((EU102*1.2))*AV102*I102),2)*BS102),2))*AU102)/100),2)+ROUND(((ROUND((ROUND(((AE102-((EU102*1.2)))*AV102*I102),2)*BS102),2)*AU102)/100),2))</f>
        <v>1060.94</v>
      </c>
      <c r="AA102" s="3">
        <v>55915258</v>
      </c>
      <c r="AB102" s="3">
        <f t="shared" si="80"/>
        <v>42.853999999999999</v>
      </c>
      <c r="AC102" s="3">
        <f>ROUND(((ES102*1)),6)</f>
        <v>3.71</v>
      </c>
      <c r="AD102" s="3">
        <f>ROUND(((((ET102*1.2))-((EU102*1.2)))+AE102),6)</f>
        <v>0.06</v>
      </c>
      <c r="AE102" s="3">
        <f>ROUND(((EU102*1.2)),6)</f>
        <v>1.2E-2</v>
      </c>
      <c r="AF102" s="3">
        <f>ROUND(((EV102*1.2)),6)</f>
        <v>39.084000000000003</v>
      </c>
      <c r="AG102" s="3">
        <f t="shared" si="81"/>
        <v>0</v>
      </c>
      <c r="AH102" s="3">
        <f>((EW102*1.2))</f>
        <v>2.88</v>
      </c>
      <c r="AI102" s="3">
        <f>((EX102*1.2))</f>
        <v>0</v>
      </c>
      <c r="AJ102" s="3">
        <f t="shared" si="82"/>
        <v>0</v>
      </c>
      <c r="AK102" s="3">
        <v>36.33</v>
      </c>
      <c r="AL102" s="3">
        <v>3.71</v>
      </c>
      <c r="AM102" s="3">
        <v>0.05</v>
      </c>
      <c r="AN102" s="3">
        <v>0.01</v>
      </c>
      <c r="AO102" s="3">
        <v>32.57</v>
      </c>
      <c r="AP102" s="3">
        <v>0</v>
      </c>
      <c r="AQ102" s="3">
        <v>2.4</v>
      </c>
      <c r="AR102" s="3">
        <v>0</v>
      </c>
      <c r="AS102" s="3">
        <v>0</v>
      </c>
      <c r="AT102" s="3">
        <v>90</v>
      </c>
      <c r="AU102" s="3">
        <v>46</v>
      </c>
      <c r="AV102" s="3">
        <v>1.0469999999999999</v>
      </c>
      <c r="AW102" s="3">
        <v>1</v>
      </c>
      <c r="AZ102" s="3">
        <v>1</v>
      </c>
      <c r="BA102" s="3">
        <v>56.35</v>
      </c>
      <c r="BB102" s="3">
        <v>20</v>
      </c>
      <c r="BC102" s="3">
        <v>9.84</v>
      </c>
      <c r="BD102" s="3" t="s">
        <v>3</v>
      </c>
      <c r="BE102" s="3" t="s">
        <v>3</v>
      </c>
      <c r="BF102" s="3" t="s">
        <v>3</v>
      </c>
      <c r="BG102" s="3" t="s">
        <v>3</v>
      </c>
      <c r="BH102" s="3">
        <v>0</v>
      </c>
      <c r="BI102" s="3">
        <v>2</v>
      </c>
      <c r="BJ102" s="3" t="s">
        <v>37</v>
      </c>
      <c r="BM102" s="3">
        <v>68</v>
      </c>
      <c r="BN102" s="3">
        <v>0</v>
      </c>
      <c r="BO102" s="3" t="s">
        <v>35</v>
      </c>
      <c r="BP102" s="3">
        <v>1</v>
      </c>
      <c r="BQ102" s="3">
        <v>40</v>
      </c>
      <c r="BR102" s="3">
        <v>0</v>
      </c>
      <c r="BS102" s="3">
        <v>56.35</v>
      </c>
      <c r="BT102" s="3">
        <v>1</v>
      </c>
      <c r="BU102" s="3">
        <v>1</v>
      </c>
      <c r="BV102" s="3">
        <v>1</v>
      </c>
      <c r="BW102" s="3">
        <v>1</v>
      </c>
      <c r="BX102" s="3">
        <v>1</v>
      </c>
      <c r="BY102" s="3" t="s">
        <v>3</v>
      </c>
      <c r="BZ102" s="3">
        <v>90</v>
      </c>
      <c r="CA102" s="3">
        <v>46</v>
      </c>
      <c r="CB102" s="3" t="s">
        <v>3</v>
      </c>
      <c r="CE102" s="3">
        <v>1566</v>
      </c>
      <c r="CF102" s="3">
        <v>0</v>
      </c>
      <c r="CG102" s="3">
        <v>0</v>
      </c>
      <c r="CM102" s="3">
        <v>0</v>
      </c>
      <c r="CN102" s="3" t="s">
        <v>605</v>
      </c>
      <c r="CO102" s="3">
        <v>0</v>
      </c>
      <c r="CP102" s="3">
        <f t="shared" si="83"/>
        <v>2343.5500000000002</v>
      </c>
      <c r="CQ102" s="3">
        <f t="shared" si="84"/>
        <v>36.51</v>
      </c>
      <c r="CR102" s="3">
        <f>(ROUND((ROUND((((ET102*1.2))*AV102*1),2)*BB102),2)+ROUND((ROUND(((AE102-((EU102*1.2)))*AV102*1),2)*BS102),2))</f>
        <v>1.2</v>
      </c>
      <c r="CS102" s="3">
        <f>(ROUND((ROUND((((EU102*1.2))*AV102*1),2)*BS102),2)+ROUND((ROUND(((AE102-((EU102*1.2)))*AV102*1),2)*BS102),2))</f>
        <v>0.56000000000000005</v>
      </c>
      <c r="CT102" s="3">
        <f t="shared" si="85"/>
        <v>2305.84</v>
      </c>
      <c r="CU102" s="3">
        <f t="shared" si="86"/>
        <v>0</v>
      </c>
      <c r="CV102" s="3">
        <f t="shared" si="87"/>
        <v>3.0153599999999998</v>
      </c>
      <c r="CW102" s="3">
        <f t="shared" si="88"/>
        <v>0</v>
      </c>
      <c r="CX102" s="3">
        <f t="shared" si="89"/>
        <v>0</v>
      </c>
      <c r="CY102" s="3">
        <f>(ROUND((((S102+ROUND((ROUND((((EU102*1.2))*AV102*1),2)*BS102),2))*AT102)/100),2)+ROUND(((ROUND((ROUND(((AE102-((EU102*1.2)))*AV102*1),2)*BS102),2)*AT102)/100),2))</f>
        <v>2075.7600000000002</v>
      </c>
      <c r="CZ102" s="3">
        <f>(ROUND((((S102+ROUND((ROUND((((EU102*1.2))*AV102*1),2)*BS102),2))*AU102)/100),2)+ROUND(((ROUND((ROUND(((AE102-((EU102*1.2)))*AV102*1),2)*BS102),2)*AU102)/100),2))</f>
        <v>1060.94</v>
      </c>
      <c r="DB102" s="3">
        <v>62</v>
      </c>
      <c r="DC102" s="3" t="s">
        <v>3</v>
      </c>
      <c r="DD102" s="3" t="s">
        <v>77</v>
      </c>
      <c r="DE102" s="3" t="s">
        <v>78</v>
      </c>
      <c r="DF102" s="3" t="s">
        <v>78</v>
      </c>
      <c r="DG102" s="3" t="s">
        <v>78</v>
      </c>
      <c r="DH102" s="3" t="s">
        <v>3</v>
      </c>
      <c r="DI102" s="3" t="s">
        <v>78</v>
      </c>
      <c r="DJ102" s="3" t="s">
        <v>78</v>
      </c>
      <c r="DK102" s="3" t="s">
        <v>3</v>
      </c>
      <c r="DL102" s="3" t="s">
        <v>3</v>
      </c>
      <c r="DM102" s="3" t="s">
        <v>3</v>
      </c>
      <c r="DN102" s="3">
        <v>0</v>
      </c>
      <c r="DO102" s="3">
        <v>0</v>
      </c>
      <c r="DP102" s="3">
        <v>1</v>
      </c>
      <c r="DQ102" s="3">
        <v>1</v>
      </c>
      <c r="DU102" s="3">
        <v>1013</v>
      </c>
      <c r="DV102" s="3" t="s">
        <v>22</v>
      </c>
      <c r="DW102" s="3" t="s">
        <v>22</v>
      </c>
      <c r="DX102" s="3">
        <v>1</v>
      </c>
      <c r="DZ102" s="3" t="s">
        <v>3</v>
      </c>
      <c r="EA102" s="3" t="s">
        <v>3</v>
      </c>
      <c r="EB102" s="3" t="s">
        <v>3</v>
      </c>
      <c r="EC102" s="3" t="s">
        <v>3</v>
      </c>
      <c r="EE102" s="3">
        <v>55393700</v>
      </c>
      <c r="EF102" s="3">
        <v>40</v>
      </c>
      <c r="EG102" s="3" t="s">
        <v>26</v>
      </c>
      <c r="EH102" s="3">
        <v>0</v>
      </c>
      <c r="EI102" s="3" t="s">
        <v>3</v>
      </c>
      <c r="EJ102" s="3">
        <v>2</v>
      </c>
      <c r="EK102" s="3">
        <v>68</v>
      </c>
      <c r="EL102" s="3" t="s">
        <v>27</v>
      </c>
      <c r="EM102" s="3" t="s">
        <v>28</v>
      </c>
      <c r="EO102" s="3" t="s">
        <v>82</v>
      </c>
      <c r="EQ102" s="3">
        <v>0</v>
      </c>
      <c r="ER102" s="3">
        <v>36.33</v>
      </c>
      <c r="ES102" s="3">
        <v>3.71</v>
      </c>
      <c r="ET102" s="3">
        <v>0.05</v>
      </c>
      <c r="EU102" s="3">
        <v>0.01</v>
      </c>
      <c r="EV102" s="3">
        <v>32.57</v>
      </c>
      <c r="EW102" s="3">
        <v>2.4</v>
      </c>
      <c r="EX102" s="3">
        <v>0</v>
      </c>
      <c r="EY102" s="3">
        <v>0</v>
      </c>
      <c r="FQ102" s="3">
        <v>0</v>
      </c>
      <c r="FR102" s="3">
        <v>0</v>
      </c>
      <c r="FS102" s="3">
        <v>0</v>
      </c>
      <c r="FX102" s="3">
        <v>90</v>
      </c>
      <c r="FY102" s="3">
        <v>46</v>
      </c>
      <c r="GA102" s="3" t="s">
        <v>3</v>
      </c>
      <c r="GD102" s="3">
        <v>1</v>
      </c>
      <c r="GF102" s="3">
        <v>-836136775</v>
      </c>
      <c r="GG102" s="3">
        <v>2</v>
      </c>
      <c r="GH102" s="3">
        <v>1</v>
      </c>
      <c r="GI102" s="3">
        <v>2</v>
      </c>
      <c r="GJ102" s="3">
        <v>0</v>
      </c>
      <c r="GK102" s="3">
        <v>0</v>
      </c>
      <c r="GL102" s="3">
        <f t="shared" si="90"/>
        <v>0</v>
      </c>
      <c r="GM102" s="3">
        <f t="shared" si="91"/>
        <v>5480.25</v>
      </c>
      <c r="GN102" s="3">
        <f t="shared" si="92"/>
        <v>0</v>
      </c>
      <c r="GO102" s="3">
        <f t="shared" si="93"/>
        <v>5480.25</v>
      </c>
      <c r="GP102" s="3">
        <f t="shared" si="94"/>
        <v>0</v>
      </c>
      <c r="GR102" s="3">
        <v>0</v>
      </c>
      <c r="GS102" s="3">
        <v>3</v>
      </c>
      <c r="GT102" s="3">
        <v>0</v>
      </c>
      <c r="GU102" s="3" t="s">
        <v>3</v>
      </c>
      <c r="GV102" s="3">
        <f t="shared" si="95"/>
        <v>0</v>
      </c>
      <c r="GW102" s="3">
        <v>1</v>
      </c>
      <c r="GX102" s="3">
        <f t="shared" si="96"/>
        <v>0</v>
      </c>
      <c r="HA102" s="3">
        <v>0</v>
      </c>
      <c r="HB102" s="3">
        <v>0</v>
      </c>
      <c r="HC102" s="3">
        <f t="shared" si="97"/>
        <v>0</v>
      </c>
      <c r="HE102" s="3" t="s">
        <v>3</v>
      </c>
      <c r="HF102" s="3" t="s">
        <v>3</v>
      </c>
      <c r="HM102" s="3" t="s">
        <v>3</v>
      </c>
      <c r="HN102" s="3" t="s">
        <v>3</v>
      </c>
      <c r="HO102" s="3" t="s">
        <v>3</v>
      </c>
      <c r="HP102" s="3" t="s">
        <v>3</v>
      </c>
      <c r="HQ102" s="3" t="s">
        <v>3</v>
      </c>
      <c r="HS102" s="3">
        <v>0</v>
      </c>
      <c r="IK102" s="3">
        <v>0</v>
      </c>
    </row>
    <row r="103" spans="1:255" x14ac:dyDescent="0.2">
      <c r="A103" s="2">
        <v>17</v>
      </c>
      <c r="B103" s="2">
        <v>1</v>
      </c>
      <c r="C103" s="2"/>
      <c r="D103" s="2"/>
      <c r="E103" s="2" t="s">
        <v>166</v>
      </c>
      <c r="F103" s="2" t="s">
        <v>167</v>
      </c>
      <c r="G103" s="2" t="s">
        <v>168</v>
      </c>
      <c r="H103" s="2" t="s">
        <v>153</v>
      </c>
      <c r="I103" s="2">
        <v>1</v>
      </c>
      <c r="J103" s="2">
        <v>0</v>
      </c>
      <c r="K103" s="2">
        <v>1</v>
      </c>
      <c r="L103" s="2"/>
      <c r="M103" s="2"/>
      <c r="N103" s="2"/>
      <c r="O103" s="2">
        <f t="shared" si="73"/>
        <v>2113.41</v>
      </c>
      <c r="P103" s="2">
        <f t="shared" si="74"/>
        <v>2113.41</v>
      </c>
      <c r="Q103" s="2">
        <f>(ROUND((ROUND(((ET103)*AV103*I103),2)*BB103),2)+ROUND((ROUND(((AE103-(EU103))*AV103*I103),2)*BS103),2))</f>
        <v>0</v>
      </c>
      <c r="R103" s="2">
        <f>(ROUND((ROUND(((EU103)*AV103*I103),2)*BS103),2)+ROUND((ROUND(((AE103-(EU103))*AV103*I103),2)*BS103),2))</f>
        <v>0</v>
      </c>
      <c r="S103" s="2">
        <f t="shared" si="75"/>
        <v>0</v>
      </c>
      <c r="T103" s="2">
        <f t="shared" si="76"/>
        <v>0</v>
      </c>
      <c r="U103" s="2">
        <f t="shared" si="77"/>
        <v>0</v>
      </c>
      <c r="V103" s="2">
        <f t="shared" si="78"/>
        <v>0</v>
      </c>
      <c r="W103" s="2">
        <f t="shared" si="79"/>
        <v>0</v>
      </c>
      <c r="X103" s="2">
        <f>(ROUND((((S103+ROUND((ROUND(((EU103)*AV103*I103),2)*BS103),2))*AT103)/100),2)+ROUND(((ROUND((ROUND(((AE103-(EU103))*AV103*I103),2)*BS103),2)*AT103)/100),2))</f>
        <v>0</v>
      </c>
      <c r="Y103" s="2">
        <f>(ROUND((((S103+ROUND((ROUND(((EU103)*AV103*I103),2)*BS103),2))*AU103)/100),2)+ROUND(((ROUND((ROUND(((AE103-(EU103))*AV103*I103),2)*BS103),2)*AU103)/100),2))</f>
        <v>0</v>
      </c>
      <c r="Z103" s="2"/>
      <c r="AA103" s="2">
        <v>55915256</v>
      </c>
      <c r="AB103" s="2">
        <f t="shared" si="80"/>
        <v>2113.41</v>
      </c>
      <c r="AC103" s="2">
        <f>ROUND((ES103),6)</f>
        <v>2113.41</v>
      </c>
      <c r="AD103" s="2">
        <f>ROUND((((ET103)-(EU103))+AE103),6)</f>
        <v>0</v>
      </c>
      <c r="AE103" s="2">
        <f>ROUND((EU103),6)</f>
        <v>0</v>
      </c>
      <c r="AF103" s="2">
        <f>ROUND((EV103),6)</f>
        <v>0</v>
      </c>
      <c r="AG103" s="2">
        <f t="shared" si="81"/>
        <v>0</v>
      </c>
      <c r="AH103" s="2">
        <f>(EW103)</f>
        <v>0</v>
      </c>
      <c r="AI103" s="2">
        <f>(EX103)</f>
        <v>0</v>
      </c>
      <c r="AJ103" s="2">
        <f t="shared" si="82"/>
        <v>0</v>
      </c>
      <c r="AK103" s="2">
        <v>2113.41</v>
      </c>
      <c r="AL103" s="2">
        <v>2113.41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1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3</v>
      </c>
      <c r="BI103" s="2">
        <v>3</v>
      </c>
      <c r="BJ103" s="2" t="s">
        <v>167</v>
      </c>
      <c r="BK103" s="2"/>
      <c r="BL103" s="2"/>
      <c r="BM103" s="2">
        <v>400007</v>
      </c>
      <c r="BN103" s="2">
        <v>0</v>
      </c>
      <c r="BO103" s="2" t="s">
        <v>3</v>
      </c>
      <c r="BP103" s="2">
        <v>0</v>
      </c>
      <c r="BQ103" s="2">
        <v>214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0</v>
      </c>
      <c r="CA103" s="2">
        <v>0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83"/>
        <v>2113.41</v>
      </c>
      <c r="CQ103" s="2">
        <f t="shared" si="84"/>
        <v>2113.41</v>
      </c>
      <c r="CR103" s="2">
        <f>(ROUND((ROUND(((ET103)*AV103*1),2)*BB103),2)+ROUND((ROUND(((AE103-(EU103))*AV103*1),2)*BS103),2))</f>
        <v>0</v>
      </c>
      <c r="CS103" s="2">
        <f>(ROUND((ROUND(((EU103)*AV103*1),2)*BS103),2)+ROUND((ROUND(((AE103-(EU103))*AV103*1),2)*BS103),2))</f>
        <v>0</v>
      </c>
      <c r="CT103" s="2">
        <f t="shared" si="85"/>
        <v>0</v>
      </c>
      <c r="CU103" s="2">
        <f t="shared" si="86"/>
        <v>0</v>
      </c>
      <c r="CV103" s="2">
        <f t="shared" si="87"/>
        <v>0</v>
      </c>
      <c r="CW103" s="2">
        <f t="shared" si="88"/>
        <v>0</v>
      </c>
      <c r="CX103" s="2">
        <f t="shared" si="89"/>
        <v>0</v>
      </c>
      <c r="CY103" s="2">
        <f>(ROUND((((S103+ROUND((ROUND(((EU103)*AV103*1),2)*BS103),2))*AT103)/100),2)+ROUND(((ROUND((ROUND(((AE103-(EU103))*AV103*1),2)*BS103),2)*AT103)/100),2))</f>
        <v>0</v>
      </c>
      <c r="CZ103" s="2">
        <f>(ROUND((((S103+ROUND((ROUND(((EU103)*AV103*1),2)*BS103),2))*AU103)/100),2)+ROUND(((ROUND((ROUND(((AE103-(EU103))*AV103*1),2)*BS103),2)*AU103)/100),2))</f>
        <v>0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153</v>
      </c>
      <c r="DW103" s="2" t="s">
        <v>153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55393630</v>
      </c>
      <c r="EF103" s="2">
        <v>214</v>
      </c>
      <c r="EG103" s="2" t="s">
        <v>154</v>
      </c>
      <c r="EH103" s="2">
        <v>0</v>
      </c>
      <c r="EI103" s="2" t="s">
        <v>3</v>
      </c>
      <c r="EJ103" s="2">
        <v>3</v>
      </c>
      <c r="EK103" s="2">
        <v>400007</v>
      </c>
      <c r="EL103" s="2" t="s">
        <v>154</v>
      </c>
      <c r="EM103" s="2" t="s">
        <v>155</v>
      </c>
      <c r="EN103" s="2"/>
      <c r="EO103" s="2" t="s">
        <v>3</v>
      </c>
      <c r="EP103" s="2"/>
      <c r="EQ103" s="2">
        <v>16</v>
      </c>
      <c r="ER103" s="2">
        <v>0</v>
      </c>
      <c r="ES103" s="2">
        <v>2113.41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f>P103</f>
        <v>2113.41</v>
      </c>
      <c r="FS103" s="2">
        <v>0</v>
      </c>
      <c r="FT103" s="2"/>
      <c r="FU103" s="2"/>
      <c r="FV103" s="2"/>
      <c r="FW103" s="2"/>
      <c r="FX103" s="2">
        <v>0</v>
      </c>
      <c r="FY103" s="2">
        <v>0</v>
      </c>
      <c r="FZ103" s="2"/>
      <c r="GA103" s="2" t="s">
        <v>169</v>
      </c>
      <c r="GB103" s="2"/>
      <c r="GC103" s="2"/>
      <c r="GD103" s="2">
        <v>1</v>
      </c>
      <c r="GE103" s="2"/>
      <c r="GF103" s="2">
        <v>-1873397662</v>
      </c>
      <c r="GG103" s="2">
        <v>2</v>
      </c>
      <c r="GH103" s="2">
        <v>4</v>
      </c>
      <c r="GI103" s="2">
        <v>-2</v>
      </c>
      <c r="GJ103" s="2">
        <v>0</v>
      </c>
      <c r="GK103" s="2">
        <v>0</v>
      </c>
      <c r="GL103" s="2">
        <f t="shared" si="90"/>
        <v>0</v>
      </c>
      <c r="GM103" s="2">
        <f t="shared" si="91"/>
        <v>2113.41</v>
      </c>
      <c r="GN103" s="2">
        <f t="shared" si="92"/>
        <v>0</v>
      </c>
      <c r="GO103" s="2">
        <f t="shared" si="93"/>
        <v>0</v>
      </c>
      <c r="GP103" s="2">
        <f t="shared" si="94"/>
        <v>0</v>
      </c>
      <c r="GQ103" s="2"/>
      <c r="GR103" s="2">
        <v>1</v>
      </c>
      <c r="GS103" s="2">
        <v>2</v>
      </c>
      <c r="GT103" s="2">
        <v>0</v>
      </c>
      <c r="GU103" s="2" t="s">
        <v>3</v>
      </c>
      <c r="GV103" s="2">
        <f t="shared" si="95"/>
        <v>0</v>
      </c>
      <c r="GW103" s="2">
        <v>1</v>
      </c>
      <c r="GX103" s="2">
        <f t="shared" si="96"/>
        <v>0</v>
      </c>
      <c r="GY103" s="2"/>
      <c r="GZ103" s="2"/>
      <c r="HA103" s="2">
        <v>0</v>
      </c>
      <c r="HB103" s="2">
        <v>0</v>
      </c>
      <c r="HC103" s="2">
        <f t="shared" si="97"/>
        <v>0</v>
      </c>
      <c r="HD103" s="2"/>
      <c r="HE103" s="2" t="s">
        <v>34</v>
      </c>
      <c r="HF103" s="2" t="s">
        <v>157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">
      <c r="A104" s="3">
        <v>17</v>
      </c>
      <c r="B104" s="3">
        <v>1</v>
      </c>
      <c r="E104" s="3" t="s">
        <v>166</v>
      </c>
      <c r="F104" s="3" t="s">
        <v>167</v>
      </c>
      <c r="G104" s="3" t="s">
        <v>168</v>
      </c>
      <c r="H104" s="3" t="s">
        <v>153</v>
      </c>
      <c r="I104" s="3">
        <v>1</v>
      </c>
      <c r="J104" s="3">
        <v>0</v>
      </c>
      <c r="K104" s="3">
        <v>1</v>
      </c>
      <c r="O104" s="3">
        <f t="shared" si="73"/>
        <v>20795.95</v>
      </c>
      <c r="P104" s="3">
        <f t="shared" si="74"/>
        <v>20795.95</v>
      </c>
      <c r="Q104" s="3">
        <f>(ROUND((ROUND(((ET104)*AV104*I104),2)*BB104),2)+ROUND((ROUND(((AE104-(EU104))*AV104*I104),2)*BS104),2))</f>
        <v>0</v>
      </c>
      <c r="R104" s="3">
        <f>(ROUND((ROUND(((EU104)*AV104*I104),2)*BS104),2)+ROUND((ROUND(((AE104-(EU104))*AV104*I104),2)*BS104),2))</f>
        <v>0</v>
      </c>
      <c r="S104" s="3">
        <f t="shared" si="75"/>
        <v>0</v>
      </c>
      <c r="T104" s="3">
        <f t="shared" si="76"/>
        <v>0</v>
      </c>
      <c r="U104" s="3">
        <f t="shared" si="77"/>
        <v>0</v>
      </c>
      <c r="V104" s="3">
        <f t="shared" si="78"/>
        <v>0</v>
      </c>
      <c r="W104" s="3">
        <f t="shared" si="79"/>
        <v>0</v>
      </c>
      <c r="X104" s="3">
        <f>(ROUND((((S104+ROUND((ROUND(((EU104)*AV104*I104),2)*BS104),2))*AT104)/100),2)+ROUND(((ROUND((ROUND(((AE104-(EU104))*AV104*I104),2)*BS104),2)*AT104)/100),2))</f>
        <v>0</v>
      </c>
      <c r="Y104" s="3">
        <f>(ROUND((((S104+ROUND((ROUND(((EU104)*AV104*I104),2)*BS104),2))*AU104)/100),2)+ROUND(((ROUND((ROUND(((AE104-(EU104))*AV104*I104),2)*BS104),2)*AU104)/100),2))</f>
        <v>0</v>
      </c>
      <c r="AA104" s="3">
        <v>55915258</v>
      </c>
      <c r="AB104" s="3">
        <f t="shared" si="80"/>
        <v>2113.41</v>
      </c>
      <c r="AC104" s="3">
        <f>ROUND((ES104),6)</f>
        <v>2113.41</v>
      </c>
      <c r="AD104" s="3">
        <f>ROUND((((ET104)-(EU104))+AE104),6)</f>
        <v>0</v>
      </c>
      <c r="AE104" s="3">
        <f>ROUND((EU104),6)</f>
        <v>0</v>
      </c>
      <c r="AF104" s="3">
        <f>ROUND((EV104),6)</f>
        <v>0</v>
      </c>
      <c r="AG104" s="3">
        <f t="shared" si="81"/>
        <v>0</v>
      </c>
      <c r="AH104" s="3">
        <f>(EW104)</f>
        <v>0</v>
      </c>
      <c r="AI104" s="3">
        <f>(EX104)</f>
        <v>0</v>
      </c>
      <c r="AJ104" s="3">
        <f t="shared" si="82"/>
        <v>0</v>
      </c>
      <c r="AK104" s="3">
        <v>2113.41</v>
      </c>
      <c r="AL104" s="3">
        <v>2113.41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1</v>
      </c>
      <c r="AW104" s="3">
        <v>1</v>
      </c>
      <c r="AZ104" s="3">
        <v>1</v>
      </c>
      <c r="BA104" s="3">
        <v>1</v>
      </c>
      <c r="BB104" s="3">
        <v>1</v>
      </c>
      <c r="BC104" s="3">
        <v>9.84</v>
      </c>
      <c r="BD104" s="3" t="s">
        <v>3</v>
      </c>
      <c r="BE104" s="3" t="s">
        <v>3</v>
      </c>
      <c r="BF104" s="3" t="s">
        <v>3</v>
      </c>
      <c r="BG104" s="3" t="s">
        <v>3</v>
      </c>
      <c r="BH104" s="3">
        <v>3</v>
      </c>
      <c r="BI104" s="3">
        <v>3</v>
      </c>
      <c r="BJ104" s="3" t="s">
        <v>167</v>
      </c>
      <c r="BM104" s="3">
        <v>400007</v>
      </c>
      <c r="BN104" s="3">
        <v>0</v>
      </c>
      <c r="BO104" s="3" t="s">
        <v>3</v>
      </c>
      <c r="BP104" s="3">
        <v>0</v>
      </c>
      <c r="BQ104" s="3">
        <v>214</v>
      </c>
      <c r="BR104" s="3">
        <v>0</v>
      </c>
      <c r="BS104" s="3">
        <v>1</v>
      </c>
      <c r="BT104" s="3">
        <v>1</v>
      </c>
      <c r="BU104" s="3">
        <v>1</v>
      </c>
      <c r="BV104" s="3">
        <v>1</v>
      </c>
      <c r="BW104" s="3">
        <v>1</v>
      </c>
      <c r="BX104" s="3">
        <v>1</v>
      </c>
      <c r="BY104" s="3" t="s">
        <v>3</v>
      </c>
      <c r="BZ104" s="3">
        <v>0</v>
      </c>
      <c r="CA104" s="3">
        <v>0</v>
      </c>
      <c r="CB104" s="3" t="s">
        <v>3</v>
      </c>
      <c r="CE104" s="3">
        <v>1566</v>
      </c>
      <c r="CF104" s="3">
        <v>0</v>
      </c>
      <c r="CG104" s="3">
        <v>0</v>
      </c>
      <c r="CM104" s="3">
        <v>0</v>
      </c>
      <c r="CN104" s="3" t="s">
        <v>3</v>
      </c>
      <c r="CO104" s="3">
        <v>0</v>
      </c>
      <c r="CP104" s="3">
        <f t="shared" si="83"/>
        <v>20795.95</v>
      </c>
      <c r="CQ104" s="3">
        <f t="shared" si="84"/>
        <v>20795.95</v>
      </c>
      <c r="CR104" s="3">
        <f>(ROUND((ROUND(((ET104)*AV104*1),2)*BB104),2)+ROUND((ROUND(((AE104-(EU104))*AV104*1),2)*BS104),2))</f>
        <v>0</v>
      </c>
      <c r="CS104" s="3">
        <f>(ROUND((ROUND(((EU104)*AV104*1),2)*BS104),2)+ROUND((ROUND(((AE104-(EU104))*AV104*1),2)*BS104),2))</f>
        <v>0</v>
      </c>
      <c r="CT104" s="3">
        <f t="shared" si="85"/>
        <v>0</v>
      </c>
      <c r="CU104" s="3">
        <f t="shared" si="86"/>
        <v>0</v>
      </c>
      <c r="CV104" s="3">
        <f t="shared" si="87"/>
        <v>0</v>
      </c>
      <c r="CW104" s="3">
        <f t="shared" si="88"/>
        <v>0</v>
      </c>
      <c r="CX104" s="3">
        <f t="shared" si="89"/>
        <v>0</v>
      </c>
      <c r="CY104" s="3">
        <f>(ROUND((((S104+ROUND((ROUND(((EU104)*AV104*1),2)*BS104),2))*AT104)/100),2)+ROUND(((ROUND((ROUND(((AE104-(EU104))*AV104*1),2)*BS104),2)*AT104)/100),2))</f>
        <v>0</v>
      </c>
      <c r="CZ104" s="3">
        <f>(ROUND((((S104+ROUND((ROUND(((EU104)*AV104*1),2)*BS104),2))*AU104)/100),2)+ROUND(((ROUND((ROUND(((AE104-(EU104))*AV104*1),2)*BS104),2)*AU104)/100),2))</f>
        <v>0</v>
      </c>
      <c r="DC104" s="3" t="s">
        <v>3</v>
      </c>
      <c r="DD104" s="3" t="s">
        <v>3</v>
      </c>
      <c r="DE104" s="3" t="s">
        <v>3</v>
      </c>
      <c r="DF104" s="3" t="s">
        <v>3</v>
      </c>
      <c r="DG104" s="3" t="s">
        <v>3</v>
      </c>
      <c r="DH104" s="3" t="s">
        <v>3</v>
      </c>
      <c r="DI104" s="3" t="s">
        <v>3</v>
      </c>
      <c r="DJ104" s="3" t="s">
        <v>3</v>
      </c>
      <c r="DK104" s="3" t="s">
        <v>3</v>
      </c>
      <c r="DL104" s="3" t="s">
        <v>3</v>
      </c>
      <c r="DM104" s="3" t="s">
        <v>3</v>
      </c>
      <c r="DN104" s="3">
        <v>0</v>
      </c>
      <c r="DO104" s="3">
        <v>0</v>
      </c>
      <c r="DP104" s="3">
        <v>1</v>
      </c>
      <c r="DQ104" s="3">
        <v>1</v>
      </c>
      <c r="DU104" s="3">
        <v>1013</v>
      </c>
      <c r="DV104" s="3" t="s">
        <v>153</v>
      </c>
      <c r="DW104" s="3" t="s">
        <v>153</v>
      </c>
      <c r="DX104" s="3">
        <v>1</v>
      </c>
      <c r="DZ104" s="3" t="s">
        <v>3</v>
      </c>
      <c r="EA104" s="3" t="s">
        <v>3</v>
      </c>
      <c r="EB104" s="3" t="s">
        <v>3</v>
      </c>
      <c r="EC104" s="3" t="s">
        <v>3</v>
      </c>
      <c r="EE104" s="3">
        <v>55393630</v>
      </c>
      <c r="EF104" s="3">
        <v>214</v>
      </c>
      <c r="EG104" s="3" t="s">
        <v>154</v>
      </c>
      <c r="EH104" s="3">
        <v>0</v>
      </c>
      <c r="EI104" s="3" t="s">
        <v>3</v>
      </c>
      <c r="EJ104" s="3">
        <v>3</v>
      </c>
      <c r="EK104" s="3">
        <v>400007</v>
      </c>
      <c r="EL104" s="3" t="s">
        <v>154</v>
      </c>
      <c r="EM104" s="3" t="s">
        <v>155</v>
      </c>
      <c r="EO104" s="3" t="s">
        <v>3</v>
      </c>
      <c r="EQ104" s="3">
        <v>16</v>
      </c>
      <c r="ER104" s="3">
        <v>0</v>
      </c>
      <c r="ES104" s="3">
        <v>2113.41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5</v>
      </c>
      <c r="FC104" s="3">
        <v>1</v>
      </c>
      <c r="FD104" s="3">
        <v>18</v>
      </c>
      <c r="FF104" s="3">
        <v>24340</v>
      </c>
      <c r="FQ104" s="3">
        <v>0</v>
      </c>
      <c r="FR104" s="3">
        <f>P104</f>
        <v>20795.95</v>
      </c>
      <c r="FS104" s="3">
        <v>0</v>
      </c>
      <c r="FX104" s="3">
        <v>0</v>
      </c>
      <c r="FY104" s="3">
        <v>0</v>
      </c>
      <c r="GA104" s="3" t="s">
        <v>169</v>
      </c>
      <c r="GD104" s="3">
        <v>1</v>
      </c>
      <c r="GF104" s="3">
        <v>-1873397662</v>
      </c>
      <c r="GG104" s="3">
        <v>2</v>
      </c>
      <c r="GH104" s="3">
        <v>3</v>
      </c>
      <c r="GI104" s="3">
        <v>5</v>
      </c>
      <c r="GJ104" s="3">
        <v>0</v>
      </c>
      <c r="GK104" s="3">
        <v>0</v>
      </c>
      <c r="GL104" s="3">
        <f t="shared" si="90"/>
        <v>0</v>
      </c>
      <c r="GM104" s="3">
        <f t="shared" si="91"/>
        <v>20795.95</v>
      </c>
      <c r="GN104" s="3">
        <f t="shared" si="92"/>
        <v>0</v>
      </c>
      <c r="GO104" s="3">
        <f t="shared" si="93"/>
        <v>0</v>
      </c>
      <c r="GP104" s="3">
        <f t="shared" si="94"/>
        <v>0</v>
      </c>
      <c r="GR104" s="3">
        <v>1</v>
      </c>
      <c r="GS104" s="3">
        <v>1</v>
      </c>
      <c r="GT104" s="3">
        <v>0</v>
      </c>
      <c r="GU104" s="3" t="s">
        <v>3</v>
      </c>
      <c r="GV104" s="3">
        <f t="shared" si="95"/>
        <v>0</v>
      </c>
      <c r="GW104" s="3">
        <v>1</v>
      </c>
      <c r="GX104" s="3">
        <f t="shared" si="96"/>
        <v>0</v>
      </c>
      <c r="HA104" s="3">
        <v>0</v>
      </c>
      <c r="HB104" s="3">
        <v>0</v>
      </c>
      <c r="HC104" s="3">
        <f t="shared" si="97"/>
        <v>0</v>
      </c>
      <c r="HE104" s="3" t="s">
        <v>34</v>
      </c>
      <c r="HF104" s="3" t="s">
        <v>157</v>
      </c>
      <c r="HM104" s="3" t="s">
        <v>3</v>
      </c>
      <c r="HN104" s="3" t="s">
        <v>3</v>
      </c>
      <c r="HO104" s="3" t="s">
        <v>3</v>
      </c>
      <c r="HP104" s="3" t="s">
        <v>3</v>
      </c>
      <c r="HQ104" s="3" t="s">
        <v>3</v>
      </c>
      <c r="HS104" s="3">
        <v>0</v>
      </c>
      <c r="IK104" s="3">
        <v>0</v>
      </c>
    </row>
    <row r="105" spans="1:255" x14ac:dyDescent="0.2">
      <c r="A105" s="2">
        <v>17</v>
      </c>
      <c r="B105" s="2">
        <v>1</v>
      </c>
      <c r="C105" s="2">
        <f>ROW(SmtRes!A71)</f>
        <v>71</v>
      </c>
      <c r="D105" s="2">
        <f>ROW(EtalonRes!A85)</f>
        <v>85</v>
      </c>
      <c r="E105" s="2" t="s">
        <v>170</v>
      </c>
      <c r="F105" s="2" t="s">
        <v>39</v>
      </c>
      <c r="G105" s="2" t="s">
        <v>171</v>
      </c>
      <c r="H105" s="2" t="s">
        <v>22</v>
      </c>
      <c r="I105" s="2">
        <v>31</v>
      </c>
      <c r="J105" s="2">
        <v>0</v>
      </c>
      <c r="K105" s="2">
        <v>31</v>
      </c>
      <c r="L105" s="2"/>
      <c r="M105" s="2"/>
      <c r="N105" s="2"/>
      <c r="O105" s="2">
        <f t="shared" si="73"/>
        <v>688.61</v>
      </c>
      <c r="P105" s="2">
        <f t="shared" si="74"/>
        <v>60.76</v>
      </c>
      <c r="Q105" s="2">
        <f>(ROUND((ROUND((((ET105*1.2))*AV105*I105),2)*BB105),2)+ROUND((ROUND(((AE105-((EU105*1.2)))*AV105*I105),2)*BS105),2))</f>
        <v>1.95</v>
      </c>
      <c r="R105" s="2">
        <f>(ROUND((ROUND((((EU105*1.2))*AV105*I105),2)*BS105),2)+ROUND((ROUND(((AE105-((EU105*1.2)))*AV105*I105),2)*BS105),2))</f>
        <v>0.39</v>
      </c>
      <c r="S105" s="2">
        <f t="shared" si="75"/>
        <v>625.9</v>
      </c>
      <c r="T105" s="2">
        <f t="shared" si="76"/>
        <v>0</v>
      </c>
      <c r="U105" s="2">
        <f t="shared" si="77"/>
        <v>46.738079999999997</v>
      </c>
      <c r="V105" s="2">
        <f t="shared" si="78"/>
        <v>0</v>
      </c>
      <c r="W105" s="2">
        <f t="shared" si="79"/>
        <v>0</v>
      </c>
      <c r="X105" s="2">
        <f>(ROUND((((S105+ROUND((ROUND((((EU105*1.2))*AV105*I105),2)*BS105),2))*AT105)/100),2)+ROUND(((ROUND((ROUND(((AE105-((EU105*1.2)))*AV105*I105),2)*BS105),2)*AT105)/100),2))</f>
        <v>563.66</v>
      </c>
      <c r="Y105" s="2">
        <f>(ROUND((((S105+ROUND((ROUND((((EU105*1.2))*AV105*I105),2)*BS105),2))*AU105)/100),2)+ROUND(((ROUND((ROUND(((AE105-((EU105*1.2)))*AV105*I105),2)*BS105),2)*AU105)/100),2))</f>
        <v>288.08999999999997</v>
      </c>
      <c r="Z105" s="2"/>
      <c r="AA105" s="2">
        <v>55915256</v>
      </c>
      <c r="AB105" s="2">
        <f t="shared" si="80"/>
        <v>21.303999999999998</v>
      </c>
      <c r="AC105" s="2">
        <f>ROUND(((ES105*1)),6)</f>
        <v>1.96</v>
      </c>
      <c r="AD105" s="2">
        <f>ROUND(((((ET105*1.2))-((EU105*1.2)))+AE105),6)</f>
        <v>0.06</v>
      </c>
      <c r="AE105" s="2">
        <f>ROUND(((EU105*1.2)),6)</f>
        <v>1.2E-2</v>
      </c>
      <c r="AF105" s="2">
        <f>ROUND(((EV105*1.2)),6)</f>
        <v>19.283999999999999</v>
      </c>
      <c r="AG105" s="2">
        <f t="shared" si="81"/>
        <v>0</v>
      </c>
      <c r="AH105" s="2">
        <f>((EW105*1.2))</f>
        <v>1.44</v>
      </c>
      <c r="AI105" s="2">
        <f>((EX105*1.2))</f>
        <v>0</v>
      </c>
      <c r="AJ105" s="2">
        <f t="shared" si="82"/>
        <v>0</v>
      </c>
      <c r="AK105" s="2">
        <v>18.079999999999998</v>
      </c>
      <c r="AL105" s="2">
        <v>1.96</v>
      </c>
      <c r="AM105" s="2">
        <v>0.05</v>
      </c>
      <c r="AN105" s="2">
        <v>0.01</v>
      </c>
      <c r="AO105" s="2">
        <v>16.07</v>
      </c>
      <c r="AP105" s="2">
        <v>0</v>
      </c>
      <c r="AQ105" s="2">
        <v>1.2</v>
      </c>
      <c r="AR105" s="2">
        <v>0</v>
      </c>
      <c r="AS105" s="2">
        <v>0</v>
      </c>
      <c r="AT105" s="2">
        <v>90</v>
      </c>
      <c r="AU105" s="2">
        <v>46</v>
      </c>
      <c r="AV105" s="2">
        <v>1.0469999999999999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0</v>
      </c>
      <c r="BI105" s="2">
        <v>2</v>
      </c>
      <c r="BJ105" s="2" t="s">
        <v>41</v>
      </c>
      <c r="BK105" s="2"/>
      <c r="BL105" s="2"/>
      <c r="BM105" s="2">
        <v>68</v>
      </c>
      <c r="BN105" s="2">
        <v>0</v>
      </c>
      <c r="BO105" s="2" t="s">
        <v>39</v>
      </c>
      <c r="BP105" s="2">
        <v>1</v>
      </c>
      <c r="BQ105" s="2">
        <v>40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90</v>
      </c>
      <c r="CA105" s="2">
        <v>46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605</v>
      </c>
      <c r="CO105" s="2">
        <v>0</v>
      </c>
      <c r="CP105" s="2">
        <f t="shared" si="83"/>
        <v>688.61</v>
      </c>
      <c r="CQ105" s="2">
        <f t="shared" si="84"/>
        <v>1.96</v>
      </c>
      <c r="CR105" s="2">
        <f>(ROUND((ROUND((((ET105*1.2))*AV105*1),2)*BB105),2)+ROUND((ROUND(((AE105-((EU105*1.2)))*AV105*1),2)*BS105),2))</f>
        <v>0.06</v>
      </c>
      <c r="CS105" s="2">
        <f>(ROUND((ROUND((((EU105*1.2))*AV105*1),2)*BS105),2)+ROUND((ROUND(((AE105-((EU105*1.2)))*AV105*1),2)*BS105),2))</f>
        <v>0.01</v>
      </c>
      <c r="CT105" s="2">
        <f t="shared" si="85"/>
        <v>20.190000000000001</v>
      </c>
      <c r="CU105" s="2">
        <f t="shared" si="86"/>
        <v>0</v>
      </c>
      <c r="CV105" s="2">
        <f t="shared" si="87"/>
        <v>1.5076799999999999</v>
      </c>
      <c r="CW105" s="2">
        <f t="shared" si="88"/>
        <v>0</v>
      </c>
      <c r="CX105" s="2">
        <f t="shared" si="89"/>
        <v>0</v>
      </c>
      <c r="CY105" s="2">
        <f>(ROUND((((S105+ROUND((ROUND((((EU105*1.2))*AV105*1),2)*BS105),2))*AT105)/100),2)+ROUND(((ROUND((ROUND(((AE105-((EU105*1.2)))*AV105*1),2)*BS105),2)*AT105)/100),2))</f>
        <v>563.32000000000005</v>
      </c>
      <c r="CZ105" s="2">
        <f>(ROUND((((S105+ROUND((ROUND((((EU105*1.2))*AV105*1),2)*BS105),2))*AU105)/100),2)+ROUND(((ROUND((ROUND(((AE105-((EU105*1.2)))*AV105*1),2)*BS105),2)*AU105)/100),2))</f>
        <v>287.92</v>
      </c>
      <c r="DA105" s="2"/>
      <c r="DB105" s="2">
        <v>63</v>
      </c>
      <c r="DC105" s="2" t="s">
        <v>3</v>
      </c>
      <c r="DD105" s="2" t="s">
        <v>77</v>
      </c>
      <c r="DE105" s="2" t="s">
        <v>78</v>
      </c>
      <c r="DF105" s="2" t="s">
        <v>78</v>
      </c>
      <c r="DG105" s="2" t="s">
        <v>78</v>
      </c>
      <c r="DH105" s="2" t="s">
        <v>3</v>
      </c>
      <c r="DI105" s="2" t="s">
        <v>78</v>
      </c>
      <c r="DJ105" s="2" t="s">
        <v>78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1013</v>
      </c>
      <c r="DV105" s="2" t="s">
        <v>22</v>
      </c>
      <c r="DW105" s="2" t="s">
        <v>22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55393700</v>
      </c>
      <c r="EF105" s="2">
        <v>40</v>
      </c>
      <c r="EG105" s="2" t="s">
        <v>26</v>
      </c>
      <c r="EH105" s="2">
        <v>0</v>
      </c>
      <c r="EI105" s="2" t="s">
        <v>3</v>
      </c>
      <c r="EJ105" s="2">
        <v>2</v>
      </c>
      <c r="EK105" s="2">
        <v>68</v>
      </c>
      <c r="EL105" s="2" t="s">
        <v>27</v>
      </c>
      <c r="EM105" s="2" t="s">
        <v>28</v>
      </c>
      <c r="EN105" s="2"/>
      <c r="EO105" s="2" t="s">
        <v>82</v>
      </c>
      <c r="EP105" s="2"/>
      <c r="EQ105" s="2">
        <v>0</v>
      </c>
      <c r="ER105" s="2">
        <v>18.079999999999998</v>
      </c>
      <c r="ES105" s="2">
        <v>1.96</v>
      </c>
      <c r="ET105" s="2">
        <v>0.05</v>
      </c>
      <c r="EU105" s="2">
        <v>0.01</v>
      </c>
      <c r="EV105" s="2">
        <v>16.07</v>
      </c>
      <c r="EW105" s="2">
        <v>1.2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90</v>
      </c>
      <c r="FY105" s="2">
        <v>46</v>
      </c>
      <c r="FZ105" s="2"/>
      <c r="GA105" s="2" t="s">
        <v>3</v>
      </c>
      <c r="GB105" s="2"/>
      <c r="GC105" s="2"/>
      <c r="GD105" s="2">
        <v>1</v>
      </c>
      <c r="GE105" s="2"/>
      <c r="GF105" s="2">
        <v>-1354403463</v>
      </c>
      <c r="GG105" s="2">
        <v>2</v>
      </c>
      <c r="GH105" s="2">
        <v>1</v>
      </c>
      <c r="GI105" s="2">
        <v>2</v>
      </c>
      <c r="GJ105" s="2">
        <v>0</v>
      </c>
      <c r="GK105" s="2">
        <v>0</v>
      </c>
      <c r="GL105" s="2">
        <f t="shared" si="90"/>
        <v>0</v>
      </c>
      <c r="GM105" s="2">
        <f t="shared" si="91"/>
        <v>1540.36</v>
      </c>
      <c r="GN105" s="2">
        <f t="shared" si="92"/>
        <v>0</v>
      </c>
      <c r="GO105" s="2">
        <f t="shared" si="93"/>
        <v>1540.36</v>
      </c>
      <c r="GP105" s="2">
        <f t="shared" si="94"/>
        <v>0</v>
      </c>
      <c r="GQ105" s="2"/>
      <c r="GR105" s="2">
        <v>0</v>
      </c>
      <c r="GS105" s="2">
        <v>3</v>
      </c>
      <c r="GT105" s="2">
        <v>0</v>
      </c>
      <c r="GU105" s="2" t="s">
        <v>3</v>
      </c>
      <c r="GV105" s="2">
        <f t="shared" si="95"/>
        <v>0</v>
      </c>
      <c r="GW105" s="2">
        <v>1</v>
      </c>
      <c r="GX105" s="2">
        <f t="shared" si="96"/>
        <v>0</v>
      </c>
      <c r="GY105" s="2"/>
      <c r="GZ105" s="2"/>
      <c r="HA105" s="2">
        <v>0</v>
      </c>
      <c r="HB105" s="2">
        <v>0</v>
      </c>
      <c r="HC105" s="2">
        <f t="shared" si="97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">
      <c r="A106" s="3">
        <v>17</v>
      </c>
      <c r="B106" s="3">
        <v>1</v>
      </c>
      <c r="C106" s="3">
        <f>ROW(SmtRes!A72)</f>
        <v>72</v>
      </c>
      <c r="D106" s="3">
        <f>ROW(EtalonRes!A86)</f>
        <v>86</v>
      </c>
      <c r="E106" s="3" t="s">
        <v>170</v>
      </c>
      <c r="F106" s="3" t="s">
        <v>39</v>
      </c>
      <c r="G106" s="3" t="s">
        <v>171</v>
      </c>
      <c r="H106" s="3" t="s">
        <v>22</v>
      </c>
      <c r="I106" s="3">
        <v>31</v>
      </c>
      <c r="J106" s="3">
        <v>0</v>
      </c>
      <c r="K106" s="3">
        <v>31</v>
      </c>
      <c r="O106" s="3">
        <f t="shared" si="73"/>
        <v>35906.35</v>
      </c>
      <c r="P106" s="3">
        <f t="shared" si="74"/>
        <v>597.88</v>
      </c>
      <c r="Q106" s="3">
        <f>(ROUND((ROUND((((ET106*1.2))*AV106*I106),2)*BB106),2)+ROUND((ROUND(((AE106-((EU106*1.2)))*AV106*I106),2)*BS106),2))</f>
        <v>39</v>
      </c>
      <c r="R106" s="3">
        <f>(ROUND((ROUND((((EU106*1.2))*AV106*I106),2)*BS106),2)+ROUND((ROUND(((AE106-((EU106*1.2)))*AV106*I106),2)*BS106),2))</f>
        <v>21.98</v>
      </c>
      <c r="S106" s="3">
        <f t="shared" si="75"/>
        <v>35269.47</v>
      </c>
      <c r="T106" s="3">
        <f t="shared" si="76"/>
        <v>0</v>
      </c>
      <c r="U106" s="3">
        <f t="shared" si="77"/>
        <v>46.738079999999997</v>
      </c>
      <c r="V106" s="3">
        <f t="shared" si="78"/>
        <v>0</v>
      </c>
      <c r="W106" s="3">
        <f t="shared" si="79"/>
        <v>0</v>
      </c>
      <c r="X106" s="3">
        <f>(ROUND((((S106+ROUND((ROUND((((EU106*1.2))*AV106*I106),2)*BS106),2))*AT106)/100),2)+ROUND(((ROUND((ROUND(((AE106-((EU106*1.2)))*AV106*I106),2)*BS106),2)*AT106)/100),2))</f>
        <v>31762.31</v>
      </c>
      <c r="Y106" s="3">
        <f>(ROUND((((S106+ROUND((ROUND((((EU106*1.2))*AV106*I106),2)*BS106),2))*AU106)/100),2)+ROUND(((ROUND((ROUND(((AE106-((EU106*1.2)))*AV106*I106),2)*BS106),2)*AU106)/100),2))</f>
        <v>16234.07</v>
      </c>
      <c r="AA106" s="3">
        <v>55915258</v>
      </c>
      <c r="AB106" s="3">
        <f t="shared" si="80"/>
        <v>21.303999999999998</v>
      </c>
      <c r="AC106" s="3">
        <f>ROUND(((ES106*1)),6)</f>
        <v>1.96</v>
      </c>
      <c r="AD106" s="3">
        <f>ROUND(((((ET106*1.2))-((EU106*1.2)))+AE106),6)</f>
        <v>0.06</v>
      </c>
      <c r="AE106" s="3">
        <f>ROUND(((EU106*1.2)),6)</f>
        <v>1.2E-2</v>
      </c>
      <c r="AF106" s="3">
        <f>ROUND(((EV106*1.2)),6)</f>
        <v>19.283999999999999</v>
      </c>
      <c r="AG106" s="3">
        <f t="shared" si="81"/>
        <v>0</v>
      </c>
      <c r="AH106" s="3">
        <f>((EW106*1.2))</f>
        <v>1.44</v>
      </c>
      <c r="AI106" s="3">
        <f>((EX106*1.2))</f>
        <v>0</v>
      </c>
      <c r="AJ106" s="3">
        <f t="shared" si="82"/>
        <v>0</v>
      </c>
      <c r="AK106" s="3">
        <v>18.079999999999998</v>
      </c>
      <c r="AL106" s="3">
        <v>1.96</v>
      </c>
      <c r="AM106" s="3">
        <v>0.05</v>
      </c>
      <c r="AN106" s="3">
        <v>0.01</v>
      </c>
      <c r="AO106" s="3">
        <v>16.07</v>
      </c>
      <c r="AP106" s="3">
        <v>0</v>
      </c>
      <c r="AQ106" s="3">
        <v>1.2</v>
      </c>
      <c r="AR106" s="3">
        <v>0</v>
      </c>
      <c r="AS106" s="3">
        <v>0</v>
      </c>
      <c r="AT106" s="3">
        <v>90</v>
      </c>
      <c r="AU106" s="3">
        <v>46</v>
      </c>
      <c r="AV106" s="3">
        <v>1.0469999999999999</v>
      </c>
      <c r="AW106" s="3">
        <v>1</v>
      </c>
      <c r="AZ106" s="3">
        <v>1</v>
      </c>
      <c r="BA106" s="3">
        <v>56.35</v>
      </c>
      <c r="BB106" s="3">
        <v>20</v>
      </c>
      <c r="BC106" s="3">
        <v>9.84</v>
      </c>
      <c r="BD106" s="3" t="s">
        <v>3</v>
      </c>
      <c r="BE106" s="3" t="s">
        <v>3</v>
      </c>
      <c r="BF106" s="3" t="s">
        <v>3</v>
      </c>
      <c r="BG106" s="3" t="s">
        <v>3</v>
      </c>
      <c r="BH106" s="3">
        <v>0</v>
      </c>
      <c r="BI106" s="3">
        <v>2</v>
      </c>
      <c r="BJ106" s="3" t="s">
        <v>41</v>
      </c>
      <c r="BM106" s="3">
        <v>68</v>
      </c>
      <c r="BN106" s="3">
        <v>0</v>
      </c>
      <c r="BO106" s="3" t="s">
        <v>39</v>
      </c>
      <c r="BP106" s="3">
        <v>1</v>
      </c>
      <c r="BQ106" s="3">
        <v>40</v>
      </c>
      <c r="BR106" s="3">
        <v>0</v>
      </c>
      <c r="BS106" s="3">
        <v>56.35</v>
      </c>
      <c r="BT106" s="3">
        <v>1</v>
      </c>
      <c r="BU106" s="3">
        <v>1</v>
      </c>
      <c r="BV106" s="3">
        <v>1</v>
      </c>
      <c r="BW106" s="3">
        <v>1</v>
      </c>
      <c r="BX106" s="3">
        <v>1</v>
      </c>
      <c r="BY106" s="3" t="s">
        <v>3</v>
      </c>
      <c r="BZ106" s="3">
        <v>90</v>
      </c>
      <c r="CA106" s="3">
        <v>46</v>
      </c>
      <c r="CB106" s="3" t="s">
        <v>3</v>
      </c>
      <c r="CE106" s="3">
        <v>1566</v>
      </c>
      <c r="CF106" s="3">
        <v>0</v>
      </c>
      <c r="CG106" s="3">
        <v>0</v>
      </c>
      <c r="CM106" s="3">
        <v>0</v>
      </c>
      <c r="CN106" s="3" t="s">
        <v>605</v>
      </c>
      <c r="CO106" s="3">
        <v>0</v>
      </c>
      <c r="CP106" s="3">
        <f t="shared" si="83"/>
        <v>35906.35</v>
      </c>
      <c r="CQ106" s="3">
        <f t="shared" si="84"/>
        <v>19.29</v>
      </c>
      <c r="CR106" s="3">
        <f>(ROUND((ROUND((((ET106*1.2))*AV106*1),2)*BB106),2)+ROUND((ROUND(((AE106-((EU106*1.2)))*AV106*1),2)*BS106),2))</f>
        <v>1.2</v>
      </c>
      <c r="CS106" s="3">
        <f>(ROUND((ROUND((((EU106*1.2))*AV106*1),2)*BS106),2)+ROUND((ROUND(((AE106-((EU106*1.2)))*AV106*1),2)*BS106),2))</f>
        <v>0.56000000000000005</v>
      </c>
      <c r="CT106" s="3">
        <f t="shared" si="85"/>
        <v>1137.71</v>
      </c>
      <c r="CU106" s="3">
        <f t="shared" si="86"/>
        <v>0</v>
      </c>
      <c r="CV106" s="3">
        <f t="shared" si="87"/>
        <v>1.5076799999999999</v>
      </c>
      <c r="CW106" s="3">
        <f t="shared" si="88"/>
        <v>0</v>
      </c>
      <c r="CX106" s="3">
        <f t="shared" si="89"/>
        <v>0</v>
      </c>
      <c r="CY106" s="3">
        <f>(ROUND((((S106+ROUND((ROUND((((EU106*1.2))*AV106*1),2)*BS106),2))*AT106)/100),2)+ROUND(((ROUND((ROUND(((AE106-((EU106*1.2)))*AV106*1),2)*BS106),2)*AT106)/100),2))</f>
        <v>31743.03</v>
      </c>
      <c r="CZ106" s="3">
        <f>(ROUND((((S106+ROUND((ROUND((((EU106*1.2))*AV106*1),2)*BS106),2))*AU106)/100),2)+ROUND(((ROUND((ROUND(((AE106-((EU106*1.2)))*AV106*1),2)*BS106),2)*AU106)/100),2))</f>
        <v>16224.21</v>
      </c>
      <c r="DB106" s="3">
        <v>64</v>
      </c>
      <c r="DC106" s="3" t="s">
        <v>3</v>
      </c>
      <c r="DD106" s="3" t="s">
        <v>77</v>
      </c>
      <c r="DE106" s="3" t="s">
        <v>78</v>
      </c>
      <c r="DF106" s="3" t="s">
        <v>78</v>
      </c>
      <c r="DG106" s="3" t="s">
        <v>78</v>
      </c>
      <c r="DH106" s="3" t="s">
        <v>3</v>
      </c>
      <c r="DI106" s="3" t="s">
        <v>78</v>
      </c>
      <c r="DJ106" s="3" t="s">
        <v>78</v>
      </c>
      <c r="DK106" s="3" t="s">
        <v>3</v>
      </c>
      <c r="DL106" s="3" t="s">
        <v>3</v>
      </c>
      <c r="DM106" s="3" t="s">
        <v>3</v>
      </c>
      <c r="DN106" s="3">
        <v>0</v>
      </c>
      <c r="DO106" s="3">
        <v>0</v>
      </c>
      <c r="DP106" s="3">
        <v>1</v>
      </c>
      <c r="DQ106" s="3">
        <v>1</v>
      </c>
      <c r="DU106" s="3">
        <v>1013</v>
      </c>
      <c r="DV106" s="3" t="s">
        <v>22</v>
      </c>
      <c r="DW106" s="3" t="s">
        <v>22</v>
      </c>
      <c r="DX106" s="3">
        <v>1</v>
      </c>
      <c r="DZ106" s="3" t="s">
        <v>3</v>
      </c>
      <c r="EA106" s="3" t="s">
        <v>3</v>
      </c>
      <c r="EB106" s="3" t="s">
        <v>3</v>
      </c>
      <c r="EC106" s="3" t="s">
        <v>3</v>
      </c>
      <c r="EE106" s="3">
        <v>55393700</v>
      </c>
      <c r="EF106" s="3">
        <v>40</v>
      </c>
      <c r="EG106" s="3" t="s">
        <v>26</v>
      </c>
      <c r="EH106" s="3">
        <v>0</v>
      </c>
      <c r="EI106" s="3" t="s">
        <v>3</v>
      </c>
      <c r="EJ106" s="3">
        <v>2</v>
      </c>
      <c r="EK106" s="3">
        <v>68</v>
      </c>
      <c r="EL106" s="3" t="s">
        <v>27</v>
      </c>
      <c r="EM106" s="3" t="s">
        <v>28</v>
      </c>
      <c r="EO106" s="3" t="s">
        <v>82</v>
      </c>
      <c r="EQ106" s="3">
        <v>0</v>
      </c>
      <c r="ER106" s="3">
        <v>18.079999999999998</v>
      </c>
      <c r="ES106" s="3">
        <v>1.96</v>
      </c>
      <c r="ET106" s="3">
        <v>0.05</v>
      </c>
      <c r="EU106" s="3">
        <v>0.01</v>
      </c>
      <c r="EV106" s="3">
        <v>16.07</v>
      </c>
      <c r="EW106" s="3">
        <v>1.2</v>
      </c>
      <c r="EX106" s="3">
        <v>0</v>
      </c>
      <c r="EY106" s="3">
        <v>0</v>
      </c>
      <c r="FQ106" s="3">
        <v>0</v>
      </c>
      <c r="FR106" s="3">
        <v>0</v>
      </c>
      <c r="FS106" s="3">
        <v>0</v>
      </c>
      <c r="FX106" s="3">
        <v>90</v>
      </c>
      <c r="FY106" s="3">
        <v>46</v>
      </c>
      <c r="GA106" s="3" t="s">
        <v>3</v>
      </c>
      <c r="GD106" s="3">
        <v>1</v>
      </c>
      <c r="GF106" s="3">
        <v>-1354403463</v>
      </c>
      <c r="GG106" s="3">
        <v>2</v>
      </c>
      <c r="GH106" s="3">
        <v>1</v>
      </c>
      <c r="GI106" s="3">
        <v>2</v>
      </c>
      <c r="GJ106" s="3">
        <v>0</v>
      </c>
      <c r="GK106" s="3">
        <v>0</v>
      </c>
      <c r="GL106" s="3">
        <f t="shared" si="90"/>
        <v>0</v>
      </c>
      <c r="GM106" s="3">
        <f t="shared" si="91"/>
        <v>83902.73</v>
      </c>
      <c r="GN106" s="3">
        <f t="shared" si="92"/>
        <v>0</v>
      </c>
      <c r="GO106" s="3">
        <f t="shared" si="93"/>
        <v>83902.73</v>
      </c>
      <c r="GP106" s="3">
        <f t="shared" si="94"/>
        <v>0</v>
      </c>
      <c r="GR106" s="3">
        <v>0</v>
      </c>
      <c r="GS106" s="3">
        <v>3</v>
      </c>
      <c r="GT106" s="3">
        <v>0</v>
      </c>
      <c r="GU106" s="3" t="s">
        <v>3</v>
      </c>
      <c r="GV106" s="3">
        <f t="shared" si="95"/>
        <v>0</v>
      </c>
      <c r="GW106" s="3">
        <v>1</v>
      </c>
      <c r="GX106" s="3">
        <f t="shared" si="96"/>
        <v>0</v>
      </c>
      <c r="HA106" s="3">
        <v>0</v>
      </c>
      <c r="HB106" s="3">
        <v>0</v>
      </c>
      <c r="HC106" s="3">
        <f t="shared" si="97"/>
        <v>0</v>
      </c>
      <c r="HE106" s="3" t="s">
        <v>3</v>
      </c>
      <c r="HF106" s="3" t="s">
        <v>3</v>
      </c>
      <c r="HM106" s="3" t="s">
        <v>3</v>
      </c>
      <c r="HN106" s="3" t="s">
        <v>3</v>
      </c>
      <c r="HO106" s="3" t="s">
        <v>3</v>
      </c>
      <c r="HP106" s="3" t="s">
        <v>3</v>
      </c>
      <c r="HQ106" s="3" t="s">
        <v>3</v>
      </c>
      <c r="HS106" s="3">
        <v>0</v>
      </c>
      <c r="IK106" s="3">
        <v>0</v>
      </c>
    </row>
    <row r="107" spans="1:255" x14ac:dyDescent="0.2">
      <c r="A107" s="2">
        <v>17</v>
      </c>
      <c r="B107" s="2">
        <v>1</v>
      </c>
      <c r="C107" s="2"/>
      <c r="D107" s="2"/>
      <c r="E107" s="2" t="s">
        <v>172</v>
      </c>
      <c r="F107" s="2" t="s">
        <v>173</v>
      </c>
      <c r="G107" s="2" t="s">
        <v>174</v>
      </c>
      <c r="H107" s="2" t="s">
        <v>153</v>
      </c>
      <c r="I107" s="2">
        <v>31</v>
      </c>
      <c r="J107" s="2">
        <v>0</v>
      </c>
      <c r="K107" s="2">
        <v>31</v>
      </c>
      <c r="L107" s="2"/>
      <c r="M107" s="2"/>
      <c r="N107" s="2"/>
      <c r="O107" s="2">
        <f t="shared" si="73"/>
        <v>2535.4899999999998</v>
      </c>
      <c r="P107" s="2">
        <f t="shared" si="74"/>
        <v>2535.4899999999998</v>
      </c>
      <c r="Q107" s="2">
        <f>(ROUND((ROUND(((ET107)*AV107*I107),2)*BB107),2)+ROUND((ROUND(((AE107-(EU107))*AV107*I107),2)*BS107),2))</f>
        <v>0</v>
      </c>
      <c r="R107" s="2">
        <f>(ROUND((ROUND(((EU107)*AV107*I107),2)*BS107),2)+ROUND((ROUND(((AE107-(EU107))*AV107*I107),2)*BS107),2))</f>
        <v>0</v>
      </c>
      <c r="S107" s="2">
        <f t="shared" si="75"/>
        <v>0</v>
      </c>
      <c r="T107" s="2">
        <f t="shared" si="76"/>
        <v>0</v>
      </c>
      <c r="U107" s="2">
        <f t="shared" si="77"/>
        <v>0</v>
      </c>
      <c r="V107" s="2">
        <f t="shared" si="78"/>
        <v>0</v>
      </c>
      <c r="W107" s="2">
        <f t="shared" si="79"/>
        <v>0</v>
      </c>
      <c r="X107" s="2">
        <f>(ROUND((((S107+ROUND((ROUND(((EU107)*AV107*I107),2)*BS107),2))*AT107)/100),2)+ROUND(((ROUND((ROUND(((AE107-(EU107))*AV107*I107),2)*BS107),2)*AT107)/100),2))</f>
        <v>0</v>
      </c>
      <c r="Y107" s="2">
        <f>(ROUND((((S107+ROUND((ROUND(((EU107)*AV107*I107),2)*BS107),2))*AU107)/100),2)+ROUND(((ROUND((ROUND(((AE107-(EU107))*AV107*I107),2)*BS107),2)*AU107)/100),2))</f>
        <v>0</v>
      </c>
      <c r="Z107" s="2"/>
      <c r="AA107" s="2">
        <v>55915256</v>
      </c>
      <c r="AB107" s="2">
        <f t="shared" si="80"/>
        <v>81.790000000000006</v>
      </c>
      <c r="AC107" s="2">
        <f>ROUND((ES107),6)</f>
        <v>81.790000000000006</v>
      </c>
      <c r="AD107" s="2">
        <f>ROUND((((ET107)-(EU107))+AE107),6)</f>
        <v>0</v>
      </c>
      <c r="AE107" s="2">
        <f>ROUND((EU107),6)</f>
        <v>0</v>
      </c>
      <c r="AF107" s="2">
        <f>ROUND((EV107),6)</f>
        <v>0</v>
      </c>
      <c r="AG107" s="2">
        <f t="shared" si="81"/>
        <v>0</v>
      </c>
      <c r="AH107" s="2">
        <f>(EW107)</f>
        <v>0</v>
      </c>
      <c r="AI107" s="2">
        <f>(EX107)</f>
        <v>0</v>
      </c>
      <c r="AJ107" s="2">
        <f t="shared" si="82"/>
        <v>0</v>
      </c>
      <c r="AK107" s="2">
        <v>81.789999999999992</v>
      </c>
      <c r="AL107" s="2">
        <v>81.789999999999992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3</v>
      </c>
      <c r="BJ107" s="2" t="s">
        <v>173</v>
      </c>
      <c r="BK107" s="2"/>
      <c r="BL107" s="2"/>
      <c r="BM107" s="2">
        <v>400007</v>
      </c>
      <c r="BN107" s="2">
        <v>0</v>
      </c>
      <c r="BO107" s="2" t="s">
        <v>3</v>
      </c>
      <c r="BP107" s="2">
        <v>0</v>
      </c>
      <c r="BQ107" s="2">
        <v>214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0</v>
      </c>
      <c r="CA107" s="2">
        <v>0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3</v>
      </c>
      <c r="CO107" s="2">
        <v>0</v>
      </c>
      <c r="CP107" s="2">
        <f t="shared" si="83"/>
        <v>2535.4899999999998</v>
      </c>
      <c r="CQ107" s="2">
        <f t="shared" si="84"/>
        <v>81.790000000000006</v>
      </c>
      <c r="CR107" s="2">
        <f>(ROUND((ROUND(((ET107)*AV107*1),2)*BB107),2)+ROUND((ROUND(((AE107-(EU107))*AV107*1),2)*BS107),2))</f>
        <v>0</v>
      </c>
      <c r="CS107" s="2">
        <f>(ROUND((ROUND(((EU107)*AV107*1),2)*BS107),2)+ROUND((ROUND(((AE107-(EU107))*AV107*1),2)*BS107),2))</f>
        <v>0</v>
      </c>
      <c r="CT107" s="2">
        <f t="shared" si="85"/>
        <v>0</v>
      </c>
      <c r="CU107" s="2">
        <f t="shared" si="86"/>
        <v>0</v>
      </c>
      <c r="CV107" s="2">
        <f t="shared" si="87"/>
        <v>0</v>
      </c>
      <c r="CW107" s="2">
        <f t="shared" si="88"/>
        <v>0</v>
      </c>
      <c r="CX107" s="2">
        <f t="shared" si="89"/>
        <v>0</v>
      </c>
      <c r="CY107" s="2">
        <f>(ROUND((((S107+ROUND((ROUND(((EU107)*AV107*1),2)*BS107),2))*AT107)/100),2)+ROUND(((ROUND((ROUND(((AE107-(EU107))*AV107*1),2)*BS107),2)*AT107)/100),2))</f>
        <v>0</v>
      </c>
      <c r="CZ107" s="2">
        <f>(ROUND((((S107+ROUND((ROUND(((EU107)*AV107*1),2)*BS107),2))*AU107)/100),2)+ROUND(((ROUND((ROUND(((AE107-(EU107))*AV107*1),2)*BS107),2)*AU107)/100),2))</f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153</v>
      </c>
      <c r="DW107" s="2" t="s">
        <v>153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55393630</v>
      </c>
      <c r="EF107" s="2">
        <v>214</v>
      </c>
      <c r="EG107" s="2" t="s">
        <v>154</v>
      </c>
      <c r="EH107" s="2">
        <v>0</v>
      </c>
      <c r="EI107" s="2" t="s">
        <v>3</v>
      </c>
      <c r="EJ107" s="2">
        <v>3</v>
      </c>
      <c r="EK107" s="2">
        <v>400007</v>
      </c>
      <c r="EL107" s="2" t="s">
        <v>154</v>
      </c>
      <c r="EM107" s="2" t="s">
        <v>155</v>
      </c>
      <c r="EN107" s="2"/>
      <c r="EO107" s="2" t="s">
        <v>3</v>
      </c>
      <c r="EP107" s="2"/>
      <c r="EQ107" s="2">
        <v>16</v>
      </c>
      <c r="ER107" s="2">
        <v>0</v>
      </c>
      <c r="ES107" s="2">
        <v>81.789999999999992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f>P107</f>
        <v>2535.4899999999998</v>
      </c>
      <c r="FS107" s="2">
        <v>0</v>
      </c>
      <c r="FT107" s="2"/>
      <c r="FU107" s="2"/>
      <c r="FV107" s="2"/>
      <c r="FW107" s="2"/>
      <c r="FX107" s="2">
        <v>0</v>
      </c>
      <c r="FY107" s="2">
        <v>0</v>
      </c>
      <c r="FZ107" s="2"/>
      <c r="GA107" s="2" t="s">
        <v>175</v>
      </c>
      <c r="GB107" s="2"/>
      <c r="GC107" s="2"/>
      <c r="GD107" s="2">
        <v>1</v>
      </c>
      <c r="GE107" s="2"/>
      <c r="GF107" s="2">
        <v>-1170226206</v>
      </c>
      <c r="GG107" s="2">
        <v>2</v>
      </c>
      <c r="GH107" s="2">
        <v>4</v>
      </c>
      <c r="GI107" s="2">
        <v>-2</v>
      </c>
      <c r="GJ107" s="2">
        <v>0</v>
      </c>
      <c r="GK107" s="2">
        <v>0</v>
      </c>
      <c r="GL107" s="2">
        <f t="shared" si="90"/>
        <v>0</v>
      </c>
      <c r="GM107" s="2">
        <f t="shared" si="91"/>
        <v>2535.4899999999998</v>
      </c>
      <c r="GN107" s="2">
        <f t="shared" si="92"/>
        <v>0</v>
      </c>
      <c r="GO107" s="2">
        <f t="shared" si="93"/>
        <v>0</v>
      </c>
      <c r="GP107" s="2">
        <f t="shared" si="94"/>
        <v>0</v>
      </c>
      <c r="GQ107" s="2"/>
      <c r="GR107" s="2">
        <v>1</v>
      </c>
      <c r="GS107" s="2">
        <v>2</v>
      </c>
      <c r="GT107" s="2">
        <v>0</v>
      </c>
      <c r="GU107" s="2" t="s">
        <v>3</v>
      </c>
      <c r="GV107" s="2">
        <f t="shared" si="95"/>
        <v>0</v>
      </c>
      <c r="GW107" s="2">
        <v>1</v>
      </c>
      <c r="GX107" s="2">
        <f t="shared" si="96"/>
        <v>0</v>
      </c>
      <c r="GY107" s="2"/>
      <c r="GZ107" s="2"/>
      <c r="HA107" s="2">
        <v>0</v>
      </c>
      <c r="HB107" s="2">
        <v>0</v>
      </c>
      <c r="HC107" s="2">
        <f t="shared" si="97"/>
        <v>0</v>
      </c>
      <c r="HD107" s="2"/>
      <c r="HE107" s="2" t="s">
        <v>34</v>
      </c>
      <c r="HF107" s="2" t="s">
        <v>157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">
      <c r="A108" s="3">
        <v>17</v>
      </c>
      <c r="B108" s="3">
        <v>1</v>
      </c>
      <c r="E108" s="3" t="s">
        <v>172</v>
      </c>
      <c r="F108" s="3" t="s">
        <v>173</v>
      </c>
      <c r="G108" s="3" t="s">
        <v>174</v>
      </c>
      <c r="H108" s="3" t="s">
        <v>153</v>
      </c>
      <c r="I108" s="3">
        <v>31</v>
      </c>
      <c r="J108" s="3">
        <v>0</v>
      </c>
      <c r="K108" s="3">
        <v>31</v>
      </c>
      <c r="O108" s="3">
        <f t="shared" si="73"/>
        <v>24949.22</v>
      </c>
      <c r="P108" s="3">
        <f t="shared" si="74"/>
        <v>24949.22</v>
      </c>
      <c r="Q108" s="3">
        <f>(ROUND((ROUND(((ET108)*AV108*I108),2)*BB108),2)+ROUND((ROUND(((AE108-(EU108))*AV108*I108),2)*BS108),2))</f>
        <v>0</v>
      </c>
      <c r="R108" s="3">
        <f>(ROUND((ROUND(((EU108)*AV108*I108),2)*BS108),2)+ROUND((ROUND(((AE108-(EU108))*AV108*I108),2)*BS108),2))</f>
        <v>0</v>
      </c>
      <c r="S108" s="3">
        <f t="shared" si="75"/>
        <v>0</v>
      </c>
      <c r="T108" s="3">
        <f t="shared" si="76"/>
        <v>0</v>
      </c>
      <c r="U108" s="3">
        <f t="shared" si="77"/>
        <v>0</v>
      </c>
      <c r="V108" s="3">
        <f t="shared" si="78"/>
        <v>0</v>
      </c>
      <c r="W108" s="3">
        <f t="shared" si="79"/>
        <v>0</v>
      </c>
      <c r="X108" s="3">
        <f>(ROUND((((S108+ROUND((ROUND(((EU108)*AV108*I108),2)*BS108),2))*AT108)/100),2)+ROUND(((ROUND((ROUND(((AE108-(EU108))*AV108*I108),2)*BS108),2)*AT108)/100),2))</f>
        <v>0</v>
      </c>
      <c r="Y108" s="3">
        <f>(ROUND((((S108+ROUND((ROUND(((EU108)*AV108*I108),2)*BS108),2))*AU108)/100),2)+ROUND(((ROUND((ROUND(((AE108-(EU108))*AV108*I108),2)*BS108),2)*AU108)/100),2))</f>
        <v>0</v>
      </c>
      <c r="AA108" s="3">
        <v>55915258</v>
      </c>
      <c r="AB108" s="3">
        <f t="shared" si="80"/>
        <v>81.790000000000006</v>
      </c>
      <c r="AC108" s="3">
        <f>ROUND((ES108),6)</f>
        <v>81.790000000000006</v>
      </c>
      <c r="AD108" s="3">
        <f>ROUND((((ET108)-(EU108))+AE108),6)</f>
        <v>0</v>
      </c>
      <c r="AE108" s="3">
        <f>ROUND((EU108),6)</f>
        <v>0</v>
      </c>
      <c r="AF108" s="3">
        <f>ROUND((EV108),6)</f>
        <v>0</v>
      </c>
      <c r="AG108" s="3">
        <f t="shared" si="81"/>
        <v>0</v>
      </c>
      <c r="AH108" s="3">
        <f>(EW108)</f>
        <v>0</v>
      </c>
      <c r="AI108" s="3">
        <f>(EX108)</f>
        <v>0</v>
      </c>
      <c r="AJ108" s="3">
        <f t="shared" si="82"/>
        <v>0</v>
      </c>
      <c r="AK108" s="3">
        <v>81.789999999999992</v>
      </c>
      <c r="AL108" s="3">
        <v>81.789999999999992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1</v>
      </c>
      <c r="AW108" s="3">
        <v>1</v>
      </c>
      <c r="AZ108" s="3">
        <v>1</v>
      </c>
      <c r="BA108" s="3">
        <v>1</v>
      </c>
      <c r="BB108" s="3">
        <v>1</v>
      </c>
      <c r="BC108" s="3">
        <v>9.84</v>
      </c>
      <c r="BD108" s="3" t="s">
        <v>3</v>
      </c>
      <c r="BE108" s="3" t="s">
        <v>3</v>
      </c>
      <c r="BF108" s="3" t="s">
        <v>3</v>
      </c>
      <c r="BG108" s="3" t="s">
        <v>3</v>
      </c>
      <c r="BH108" s="3">
        <v>3</v>
      </c>
      <c r="BI108" s="3">
        <v>3</v>
      </c>
      <c r="BJ108" s="3" t="s">
        <v>173</v>
      </c>
      <c r="BM108" s="3">
        <v>400007</v>
      </c>
      <c r="BN108" s="3">
        <v>0</v>
      </c>
      <c r="BO108" s="3" t="s">
        <v>3</v>
      </c>
      <c r="BP108" s="3">
        <v>0</v>
      </c>
      <c r="BQ108" s="3">
        <v>214</v>
      </c>
      <c r="BR108" s="3">
        <v>0</v>
      </c>
      <c r="BS108" s="3">
        <v>1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 t="s">
        <v>3</v>
      </c>
      <c r="BZ108" s="3">
        <v>0</v>
      </c>
      <c r="CA108" s="3">
        <v>0</v>
      </c>
      <c r="CB108" s="3" t="s">
        <v>3</v>
      </c>
      <c r="CE108" s="3">
        <v>1566</v>
      </c>
      <c r="CF108" s="3">
        <v>0</v>
      </c>
      <c r="CG108" s="3">
        <v>0</v>
      </c>
      <c r="CM108" s="3">
        <v>0</v>
      </c>
      <c r="CN108" s="3" t="s">
        <v>3</v>
      </c>
      <c r="CO108" s="3">
        <v>0</v>
      </c>
      <c r="CP108" s="3">
        <f t="shared" si="83"/>
        <v>24949.22</v>
      </c>
      <c r="CQ108" s="3">
        <f t="shared" si="84"/>
        <v>804.81</v>
      </c>
      <c r="CR108" s="3">
        <f>(ROUND((ROUND(((ET108)*AV108*1),2)*BB108),2)+ROUND((ROUND(((AE108-(EU108))*AV108*1),2)*BS108),2))</f>
        <v>0</v>
      </c>
      <c r="CS108" s="3">
        <f>(ROUND((ROUND(((EU108)*AV108*1),2)*BS108),2)+ROUND((ROUND(((AE108-(EU108))*AV108*1),2)*BS108),2))</f>
        <v>0</v>
      </c>
      <c r="CT108" s="3">
        <f t="shared" si="85"/>
        <v>0</v>
      </c>
      <c r="CU108" s="3">
        <f t="shared" si="86"/>
        <v>0</v>
      </c>
      <c r="CV108" s="3">
        <f t="shared" si="87"/>
        <v>0</v>
      </c>
      <c r="CW108" s="3">
        <f t="shared" si="88"/>
        <v>0</v>
      </c>
      <c r="CX108" s="3">
        <f t="shared" si="89"/>
        <v>0</v>
      </c>
      <c r="CY108" s="3">
        <f>(ROUND((((S108+ROUND((ROUND(((EU108)*AV108*1),2)*BS108),2))*AT108)/100),2)+ROUND(((ROUND((ROUND(((AE108-(EU108))*AV108*1),2)*BS108),2)*AT108)/100),2))</f>
        <v>0</v>
      </c>
      <c r="CZ108" s="3">
        <f>(ROUND((((S108+ROUND((ROUND(((EU108)*AV108*1),2)*BS108),2))*AU108)/100),2)+ROUND(((ROUND((ROUND(((AE108-(EU108))*AV108*1),2)*BS108),2)*AU108)/100),2))</f>
        <v>0</v>
      </c>
      <c r="DC108" s="3" t="s">
        <v>3</v>
      </c>
      <c r="DD108" s="3" t="s">
        <v>3</v>
      </c>
      <c r="DE108" s="3" t="s">
        <v>3</v>
      </c>
      <c r="DF108" s="3" t="s">
        <v>3</v>
      </c>
      <c r="DG108" s="3" t="s">
        <v>3</v>
      </c>
      <c r="DH108" s="3" t="s">
        <v>3</v>
      </c>
      <c r="DI108" s="3" t="s">
        <v>3</v>
      </c>
      <c r="DJ108" s="3" t="s">
        <v>3</v>
      </c>
      <c r="DK108" s="3" t="s">
        <v>3</v>
      </c>
      <c r="DL108" s="3" t="s">
        <v>3</v>
      </c>
      <c r="DM108" s="3" t="s">
        <v>3</v>
      </c>
      <c r="DN108" s="3">
        <v>0</v>
      </c>
      <c r="DO108" s="3">
        <v>0</v>
      </c>
      <c r="DP108" s="3">
        <v>1</v>
      </c>
      <c r="DQ108" s="3">
        <v>1</v>
      </c>
      <c r="DU108" s="3">
        <v>1013</v>
      </c>
      <c r="DV108" s="3" t="s">
        <v>153</v>
      </c>
      <c r="DW108" s="3" t="s">
        <v>153</v>
      </c>
      <c r="DX108" s="3">
        <v>1</v>
      </c>
      <c r="DZ108" s="3" t="s">
        <v>3</v>
      </c>
      <c r="EA108" s="3" t="s">
        <v>3</v>
      </c>
      <c r="EB108" s="3" t="s">
        <v>3</v>
      </c>
      <c r="EC108" s="3" t="s">
        <v>3</v>
      </c>
      <c r="EE108" s="3">
        <v>55393630</v>
      </c>
      <c r="EF108" s="3">
        <v>214</v>
      </c>
      <c r="EG108" s="3" t="s">
        <v>154</v>
      </c>
      <c r="EH108" s="3">
        <v>0</v>
      </c>
      <c r="EI108" s="3" t="s">
        <v>3</v>
      </c>
      <c r="EJ108" s="3">
        <v>3</v>
      </c>
      <c r="EK108" s="3">
        <v>400007</v>
      </c>
      <c r="EL108" s="3" t="s">
        <v>154</v>
      </c>
      <c r="EM108" s="3" t="s">
        <v>155</v>
      </c>
      <c r="EO108" s="3" t="s">
        <v>3</v>
      </c>
      <c r="EQ108" s="3">
        <v>16</v>
      </c>
      <c r="ER108" s="3">
        <v>0</v>
      </c>
      <c r="ES108" s="3">
        <v>81.789999999999992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5</v>
      </c>
      <c r="FC108" s="3">
        <v>1</v>
      </c>
      <c r="FD108" s="3">
        <v>18</v>
      </c>
      <c r="FF108" s="3">
        <v>942</v>
      </c>
      <c r="FQ108" s="3">
        <v>0</v>
      </c>
      <c r="FR108" s="3">
        <f>P108</f>
        <v>24949.22</v>
      </c>
      <c r="FS108" s="3">
        <v>0</v>
      </c>
      <c r="FX108" s="3">
        <v>0</v>
      </c>
      <c r="FY108" s="3">
        <v>0</v>
      </c>
      <c r="GA108" s="3" t="s">
        <v>175</v>
      </c>
      <c r="GD108" s="3">
        <v>1</v>
      </c>
      <c r="GF108" s="3">
        <v>-1170226206</v>
      </c>
      <c r="GG108" s="3">
        <v>2</v>
      </c>
      <c r="GH108" s="3">
        <v>3</v>
      </c>
      <c r="GI108" s="3">
        <v>5</v>
      </c>
      <c r="GJ108" s="3">
        <v>0</v>
      </c>
      <c r="GK108" s="3">
        <v>0</v>
      </c>
      <c r="GL108" s="3">
        <f t="shared" si="90"/>
        <v>0</v>
      </c>
      <c r="GM108" s="3">
        <f t="shared" si="91"/>
        <v>24949.22</v>
      </c>
      <c r="GN108" s="3">
        <f t="shared" si="92"/>
        <v>0</v>
      </c>
      <c r="GO108" s="3">
        <f t="shared" si="93"/>
        <v>0</v>
      </c>
      <c r="GP108" s="3">
        <f t="shared" si="94"/>
        <v>0</v>
      </c>
      <c r="GR108" s="3">
        <v>1</v>
      </c>
      <c r="GS108" s="3">
        <v>1</v>
      </c>
      <c r="GT108" s="3">
        <v>0</v>
      </c>
      <c r="GU108" s="3" t="s">
        <v>3</v>
      </c>
      <c r="GV108" s="3">
        <f t="shared" si="95"/>
        <v>0</v>
      </c>
      <c r="GW108" s="3">
        <v>1</v>
      </c>
      <c r="GX108" s="3">
        <f t="shared" si="96"/>
        <v>0</v>
      </c>
      <c r="HA108" s="3">
        <v>0</v>
      </c>
      <c r="HB108" s="3">
        <v>0</v>
      </c>
      <c r="HC108" s="3">
        <f t="shared" si="97"/>
        <v>0</v>
      </c>
      <c r="HE108" s="3" t="s">
        <v>34</v>
      </c>
      <c r="HF108" s="3" t="s">
        <v>157</v>
      </c>
      <c r="HM108" s="3" t="s">
        <v>3</v>
      </c>
      <c r="HN108" s="3" t="s">
        <v>3</v>
      </c>
      <c r="HO108" s="3" t="s">
        <v>3</v>
      </c>
      <c r="HP108" s="3" t="s">
        <v>3</v>
      </c>
      <c r="HQ108" s="3" t="s">
        <v>3</v>
      </c>
      <c r="HS108" s="3">
        <v>0</v>
      </c>
      <c r="IK108" s="3">
        <v>0</v>
      </c>
    </row>
    <row r="109" spans="1:255" x14ac:dyDescent="0.2">
      <c r="A109" s="2">
        <v>17</v>
      </c>
      <c r="B109" s="2">
        <v>1</v>
      </c>
      <c r="C109" s="2">
        <f>ROW(SmtRes!A73)</f>
        <v>73</v>
      </c>
      <c r="D109" s="2">
        <f>ROW(EtalonRes!A87)</f>
        <v>87</v>
      </c>
      <c r="E109" s="2" t="s">
        <v>176</v>
      </c>
      <c r="F109" s="2" t="s">
        <v>20</v>
      </c>
      <c r="G109" s="2" t="s">
        <v>149</v>
      </c>
      <c r="H109" s="2" t="s">
        <v>22</v>
      </c>
      <c r="I109" s="2">
        <v>1</v>
      </c>
      <c r="J109" s="2">
        <v>0</v>
      </c>
      <c r="K109" s="2">
        <v>1</v>
      </c>
      <c r="L109" s="2"/>
      <c r="M109" s="2"/>
      <c r="N109" s="2"/>
      <c r="O109" s="2">
        <f t="shared" si="73"/>
        <v>102.07</v>
      </c>
      <c r="P109" s="2">
        <f t="shared" si="74"/>
        <v>4.83</v>
      </c>
      <c r="Q109" s="2">
        <f>(ROUND((ROUND((((ET109*1.2))*AV109*I109),2)*BB109),2)+ROUND((ROUND(((AE109-((EU109*1.2)))*AV109*I109),2)*BS109),2))</f>
        <v>0.06</v>
      </c>
      <c r="R109" s="2">
        <f>(ROUND((ROUND((((EU109*1.2))*AV109*I109),2)*BS109),2)+ROUND((ROUND(((AE109-((EU109*1.2)))*AV109*I109),2)*BS109),2))</f>
        <v>0.01</v>
      </c>
      <c r="S109" s="2">
        <f t="shared" si="75"/>
        <v>97.18</v>
      </c>
      <c r="T109" s="2">
        <f t="shared" si="76"/>
        <v>0</v>
      </c>
      <c r="U109" s="2">
        <f t="shared" si="77"/>
        <v>7.1614799999999992</v>
      </c>
      <c r="V109" s="2">
        <f t="shared" si="78"/>
        <v>0</v>
      </c>
      <c r="W109" s="2">
        <f t="shared" si="79"/>
        <v>0</v>
      </c>
      <c r="X109" s="2">
        <f>(ROUND((((S109+ROUND((ROUND((((EU109*1.2))*AV109*I109),2)*BS109),2))*AT109)/100),2)+ROUND(((ROUND((ROUND(((AE109-((EU109*1.2)))*AV109*I109),2)*BS109),2)*AT109)/100),2))</f>
        <v>87.47</v>
      </c>
      <c r="Y109" s="2">
        <f>(ROUND((((S109+ROUND((ROUND((((EU109*1.2))*AV109*I109),2)*BS109),2))*AU109)/100),2)+ROUND(((ROUND((ROUND(((AE109-((EU109*1.2)))*AV109*I109),2)*BS109),2)*AU109)/100),2))</f>
        <v>44.71</v>
      </c>
      <c r="Z109" s="2"/>
      <c r="AA109" s="2">
        <v>55915256</v>
      </c>
      <c r="AB109" s="2">
        <f t="shared" si="80"/>
        <v>97.71</v>
      </c>
      <c r="AC109" s="2">
        <f>ROUND(((ES109*1)),6)</f>
        <v>4.83</v>
      </c>
      <c r="AD109" s="2">
        <f>ROUND(((((ET109*1.2))-((EU109*1.2)))+AE109),6)</f>
        <v>0.06</v>
      </c>
      <c r="AE109" s="2">
        <f>ROUND(((EU109*1.2)),6)</f>
        <v>1.2E-2</v>
      </c>
      <c r="AF109" s="2">
        <f>ROUND(((EV109*1.2)),6)</f>
        <v>92.82</v>
      </c>
      <c r="AG109" s="2">
        <f t="shared" si="81"/>
        <v>0</v>
      </c>
      <c r="AH109" s="2">
        <f>((EW109*1.2))</f>
        <v>6.84</v>
      </c>
      <c r="AI109" s="2">
        <f>((EX109*1.2))</f>
        <v>0</v>
      </c>
      <c r="AJ109" s="2">
        <f t="shared" si="82"/>
        <v>0</v>
      </c>
      <c r="AK109" s="2">
        <v>82.23</v>
      </c>
      <c r="AL109" s="2">
        <v>4.83</v>
      </c>
      <c r="AM109" s="2">
        <v>0.05</v>
      </c>
      <c r="AN109" s="2">
        <v>0.01</v>
      </c>
      <c r="AO109" s="2">
        <v>77.349999999999994</v>
      </c>
      <c r="AP109" s="2">
        <v>0</v>
      </c>
      <c r="AQ109" s="2">
        <v>5.7</v>
      </c>
      <c r="AR109" s="2">
        <v>0</v>
      </c>
      <c r="AS109" s="2">
        <v>0</v>
      </c>
      <c r="AT109" s="2">
        <v>90</v>
      </c>
      <c r="AU109" s="2">
        <v>46</v>
      </c>
      <c r="AV109" s="2">
        <v>1.0469999999999999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0</v>
      </c>
      <c r="BI109" s="2">
        <v>2</v>
      </c>
      <c r="BJ109" s="2" t="s">
        <v>23</v>
      </c>
      <c r="BK109" s="2"/>
      <c r="BL109" s="2"/>
      <c r="BM109" s="2">
        <v>68</v>
      </c>
      <c r="BN109" s="2">
        <v>0</v>
      </c>
      <c r="BO109" s="2" t="s">
        <v>20</v>
      </c>
      <c r="BP109" s="2">
        <v>1</v>
      </c>
      <c r="BQ109" s="2">
        <v>40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90</v>
      </c>
      <c r="CA109" s="2">
        <v>46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605</v>
      </c>
      <c r="CO109" s="2">
        <v>0</v>
      </c>
      <c r="CP109" s="2">
        <f t="shared" si="83"/>
        <v>102.07000000000001</v>
      </c>
      <c r="CQ109" s="2">
        <f t="shared" si="84"/>
        <v>4.83</v>
      </c>
      <c r="CR109" s="2">
        <f>(ROUND((ROUND((((ET109*1.2))*AV109*1),2)*BB109),2)+ROUND((ROUND(((AE109-((EU109*1.2)))*AV109*1),2)*BS109),2))</f>
        <v>0.06</v>
      </c>
      <c r="CS109" s="2">
        <f>(ROUND((ROUND((((EU109*1.2))*AV109*1),2)*BS109),2)+ROUND((ROUND(((AE109-((EU109*1.2)))*AV109*1),2)*BS109),2))</f>
        <v>0.01</v>
      </c>
      <c r="CT109" s="2">
        <f t="shared" si="85"/>
        <v>97.18</v>
      </c>
      <c r="CU109" s="2">
        <f t="shared" si="86"/>
        <v>0</v>
      </c>
      <c r="CV109" s="2">
        <f t="shared" si="87"/>
        <v>7.1614799999999992</v>
      </c>
      <c r="CW109" s="2">
        <f t="shared" si="88"/>
        <v>0</v>
      </c>
      <c r="CX109" s="2">
        <f t="shared" si="89"/>
        <v>0</v>
      </c>
      <c r="CY109" s="2">
        <f>(ROUND((((S109+ROUND((ROUND((((EU109*1.2))*AV109*1),2)*BS109),2))*AT109)/100),2)+ROUND(((ROUND((ROUND(((AE109-((EU109*1.2)))*AV109*1),2)*BS109),2)*AT109)/100),2))</f>
        <v>87.47</v>
      </c>
      <c r="CZ109" s="2">
        <f>(ROUND((((S109+ROUND((ROUND((((EU109*1.2))*AV109*1),2)*BS109),2))*AU109)/100),2)+ROUND(((ROUND((ROUND(((AE109-((EU109*1.2)))*AV109*1),2)*BS109),2)*AU109)/100),2))</f>
        <v>44.71</v>
      </c>
      <c r="DA109" s="2"/>
      <c r="DB109" s="2">
        <v>65</v>
      </c>
      <c r="DC109" s="2" t="s">
        <v>3</v>
      </c>
      <c r="DD109" s="2" t="s">
        <v>77</v>
      </c>
      <c r="DE109" s="2" t="s">
        <v>78</v>
      </c>
      <c r="DF109" s="2" t="s">
        <v>78</v>
      </c>
      <c r="DG109" s="2" t="s">
        <v>78</v>
      </c>
      <c r="DH109" s="2" t="s">
        <v>3</v>
      </c>
      <c r="DI109" s="2" t="s">
        <v>78</v>
      </c>
      <c r="DJ109" s="2" t="s">
        <v>78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22</v>
      </c>
      <c r="DW109" s="2" t="s">
        <v>22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55393700</v>
      </c>
      <c r="EF109" s="2">
        <v>40</v>
      </c>
      <c r="EG109" s="2" t="s">
        <v>26</v>
      </c>
      <c r="EH109" s="2">
        <v>0</v>
      </c>
      <c r="EI109" s="2" t="s">
        <v>3</v>
      </c>
      <c r="EJ109" s="2">
        <v>2</v>
      </c>
      <c r="EK109" s="2">
        <v>68</v>
      </c>
      <c r="EL109" s="2" t="s">
        <v>27</v>
      </c>
      <c r="EM109" s="2" t="s">
        <v>28</v>
      </c>
      <c r="EN109" s="2"/>
      <c r="EO109" s="2" t="s">
        <v>82</v>
      </c>
      <c r="EP109" s="2"/>
      <c r="EQ109" s="2">
        <v>0</v>
      </c>
      <c r="ER109" s="2">
        <v>82.23</v>
      </c>
      <c r="ES109" s="2">
        <v>4.83</v>
      </c>
      <c r="ET109" s="2">
        <v>0.05</v>
      </c>
      <c r="EU109" s="2">
        <v>0.01</v>
      </c>
      <c r="EV109" s="2">
        <v>77.349999999999994</v>
      </c>
      <c r="EW109" s="2">
        <v>5.7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90</v>
      </c>
      <c r="FY109" s="2">
        <v>46</v>
      </c>
      <c r="FZ109" s="2"/>
      <c r="GA109" s="2" t="s">
        <v>3</v>
      </c>
      <c r="GB109" s="2"/>
      <c r="GC109" s="2"/>
      <c r="GD109" s="2">
        <v>1</v>
      </c>
      <c r="GE109" s="2"/>
      <c r="GF109" s="2">
        <v>1726408577</v>
      </c>
      <c r="GG109" s="2">
        <v>2</v>
      </c>
      <c r="GH109" s="2">
        <v>1</v>
      </c>
      <c r="GI109" s="2">
        <v>2</v>
      </c>
      <c r="GJ109" s="2">
        <v>0</v>
      </c>
      <c r="GK109" s="2">
        <v>0</v>
      </c>
      <c r="GL109" s="2">
        <f t="shared" si="90"/>
        <v>0</v>
      </c>
      <c r="GM109" s="2">
        <f t="shared" si="91"/>
        <v>234.25</v>
      </c>
      <c r="GN109" s="2">
        <f t="shared" si="92"/>
        <v>0</v>
      </c>
      <c r="GO109" s="2">
        <f t="shared" si="93"/>
        <v>234.25</v>
      </c>
      <c r="GP109" s="2">
        <f t="shared" si="94"/>
        <v>0</v>
      </c>
      <c r="GQ109" s="2"/>
      <c r="GR109" s="2">
        <v>0</v>
      </c>
      <c r="GS109" s="2">
        <v>3</v>
      </c>
      <c r="GT109" s="2">
        <v>0</v>
      </c>
      <c r="GU109" s="2" t="s">
        <v>3</v>
      </c>
      <c r="GV109" s="2">
        <f t="shared" si="95"/>
        <v>0</v>
      </c>
      <c r="GW109" s="2">
        <v>1</v>
      </c>
      <c r="GX109" s="2">
        <f t="shared" si="96"/>
        <v>0</v>
      </c>
      <c r="GY109" s="2"/>
      <c r="GZ109" s="2"/>
      <c r="HA109" s="2">
        <v>0</v>
      </c>
      <c r="HB109" s="2">
        <v>0</v>
      </c>
      <c r="HC109" s="2">
        <f t="shared" si="97"/>
        <v>0</v>
      </c>
      <c r="HD109" s="2"/>
      <c r="HE109" s="2" t="s">
        <v>3</v>
      </c>
      <c r="HF109" s="2" t="s">
        <v>3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">
      <c r="A110" s="3">
        <v>17</v>
      </c>
      <c r="B110" s="3">
        <v>1</v>
      </c>
      <c r="C110" s="3">
        <f>ROW(SmtRes!A74)</f>
        <v>74</v>
      </c>
      <c r="D110" s="3">
        <f>ROW(EtalonRes!A88)</f>
        <v>88</v>
      </c>
      <c r="E110" s="3" t="s">
        <v>176</v>
      </c>
      <c r="F110" s="3" t="s">
        <v>20</v>
      </c>
      <c r="G110" s="3" t="s">
        <v>149</v>
      </c>
      <c r="H110" s="3" t="s">
        <v>22</v>
      </c>
      <c r="I110" s="3">
        <v>1</v>
      </c>
      <c r="J110" s="3">
        <v>0</v>
      </c>
      <c r="K110" s="3">
        <v>1</v>
      </c>
      <c r="O110" s="3">
        <f t="shared" si="73"/>
        <v>5524.82</v>
      </c>
      <c r="P110" s="3">
        <f t="shared" si="74"/>
        <v>47.53</v>
      </c>
      <c r="Q110" s="3">
        <f>(ROUND((ROUND((((ET110*1.2))*AV110*I110),2)*BB110),2)+ROUND((ROUND(((AE110-((EU110*1.2)))*AV110*I110),2)*BS110),2))</f>
        <v>1.2</v>
      </c>
      <c r="R110" s="3">
        <f>(ROUND((ROUND((((EU110*1.2))*AV110*I110),2)*BS110),2)+ROUND((ROUND(((AE110-((EU110*1.2)))*AV110*I110),2)*BS110),2))</f>
        <v>0.56000000000000005</v>
      </c>
      <c r="S110" s="3">
        <f t="shared" si="75"/>
        <v>5476.09</v>
      </c>
      <c r="T110" s="3">
        <f t="shared" si="76"/>
        <v>0</v>
      </c>
      <c r="U110" s="3">
        <f t="shared" si="77"/>
        <v>7.1614799999999992</v>
      </c>
      <c r="V110" s="3">
        <f t="shared" si="78"/>
        <v>0</v>
      </c>
      <c r="W110" s="3">
        <f t="shared" si="79"/>
        <v>0</v>
      </c>
      <c r="X110" s="3">
        <f>(ROUND((((S110+ROUND((ROUND((((EU110*1.2))*AV110*I110),2)*BS110),2))*AT110)/100),2)+ROUND(((ROUND((ROUND(((AE110-((EU110*1.2)))*AV110*I110),2)*BS110),2)*AT110)/100),2))</f>
        <v>4928.99</v>
      </c>
      <c r="Y110" s="3">
        <f>(ROUND((((S110+ROUND((ROUND((((EU110*1.2))*AV110*I110),2)*BS110),2))*AU110)/100),2)+ROUND(((ROUND((ROUND(((AE110-((EU110*1.2)))*AV110*I110),2)*BS110),2)*AU110)/100),2))</f>
        <v>2519.2600000000002</v>
      </c>
      <c r="AA110" s="3">
        <v>55915258</v>
      </c>
      <c r="AB110" s="3">
        <f t="shared" si="80"/>
        <v>97.71</v>
      </c>
      <c r="AC110" s="3">
        <f>ROUND(((ES110*1)),6)</f>
        <v>4.83</v>
      </c>
      <c r="AD110" s="3">
        <f>ROUND(((((ET110*1.2))-((EU110*1.2)))+AE110),6)</f>
        <v>0.06</v>
      </c>
      <c r="AE110" s="3">
        <f>ROUND(((EU110*1.2)),6)</f>
        <v>1.2E-2</v>
      </c>
      <c r="AF110" s="3">
        <f>ROUND(((EV110*1.2)),6)</f>
        <v>92.82</v>
      </c>
      <c r="AG110" s="3">
        <f t="shared" si="81"/>
        <v>0</v>
      </c>
      <c r="AH110" s="3">
        <f>((EW110*1.2))</f>
        <v>6.84</v>
      </c>
      <c r="AI110" s="3">
        <f>((EX110*1.2))</f>
        <v>0</v>
      </c>
      <c r="AJ110" s="3">
        <f t="shared" si="82"/>
        <v>0</v>
      </c>
      <c r="AK110" s="3">
        <v>82.23</v>
      </c>
      <c r="AL110" s="3">
        <v>4.83</v>
      </c>
      <c r="AM110" s="3">
        <v>0.05</v>
      </c>
      <c r="AN110" s="3">
        <v>0.01</v>
      </c>
      <c r="AO110" s="3">
        <v>77.349999999999994</v>
      </c>
      <c r="AP110" s="3">
        <v>0</v>
      </c>
      <c r="AQ110" s="3">
        <v>5.7</v>
      </c>
      <c r="AR110" s="3">
        <v>0</v>
      </c>
      <c r="AS110" s="3">
        <v>0</v>
      </c>
      <c r="AT110" s="3">
        <v>90</v>
      </c>
      <c r="AU110" s="3">
        <v>46</v>
      </c>
      <c r="AV110" s="3">
        <v>1.0469999999999999</v>
      </c>
      <c r="AW110" s="3">
        <v>1</v>
      </c>
      <c r="AZ110" s="3">
        <v>1</v>
      </c>
      <c r="BA110" s="3">
        <v>56.35</v>
      </c>
      <c r="BB110" s="3">
        <v>20</v>
      </c>
      <c r="BC110" s="3">
        <v>9.84</v>
      </c>
      <c r="BD110" s="3" t="s">
        <v>3</v>
      </c>
      <c r="BE110" s="3" t="s">
        <v>3</v>
      </c>
      <c r="BF110" s="3" t="s">
        <v>3</v>
      </c>
      <c r="BG110" s="3" t="s">
        <v>3</v>
      </c>
      <c r="BH110" s="3">
        <v>0</v>
      </c>
      <c r="BI110" s="3">
        <v>2</v>
      </c>
      <c r="BJ110" s="3" t="s">
        <v>23</v>
      </c>
      <c r="BM110" s="3">
        <v>68</v>
      </c>
      <c r="BN110" s="3">
        <v>0</v>
      </c>
      <c r="BO110" s="3" t="s">
        <v>20</v>
      </c>
      <c r="BP110" s="3">
        <v>1</v>
      </c>
      <c r="BQ110" s="3">
        <v>40</v>
      </c>
      <c r="BR110" s="3">
        <v>0</v>
      </c>
      <c r="BS110" s="3">
        <v>56.35</v>
      </c>
      <c r="BT110" s="3">
        <v>1</v>
      </c>
      <c r="BU110" s="3">
        <v>1</v>
      </c>
      <c r="BV110" s="3">
        <v>1</v>
      </c>
      <c r="BW110" s="3">
        <v>1</v>
      </c>
      <c r="BX110" s="3">
        <v>1</v>
      </c>
      <c r="BY110" s="3" t="s">
        <v>3</v>
      </c>
      <c r="BZ110" s="3">
        <v>90</v>
      </c>
      <c r="CA110" s="3">
        <v>46</v>
      </c>
      <c r="CB110" s="3" t="s">
        <v>3</v>
      </c>
      <c r="CE110" s="3">
        <v>1566</v>
      </c>
      <c r="CF110" s="3">
        <v>0</v>
      </c>
      <c r="CG110" s="3">
        <v>0</v>
      </c>
      <c r="CM110" s="3">
        <v>0</v>
      </c>
      <c r="CN110" s="3" t="s">
        <v>605</v>
      </c>
      <c r="CO110" s="3">
        <v>0</v>
      </c>
      <c r="CP110" s="3">
        <f t="shared" si="83"/>
        <v>5524.82</v>
      </c>
      <c r="CQ110" s="3">
        <f t="shared" si="84"/>
        <v>47.53</v>
      </c>
      <c r="CR110" s="3">
        <f>(ROUND((ROUND((((ET110*1.2))*AV110*1),2)*BB110),2)+ROUND((ROUND(((AE110-((EU110*1.2)))*AV110*1),2)*BS110),2))</f>
        <v>1.2</v>
      </c>
      <c r="CS110" s="3">
        <f>(ROUND((ROUND((((EU110*1.2))*AV110*1),2)*BS110),2)+ROUND((ROUND(((AE110-((EU110*1.2)))*AV110*1),2)*BS110),2))</f>
        <v>0.56000000000000005</v>
      </c>
      <c r="CT110" s="3">
        <f t="shared" si="85"/>
        <v>5476.09</v>
      </c>
      <c r="CU110" s="3">
        <f t="shared" si="86"/>
        <v>0</v>
      </c>
      <c r="CV110" s="3">
        <f t="shared" si="87"/>
        <v>7.1614799999999992</v>
      </c>
      <c r="CW110" s="3">
        <f t="shared" si="88"/>
        <v>0</v>
      </c>
      <c r="CX110" s="3">
        <f t="shared" si="89"/>
        <v>0</v>
      </c>
      <c r="CY110" s="3">
        <f>(ROUND((((S110+ROUND((ROUND((((EU110*1.2))*AV110*1),2)*BS110),2))*AT110)/100),2)+ROUND(((ROUND((ROUND(((AE110-((EU110*1.2)))*AV110*1),2)*BS110),2)*AT110)/100),2))</f>
        <v>4928.99</v>
      </c>
      <c r="CZ110" s="3">
        <f>(ROUND((((S110+ROUND((ROUND((((EU110*1.2))*AV110*1),2)*BS110),2))*AU110)/100),2)+ROUND(((ROUND((ROUND(((AE110-((EU110*1.2)))*AV110*1),2)*BS110),2)*AU110)/100),2))</f>
        <v>2519.2600000000002</v>
      </c>
      <c r="DB110" s="3">
        <v>66</v>
      </c>
      <c r="DC110" s="3" t="s">
        <v>3</v>
      </c>
      <c r="DD110" s="3" t="s">
        <v>77</v>
      </c>
      <c r="DE110" s="3" t="s">
        <v>78</v>
      </c>
      <c r="DF110" s="3" t="s">
        <v>78</v>
      </c>
      <c r="DG110" s="3" t="s">
        <v>78</v>
      </c>
      <c r="DH110" s="3" t="s">
        <v>3</v>
      </c>
      <c r="DI110" s="3" t="s">
        <v>78</v>
      </c>
      <c r="DJ110" s="3" t="s">
        <v>78</v>
      </c>
      <c r="DK110" s="3" t="s">
        <v>3</v>
      </c>
      <c r="DL110" s="3" t="s">
        <v>3</v>
      </c>
      <c r="DM110" s="3" t="s">
        <v>3</v>
      </c>
      <c r="DN110" s="3">
        <v>0</v>
      </c>
      <c r="DO110" s="3">
        <v>0</v>
      </c>
      <c r="DP110" s="3">
        <v>1</v>
      </c>
      <c r="DQ110" s="3">
        <v>1</v>
      </c>
      <c r="DU110" s="3">
        <v>1013</v>
      </c>
      <c r="DV110" s="3" t="s">
        <v>22</v>
      </c>
      <c r="DW110" s="3" t="s">
        <v>22</v>
      </c>
      <c r="DX110" s="3">
        <v>1</v>
      </c>
      <c r="DZ110" s="3" t="s">
        <v>3</v>
      </c>
      <c r="EA110" s="3" t="s">
        <v>3</v>
      </c>
      <c r="EB110" s="3" t="s">
        <v>3</v>
      </c>
      <c r="EC110" s="3" t="s">
        <v>3</v>
      </c>
      <c r="EE110" s="3">
        <v>55393700</v>
      </c>
      <c r="EF110" s="3">
        <v>40</v>
      </c>
      <c r="EG110" s="3" t="s">
        <v>26</v>
      </c>
      <c r="EH110" s="3">
        <v>0</v>
      </c>
      <c r="EI110" s="3" t="s">
        <v>3</v>
      </c>
      <c r="EJ110" s="3">
        <v>2</v>
      </c>
      <c r="EK110" s="3">
        <v>68</v>
      </c>
      <c r="EL110" s="3" t="s">
        <v>27</v>
      </c>
      <c r="EM110" s="3" t="s">
        <v>28</v>
      </c>
      <c r="EO110" s="3" t="s">
        <v>82</v>
      </c>
      <c r="EQ110" s="3">
        <v>0</v>
      </c>
      <c r="ER110" s="3">
        <v>82.23</v>
      </c>
      <c r="ES110" s="3">
        <v>4.83</v>
      </c>
      <c r="ET110" s="3">
        <v>0.05</v>
      </c>
      <c r="EU110" s="3">
        <v>0.01</v>
      </c>
      <c r="EV110" s="3">
        <v>77.349999999999994</v>
      </c>
      <c r="EW110" s="3">
        <v>5.7</v>
      </c>
      <c r="EX110" s="3">
        <v>0</v>
      </c>
      <c r="EY110" s="3">
        <v>0</v>
      </c>
      <c r="FQ110" s="3">
        <v>0</v>
      </c>
      <c r="FR110" s="3">
        <v>0</v>
      </c>
      <c r="FS110" s="3">
        <v>0</v>
      </c>
      <c r="FX110" s="3">
        <v>90</v>
      </c>
      <c r="FY110" s="3">
        <v>46</v>
      </c>
      <c r="GA110" s="3" t="s">
        <v>3</v>
      </c>
      <c r="GD110" s="3">
        <v>1</v>
      </c>
      <c r="GF110" s="3">
        <v>1726408577</v>
      </c>
      <c r="GG110" s="3">
        <v>2</v>
      </c>
      <c r="GH110" s="3">
        <v>1</v>
      </c>
      <c r="GI110" s="3">
        <v>2</v>
      </c>
      <c r="GJ110" s="3">
        <v>0</v>
      </c>
      <c r="GK110" s="3">
        <v>0</v>
      </c>
      <c r="GL110" s="3">
        <f t="shared" si="90"/>
        <v>0</v>
      </c>
      <c r="GM110" s="3">
        <f t="shared" si="91"/>
        <v>12973.07</v>
      </c>
      <c r="GN110" s="3">
        <f t="shared" si="92"/>
        <v>0</v>
      </c>
      <c r="GO110" s="3">
        <f t="shared" si="93"/>
        <v>12973.07</v>
      </c>
      <c r="GP110" s="3">
        <f t="shared" si="94"/>
        <v>0</v>
      </c>
      <c r="GR110" s="3">
        <v>0</v>
      </c>
      <c r="GS110" s="3">
        <v>3</v>
      </c>
      <c r="GT110" s="3">
        <v>0</v>
      </c>
      <c r="GU110" s="3" t="s">
        <v>3</v>
      </c>
      <c r="GV110" s="3">
        <f t="shared" si="95"/>
        <v>0</v>
      </c>
      <c r="GW110" s="3">
        <v>1</v>
      </c>
      <c r="GX110" s="3">
        <f t="shared" si="96"/>
        <v>0</v>
      </c>
      <c r="HA110" s="3">
        <v>0</v>
      </c>
      <c r="HB110" s="3">
        <v>0</v>
      </c>
      <c r="HC110" s="3">
        <f t="shared" si="97"/>
        <v>0</v>
      </c>
      <c r="HE110" s="3" t="s">
        <v>3</v>
      </c>
      <c r="HF110" s="3" t="s">
        <v>3</v>
      </c>
      <c r="HM110" s="3" t="s">
        <v>3</v>
      </c>
      <c r="HN110" s="3" t="s">
        <v>3</v>
      </c>
      <c r="HO110" s="3" t="s">
        <v>3</v>
      </c>
      <c r="HP110" s="3" t="s">
        <v>3</v>
      </c>
      <c r="HQ110" s="3" t="s">
        <v>3</v>
      </c>
      <c r="HS110" s="3">
        <v>0</v>
      </c>
      <c r="IK110" s="3">
        <v>0</v>
      </c>
    </row>
    <row r="111" spans="1:255" x14ac:dyDescent="0.2">
      <c r="A111" s="2">
        <v>17</v>
      </c>
      <c r="B111" s="2">
        <v>1</v>
      </c>
      <c r="C111" s="2"/>
      <c r="D111" s="2"/>
      <c r="E111" s="2" t="s">
        <v>177</v>
      </c>
      <c r="F111" s="2" t="s">
        <v>178</v>
      </c>
      <c r="G111" s="2" t="s">
        <v>179</v>
      </c>
      <c r="H111" s="2" t="s">
        <v>153</v>
      </c>
      <c r="I111" s="2">
        <v>1</v>
      </c>
      <c r="J111" s="2">
        <v>0</v>
      </c>
      <c r="K111" s="2">
        <v>1</v>
      </c>
      <c r="L111" s="2"/>
      <c r="M111" s="2"/>
      <c r="N111" s="2"/>
      <c r="O111" s="2">
        <f t="shared" si="73"/>
        <v>1506.49</v>
      </c>
      <c r="P111" s="2">
        <f t="shared" si="74"/>
        <v>1506.49</v>
      </c>
      <c r="Q111" s="2">
        <f>(ROUND((ROUND(((ET111)*AV111*I111),2)*BB111),2)+ROUND((ROUND(((AE111-(EU111))*AV111*I111),2)*BS111),2))</f>
        <v>0</v>
      </c>
      <c r="R111" s="2">
        <f>(ROUND((ROUND(((EU111)*AV111*I111),2)*BS111),2)+ROUND((ROUND(((AE111-(EU111))*AV111*I111),2)*BS111),2))</f>
        <v>0</v>
      </c>
      <c r="S111" s="2">
        <f t="shared" si="75"/>
        <v>0</v>
      </c>
      <c r="T111" s="2">
        <f t="shared" si="76"/>
        <v>0</v>
      </c>
      <c r="U111" s="2">
        <f t="shared" si="77"/>
        <v>0</v>
      </c>
      <c r="V111" s="2">
        <f t="shared" si="78"/>
        <v>0</v>
      </c>
      <c r="W111" s="2">
        <f t="shared" si="79"/>
        <v>0</v>
      </c>
      <c r="X111" s="2">
        <f>(ROUND((((S111+ROUND((ROUND(((EU111)*AV111*I111),2)*BS111),2))*AT111)/100),2)+ROUND(((ROUND((ROUND(((AE111-(EU111))*AV111*I111),2)*BS111),2)*AT111)/100),2))</f>
        <v>0</v>
      </c>
      <c r="Y111" s="2">
        <f>(ROUND((((S111+ROUND((ROUND(((EU111)*AV111*I111),2)*BS111),2))*AU111)/100),2)+ROUND(((ROUND((ROUND(((AE111-(EU111))*AV111*I111),2)*BS111),2)*AU111)/100),2))</f>
        <v>0</v>
      </c>
      <c r="Z111" s="2"/>
      <c r="AA111" s="2">
        <v>55915256</v>
      </c>
      <c r="AB111" s="2">
        <f t="shared" si="80"/>
        <v>1506.49</v>
      </c>
      <c r="AC111" s="2">
        <f>ROUND((ES111),6)</f>
        <v>1506.49</v>
      </c>
      <c r="AD111" s="2">
        <f>ROUND((((ET111)-(EU111))+AE111),6)</f>
        <v>0</v>
      </c>
      <c r="AE111" s="2">
        <f>ROUND((EU111),6)</f>
        <v>0</v>
      </c>
      <c r="AF111" s="2">
        <f>ROUND((EV111),6)</f>
        <v>0</v>
      </c>
      <c r="AG111" s="2">
        <f t="shared" si="81"/>
        <v>0</v>
      </c>
      <c r="AH111" s="2">
        <f>(EW111)</f>
        <v>0</v>
      </c>
      <c r="AI111" s="2">
        <f>(EX111)</f>
        <v>0</v>
      </c>
      <c r="AJ111" s="2">
        <f t="shared" si="82"/>
        <v>0</v>
      </c>
      <c r="AK111" s="2">
        <v>1506.4899999999998</v>
      </c>
      <c r="AL111" s="2">
        <v>1506.4899999999998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1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3</v>
      </c>
      <c r="BI111" s="2">
        <v>3</v>
      </c>
      <c r="BJ111" s="2" t="s">
        <v>178</v>
      </c>
      <c r="BK111" s="2"/>
      <c r="BL111" s="2"/>
      <c r="BM111" s="2">
        <v>400007</v>
      </c>
      <c r="BN111" s="2">
        <v>0</v>
      </c>
      <c r="BO111" s="2" t="s">
        <v>3</v>
      </c>
      <c r="BP111" s="2">
        <v>0</v>
      </c>
      <c r="BQ111" s="2">
        <v>214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0</v>
      </c>
      <c r="CA111" s="2">
        <v>0</v>
      </c>
      <c r="CB111" s="2" t="s">
        <v>3</v>
      </c>
      <c r="CC111" s="2"/>
      <c r="CD111" s="2"/>
      <c r="CE111" s="2">
        <v>1566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3</v>
      </c>
      <c r="CO111" s="2">
        <v>0</v>
      </c>
      <c r="CP111" s="2">
        <f t="shared" si="83"/>
        <v>1506.49</v>
      </c>
      <c r="CQ111" s="2">
        <f t="shared" si="84"/>
        <v>1506.49</v>
      </c>
      <c r="CR111" s="2">
        <f>(ROUND((ROUND(((ET111)*AV111*1),2)*BB111),2)+ROUND((ROUND(((AE111-(EU111))*AV111*1),2)*BS111),2))</f>
        <v>0</v>
      </c>
      <c r="CS111" s="2">
        <f>(ROUND((ROUND(((EU111)*AV111*1),2)*BS111),2)+ROUND((ROUND(((AE111-(EU111))*AV111*1),2)*BS111),2))</f>
        <v>0</v>
      </c>
      <c r="CT111" s="2">
        <f t="shared" si="85"/>
        <v>0</v>
      </c>
      <c r="CU111" s="2">
        <f t="shared" si="86"/>
        <v>0</v>
      </c>
      <c r="CV111" s="2">
        <f t="shared" si="87"/>
        <v>0</v>
      </c>
      <c r="CW111" s="2">
        <f t="shared" si="88"/>
        <v>0</v>
      </c>
      <c r="CX111" s="2">
        <f t="shared" si="89"/>
        <v>0</v>
      </c>
      <c r="CY111" s="2">
        <f>(ROUND((((S111+ROUND((ROUND(((EU111)*AV111*1),2)*BS111),2))*AT111)/100),2)+ROUND(((ROUND((ROUND(((AE111-(EU111))*AV111*1),2)*BS111),2)*AT111)/100),2))</f>
        <v>0</v>
      </c>
      <c r="CZ111" s="2">
        <f>(ROUND((((S111+ROUND((ROUND(((EU111)*AV111*1),2)*BS111),2))*AU111)/100),2)+ROUND(((ROUND((ROUND(((AE111-(EU111))*AV111*1),2)*BS111),2)*AU111)/100),2))</f>
        <v>0</v>
      </c>
      <c r="DA111" s="2"/>
      <c r="DB111" s="2"/>
      <c r="DC111" s="2" t="s">
        <v>3</v>
      </c>
      <c r="DD111" s="2" t="s">
        <v>3</v>
      </c>
      <c r="DE111" s="2" t="s">
        <v>3</v>
      </c>
      <c r="DF111" s="2" t="s">
        <v>3</v>
      </c>
      <c r="DG111" s="2" t="s">
        <v>3</v>
      </c>
      <c r="DH111" s="2" t="s">
        <v>3</v>
      </c>
      <c r="DI111" s="2" t="s">
        <v>3</v>
      </c>
      <c r="DJ111" s="2" t="s">
        <v>3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1013</v>
      </c>
      <c r="DV111" s="2" t="s">
        <v>153</v>
      </c>
      <c r="DW111" s="2" t="s">
        <v>153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55393630</v>
      </c>
      <c r="EF111" s="2">
        <v>214</v>
      </c>
      <c r="EG111" s="2" t="s">
        <v>154</v>
      </c>
      <c r="EH111" s="2">
        <v>0</v>
      </c>
      <c r="EI111" s="2" t="s">
        <v>3</v>
      </c>
      <c r="EJ111" s="2">
        <v>3</v>
      </c>
      <c r="EK111" s="2">
        <v>400007</v>
      </c>
      <c r="EL111" s="2" t="s">
        <v>154</v>
      </c>
      <c r="EM111" s="2" t="s">
        <v>155</v>
      </c>
      <c r="EN111" s="2"/>
      <c r="EO111" s="2" t="s">
        <v>3</v>
      </c>
      <c r="EP111" s="2"/>
      <c r="EQ111" s="2">
        <v>16</v>
      </c>
      <c r="ER111" s="2">
        <v>0</v>
      </c>
      <c r="ES111" s="2">
        <v>1506.4899999999998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f>P111</f>
        <v>1506.49</v>
      </c>
      <c r="FS111" s="2">
        <v>0</v>
      </c>
      <c r="FT111" s="2"/>
      <c r="FU111" s="2"/>
      <c r="FV111" s="2"/>
      <c r="FW111" s="2"/>
      <c r="FX111" s="2">
        <v>0</v>
      </c>
      <c r="FY111" s="2">
        <v>0</v>
      </c>
      <c r="FZ111" s="2"/>
      <c r="GA111" s="2" t="s">
        <v>180</v>
      </c>
      <c r="GB111" s="2"/>
      <c r="GC111" s="2"/>
      <c r="GD111" s="2">
        <v>1</v>
      </c>
      <c r="GE111" s="2"/>
      <c r="GF111" s="2">
        <v>-1659596888</v>
      </c>
      <c r="GG111" s="2">
        <v>2</v>
      </c>
      <c r="GH111" s="2">
        <v>4</v>
      </c>
      <c r="GI111" s="2">
        <v>-2</v>
      </c>
      <c r="GJ111" s="2">
        <v>0</v>
      </c>
      <c r="GK111" s="2">
        <v>0</v>
      </c>
      <c r="GL111" s="2">
        <f t="shared" si="90"/>
        <v>0</v>
      </c>
      <c r="GM111" s="2">
        <f t="shared" si="91"/>
        <v>1506.49</v>
      </c>
      <c r="GN111" s="2">
        <f t="shared" si="92"/>
        <v>0</v>
      </c>
      <c r="GO111" s="2">
        <f t="shared" si="93"/>
        <v>0</v>
      </c>
      <c r="GP111" s="2">
        <f t="shared" si="94"/>
        <v>0</v>
      </c>
      <c r="GQ111" s="2"/>
      <c r="GR111" s="2">
        <v>1</v>
      </c>
      <c r="GS111" s="2">
        <v>2</v>
      </c>
      <c r="GT111" s="2">
        <v>0</v>
      </c>
      <c r="GU111" s="2" t="s">
        <v>3</v>
      </c>
      <c r="GV111" s="2">
        <f t="shared" si="95"/>
        <v>0</v>
      </c>
      <c r="GW111" s="2">
        <v>1</v>
      </c>
      <c r="GX111" s="2">
        <f t="shared" si="96"/>
        <v>0</v>
      </c>
      <c r="GY111" s="2"/>
      <c r="GZ111" s="2"/>
      <c r="HA111" s="2">
        <v>0</v>
      </c>
      <c r="HB111" s="2">
        <v>0</v>
      </c>
      <c r="HC111" s="2">
        <f t="shared" si="97"/>
        <v>0</v>
      </c>
      <c r="HD111" s="2"/>
      <c r="HE111" s="2" t="s">
        <v>34</v>
      </c>
      <c r="HF111" s="2" t="s">
        <v>157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">
      <c r="A112" s="3">
        <v>17</v>
      </c>
      <c r="B112" s="3">
        <v>1</v>
      </c>
      <c r="E112" s="3" t="s">
        <v>177</v>
      </c>
      <c r="F112" s="3" t="s">
        <v>178</v>
      </c>
      <c r="G112" s="3" t="s">
        <v>179</v>
      </c>
      <c r="H112" s="3" t="s">
        <v>153</v>
      </c>
      <c r="I112" s="3">
        <v>1</v>
      </c>
      <c r="J112" s="3">
        <v>0</v>
      </c>
      <c r="K112" s="3">
        <v>1</v>
      </c>
      <c r="O112" s="3">
        <f t="shared" si="73"/>
        <v>14823.86</v>
      </c>
      <c r="P112" s="3">
        <f t="shared" si="74"/>
        <v>14823.86</v>
      </c>
      <c r="Q112" s="3">
        <f>(ROUND((ROUND(((ET112)*AV112*I112),2)*BB112),2)+ROUND((ROUND(((AE112-(EU112))*AV112*I112),2)*BS112),2))</f>
        <v>0</v>
      </c>
      <c r="R112" s="3">
        <f>(ROUND((ROUND(((EU112)*AV112*I112),2)*BS112),2)+ROUND((ROUND(((AE112-(EU112))*AV112*I112),2)*BS112),2))</f>
        <v>0</v>
      </c>
      <c r="S112" s="3">
        <f t="shared" si="75"/>
        <v>0</v>
      </c>
      <c r="T112" s="3">
        <f t="shared" si="76"/>
        <v>0</v>
      </c>
      <c r="U112" s="3">
        <f t="shared" si="77"/>
        <v>0</v>
      </c>
      <c r="V112" s="3">
        <f t="shared" si="78"/>
        <v>0</v>
      </c>
      <c r="W112" s="3">
        <f t="shared" si="79"/>
        <v>0</v>
      </c>
      <c r="X112" s="3">
        <f>(ROUND((((S112+ROUND((ROUND(((EU112)*AV112*I112),2)*BS112),2))*AT112)/100),2)+ROUND(((ROUND((ROUND(((AE112-(EU112))*AV112*I112),2)*BS112),2)*AT112)/100),2))</f>
        <v>0</v>
      </c>
      <c r="Y112" s="3">
        <f>(ROUND((((S112+ROUND((ROUND(((EU112)*AV112*I112),2)*BS112),2))*AU112)/100),2)+ROUND(((ROUND((ROUND(((AE112-(EU112))*AV112*I112),2)*BS112),2)*AU112)/100),2))</f>
        <v>0</v>
      </c>
      <c r="AA112" s="3">
        <v>55915258</v>
      </c>
      <c r="AB112" s="3">
        <f t="shared" si="80"/>
        <v>1506.49</v>
      </c>
      <c r="AC112" s="3">
        <f>ROUND((ES112),6)</f>
        <v>1506.49</v>
      </c>
      <c r="AD112" s="3">
        <f>ROUND((((ET112)-(EU112))+AE112),6)</f>
        <v>0</v>
      </c>
      <c r="AE112" s="3">
        <f>ROUND((EU112),6)</f>
        <v>0</v>
      </c>
      <c r="AF112" s="3">
        <f>ROUND((EV112),6)</f>
        <v>0</v>
      </c>
      <c r="AG112" s="3">
        <f t="shared" si="81"/>
        <v>0</v>
      </c>
      <c r="AH112" s="3">
        <f>(EW112)</f>
        <v>0</v>
      </c>
      <c r="AI112" s="3">
        <f>(EX112)</f>
        <v>0</v>
      </c>
      <c r="AJ112" s="3">
        <f t="shared" si="82"/>
        <v>0</v>
      </c>
      <c r="AK112" s="3">
        <v>1506.4899999999998</v>
      </c>
      <c r="AL112" s="3">
        <v>1506.4899999999998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1</v>
      </c>
      <c r="AW112" s="3">
        <v>1</v>
      </c>
      <c r="AZ112" s="3">
        <v>1</v>
      </c>
      <c r="BA112" s="3">
        <v>1</v>
      </c>
      <c r="BB112" s="3">
        <v>1</v>
      </c>
      <c r="BC112" s="3">
        <v>9.84</v>
      </c>
      <c r="BD112" s="3" t="s">
        <v>3</v>
      </c>
      <c r="BE112" s="3" t="s">
        <v>3</v>
      </c>
      <c r="BF112" s="3" t="s">
        <v>3</v>
      </c>
      <c r="BG112" s="3" t="s">
        <v>3</v>
      </c>
      <c r="BH112" s="3">
        <v>3</v>
      </c>
      <c r="BI112" s="3">
        <v>3</v>
      </c>
      <c r="BJ112" s="3" t="s">
        <v>178</v>
      </c>
      <c r="BM112" s="3">
        <v>400007</v>
      </c>
      <c r="BN112" s="3">
        <v>0</v>
      </c>
      <c r="BO112" s="3" t="s">
        <v>3</v>
      </c>
      <c r="BP112" s="3">
        <v>0</v>
      </c>
      <c r="BQ112" s="3">
        <v>214</v>
      </c>
      <c r="BR112" s="3">
        <v>0</v>
      </c>
      <c r="BS112" s="3">
        <v>1</v>
      </c>
      <c r="BT112" s="3">
        <v>1</v>
      </c>
      <c r="BU112" s="3">
        <v>1</v>
      </c>
      <c r="BV112" s="3">
        <v>1</v>
      </c>
      <c r="BW112" s="3">
        <v>1</v>
      </c>
      <c r="BX112" s="3">
        <v>1</v>
      </c>
      <c r="BY112" s="3" t="s">
        <v>3</v>
      </c>
      <c r="BZ112" s="3">
        <v>0</v>
      </c>
      <c r="CA112" s="3">
        <v>0</v>
      </c>
      <c r="CB112" s="3" t="s">
        <v>3</v>
      </c>
      <c r="CE112" s="3">
        <v>1566</v>
      </c>
      <c r="CF112" s="3">
        <v>0</v>
      </c>
      <c r="CG112" s="3">
        <v>0</v>
      </c>
      <c r="CM112" s="3">
        <v>0</v>
      </c>
      <c r="CN112" s="3" t="s">
        <v>3</v>
      </c>
      <c r="CO112" s="3">
        <v>0</v>
      </c>
      <c r="CP112" s="3">
        <f t="shared" si="83"/>
        <v>14823.86</v>
      </c>
      <c r="CQ112" s="3">
        <f t="shared" si="84"/>
        <v>14823.86</v>
      </c>
      <c r="CR112" s="3">
        <f>(ROUND((ROUND(((ET112)*AV112*1),2)*BB112),2)+ROUND((ROUND(((AE112-(EU112))*AV112*1),2)*BS112),2))</f>
        <v>0</v>
      </c>
      <c r="CS112" s="3">
        <f>(ROUND((ROUND(((EU112)*AV112*1),2)*BS112),2)+ROUND((ROUND(((AE112-(EU112))*AV112*1),2)*BS112),2))</f>
        <v>0</v>
      </c>
      <c r="CT112" s="3">
        <f t="shared" si="85"/>
        <v>0</v>
      </c>
      <c r="CU112" s="3">
        <f t="shared" si="86"/>
        <v>0</v>
      </c>
      <c r="CV112" s="3">
        <f t="shared" si="87"/>
        <v>0</v>
      </c>
      <c r="CW112" s="3">
        <f t="shared" si="88"/>
        <v>0</v>
      </c>
      <c r="CX112" s="3">
        <f t="shared" si="89"/>
        <v>0</v>
      </c>
      <c r="CY112" s="3">
        <f>(ROUND((((S112+ROUND((ROUND(((EU112)*AV112*1),2)*BS112),2))*AT112)/100),2)+ROUND(((ROUND((ROUND(((AE112-(EU112))*AV112*1),2)*BS112),2)*AT112)/100),2))</f>
        <v>0</v>
      </c>
      <c r="CZ112" s="3">
        <f>(ROUND((((S112+ROUND((ROUND(((EU112)*AV112*1),2)*BS112),2))*AU112)/100),2)+ROUND(((ROUND((ROUND(((AE112-(EU112))*AV112*1),2)*BS112),2)*AU112)/100),2))</f>
        <v>0</v>
      </c>
      <c r="DC112" s="3" t="s">
        <v>3</v>
      </c>
      <c r="DD112" s="3" t="s">
        <v>3</v>
      </c>
      <c r="DE112" s="3" t="s">
        <v>3</v>
      </c>
      <c r="DF112" s="3" t="s">
        <v>3</v>
      </c>
      <c r="DG112" s="3" t="s">
        <v>3</v>
      </c>
      <c r="DH112" s="3" t="s">
        <v>3</v>
      </c>
      <c r="DI112" s="3" t="s">
        <v>3</v>
      </c>
      <c r="DJ112" s="3" t="s">
        <v>3</v>
      </c>
      <c r="DK112" s="3" t="s">
        <v>3</v>
      </c>
      <c r="DL112" s="3" t="s">
        <v>3</v>
      </c>
      <c r="DM112" s="3" t="s">
        <v>3</v>
      </c>
      <c r="DN112" s="3">
        <v>0</v>
      </c>
      <c r="DO112" s="3">
        <v>0</v>
      </c>
      <c r="DP112" s="3">
        <v>1</v>
      </c>
      <c r="DQ112" s="3">
        <v>1</v>
      </c>
      <c r="DU112" s="3">
        <v>1013</v>
      </c>
      <c r="DV112" s="3" t="s">
        <v>153</v>
      </c>
      <c r="DW112" s="3" t="s">
        <v>153</v>
      </c>
      <c r="DX112" s="3">
        <v>1</v>
      </c>
      <c r="DZ112" s="3" t="s">
        <v>3</v>
      </c>
      <c r="EA112" s="3" t="s">
        <v>3</v>
      </c>
      <c r="EB112" s="3" t="s">
        <v>3</v>
      </c>
      <c r="EC112" s="3" t="s">
        <v>3</v>
      </c>
      <c r="EE112" s="3">
        <v>55393630</v>
      </c>
      <c r="EF112" s="3">
        <v>214</v>
      </c>
      <c r="EG112" s="3" t="s">
        <v>154</v>
      </c>
      <c r="EH112" s="3">
        <v>0</v>
      </c>
      <c r="EI112" s="3" t="s">
        <v>3</v>
      </c>
      <c r="EJ112" s="3">
        <v>3</v>
      </c>
      <c r="EK112" s="3">
        <v>400007</v>
      </c>
      <c r="EL112" s="3" t="s">
        <v>154</v>
      </c>
      <c r="EM112" s="3" t="s">
        <v>155</v>
      </c>
      <c r="EO112" s="3" t="s">
        <v>3</v>
      </c>
      <c r="EQ112" s="3">
        <v>16</v>
      </c>
      <c r="ER112" s="3">
        <v>0</v>
      </c>
      <c r="ES112" s="3">
        <v>1506.4899999999998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5</v>
      </c>
      <c r="FC112" s="3">
        <v>1</v>
      </c>
      <c r="FD112" s="3">
        <v>18</v>
      </c>
      <c r="FF112" s="3">
        <v>17350.2</v>
      </c>
      <c r="FQ112" s="3">
        <v>0</v>
      </c>
      <c r="FR112" s="3">
        <f>P112</f>
        <v>14823.86</v>
      </c>
      <c r="FS112" s="3">
        <v>0</v>
      </c>
      <c r="FX112" s="3">
        <v>0</v>
      </c>
      <c r="FY112" s="3">
        <v>0</v>
      </c>
      <c r="GA112" s="3" t="s">
        <v>180</v>
      </c>
      <c r="GD112" s="3">
        <v>1</v>
      </c>
      <c r="GF112" s="3">
        <v>-1659596888</v>
      </c>
      <c r="GG112" s="3">
        <v>2</v>
      </c>
      <c r="GH112" s="3">
        <v>3</v>
      </c>
      <c r="GI112" s="3">
        <v>5</v>
      </c>
      <c r="GJ112" s="3">
        <v>0</v>
      </c>
      <c r="GK112" s="3">
        <v>0</v>
      </c>
      <c r="GL112" s="3">
        <f t="shared" si="90"/>
        <v>0</v>
      </c>
      <c r="GM112" s="3">
        <f t="shared" si="91"/>
        <v>14823.86</v>
      </c>
      <c r="GN112" s="3">
        <f t="shared" si="92"/>
        <v>0</v>
      </c>
      <c r="GO112" s="3">
        <f t="shared" si="93"/>
        <v>0</v>
      </c>
      <c r="GP112" s="3">
        <f t="shared" si="94"/>
        <v>0</v>
      </c>
      <c r="GR112" s="3">
        <v>1</v>
      </c>
      <c r="GS112" s="3">
        <v>1</v>
      </c>
      <c r="GT112" s="3">
        <v>0</v>
      </c>
      <c r="GU112" s="3" t="s">
        <v>3</v>
      </c>
      <c r="GV112" s="3">
        <f t="shared" si="95"/>
        <v>0</v>
      </c>
      <c r="GW112" s="3">
        <v>1</v>
      </c>
      <c r="GX112" s="3">
        <f t="shared" si="96"/>
        <v>0</v>
      </c>
      <c r="HA112" s="3">
        <v>0</v>
      </c>
      <c r="HB112" s="3">
        <v>0</v>
      </c>
      <c r="HC112" s="3">
        <f t="shared" si="97"/>
        <v>0</v>
      </c>
      <c r="HE112" s="3" t="s">
        <v>34</v>
      </c>
      <c r="HF112" s="3" t="s">
        <v>157</v>
      </c>
      <c r="HM112" s="3" t="s">
        <v>3</v>
      </c>
      <c r="HN112" s="3" t="s">
        <v>3</v>
      </c>
      <c r="HO112" s="3" t="s">
        <v>3</v>
      </c>
      <c r="HP112" s="3" t="s">
        <v>3</v>
      </c>
      <c r="HQ112" s="3" t="s">
        <v>3</v>
      </c>
      <c r="HS112" s="3">
        <v>0</v>
      </c>
      <c r="IK112" s="3">
        <v>0</v>
      </c>
    </row>
    <row r="113" spans="1:255" x14ac:dyDescent="0.2">
      <c r="A113" s="2">
        <v>17</v>
      </c>
      <c r="B113" s="2">
        <v>1</v>
      </c>
      <c r="C113" s="2">
        <f>ROW(SmtRes!A75)</f>
        <v>75</v>
      </c>
      <c r="D113" s="2">
        <f>ROW(EtalonRes!A89)</f>
        <v>89</v>
      </c>
      <c r="E113" s="2" t="s">
        <v>181</v>
      </c>
      <c r="F113" s="2" t="s">
        <v>45</v>
      </c>
      <c r="G113" s="2" t="s">
        <v>182</v>
      </c>
      <c r="H113" s="2" t="s">
        <v>22</v>
      </c>
      <c r="I113" s="2">
        <v>1</v>
      </c>
      <c r="J113" s="2">
        <v>0</v>
      </c>
      <c r="K113" s="2">
        <v>1</v>
      </c>
      <c r="L113" s="2"/>
      <c r="M113" s="2"/>
      <c r="N113" s="2"/>
      <c r="O113" s="2">
        <f t="shared" si="73"/>
        <v>32.44</v>
      </c>
      <c r="P113" s="2">
        <f t="shared" si="74"/>
        <v>3.43</v>
      </c>
      <c r="Q113" s="2">
        <f>(ROUND((ROUND((((ET113*1.2))*AV113*I113),2)*BB113),2)+ROUND((ROUND(((AE113-((EU113*1.2)))*AV113*I113),2)*BS113),2))</f>
        <v>0.06</v>
      </c>
      <c r="R113" s="2">
        <f>(ROUND((ROUND((((EU113*1.2))*AV113*I113),2)*BS113),2)+ROUND((ROUND(((AE113-((EU113*1.2)))*AV113*I113),2)*BS113),2))</f>
        <v>0.01</v>
      </c>
      <c r="S113" s="2">
        <f t="shared" si="75"/>
        <v>28.95</v>
      </c>
      <c r="T113" s="2">
        <f t="shared" si="76"/>
        <v>0</v>
      </c>
      <c r="U113" s="2">
        <f t="shared" si="77"/>
        <v>2.26152</v>
      </c>
      <c r="V113" s="2">
        <f t="shared" si="78"/>
        <v>0</v>
      </c>
      <c r="W113" s="2">
        <f t="shared" si="79"/>
        <v>0</v>
      </c>
      <c r="X113" s="2">
        <f>(ROUND((((S113+ROUND((ROUND((((EU113*1.2))*AV113*I113),2)*BS113),2))*AT113)/100),2)+ROUND(((ROUND((ROUND(((AE113-((EU113*1.2)))*AV113*I113),2)*BS113),2)*AT113)/100),2))</f>
        <v>26.06</v>
      </c>
      <c r="Y113" s="2">
        <f>(ROUND((((S113+ROUND((ROUND((((EU113*1.2))*AV113*I113),2)*BS113),2))*AU113)/100),2)+ROUND(((ROUND((ROUND(((AE113-((EU113*1.2)))*AV113*I113),2)*BS113),2)*AU113)/100),2))</f>
        <v>13.32</v>
      </c>
      <c r="Z113" s="2"/>
      <c r="AA113" s="2">
        <v>55915256</v>
      </c>
      <c r="AB113" s="2">
        <f t="shared" si="80"/>
        <v>31.138000000000002</v>
      </c>
      <c r="AC113" s="2">
        <f>ROUND(((ES113*1)),6)</f>
        <v>3.43</v>
      </c>
      <c r="AD113" s="2">
        <f>ROUND(((((ET113*1.2))-((EU113*1.2)))+AE113),6)</f>
        <v>0.06</v>
      </c>
      <c r="AE113" s="2">
        <f>ROUND(((EU113*1.2)),6)</f>
        <v>1.2E-2</v>
      </c>
      <c r="AF113" s="2">
        <f>ROUND(((EV113*1.2)),6)</f>
        <v>27.648</v>
      </c>
      <c r="AG113" s="2">
        <f t="shared" si="81"/>
        <v>0</v>
      </c>
      <c r="AH113" s="2">
        <f>((EW113*1.2))</f>
        <v>2.16</v>
      </c>
      <c r="AI113" s="2">
        <f>((EX113*1.2))</f>
        <v>0</v>
      </c>
      <c r="AJ113" s="2">
        <f t="shared" si="82"/>
        <v>0</v>
      </c>
      <c r="AK113" s="2">
        <v>26.52</v>
      </c>
      <c r="AL113" s="2">
        <v>3.43</v>
      </c>
      <c r="AM113" s="2">
        <v>0.05</v>
      </c>
      <c r="AN113" s="2">
        <v>0.01</v>
      </c>
      <c r="AO113" s="2">
        <v>23.04</v>
      </c>
      <c r="AP113" s="2">
        <v>0</v>
      </c>
      <c r="AQ113" s="2">
        <v>1.8</v>
      </c>
      <c r="AR113" s="2">
        <v>0</v>
      </c>
      <c r="AS113" s="2">
        <v>0</v>
      </c>
      <c r="AT113" s="2">
        <v>90</v>
      </c>
      <c r="AU113" s="2">
        <v>46</v>
      </c>
      <c r="AV113" s="2">
        <v>1.0469999999999999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0</v>
      </c>
      <c r="BI113" s="2">
        <v>2</v>
      </c>
      <c r="BJ113" s="2" t="s">
        <v>47</v>
      </c>
      <c r="BK113" s="2"/>
      <c r="BL113" s="2"/>
      <c r="BM113" s="2">
        <v>68</v>
      </c>
      <c r="BN113" s="2">
        <v>0</v>
      </c>
      <c r="BO113" s="2" t="s">
        <v>45</v>
      </c>
      <c r="BP113" s="2">
        <v>1</v>
      </c>
      <c r="BQ113" s="2">
        <v>40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90</v>
      </c>
      <c r="CA113" s="2">
        <v>46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605</v>
      </c>
      <c r="CO113" s="2">
        <v>0</v>
      </c>
      <c r="CP113" s="2">
        <f t="shared" si="83"/>
        <v>32.44</v>
      </c>
      <c r="CQ113" s="2">
        <f t="shared" si="84"/>
        <v>3.43</v>
      </c>
      <c r="CR113" s="2">
        <f>(ROUND((ROUND((((ET113*1.2))*AV113*1),2)*BB113),2)+ROUND((ROUND(((AE113-((EU113*1.2)))*AV113*1),2)*BS113),2))</f>
        <v>0.06</v>
      </c>
      <c r="CS113" s="2">
        <f>(ROUND((ROUND((((EU113*1.2))*AV113*1),2)*BS113),2)+ROUND((ROUND(((AE113-((EU113*1.2)))*AV113*1),2)*BS113),2))</f>
        <v>0.01</v>
      </c>
      <c r="CT113" s="2">
        <f t="shared" si="85"/>
        <v>28.95</v>
      </c>
      <c r="CU113" s="2">
        <f t="shared" si="86"/>
        <v>0</v>
      </c>
      <c r="CV113" s="2">
        <f t="shared" si="87"/>
        <v>2.26152</v>
      </c>
      <c r="CW113" s="2">
        <f t="shared" si="88"/>
        <v>0</v>
      </c>
      <c r="CX113" s="2">
        <f t="shared" si="89"/>
        <v>0</v>
      </c>
      <c r="CY113" s="2">
        <f>(ROUND((((S113+ROUND((ROUND((((EU113*1.2))*AV113*1),2)*BS113),2))*AT113)/100),2)+ROUND(((ROUND((ROUND(((AE113-((EU113*1.2)))*AV113*1),2)*BS113),2)*AT113)/100),2))</f>
        <v>26.06</v>
      </c>
      <c r="CZ113" s="2">
        <f>(ROUND((((S113+ROUND((ROUND((((EU113*1.2))*AV113*1),2)*BS113),2))*AU113)/100),2)+ROUND(((ROUND((ROUND(((AE113-((EU113*1.2)))*AV113*1),2)*BS113),2)*AU113)/100),2))</f>
        <v>13.32</v>
      </c>
      <c r="DA113" s="2"/>
      <c r="DB113" s="2">
        <v>67</v>
      </c>
      <c r="DC113" s="2" t="s">
        <v>3</v>
      </c>
      <c r="DD113" s="2" t="s">
        <v>77</v>
      </c>
      <c r="DE113" s="2" t="s">
        <v>78</v>
      </c>
      <c r="DF113" s="2" t="s">
        <v>78</v>
      </c>
      <c r="DG113" s="2" t="s">
        <v>78</v>
      </c>
      <c r="DH113" s="2" t="s">
        <v>3</v>
      </c>
      <c r="DI113" s="2" t="s">
        <v>78</v>
      </c>
      <c r="DJ113" s="2" t="s">
        <v>78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1013</v>
      </c>
      <c r="DV113" s="2" t="s">
        <v>22</v>
      </c>
      <c r="DW113" s="2" t="s">
        <v>22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55393700</v>
      </c>
      <c r="EF113" s="2">
        <v>40</v>
      </c>
      <c r="EG113" s="2" t="s">
        <v>26</v>
      </c>
      <c r="EH113" s="2">
        <v>0</v>
      </c>
      <c r="EI113" s="2" t="s">
        <v>3</v>
      </c>
      <c r="EJ113" s="2">
        <v>2</v>
      </c>
      <c r="EK113" s="2">
        <v>68</v>
      </c>
      <c r="EL113" s="2" t="s">
        <v>27</v>
      </c>
      <c r="EM113" s="2" t="s">
        <v>28</v>
      </c>
      <c r="EN113" s="2"/>
      <c r="EO113" s="2" t="s">
        <v>82</v>
      </c>
      <c r="EP113" s="2"/>
      <c r="EQ113" s="2">
        <v>0</v>
      </c>
      <c r="ER113" s="2">
        <v>26.52</v>
      </c>
      <c r="ES113" s="2">
        <v>3.43</v>
      </c>
      <c r="ET113" s="2">
        <v>0.05</v>
      </c>
      <c r="EU113" s="2">
        <v>0.01</v>
      </c>
      <c r="EV113" s="2">
        <v>23.04</v>
      </c>
      <c r="EW113" s="2">
        <v>1.8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v>0</v>
      </c>
      <c r="FS113" s="2">
        <v>0</v>
      </c>
      <c r="FT113" s="2"/>
      <c r="FU113" s="2"/>
      <c r="FV113" s="2"/>
      <c r="FW113" s="2"/>
      <c r="FX113" s="2">
        <v>90</v>
      </c>
      <c r="FY113" s="2">
        <v>46</v>
      </c>
      <c r="FZ113" s="2"/>
      <c r="GA113" s="2" t="s">
        <v>3</v>
      </c>
      <c r="GB113" s="2"/>
      <c r="GC113" s="2"/>
      <c r="GD113" s="2">
        <v>1</v>
      </c>
      <c r="GE113" s="2"/>
      <c r="GF113" s="2">
        <v>1250165502</v>
      </c>
      <c r="GG113" s="2">
        <v>2</v>
      </c>
      <c r="GH113" s="2">
        <v>1</v>
      </c>
      <c r="GI113" s="2">
        <v>2</v>
      </c>
      <c r="GJ113" s="2">
        <v>0</v>
      </c>
      <c r="GK113" s="2">
        <v>0</v>
      </c>
      <c r="GL113" s="2">
        <f t="shared" si="90"/>
        <v>0</v>
      </c>
      <c r="GM113" s="2">
        <f t="shared" si="91"/>
        <v>71.819999999999993</v>
      </c>
      <c r="GN113" s="2">
        <f t="shared" si="92"/>
        <v>0</v>
      </c>
      <c r="GO113" s="2">
        <f t="shared" si="93"/>
        <v>71.819999999999993</v>
      </c>
      <c r="GP113" s="2">
        <f t="shared" si="94"/>
        <v>0</v>
      </c>
      <c r="GQ113" s="2"/>
      <c r="GR113" s="2">
        <v>0</v>
      </c>
      <c r="GS113" s="2">
        <v>3</v>
      </c>
      <c r="GT113" s="2">
        <v>0</v>
      </c>
      <c r="GU113" s="2" t="s">
        <v>3</v>
      </c>
      <c r="GV113" s="2">
        <f t="shared" si="95"/>
        <v>0</v>
      </c>
      <c r="GW113" s="2">
        <v>1</v>
      </c>
      <c r="GX113" s="2">
        <f t="shared" si="96"/>
        <v>0</v>
      </c>
      <c r="GY113" s="2"/>
      <c r="GZ113" s="2"/>
      <c r="HA113" s="2">
        <v>0</v>
      </c>
      <c r="HB113" s="2">
        <v>0</v>
      </c>
      <c r="HC113" s="2">
        <f t="shared" si="97"/>
        <v>0</v>
      </c>
      <c r="HD113" s="2"/>
      <c r="HE113" s="2" t="s">
        <v>3</v>
      </c>
      <c r="HF113" s="2" t="s">
        <v>3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">
      <c r="A114" s="3">
        <v>17</v>
      </c>
      <c r="B114" s="3">
        <v>1</v>
      </c>
      <c r="C114" s="3">
        <f>ROW(SmtRes!A76)</f>
        <v>76</v>
      </c>
      <c r="D114" s="3">
        <f>ROW(EtalonRes!A90)</f>
        <v>90</v>
      </c>
      <c r="E114" s="3" t="s">
        <v>181</v>
      </c>
      <c r="F114" s="3" t="s">
        <v>45</v>
      </c>
      <c r="G114" s="3" t="s">
        <v>182</v>
      </c>
      <c r="H114" s="3" t="s">
        <v>22</v>
      </c>
      <c r="I114" s="3">
        <v>1</v>
      </c>
      <c r="J114" s="3">
        <v>0</v>
      </c>
      <c r="K114" s="3">
        <v>1</v>
      </c>
      <c r="O114" s="3">
        <f t="shared" si="73"/>
        <v>1666.28</v>
      </c>
      <c r="P114" s="3">
        <f t="shared" si="74"/>
        <v>33.75</v>
      </c>
      <c r="Q114" s="3">
        <f>(ROUND((ROUND((((ET114*1.2))*AV114*I114),2)*BB114),2)+ROUND((ROUND(((AE114-((EU114*1.2)))*AV114*I114),2)*BS114),2))</f>
        <v>1.2</v>
      </c>
      <c r="R114" s="3">
        <f>(ROUND((ROUND((((EU114*1.2))*AV114*I114),2)*BS114),2)+ROUND((ROUND(((AE114-((EU114*1.2)))*AV114*I114),2)*BS114),2))</f>
        <v>0.56000000000000005</v>
      </c>
      <c r="S114" s="3">
        <f t="shared" si="75"/>
        <v>1631.33</v>
      </c>
      <c r="T114" s="3">
        <f t="shared" si="76"/>
        <v>0</v>
      </c>
      <c r="U114" s="3">
        <f t="shared" si="77"/>
        <v>2.26152</v>
      </c>
      <c r="V114" s="3">
        <f t="shared" si="78"/>
        <v>0</v>
      </c>
      <c r="W114" s="3">
        <f t="shared" si="79"/>
        <v>0</v>
      </c>
      <c r="X114" s="3">
        <f>(ROUND((((S114+ROUND((ROUND((((EU114*1.2))*AV114*I114),2)*BS114),2))*AT114)/100),2)+ROUND(((ROUND((ROUND(((AE114-((EU114*1.2)))*AV114*I114),2)*BS114),2)*AT114)/100),2))</f>
        <v>1468.7</v>
      </c>
      <c r="Y114" s="3">
        <f>(ROUND((((S114+ROUND((ROUND((((EU114*1.2))*AV114*I114),2)*BS114),2))*AU114)/100),2)+ROUND(((ROUND((ROUND(((AE114-((EU114*1.2)))*AV114*I114),2)*BS114),2)*AU114)/100),2))</f>
        <v>750.67</v>
      </c>
      <c r="AA114" s="3">
        <v>55915258</v>
      </c>
      <c r="AB114" s="3">
        <f t="shared" si="80"/>
        <v>31.138000000000002</v>
      </c>
      <c r="AC114" s="3">
        <f>ROUND(((ES114*1)),6)</f>
        <v>3.43</v>
      </c>
      <c r="AD114" s="3">
        <f>ROUND(((((ET114*1.2))-((EU114*1.2)))+AE114),6)</f>
        <v>0.06</v>
      </c>
      <c r="AE114" s="3">
        <f>ROUND(((EU114*1.2)),6)</f>
        <v>1.2E-2</v>
      </c>
      <c r="AF114" s="3">
        <f>ROUND(((EV114*1.2)),6)</f>
        <v>27.648</v>
      </c>
      <c r="AG114" s="3">
        <f t="shared" si="81"/>
        <v>0</v>
      </c>
      <c r="AH114" s="3">
        <f>((EW114*1.2))</f>
        <v>2.16</v>
      </c>
      <c r="AI114" s="3">
        <f>((EX114*1.2))</f>
        <v>0</v>
      </c>
      <c r="AJ114" s="3">
        <f t="shared" si="82"/>
        <v>0</v>
      </c>
      <c r="AK114" s="3">
        <v>26.52</v>
      </c>
      <c r="AL114" s="3">
        <v>3.43</v>
      </c>
      <c r="AM114" s="3">
        <v>0.05</v>
      </c>
      <c r="AN114" s="3">
        <v>0.01</v>
      </c>
      <c r="AO114" s="3">
        <v>23.04</v>
      </c>
      <c r="AP114" s="3">
        <v>0</v>
      </c>
      <c r="AQ114" s="3">
        <v>1.8</v>
      </c>
      <c r="AR114" s="3">
        <v>0</v>
      </c>
      <c r="AS114" s="3">
        <v>0</v>
      </c>
      <c r="AT114" s="3">
        <v>90</v>
      </c>
      <c r="AU114" s="3">
        <v>46</v>
      </c>
      <c r="AV114" s="3">
        <v>1.0469999999999999</v>
      </c>
      <c r="AW114" s="3">
        <v>1</v>
      </c>
      <c r="AZ114" s="3">
        <v>1</v>
      </c>
      <c r="BA114" s="3">
        <v>56.35</v>
      </c>
      <c r="BB114" s="3">
        <v>20</v>
      </c>
      <c r="BC114" s="3">
        <v>9.84</v>
      </c>
      <c r="BD114" s="3" t="s">
        <v>3</v>
      </c>
      <c r="BE114" s="3" t="s">
        <v>3</v>
      </c>
      <c r="BF114" s="3" t="s">
        <v>3</v>
      </c>
      <c r="BG114" s="3" t="s">
        <v>3</v>
      </c>
      <c r="BH114" s="3">
        <v>0</v>
      </c>
      <c r="BI114" s="3">
        <v>2</v>
      </c>
      <c r="BJ114" s="3" t="s">
        <v>47</v>
      </c>
      <c r="BM114" s="3">
        <v>68</v>
      </c>
      <c r="BN114" s="3">
        <v>0</v>
      </c>
      <c r="BO114" s="3" t="s">
        <v>45</v>
      </c>
      <c r="BP114" s="3">
        <v>1</v>
      </c>
      <c r="BQ114" s="3">
        <v>40</v>
      </c>
      <c r="BR114" s="3">
        <v>0</v>
      </c>
      <c r="BS114" s="3">
        <v>56.35</v>
      </c>
      <c r="BT114" s="3">
        <v>1</v>
      </c>
      <c r="BU114" s="3">
        <v>1</v>
      </c>
      <c r="BV114" s="3">
        <v>1</v>
      </c>
      <c r="BW114" s="3">
        <v>1</v>
      </c>
      <c r="BX114" s="3">
        <v>1</v>
      </c>
      <c r="BY114" s="3" t="s">
        <v>3</v>
      </c>
      <c r="BZ114" s="3">
        <v>90</v>
      </c>
      <c r="CA114" s="3">
        <v>46</v>
      </c>
      <c r="CB114" s="3" t="s">
        <v>3</v>
      </c>
      <c r="CE114" s="3">
        <v>1566</v>
      </c>
      <c r="CF114" s="3">
        <v>0</v>
      </c>
      <c r="CG114" s="3">
        <v>0</v>
      </c>
      <c r="CM114" s="3">
        <v>0</v>
      </c>
      <c r="CN114" s="3" t="s">
        <v>605</v>
      </c>
      <c r="CO114" s="3">
        <v>0</v>
      </c>
      <c r="CP114" s="3">
        <f t="shared" si="83"/>
        <v>1666.28</v>
      </c>
      <c r="CQ114" s="3">
        <f t="shared" si="84"/>
        <v>33.75</v>
      </c>
      <c r="CR114" s="3">
        <f>(ROUND((ROUND((((ET114*1.2))*AV114*1),2)*BB114),2)+ROUND((ROUND(((AE114-((EU114*1.2)))*AV114*1),2)*BS114),2))</f>
        <v>1.2</v>
      </c>
      <c r="CS114" s="3">
        <f>(ROUND((ROUND((((EU114*1.2))*AV114*1),2)*BS114),2)+ROUND((ROUND(((AE114-((EU114*1.2)))*AV114*1),2)*BS114),2))</f>
        <v>0.56000000000000005</v>
      </c>
      <c r="CT114" s="3">
        <f t="shared" si="85"/>
        <v>1631.33</v>
      </c>
      <c r="CU114" s="3">
        <f t="shared" si="86"/>
        <v>0</v>
      </c>
      <c r="CV114" s="3">
        <f t="shared" si="87"/>
        <v>2.26152</v>
      </c>
      <c r="CW114" s="3">
        <f t="shared" si="88"/>
        <v>0</v>
      </c>
      <c r="CX114" s="3">
        <f t="shared" si="89"/>
        <v>0</v>
      </c>
      <c r="CY114" s="3">
        <f>(ROUND((((S114+ROUND((ROUND((((EU114*1.2))*AV114*1),2)*BS114),2))*AT114)/100),2)+ROUND(((ROUND((ROUND(((AE114-((EU114*1.2)))*AV114*1),2)*BS114),2)*AT114)/100),2))</f>
        <v>1468.7</v>
      </c>
      <c r="CZ114" s="3">
        <f>(ROUND((((S114+ROUND((ROUND((((EU114*1.2))*AV114*1),2)*BS114),2))*AU114)/100),2)+ROUND(((ROUND((ROUND(((AE114-((EU114*1.2)))*AV114*1),2)*BS114),2)*AU114)/100),2))</f>
        <v>750.67</v>
      </c>
      <c r="DB114" s="3">
        <v>68</v>
      </c>
      <c r="DC114" s="3" t="s">
        <v>3</v>
      </c>
      <c r="DD114" s="3" t="s">
        <v>77</v>
      </c>
      <c r="DE114" s="3" t="s">
        <v>78</v>
      </c>
      <c r="DF114" s="3" t="s">
        <v>78</v>
      </c>
      <c r="DG114" s="3" t="s">
        <v>78</v>
      </c>
      <c r="DH114" s="3" t="s">
        <v>3</v>
      </c>
      <c r="DI114" s="3" t="s">
        <v>78</v>
      </c>
      <c r="DJ114" s="3" t="s">
        <v>78</v>
      </c>
      <c r="DK114" s="3" t="s">
        <v>3</v>
      </c>
      <c r="DL114" s="3" t="s">
        <v>3</v>
      </c>
      <c r="DM114" s="3" t="s">
        <v>3</v>
      </c>
      <c r="DN114" s="3">
        <v>0</v>
      </c>
      <c r="DO114" s="3">
        <v>0</v>
      </c>
      <c r="DP114" s="3">
        <v>1</v>
      </c>
      <c r="DQ114" s="3">
        <v>1</v>
      </c>
      <c r="DU114" s="3">
        <v>1013</v>
      </c>
      <c r="DV114" s="3" t="s">
        <v>22</v>
      </c>
      <c r="DW114" s="3" t="s">
        <v>22</v>
      </c>
      <c r="DX114" s="3">
        <v>1</v>
      </c>
      <c r="DZ114" s="3" t="s">
        <v>3</v>
      </c>
      <c r="EA114" s="3" t="s">
        <v>3</v>
      </c>
      <c r="EB114" s="3" t="s">
        <v>3</v>
      </c>
      <c r="EC114" s="3" t="s">
        <v>3</v>
      </c>
      <c r="EE114" s="3">
        <v>55393700</v>
      </c>
      <c r="EF114" s="3">
        <v>40</v>
      </c>
      <c r="EG114" s="3" t="s">
        <v>26</v>
      </c>
      <c r="EH114" s="3">
        <v>0</v>
      </c>
      <c r="EI114" s="3" t="s">
        <v>3</v>
      </c>
      <c r="EJ114" s="3">
        <v>2</v>
      </c>
      <c r="EK114" s="3">
        <v>68</v>
      </c>
      <c r="EL114" s="3" t="s">
        <v>27</v>
      </c>
      <c r="EM114" s="3" t="s">
        <v>28</v>
      </c>
      <c r="EO114" s="3" t="s">
        <v>82</v>
      </c>
      <c r="EQ114" s="3">
        <v>0</v>
      </c>
      <c r="ER114" s="3">
        <v>26.52</v>
      </c>
      <c r="ES114" s="3">
        <v>3.43</v>
      </c>
      <c r="ET114" s="3">
        <v>0.05</v>
      </c>
      <c r="EU114" s="3">
        <v>0.01</v>
      </c>
      <c r="EV114" s="3">
        <v>23.04</v>
      </c>
      <c r="EW114" s="3">
        <v>1.8</v>
      </c>
      <c r="EX114" s="3">
        <v>0</v>
      </c>
      <c r="EY114" s="3">
        <v>0</v>
      </c>
      <c r="FQ114" s="3">
        <v>0</v>
      </c>
      <c r="FR114" s="3">
        <v>0</v>
      </c>
      <c r="FS114" s="3">
        <v>0</v>
      </c>
      <c r="FX114" s="3">
        <v>90</v>
      </c>
      <c r="FY114" s="3">
        <v>46</v>
      </c>
      <c r="GA114" s="3" t="s">
        <v>3</v>
      </c>
      <c r="GD114" s="3">
        <v>1</v>
      </c>
      <c r="GF114" s="3">
        <v>1250165502</v>
      </c>
      <c r="GG114" s="3">
        <v>2</v>
      </c>
      <c r="GH114" s="3">
        <v>1</v>
      </c>
      <c r="GI114" s="3">
        <v>2</v>
      </c>
      <c r="GJ114" s="3">
        <v>0</v>
      </c>
      <c r="GK114" s="3">
        <v>0</v>
      </c>
      <c r="GL114" s="3">
        <f t="shared" si="90"/>
        <v>0</v>
      </c>
      <c r="GM114" s="3">
        <f t="shared" si="91"/>
        <v>3885.65</v>
      </c>
      <c r="GN114" s="3">
        <f t="shared" si="92"/>
        <v>0</v>
      </c>
      <c r="GO114" s="3">
        <f t="shared" si="93"/>
        <v>3885.65</v>
      </c>
      <c r="GP114" s="3">
        <f t="shared" si="94"/>
        <v>0</v>
      </c>
      <c r="GR114" s="3">
        <v>0</v>
      </c>
      <c r="GS114" s="3">
        <v>3</v>
      </c>
      <c r="GT114" s="3">
        <v>0</v>
      </c>
      <c r="GU114" s="3" t="s">
        <v>3</v>
      </c>
      <c r="GV114" s="3">
        <f t="shared" si="95"/>
        <v>0</v>
      </c>
      <c r="GW114" s="3">
        <v>1</v>
      </c>
      <c r="GX114" s="3">
        <f t="shared" si="96"/>
        <v>0</v>
      </c>
      <c r="HA114" s="3">
        <v>0</v>
      </c>
      <c r="HB114" s="3">
        <v>0</v>
      </c>
      <c r="HC114" s="3">
        <f t="shared" si="97"/>
        <v>0</v>
      </c>
      <c r="HE114" s="3" t="s">
        <v>3</v>
      </c>
      <c r="HF114" s="3" t="s">
        <v>3</v>
      </c>
      <c r="HM114" s="3" t="s">
        <v>3</v>
      </c>
      <c r="HN114" s="3" t="s">
        <v>3</v>
      </c>
      <c r="HO114" s="3" t="s">
        <v>3</v>
      </c>
      <c r="HP114" s="3" t="s">
        <v>3</v>
      </c>
      <c r="HQ114" s="3" t="s">
        <v>3</v>
      </c>
      <c r="HS114" s="3">
        <v>0</v>
      </c>
      <c r="IK114" s="3">
        <v>0</v>
      </c>
    </row>
    <row r="115" spans="1:255" x14ac:dyDescent="0.2">
      <c r="A115" s="2">
        <v>17</v>
      </c>
      <c r="B115" s="2">
        <v>1</v>
      </c>
      <c r="C115" s="2"/>
      <c r="D115" s="2"/>
      <c r="E115" s="2" t="s">
        <v>183</v>
      </c>
      <c r="F115" s="2" t="s">
        <v>184</v>
      </c>
      <c r="G115" s="2" t="s">
        <v>185</v>
      </c>
      <c r="H115" s="2" t="s">
        <v>153</v>
      </c>
      <c r="I115" s="2">
        <v>1</v>
      </c>
      <c r="J115" s="2">
        <v>0</v>
      </c>
      <c r="K115" s="2">
        <v>1</v>
      </c>
      <c r="L115" s="2"/>
      <c r="M115" s="2"/>
      <c r="N115" s="2"/>
      <c r="O115" s="2">
        <f t="shared" si="73"/>
        <v>304.60000000000002</v>
      </c>
      <c r="P115" s="2">
        <f t="shared" si="74"/>
        <v>304.60000000000002</v>
      </c>
      <c r="Q115" s="2">
        <f>(ROUND((ROUND(((ET115)*AV115*I115),2)*BB115),2)+ROUND((ROUND(((AE115-(EU115))*AV115*I115),2)*BS115),2))</f>
        <v>0</v>
      </c>
      <c r="R115" s="2">
        <f>(ROUND((ROUND(((EU115)*AV115*I115),2)*BS115),2)+ROUND((ROUND(((AE115-(EU115))*AV115*I115),2)*BS115),2))</f>
        <v>0</v>
      </c>
      <c r="S115" s="2">
        <f t="shared" si="75"/>
        <v>0</v>
      </c>
      <c r="T115" s="2">
        <f t="shared" si="76"/>
        <v>0</v>
      </c>
      <c r="U115" s="2">
        <f t="shared" si="77"/>
        <v>0</v>
      </c>
      <c r="V115" s="2">
        <f t="shared" si="78"/>
        <v>0</v>
      </c>
      <c r="W115" s="2">
        <f t="shared" si="79"/>
        <v>0</v>
      </c>
      <c r="X115" s="2">
        <f>(ROUND((((S115+ROUND((ROUND(((EU115)*AV115*I115),2)*BS115),2))*AT115)/100),2)+ROUND(((ROUND((ROUND(((AE115-(EU115))*AV115*I115),2)*BS115),2)*AT115)/100),2))</f>
        <v>0</v>
      </c>
      <c r="Y115" s="2">
        <f>(ROUND((((S115+ROUND((ROUND(((EU115)*AV115*I115),2)*BS115),2))*AU115)/100),2)+ROUND(((ROUND((ROUND(((AE115-(EU115))*AV115*I115),2)*BS115),2)*AU115)/100),2))</f>
        <v>0</v>
      </c>
      <c r="Z115" s="2"/>
      <c r="AA115" s="2">
        <v>55915256</v>
      </c>
      <c r="AB115" s="2">
        <f t="shared" si="80"/>
        <v>304.60000000000002</v>
      </c>
      <c r="AC115" s="2">
        <f>ROUND((ES115),6)</f>
        <v>304.60000000000002</v>
      </c>
      <c r="AD115" s="2">
        <f>ROUND((((ET115)-(EU115))+AE115),6)</f>
        <v>0</v>
      </c>
      <c r="AE115" s="2">
        <f>ROUND((EU115),6)</f>
        <v>0</v>
      </c>
      <c r="AF115" s="2">
        <f>ROUND((EV115),6)</f>
        <v>0</v>
      </c>
      <c r="AG115" s="2">
        <f t="shared" si="81"/>
        <v>0</v>
      </c>
      <c r="AH115" s="2">
        <f>(EW115)</f>
        <v>0</v>
      </c>
      <c r="AI115" s="2">
        <f>(EX115)</f>
        <v>0</v>
      </c>
      <c r="AJ115" s="2">
        <f t="shared" si="82"/>
        <v>0</v>
      </c>
      <c r="AK115" s="2">
        <v>304.60000000000002</v>
      </c>
      <c r="AL115" s="2">
        <v>304.60000000000002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1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3</v>
      </c>
      <c r="BI115" s="2">
        <v>3</v>
      </c>
      <c r="BJ115" s="2" t="s">
        <v>184</v>
      </c>
      <c r="BK115" s="2"/>
      <c r="BL115" s="2"/>
      <c r="BM115" s="2">
        <v>400007</v>
      </c>
      <c r="BN115" s="2">
        <v>0</v>
      </c>
      <c r="BO115" s="2" t="s">
        <v>3</v>
      </c>
      <c r="BP115" s="2">
        <v>0</v>
      </c>
      <c r="BQ115" s="2">
        <v>214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0</v>
      </c>
      <c r="CA115" s="2">
        <v>0</v>
      </c>
      <c r="CB115" s="2" t="s">
        <v>3</v>
      </c>
      <c r="CC115" s="2"/>
      <c r="CD115" s="2"/>
      <c r="CE115" s="2">
        <v>1566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3</v>
      </c>
      <c r="CO115" s="2">
        <v>0</v>
      </c>
      <c r="CP115" s="2">
        <f t="shared" si="83"/>
        <v>304.60000000000002</v>
      </c>
      <c r="CQ115" s="2">
        <f t="shared" si="84"/>
        <v>304.60000000000002</v>
      </c>
      <c r="CR115" s="2">
        <f>(ROUND((ROUND(((ET115)*AV115*1),2)*BB115),2)+ROUND((ROUND(((AE115-(EU115))*AV115*1),2)*BS115),2))</f>
        <v>0</v>
      </c>
      <c r="CS115" s="2">
        <f>(ROUND((ROUND(((EU115)*AV115*1),2)*BS115),2)+ROUND((ROUND(((AE115-(EU115))*AV115*1),2)*BS115),2))</f>
        <v>0</v>
      </c>
      <c r="CT115" s="2">
        <f t="shared" si="85"/>
        <v>0</v>
      </c>
      <c r="CU115" s="2">
        <f t="shared" si="86"/>
        <v>0</v>
      </c>
      <c r="CV115" s="2">
        <f t="shared" si="87"/>
        <v>0</v>
      </c>
      <c r="CW115" s="2">
        <f t="shared" si="88"/>
        <v>0</v>
      </c>
      <c r="CX115" s="2">
        <f t="shared" si="89"/>
        <v>0</v>
      </c>
      <c r="CY115" s="2">
        <f>(ROUND((((S115+ROUND((ROUND(((EU115)*AV115*1),2)*BS115),2))*AT115)/100),2)+ROUND(((ROUND((ROUND(((AE115-(EU115))*AV115*1),2)*BS115),2)*AT115)/100),2))</f>
        <v>0</v>
      </c>
      <c r="CZ115" s="2">
        <f>(ROUND((((S115+ROUND((ROUND(((EU115)*AV115*1),2)*BS115),2))*AU115)/100),2)+ROUND(((ROUND((ROUND(((AE115-(EU115))*AV115*1),2)*BS115),2)*AU115)/100),2))</f>
        <v>0</v>
      </c>
      <c r="DA115" s="2"/>
      <c r="DB115" s="2"/>
      <c r="DC115" s="2" t="s">
        <v>3</v>
      </c>
      <c r="DD115" s="2" t="s">
        <v>3</v>
      </c>
      <c r="DE115" s="2" t="s">
        <v>3</v>
      </c>
      <c r="DF115" s="2" t="s">
        <v>3</v>
      </c>
      <c r="DG115" s="2" t="s">
        <v>3</v>
      </c>
      <c r="DH115" s="2" t="s">
        <v>3</v>
      </c>
      <c r="DI115" s="2" t="s">
        <v>3</v>
      </c>
      <c r="DJ115" s="2" t="s">
        <v>3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153</v>
      </c>
      <c r="DW115" s="2" t="s">
        <v>153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55393630</v>
      </c>
      <c r="EF115" s="2">
        <v>214</v>
      </c>
      <c r="EG115" s="2" t="s">
        <v>154</v>
      </c>
      <c r="EH115" s="2">
        <v>0</v>
      </c>
      <c r="EI115" s="2" t="s">
        <v>3</v>
      </c>
      <c r="EJ115" s="2">
        <v>3</v>
      </c>
      <c r="EK115" s="2">
        <v>400007</v>
      </c>
      <c r="EL115" s="2" t="s">
        <v>154</v>
      </c>
      <c r="EM115" s="2" t="s">
        <v>155</v>
      </c>
      <c r="EN115" s="2"/>
      <c r="EO115" s="2" t="s">
        <v>3</v>
      </c>
      <c r="EP115" s="2"/>
      <c r="EQ115" s="2">
        <v>16</v>
      </c>
      <c r="ER115" s="2">
        <v>0</v>
      </c>
      <c r="ES115" s="2">
        <v>304.60000000000002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f>P115</f>
        <v>304.60000000000002</v>
      </c>
      <c r="FS115" s="2">
        <v>0</v>
      </c>
      <c r="FT115" s="2"/>
      <c r="FU115" s="2"/>
      <c r="FV115" s="2"/>
      <c r="FW115" s="2"/>
      <c r="FX115" s="2">
        <v>0</v>
      </c>
      <c r="FY115" s="2">
        <v>0</v>
      </c>
      <c r="FZ115" s="2"/>
      <c r="GA115" s="2" t="s">
        <v>186</v>
      </c>
      <c r="GB115" s="2"/>
      <c r="GC115" s="2"/>
      <c r="GD115" s="2">
        <v>1</v>
      </c>
      <c r="GE115" s="2"/>
      <c r="GF115" s="2">
        <v>-1899378602</v>
      </c>
      <c r="GG115" s="2">
        <v>2</v>
      </c>
      <c r="GH115" s="2">
        <v>4</v>
      </c>
      <c r="GI115" s="2">
        <v>-2</v>
      </c>
      <c r="GJ115" s="2">
        <v>0</v>
      </c>
      <c r="GK115" s="2">
        <v>0</v>
      </c>
      <c r="GL115" s="2">
        <f t="shared" si="90"/>
        <v>0</v>
      </c>
      <c r="GM115" s="2">
        <f t="shared" si="91"/>
        <v>304.60000000000002</v>
      </c>
      <c r="GN115" s="2">
        <f t="shared" si="92"/>
        <v>0</v>
      </c>
      <c r="GO115" s="2">
        <f t="shared" si="93"/>
        <v>0</v>
      </c>
      <c r="GP115" s="2">
        <f t="shared" si="94"/>
        <v>0</v>
      </c>
      <c r="GQ115" s="2"/>
      <c r="GR115" s="2">
        <v>1</v>
      </c>
      <c r="GS115" s="2">
        <v>2</v>
      </c>
      <c r="GT115" s="2">
        <v>0</v>
      </c>
      <c r="GU115" s="2" t="s">
        <v>3</v>
      </c>
      <c r="GV115" s="2">
        <f t="shared" si="95"/>
        <v>0</v>
      </c>
      <c r="GW115" s="2">
        <v>1</v>
      </c>
      <c r="GX115" s="2">
        <f t="shared" si="96"/>
        <v>0</v>
      </c>
      <c r="GY115" s="2"/>
      <c r="GZ115" s="2"/>
      <c r="HA115" s="2">
        <v>0</v>
      </c>
      <c r="HB115" s="2">
        <v>0</v>
      </c>
      <c r="HC115" s="2">
        <f t="shared" si="97"/>
        <v>0</v>
      </c>
      <c r="HD115" s="2"/>
      <c r="HE115" s="2" t="s">
        <v>34</v>
      </c>
      <c r="HF115" s="2" t="s">
        <v>157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">
      <c r="A116" s="3">
        <v>17</v>
      </c>
      <c r="B116" s="3">
        <v>1</v>
      </c>
      <c r="E116" s="3" t="s">
        <v>183</v>
      </c>
      <c r="F116" s="3" t="s">
        <v>184</v>
      </c>
      <c r="G116" s="3" t="s">
        <v>185</v>
      </c>
      <c r="H116" s="3" t="s">
        <v>153</v>
      </c>
      <c r="I116" s="3">
        <v>1</v>
      </c>
      <c r="J116" s="3">
        <v>0</v>
      </c>
      <c r="K116" s="3">
        <v>1</v>
      </c>
      <c r="O116" s="3">
        <f t="shared" si="73"/>
        <v>2997.26</v>
      </c>
      <c r="P116" s="3">
        <f t="shared" si="74"/>
        <v>2997.26</v>
      </c>
      <c r="Q116" s="3">
        <f>(ROUND((ROUND(((ET116)*AV116*I116),2)*BB116),2)+ROUND((ROUND(((AE116-(EU116))*AV116*I116),2)*BS116),2))</f>
        <v>0</v>
      </c>
      <c r="R116" s="3">
        <f>(ROUND((ROUND(((EU116)*AV116*I116),2)*BS116),2)+ROUND((ROUND(((AE116-(EU116))*AV116*I116),2)*BS116),2))</f>
        <v>0</v>
      </c>
      <c r="S116" s="3">
        <f t="shared" si="75"/>
        <v>0</v>
      </c>
      <c r="T116" s="3">
        <f t="shared" si="76"/>
        <v>0</v>
      </c>
      <c r="U116" s="3">
        <f t="shared" si="77"/>
        <v>0</v>
      </c>
      <c r="V116" s="3">
        <f t="shared" si="78"/>
        <v>0</v>
      </c>
      <c r="W116" s="3">
        <f t="shared" si="79"/>
        <v>0</v>
      </c>
      <c r="X116" s="3">
        <f>(ROUND((((S116+ROUND((ROUND(((EU116)*AV116*I116),2)*BS116),2))*AT116)/100),2)+ROUND(((ROUND((ROUND(((AE116-(EU116))*AV116*I116),2)*BS116),2)*AT116)/100),2))</f>
        <v>0</v>
      </c>
      <c r="Y116" s="3">
        <f>(ROUND((((S116+ROUND((ROUND(((EU116)*AV116*I116),2)*BS116),2))*AU116)/100),2)+ROUND(((ROUND((ROUND(((AE116-(EU116))*AV116*I116),2)*BS116),2)*AU116)/100),2))</f>
        <v>0</v>
      </c>
      <c r="AA116" s="3">
        <v>55915258</v>
      </c>
      <c r="AB116" s="3">
        <f t="shared" si="80"/>
        <v>304.60000000000002</v>
      </c>
      <c r="AC116" s="3">
        <f>ROUND((ES116),6)</f>
        <v>304.60000000000002</v>
      </c>
      <c r="AD116" s="3">
        <f>ROUND((((ET116)-(EU116))+AE116),6)</f>
        <v>0</v>
      </c>
      <c r="AE116" s="3">
        <f>ROUND((EU116),6)</f>
        <v>0</v>
      </c>
      <c r="AF116" s="3">
        <f>ROUND((EV116),6)</f>
        <v>0</v>
      </c>
      <c r="AG116" s="3">
        <f t="shared" si="81"/>
        <v>0</v>
      </c>
      <c r="AH116" s="3">
        <f>(EW116)</f>
        <v>0</v>
      </c>
      <c r="AI116" s="3">
        <f>(EX116)</f>
        <v>0</v>
      </c>
      <c r="AJ116" s="3">
        <f t="shared" si="82"/>
        <v>0</v>
      </c>
      <c r="AK116" s="3">
        <v>304.60000000000002</v>
      </c>
      <c r="AL116" s="3">
        <v>304.60000000000002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1</v>
      </c>
      <c r="AW116" s="3">
        <v>1</v>
      </c>
      <c r="AZ116" s="3">
        <v>1</v>
      </c>
      <c r="BA116" s="3">
        <v>1</v>
      </c>
      <c r="BB116" s="3">
        <v>1</v>
      </c>
      <c r="BC116" s="3">
        <v>9.84</v>
      </c>
      <c r="BD116" s="3" t="s">
        <v>3</v>
      </c>
      <c r="BE116" s="3" t="s">
        <v>3</v>
      </c>
      <c r="BF116" s="3" t="s">
        <v>3</v>
      </c>
      <c r="BG116" s="3" t="s">
        <v>3</v>
      </c>
      <c r="BH116" s="3">
        <v>3</v>
      </c>
      <c r="BI116" s="3">
        <v>3</v>
      </c>
      <c r="BJ116" s="3" t="s">
        <v>184</v>
      </c>
      <c r="BM116" s="3">
        <v>400007</v>
      </c>
      <c r="BN116" s="3">
        <v>0</v>
      </c>
      <c r="BO116" s="3" t="s">
        <v>3</v>
      </c>
      <c r="BP116" s="3">
        <v>0</v>
      </c>
      <c r="BQ116" s="3">
        <v>214</v>
      </c>
      <c r="BR116" s="3">
        <v>0</v>
      </c>
      <c r="BS116" s="3">
        <v>1</v>
      </c>
      <c r="BT116" s="3">
        <v>1</v>
      </c>
      <c r="BU116" s="3">
        <v>1</v>
      </c>
      <c r="BV116" s="3">
        <v>1</v>
      </c>
      <c r="BW116" s="3">
        <v>1</v>
      </c>
      <c r="BX116" s="3">
        <v>1</v>
      </c>
      <c r="BY116" s="3" t="s">
        <v>3</v>
      </c>
      <c r="BZ116" s="3">
        <v>0</v>
      </c>
      <c r="CA116" s="3">
        <v>0</v>
      </c>
      <c r="CB116" s="3" t="s">
        <v>3</v>
      </c>
      <c r="CE116" s="3">
        <v>1566</v>
      </c>
      <c r="CF116" s="3">
        <v>0</v>
      </c>
      <c r="CG116" s="3">
        <v>0</v>
      </c>
      <c r="CM116" s="3">
        <v>0</v>
      </c>
      <c r="CN116" s="3" t="s">
        <v>3</v>
      </c>
      <c r="CO116" s="3">
        <v>0</v>
      </c>
      <c r="CP116" s="3">
        <f t="shared" si="83"/>
        <v>2997.26</v>
      </c>
      <c r="CQ116" s="3">
        <f t="shared" si="84"/>
        <v>2997.26</v>
      </c>
      <c r="CR116" s="3">
        <f>(ROUND((ROUND(((ET116)*AV116*1),2)*BB116),2)+ROUND((ROUND(((AE116-(EU116))*AV116*1),2)*BS116),2))</f>
        <v>0</v>
      </c>
      <c r="CS116" s="3">
        <f>(ROUND((ROUND(((EU116)*AV116*1),2)*BS116),2)+ROUND((ROUND(((AE116-(EU116))*AV116*1),2)*BS116),2))</f>
        <v>0</v>
      </c>
      <c r="CT116" s="3">
        <f t="shared" si="85"/>
        <v>0</v>
      </c>
      <c r="CU116" s="3">
        <f t="shared" si="86"/>
        <v>0</v>
      </c>
      <c r="CV116" s="3">
        <f t="shared" si="87"/>
        <v>0</v>
      </c>
      <c r="CW116" s="3">
        <f t="shared" si="88"/>
        <v>0</v>
      </c>
      <c r="CX116" s="3">
        <f t="shared" si="89"/>
        <v>0</v>
      </c>
      <c r="CY116" s="3">
        <f>(ROUND((((S116+ROUND((ROUND(((EU116)*AV116*1),2)*BS116),2))*AT116)/100),2)+ROUND(((ROUND((ROUND(((AE116-(EU116))*AV116*1),2)*BS116),2)*AT116)/100),2))</f>
        <v>0</v>
      </c>
      <c r="CZ116" s="3">
        <f>(ROUND((((S116+ROUND((ROUND(((EU116)*AV116*1),2)*BS116),2))*AU116)/100),2)+ROUND(((ROUND((ROUND(((AE116-(EU116))*AV116*1),2)*BS116),2)*AU116)/100),2))</f>
        <v>0</v>
      </c>
      <c r="DC116" s="3" t="s">
        <v>3</v>
      </c>
      <c r="DD116" s="3" t="s">
        <v>3</v>
      </c>
      <c r="DE116" s="3" t="s">
        <v>3</v>
      </c>
      <c r="DF116" s="3" t="s">
        <v>3</v>
      </c>
      <c r="DG116" s="3" t="s">
        <v>3</v>
      </c>
      <c r="DH116" s="3" t="s">
        <v>3</v>
      </c>
      <c r="DI116" s="3" t="s">
        <v>3</v>
      </c>
      <c r="DJ116" s="3" t="s">
        <v>3</v>
      </c>
      <c r="DK116" s="3" t="s">
        <v>3</v>
      </c>
      <c r="DL116" s="3" t="s">
        <v>3</v>
      </c>
      <c r="DM116" s="3" t="s">
        <v>3</v>
      </c>
      <c r="DN116" s="3">
        <v>0</v>
      </c>
      <c r="DO116" s="3">
        <v>0</v>
      </c>
      <c r="DP116" s="3">
        <v>1</v>
      </c>
      <c r="DQ116" s="3">
        <v>1</v>
      </c>
      <c r="DU116" s="3">
        <v>1013</v>
      </c>
      <c r="DV116" s="3" t="s">
        <v>153</v>
      </c>
      <c r="DW116" s="3" t="s">
        <v>153</v>
      </c>
      <c r="DX116" s="3">
        <v>1</v>
      </c>
      <c r="DZ116" s="3" t="s">
        <v>3</v>
      </c>
      <c r="EA116" s="3" t="s">
        <v>3</v>
      </c>
      <c r="EB116" s="3" t="s">
        <v>3</v>
      </c>
      <c r="EC116" s="3" t="s">
        <v>3</v>
      </c>
      <c r="EE116" s="3">
        <v>55393630</v>
      </c>
      <c r="EF116" s="3">
        <v>214</v>
      </c>
      <c r="EG116" s="3" t="s">
        <v>154</v>
      </c>
      <c r="EH116" s="3">
        <v>0</v>
      </c>
      <c r="EI116" s="3" t="s">
        <v>3</v>
      </c>
      <c r="EJ116" s="3">
        <v>3</v>
      </c>
      <c r="EK116" s="3">
        <v>400007</v>
      </c>
      <c r="EL116" s="3" t="s">
        <v>154</v>
      </c>
      <c r="EM116" s="3" t="s">
        <v>155</v>
      </c>
      <c r="EO116" s="3" t="s">
        <v>3</v>
      </c>
      <c r="EQ116" s="3">
        <v>16</v>
      </c>
      <c r="ER116" s="3">
        <v>0</v>
      </c>
      <c r="ES116" s="3">
        <v>304.60000000000002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5</v>
      </c>
      <c r="FC116" s="3">
        <v>1</v>
      </c>
      <c r="FD116" s="3">
        <v>18</v>
      </c>
      <c r="FF116" s="3">
        <v>3508</v>
      </c>
      <c r="FQ116" s="3">
        <v>0</v>
      </c>
      <c r="FR116" s="3">
        <f>P116</f>
        <v>2997.26</v>
      </c>
      <c r="FS116" s="3">
        <v>0</v>
      </c>
      <c r="FX116" s="3">
        <v>0</v>
      </c>
      <c r="FY116" s="3">
        <v>0</v>
      </c>
      <c r="GA116" s="3" t="s">
        <v>186</v>
      </c>
      <c r="GD116" s="3">
        <v>1</v>
      </c>
      <c r="GF116" s="3">
        <v>-1899378602</v>
      </c>
      <c r="GG116" s="3">
        <v>2</v>
      </c>
      <c r="GH116" s="3">
        <v>3</v>
      </c>
      <c r="GI116" s="3">
        <v>5</v>
      </c>
      <c r="GJ116" s="3">
        <v>0</v>
      </c>
      <c r="GK116" s="3">
        <v>0</v>
      </c>
      <c r="GL116" s="3">
        <f t="shared" si="90"/>
        <v>0</v>
      </c>
      <c r="GM116" s="3">
        <f t="shared" si="91"/>
        <v>2997.26</v>
      </c>
      <c r="GN116" s="3">
        <f t="shared" si="92"/>
        <v>0</v>
      </c>
      <c r="GO116" s="3">
        <f t="shared" si="93"/>
        <v>0</v>
      </c>
      <c r="GP116" s="3">
        <f t="shared" si="94"/>
        <v>0</v>
      </c>
      <c r="GR116" s="3">
        <v>1</v>
      </c>
      <c r="GS116" s="3">
        <v>1</v>
      </c>
      <c r="GT116" s="3">
        <v>0</v>
      </c>
      <c r="GU116" s="3" t="s">
        <v>3</v>
      </c>
      <c r="GV116" s="3">
        <f t="shared" si="95"/>
        <v>0</v>
      </c>
      <c r="GW116" s="3">
        <v>1</v>
      </c>
      <c r="GX116" s="3">
        <f t="shared" si="96"/>
        <v>0</v>
      </c>
      <c r="HA116" s="3">
        <v>0</v>
      </c>
      <c r="HB116" s="3">
        <v>0</v>
      </c>
      <c r="HC116" s="3">
        <f t="shared" si="97"/>
        <v>0</v>
      </c>
      <c r="HE116" s="3" t="s">
        <v>34</v>
      </c>
      <c r="HF116" s="3" t="s">
        <v>157</v>
      </c>
      <c r="HM116" s="3" t="s">
        <v>3</v>
      </c>
      <c r="HN116" s="3" t="s">
        <v>3</v>
      </c>
      <c r="HO116" s="3" t="s">
        <v>3</v>
      </c>
      <c r="HP116" s="3" t="s">
        <v>3</v>
      </c>
      <c r="HQ116" s="3" t="s">
        <v>3</v>
      </c>
      <c r="HS116" s="3">
        <v>0</v>
      </c>
      <c r="IK116" s="3">
        <v>0</v>
      </c>
    </row>
    <row r="118" spans="1:255" x14ac:dyDescent="0.2">
      <c r="A118" s="11">
        <v>51</v>
      </c>
      <c r="B118" s="11">
        <f>B89</f>
        <v>1</v>
      </c>
      <c r="C118" s="11">
        <f>A89</f>
        <v>4</v>
      </c>
      <c r="D118" s="11">
        <f>ROW(A89)</f>
        <v>89</v>
      </c>
      <c r="E118" s="11"/>
      <c r="F118" s="11" t="str">
        <f>IF(F89&lt;&gt;"",F89,"")</f>
        <v>1</v>
      </c>
      <c r="G118" s="11" t="str">
        <f>IF(G89&lt;&gt;"",G89,"")</f>
        <v>Приборы управления</v>
      </c>
      <c r="H118" s="11">
        <v>0</v>
      </c>
      <c r="I118" s="11"/>
      <c r="J118" s="11"/>
      <c r="K118" s="11"/>
      <c r="L118" s="11"/>
      <c r="M118" s="11"/>
      <c r="N118" s="11"/>
      <c r="O118" s="11">
        <f t="shared" ref="O118:T118" si="98">ROUND(AB118,2)</f>
        <v>11894.88</v>
      </c>
      <c r="P118" s="11">
        <f t="shared" si="98"/>
        <v>10960.51</v>
      </c>
      <c r="Q118" s="11">
        <f t="shared" si="98"/>
        <v>2.19</v>
      </c>
      <c r="R118" s="11">
        <f t="shared" si="98"/>
        <v>0.43</v>
      </c>
      <c r="S118" s="11">
        <f t="shared" si="98"/>
        <v>932.18</v>
      </c>
      <c r="T118" s="11">
        <f t="shared" si="98"/>
        <v>0</v>
      </c>
      <c r="U118" s="11">
        <f>AH118</f>
        <v>69.667379999999994</v>
      </c>
      <c r="V118" s="11">
        <f>AI118</f>
        <v>0</v>
      </c>
      <c r="W118" s="11">
        <f>ROUND(AJ118,2)</f>
        <v>0</v>
      </c>
      <c r="X118" s="11">
        <f>ROUND(AK118,2)</f>
        <v>839.35</v>
      </c>
      <c r="Y118" s="11">
        <f>ROUND(AL118,2)</f>
        <v>429</v>
      </c>
      <c r="Z118" s="11"/>
      <c r="AA118" s="11"/>
      <c r="AB118" s="11">
        <f>ROUND(SUMIF(AA93:AA116,"=55915256",O93:O116),2)</f>
        <v>11894.88</v>
      </c>
      <c r="AC118" s="11">
        <f>ROUND(SUMIF(AA93:AA116,"=55915256",P93:P116),2)</f>
        <v>10960.51</v>
      </c>
      <c r="AD118" s="11">
        <f>ROUND(SUMIF(AA93:AA116,"=55915256",Q93:Q116),2)</f>
        <v>2.19</v>
      </c>
      <c r="AE118" s="11">
        <f>ROUND(SUMIF(AA93:AA116,"=55915256",R93:R116),2)</f>
        <v>0.43</v>
      </c>
      <c r="AF118" s="11">
        <f>ROUND(SUMIF(AA93:AA116,"=55915256",S93:S116),2)</f>
        <v>932.18</v>
      </c>
      <c r="AG118" s="11">
        <f>ROUND(SUMIF(AA93:AA116,"=55915256",T93:T116),2)</f>
        <v>0</v>
      </c>
      <c r="AH118" s="11">
        <f>SUMIF(AA93:AA116,"=55915256",U93:U116)</f>
        <v>69.667379999999994</v>
      </c>
      <c r="AI118" s="11">
        <f>SUMIF(AA93:AA116,"=55915256",V93:V116)</f>
        <v>0</v>
      </c>
      <c r="AJ118" s="11">
        <f>ROUND(SUMIF(AA93:AA116,"=55915256",W93:W116),2)</f>
        <v>0</v>
      </c>
      <c r="AK118" s="11">
        <f>ROUND(SUMIF(AA93:AA116,"=55915256",X93:X116),2)</f>
        <v>839.35</v>
      </c>
      <c r="AL118" s="11">
        <f>ROUND(SUMIF(AA93:AA116,"=55915256",Y93:Y116),2)</f>
        <v>429</v>
      </c>
      <c r="AM118" s="11"/>
      <c r="AN118" s="11"/>
      <c r="AO118" s="11">
        <f t="shared" ref="AO118:BD118" si="99">ROUND(BX118,2)</f>
        <v>0</v>
      </c>
      <c r="AP118" s="11">
        <f t="shared" si="99"/>
        <v>10880.61</v>
      </c>
      <c r="AQ118" s="11">
        <f t="shared" si="99"/>
        <v>0</v>
      </c>
      <c r="AR118" s="11">
        <f t="shared" si="99"/>
        <v>13163.23</v>
      </c>
      <c r="AS118" s="11">
        <f t="shared" si="99"/>
        <v>0</v>
      </c>
      <c r="AT118" s="11">
        <f t="shared" si="99"/>
        <v>2282.62</v>
      </c>
      <c r="AU118" s="11">
        <f t="shared" si="99"/>
        <v>0</v>
      </c>
      <c r="AV118" s="11">
        <f t="shared" si="99"/>
        <v>10960.51</v>
      </c>
      <c r="AW118" s="11">
        <f t="shared" si="99"/>
        <v>79.900000000000006</v>
      </c>
      <c r="AX118" s="11">
        <f t="shared" si="99"/>
        <v>0</v>
      </c>
      <c r="AY118" s="11">
        <f t="shared" si="99"/>
        <v>79.900000000000006</v>
      </c>
      <c r="AZ118" s="11">
        <f t="shared" si="99"/>
        <v>10880.61</v>
      </c>
      <c r="BA118" s="11">
        <f t="shared" si="99"/>
        <v>0</v>
      </c>
      <c r="BB118" s="11">
        <f t="shared" si="99"/>
        <v>0</v>
      </c>
      <c r="BC118" s="11">
        <f t="shared" si="99"/>
        <v>0</v>
      </c>
      <c r="BD118" s="11">
        <f t="shared" si="99"/>
        <v>0</v>
      </c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>
        <f>ROUND(SUMIF(AA93:AA116,"=55915256",FQ93:FQ116),2)</f>
        <v>0</v>
      </c>
      <c r="BY118" s="11">
        <f>ROUND(SUMIF(AA93:AA116,"=55915256",FR93:FR116),2)</f>
        <v>10880.61</v>
      </c>
      <c r="BZ118" s="11">
        <f>ROUND(SUMIF(AA93:AA116,"=55915256",GL93:GL116),2)</f>
        <v>0</v>
      </c>
      <c r="CA118" s="11">
        <f>ROUND(SUMIF(AA93:AA116,"=55915256",GM93:GM116),2)</f>
        <v>13163.23</v>
      </c>
      <c r="CB118" s="11">
        <f>ROUND(SUMIF(AA93:AA116,"=55915256",GN93:GN116),2)</f>
        <v>0</v>
      </c>
      <c r="CC118" s="11">
        <f>ROUND(SUMIF(AA93:AA116,"=55915256",GO93:GO116),2)</f>
        <v>2282.62</v>
      </c>
      <c r="CD118" s="11">
        <f>ROUND(SUMIF(AA93:AA116,"=55915256",GP93:GP116),2)</f>
        <v>0</v>
      </c>
      <c r="CE118" s="11">
        <f>AC118-BX118</f>
        <v>10960.51</v>
      </c>
      <c r="CF118" s="11">
        <f>AC118-BY118</f>
        <v>79.899999999999636</v>
      </c>
      <c r="CG118" s="11">
        <f>BX118-BZ118</f>
        <v>0</v>
      </c>
      <c r="CH118" s="11">
        <f>AC118-BX118-BY118+BZ118</f>
        <v>79.899999999999636</v>
      </c>
      <c r="CI118" s="11">
        <f>BY118-BZ118</f>
        <v>10880.61</v>
      </c>
      <c r="CJ118" s="11">
        <f>ROUND(SUMIF(AA93:AA116,"=55915256",GX93:GX116),2)</f>
        <v>0</v>
      </c>
      <c r="CK118" s="11">
        <f>ROUND(SUMIF(AA93:AA116,"=55915256",GY93:GY116),2)</f>
        <v>0</v>
      </c>
      <c r="CL118" s="11">
        <f>ROUND(SUMIF(AA93:AA116,"=55915256",GZ93:GZ116),2)</f>
        <v>0</v>
      </c>
      <c r="CM118" s="11">
        <f>ROUND(SUMIF(AA93:AA116,"=55915256",HD93:HD116),2)</f>
        <v>0</v>
      </c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2">
        <f t="shared" ref="DG118:DL118" si="100">ROUND(DT118,2)</f>
        <v>160424.5</v>
      </c>
      <c r="DH118" s="12">
        <f t="shared" si="100"/>
        <v>107852.36</v>
      </c>
      <c r="DI118" s="12">
        <f t="shared" si="100"/>
        <v>43.8</v>
      </c>
      <c r="DJ118" s="12">
        <f t="shared" si="100"/>
        <v>24.22</v>
      </c>
      <c r="DK118" s="12">
        <f t="shared" si="100"/>
        <v>52528.34</v>
      </c>
      <c r="DL118" s="12">
        <f t="shared" si="100"/>
        <v>0</v>
      </c>
      <c r="DM118" s="12">
        <f>DZ118</f>
        <v>69.667379999999994</v>
      </c>
      <c r="DN118" s="12">
        <f>EA118</f>
        <v>0</v>
      </c>
      <c r="DO118" s="12">
        <f>ROUND(EB118,2)</f>
        <v>0</v>
      </c>
      <c r="DP118" s="12">
        <f>ROUND(EC118,2)</f>
        <v>47297.32</v>
      </c>
      <c r="DQ118" s="12">
        <f>ROUND(ED118,2)</f>
        <v>24174.18</v>
      </c>
      <c r="DR118" s="12"/>
      <c r="DS118" s="12"/>
      <c r="DT118" s="12">
        <f>ROUND(SUMIF(AA93:AA116,"=55915258",O93:O116),2)</f>
        <v>160424.5</v>
      </c>
      <c r="DU118" s="12">
        <f>ROUND(SUMIF(AA93:AA116,"=55915258",P93:P116),2)</f>
        <v>107852.36</v>
      </c>
      <c r="DV118" s="12">
        <f>ROUND(SUMIF(AA93:AA116,"=55915258",Q93:Q116),2)</f>
        <v>43.8</v>
      </c>
      <c r="DW118" s="12">
        <f>ROUND(SUMIF(AA93:AA116,"=55915258",R93:R116),2)</f>
        <v>24.22</v>
      </c>
      <c r="DX118" s="12">
        <f>ROUND(SUMIF(AA93:AA116,"=55915258",S93:S116),2)</f>
        <v>52528.34</v>
      </c>
      <c r="DY118" s="12">
        <f>ROUND(SUMIF(AA93:AA116,"=55915258",T93:T116),2)</f>
        <v>0</v>
      </c>
      <c r="DZ118" s="12">
        <f>SUMIF(AA93:AA116,"=55915258",U93:U116)</f>
        <v>69.667379999999994</v>
      </c>
      <c r="EA118" s="12">
        <f>SUMIF(AA93:AA116,"=55915258",V93:V116)</f>
        <v>0</v>
      </c>
      <c r="EB118" s="12">
        <f>ROUND(SUMIF(AA93:AA116,"=55915258",W93:W116),2)</f>
        <v>0</v>
      </c>
      <c r="EC118" s="12">
        <f>ROUND(SUMIF(AA93:AA116,"=55915258",X93:X116),2)</f>
        <v>47297.32</v>
      </c>
      <c r="ED118" s="12">
        <f>ROUND(SUMIF(AA93:AA116,"=55915258",Y93:Y116),2)</f>
        <v>24174.18</v>
      </c>
      <c r="EE118" s="12"/>
      <c r="EF118" s="12"/>
      <c r="EG118" s="12">
        <f t="shared" ref="EG118:EV118" si="101">ROUND(FP118,2)</f>
        <v>0</v>
      </c>
      <c r="EH118" s="12">
        <f t="shared" si="101"/>
        <v>107065.2</v>
      </c>
      <c r="EI118" s="12">
        <f t="shared" si="101"/>
        <v>0</v>
      </c>
      <c r="EJ118" s="12">
        <f t="shared" si="101"/>
        <v>231896</v>
      </c>
      <c r="EK118" s="12">
        <f t="shared" si="101"/>
        <v>0</v>
      </c>
      <c r="EL118" s="12">
        <f t="shared" si="101"/>
        <v>124830.8</v>
      </c>
      <c r="EM118" s="12">
        <f t="shared" si="101"/>
        <v>0</v>
      </c>
      <c r="EN118" s="12">
        <f t="shared" si="101"/>
        <v>107852.36</v>
      </c>
      <c r="EO118" s="12">
        <f t="shared" si="101"/>
        <v>787.16</v>
      </c>
      <c r="EP118" s="12">
        <f t="shared" si="101"/>
        <v>0</v>
      </c>
      <c r="EQ118" s="12">
        <f t="shared" si="101"/>
        <v>787.16</v>
      </c>
      <c r="ER118" s="12">
        <f t="shared" si="101"/>
        <v>107065.2</v>
      </c>
      <c r="ES118" s="12">
        <f t="shared" si="101"/>
        <v>0</v>
      </c>
      <c r="ET118" s="12">
        <f t="shared" si="101"/>
        <v>0</v>
      </c>
      <c r="EU118" s="12">
        <f t="shared" si="101"/>
        <v>0</v>
      </c>
      <c r="EV118" s="12">
        <f t="shared" si="101"/>
        <v>0</v>
      </c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>
        <f>ROUND(SUMIF(AA93:AA116,"=55915258",FQ93:FQ116),2)</f>
        <v>0</v>
      </c>
      <c r="FQ118" s="12">
        <f>ROUND(SUMIF(AA93:AA116,"=55915258",FR93:FR116),2)</f>
        <v>107065.2</v>
      </c>
      <c r="FR118" s="12">
        <f>ROUND(SUMIF(AA93:AA116,"=55915258",GL93:GL116),2)</f>
        <v>0</v>
      </c>
      <c r="FS118" s="12">
        <f>ROUND(SUMIF(AA93:AA116,"=55915258",GM93:GM116),2)</f>
        <v>231896</v>
      </c>
      <c r="FT118" s="12">
        <f>ROUND(SUMIF(AA93:AA116,"=55915258",GN93:GN116),2)</f>
        <v>0</v>
      </c>
      <c r="FU118" s="12">
        <f>ROUND(SUMIF(AA93:AA116,"=55915258",GO93:GO116),2)</f>
        <v>124830.8</v>
      </c>
      <c r="FV118" s="12">
        <f>ROUND(SUMIF(AA93:AA116,"=55915258",GP93:GP116),2)</f>
        <v>0</v>
      </c>
      <c r="FW118" s="12">
        <f>DU118-FP118</f>
        <v>107852.36</v>
      </c>
      <c r="FX118" s="12">
        <f>DU118-FQ118</f>
        <v>787.16000000000349</v>
      </c>
      <c r="FY118" s="12">
        <f>FP118-FR118</f>
        <v>0</v>
      </c>
      <c r="FZ118" s="12">
        <f>DU118-FP118-FQ118+FR118</f>
        <v>787.16000000000349</v>
      </c>
      <c r="GA118" s="12">
        <f>FQ118-FR118</f>
        <v>107065.2</v>
      </c>
      <c r="GB118" s="12">
        <f>ROUND(SUMIF(AA93:AA116,"=55915258",GX93:GX116),2)</f>
        <v>0</v>
      </c>
      <c r="GC118" s="12">
        <f>ROUND(SUMIF(AA93:AA116,"=55915258",GY93:GY116),2)</f>
        <v>0</v>
      </c>
      <c r="GD118" s="12">
        <f>ROUND(SUMIF(AA93:AA116,"=55915258",GZ93:GZ116),2)</f>
        <v>0</v>
      </c>
      <c r="GE118" s="12">
        <f>ROUND(SUMIF(AA93:AA116,"=55915258",HD93:HD116),2)</f>
        <v>0</v>
      </c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>
        <v>0</v>
      </c>
    </row>
    <row r="120" spans="1:255" x14ac:dyDescent="0.2">
      <c r="A120" s="13">
        <v>50</v>
      </c>
      <c r="B120" s="13">
        <v>0</v>
      </c>
      <c r="C120" s="13">
        <v>0</v>
      </c>
      <c r="D120" s="13">
        <v>1</v>
      </c>
      <c r="E120" s="13">
        <v>201</v>
      </c>
      <c r="F120" s="13">
        <f>ROUND(Source!O118,O120)</f>
        <v>11894.88</v>
      </c>
      <c r="G120" s="13" t="s">
        <v>93</v>
      </c>
      <c r="H120" s="13" t="s">
        <v>94</v>
      </c>
      <c r="I120" s="13"/>
      <c r="J120" s="13"/>
      <c r="K120" s="13">
        <v>201</v>
      </c>
      <c r="L120" s="13">
        <v>1</v>
      </c>
      <c r="M120" s="13">
        <v>3</v>
      </c>
      <c r="N120" s="13" t="s">
        <v>3</v>
      </c>
      <c r="O120" s="13">
        <v>2</v>
      </c>
      <c r="P120" s="13">
        <f>ROUND(Source!DG118,O120)</f>
        <v>160424.5</v>
      </c>
      <c r="Q120" s="13"/>
      <c r="R120" s="13"/>
      <c r="S120" s="13"/>
      <c r="T120" s="13"/>
      <c r="U120" s="13"/>
      <c r="V120" s="13"/>
      <c r="W120" s="13">
        <v>11894.88</v>
      </c>
      <c r="X120" s="13">
        <v>1</v>
      </c>
      <c r="Y120" s="13">
        <v>11894.88</v>
      </c>
      <c r="Z120" s="13">
        <v>160424.5</v>
      </c>
      <c r="AA120" s="13">
        <v>1</v>
      </c>
      <c r="AB120" s="13">
        <v>160424.5</v>
      </c>
    </row>
    <row r="121" spans="1:255" x14ac:dyDescent="0.2">
      <c r="A121" s="13">
        <v>50</v>
      </c>
      <c r="B121" s="13">
        <v>0</v>
      </c>
      <c r="C121" s="13">
        <v>0</v>
      </c>
      <c r="D121" s="13">
        <v>1</v>
      </c>
      <c r="E121" s="13">
        <v>202</v>
      </c>
      <c r="F121" s="13">
        <f>ROUND(Source!P118,O121)</f>
        <v>10960.51</v>
      </c>
      <c r="G121" s="13" t="s">
        <v>95</v>
      </c>
      <c r="H121" s="13" t="s">
        <v>96</v>
      </c>
      <c r="I121" s="13"/>
      <c r="J121" s="13"/>
      <c r="K121" s="13">
        <v>202</v>
      </c>
      <c r="L121" s="13">
        <v>2</v>
      </c>
      <c r="M121" s="13">
        <v>3</v>
      </c>
      <c r="N121" s="13" t="s">
        <v>3</v>
      </c>
      <c r="O121" s="13">
        <v>2</v>
      </c>
      <c r="P121" s="13">
        <f>ROUND(Source!DH118,O121)</f>
        <v>107852.36</v>
      </c>
      <c r="Q121" s="13"/>
      <c r="R121" s="13"/>
      <c r="S121" s="13"/>
      <c r="T121" s="13"/>
      <c r="U121" s="13"/>
      <c r="V121" s="13"/>
      <c r="W121" s="13">
        <v>10960.51</v>
      </c>
      <c r="X121" s="13">
        <v>1</v>
      </c>
      <c r="Y121" s="13">
        <v>10960.51</v>
      </c>
      <c r="Z121" s="13">
        <v>107852.36</v>
      </c>
      <c r="AA121" s="13">
        <v>1</v>
      </c>
      <c r="AB121" s="13">
        <v>107852.36</v>
      </c>
    </row>
    <row r="122" spans="1:255" x14ac:dyDescent="0.2">
      <c r="A122" s="13">
        <v>50</v>
      </c>
      <c r="B122" s="13">
        <v>0</v>
      </c>
      <c r="C122" s="13">
        <v>0</v>
      </c>
      <c r="D122" s="13">
        <v>1</v>
      </c>
      <c r="E122" s="13">
        <v>222</v>
      </c>
      <c r="F122" s="13">
        <f>ROUND(Source!AO118,O122)</f>
        <v>0</v>
      </c>
      <c r="G122" s="13" t="s">
        <v>97</v>
      </c>
      <c r="H122" s="13" t="s">
        <v>98</v>
      </c>
      <c r="I122" s="13"/>
      <c r="J122" s="13"/>
      <c r="K122" s="13">
        <v>222</v>
      </c>
      <c r="L122" s="13">
        <v>3</v>
      </c>
      <c r="M122" s="13">
        <v>3</v>
      </c>
      <c r="N122" s="13" t="s">
        <v>3</v>
      </c>
      <c r="O122" s="13">
        <v>2</v>
      </c>
      <c r="P122" s="13">
        <f>ROUND(Source!EG118,O122)</f>
        <v>0</v>
      </c>
      <c r="Q122" s="13"/>
      <c r="R122" s="13"/>
      <c r="S122" s="13"/>
      <c r="T122" s="13"/>
      <c r="U122" s="13"/>
      <c r="V122" s="13"/>
      <c r="W122" s="13">
        <v>0</v>
      </c>
      <c r="X122" s="13">
        <v>1</v>
      </c>
      <c r="Y122" s="13">
        <v>0</v>
      </c>
      <c r="Z122" s="13">
        <v>0</v>
      </c>
      <c r="AA122" s="13">
        <v>1</v>
      </c>
      <c r="AB122" s="13">
        <v>0</v>
      </c>
    </row>
    <row r="123" spans="1:255" x14ac:dyDescent="0.2">
      <c r="A123" s="13">
        <v>50</v>
      </c>
      <c r="B123" s="13">
        <v>0</v>
      </c>
      <c r="C123" s="13">
        <v>0</v>
      </c>
      <c r="D123" s="13">
        <v>1</v>
      </c>
      <c r="E123" s="13">
        <v>225</v>
      </c>
      <c r="F123" s="13">
        <f>ROUND(Source!AV118,O123)</f>
        <v>10960.51</v>
      </c>
      <c r="G123" s="13" t="s">
        <v>99</v>
      </c>
      <c r="H123" s="13" t="s">
        <v>100</v>
      </c>
      <c r="I123" s="13"/>
      <c r="J123" s="13"/>
      <c r="K123" s="13">
        <v>225</v>
      </c>
      <c r="L123" s="13">
        <v>4</v>
      </c>
      <c r="M123" s="13">
        <v>3</v>
      </c>
      <c r="N123" s="13" t="s">
        <v>3</v>
      </c>
      <c r="O123" s="13">
        <v>2</v>
      </c>
      <c r="P123" s="13">
        <f>ROUND(Source!EN118,O123)</f>
        <v>107852.36</v>
      </c>
      <c r="Q123" s="13"/>
      <c r="R123" s="13"/>
      <c r="S123" s="13"/>
      <c r="T123" s="13"/>
      <c r="U123" s="13"/>
      <c r="V123" s="13"/>
      <c r="W123" s="13">
        <v>10960.51</v>
      </c>
      <c r="X123" s="13">
        <v>1</v>
      </c>
      <c r="Y123" s="13">
        <v>10960.51</v>
      </c>
      <c r="Z123" s="13">
        <v>107852.36</v>
      </c>
      <c r="AA123" s="13">
        <v>1</v>
      </c>
      <c r="AB123" s="13">
        <v>107852.36</v>
      </c>
    </row>
    <row r="124" spans="1:255" x14ac:dyDescent="0.2">
      <c r="A124" s="13">
        <v>50</v>
      </c>
      <c r="B124" s="13">
        <v>0</v>
      </c>
      <c r="C124" s="13">
        <v>0</v>
      </c>
      <c r="D124" s="13">
        <v>1</v>
      </c>
      <c r="E124" s="13">
        <v>226</v>
      </c>
      <c r="F124" s="13">
        <f>ROUND(Source!AW118,O124)</f>
        <v>79.900000000000006</v>
      </c>
      <c r="G124" s="13" t="s">
        <v>101</v>
      </c>
      <c r="H124" s="13" t="s">
        <v>102</v>
      </c>
      <c r="I124" s="13"/>
      <c r="J124" s="13"/>
      <c r="K124" s="13">
        <v>226</v>
      </c>
      <c r="L124" s="13">
        <v>5</v>
      </c>
      <c r="M124" s="13">
        <v>3</v>
      </c>
      <c r="N124" s="13" t="s">
        <v>3</v>
      </c>
      <c r="O124" s="13">
        <v>2</v>
      </c>
      <c r="P124" s="13">
        <f>ROUND(Source!EO118,O124)</f>
        <v>787.16</v>
      </c>
      <c r="Q124" s="13"/>
      <c r="R124" s="13"/>
      <c r="S124" s="13"/>
      <c r="T124" s="13"/>
      <c r="U124" s="13"/>
      <c r="V124" s="13"/>
      <c r="W124" s="13">
        <v>79.900000000000006</v>
      </c>
      <c r="X124" s="13">
        <v>1</v>
      </c>
      <c r="Y124" s="13">
        <v>79.900000000000006</v>
      </c>
      <c r="Z124" s="13">
        <v>787.16</v>
      </c>
      <c r="AA124" s="13">
        <v>1</v>
      </c>
      <c r="AB124" s="13">
        <v>787.16</v>
      </c>
    </row>
    <row r="125" spans="1:255" x14ac:dyDescent="0.2">
      <c r="A125" s="13">
        <v>50</v>
      </c>
      <c r="B125" s="13">
        <v>0</v>
      </c>
      <c r="C125" s="13">
        <v>0</v>
      </c>
      <c r="D125" s="13">
        <v>1</v>
      </c>
      <c r="E125" s="13">
        <v>227</v>
      </c>
      <c r="F125" s="13">
        <f>ROUND(Source!AX118,O125)</f>
        <v>0</v>
      </c>
      <c r="G125" s="13" t="s">
        <v>103</v>
      </c>
      <c r="H125" s="13" t="s">
        <v>104</v>
      </c>
      <c r="I125" s="13"/>
      <c r="J125" s="13"/>
      <c r="K125" s="13">
        <v>227</v>
      </c>
      <c r="L125" s="13">
        <v>6</v>
      </c>
      <c r="M125" s="13">
        <v>3</v>
      </c>
      <c r="N125" s="13" t="s">
        <v>3</v>
      </c>
      <c r="O125" s="13">
        <v>2</v>
      </c>
      <c r="P125" s="13">
        <f>ROUND(Source!EP118,O125)</f>
        <v>0</v>
      </c>
      <c r="Q125" s="13"/>
      <c r="R125" s="13"/>
      <c r="S125" s="13"/>
      <c r="T125" s="13"/>
      <c r="U125" s="13"/>
      <c r="V125" s="13"/>
      <c r="W125" s="13">
        <v>0</v>
      </c>
      <c r="X125" s="13">
        <v>1</v>
      </c>
      <c r="Y125" s="13">
        <v>0</v>
      </c>
      <c r="Z125" s="13">
        <v>0</v>
      </c>
      <c r="AA125" s="13">
        <v>1</v>
      </c>
      <c r="AB125" s="13">
        <v>0</v>
      </c>
    </row>
    <row r="126" spans="1:255" x14ac:dyDescent="0.2">
      <c r="A126" s="13">
        <v>50</v>
      </c>
      <c r="B126" s="13">
        <v>0</v>
      </c>
      <c r="C126" s="13">
        <v>0</v>
      </c>
      <c r="D126" s="13">
        <v>1</v>
      </c>
      <c r="E126" s="13">
        <v>228</v>
      </c>
      <c r="F126" s="13">
        <f>ROUND(Source!AY118,O126)</f>
        <v>79.900000000000006</v>
      </c>
      <c r="G126" s="13" t="s">
        <v>105</v>
      </c>
      <c r="H126" s="13" t="s">
        <v>106</v>
      </c>
      <c r="I126" s="13"/>
      <c r="J126" s="13"/>
      <c r="K126" s="13">
        <v>228</v>
      </c>
      <c r="L126" s="13">
        <v>7</v>
      </c>
      <c r="M126" s="13">
        <v>3</v>
      </c>
      <c r="N126" s="13" t="s">
        <v>3</v>
      </c>
      <c r="O126" s="13">
        <v>2</v>
      </c>
      <c r="P126" s="13">
        <f>ROUND(Source!EQ118,O126)</f>
        <v>787.16</v>
      </c>
      <c r="Q126" s="13"/>
      <c r="R126" s="13"/>
      <c r="S126" s="13"/>
      <c r="T126" s="13"/>
      <c r="U126" s="13"/>
      <c r="V126" s="13"/>
      <c r="W126" s="13">
        <v>79.900000000000006</v>
      </c>
      <c r="X126" s="13">
        <v>1</v>
      </c>
      <c r="Y126" s="13">
        <v>79.900000000000006</v>
      </c>
      <c r="Z126" s="13">
        <v>787.16</v>
      </c>
      <c r="AA126" s="13">
        <v>1</v>
      </c>
      <c r="AB126" s="13">
        <v>787.16</v>
      </c>
    </row>
    <row r="127" spans="1:255" x14ac:dyDescent="0.2">
      <c r="A127" s="13">
        <v>50</v>
      </c>
      <c r="B127" s="13">
        <v>0</v>
      </c>
      <c r="C127" s="13">
        <v>0</v>
      </c>
      <c r="D127" s="13">
        <v>1</v>
      </c>
      <c r="E127" s="13">
        <v>216</v>
      </c>
      <c r="F127" s="13">
        <f>ROUND(Source!AP118,O127)</f>
        <v>10880.61</v>
      </c>
      <c r="G127" s="13" t="s">
        <v>107</v>
      </c>
      <c r="H127" s="13" t="s">
        <v>108</v>
      </c>
      <c r="I127" s="13"/>
      <c r="J127" s="13"/>
      <c r="K127" s="13">
        <v>216</v>
      </c>
      <c r="L127" s="13">
        <v>8</v>
      </c>
      <c r="M127" s="13">
        <v>3</v>
      </c>
      <c r="N127" s="13" t="s">
        <v>3</v>
      </c>
      <c r="O127" s="13">
        <v>2</v>
      </c>
      <c r="P127" s="13">
        <f>ROUND(Source!EH118,O127)</f>
        <v>107065.2</v>
      </c>
      <c r="Q127" s="13"/>
      <c r="R127" s="13"/>
      <c r="S127" s="13"/>
      <c r="T127" s="13"/>
      <c r="U127" s="13"/>
      <c r="V127" s="13"/>
      <c r="W127" s="13">
        <v>10880.61</v>
      </c>
      <c r="X127" s="13">
        <v>1</v>
      </c>
      <c r="Y127" s="13">
        <v>10880.61</v>
      </c>
      <c r="Z127" s="13">
        <v>107065.2</v>
      </c>
      <c r="AA127" s="13">
        <v>1</v>
      </c>
      <c r="AB127" s="13">
        <v>107065.2</v>
      </c>
    </row>
    <row r="128" spans="1:255" x14ac:dyDescent="0.2">
      <c r="A128" s="13">
        <v>50</v>
      </c>
      <c r="B128" s="13">
        <v>0</v>
      </c>
      <c r="C128" s="13">
        <v>0</v>
      </c>
      <c r="D128" s="13">
        <v>1</v>
      </c>
      <c r="E128" s="13">
        <v>223</v>
      </c>
      <c r="F128" s="13">
        <f>ROUND(Source!AQ118,O128)</f>
        <v>0</v>
      </c>
      <c r="G128" s="13" t="s">
        <v>109</v>
      </c>
      <c r="H128" s="13" t="s">
        <v>110</v>
      </c>
      <c r="I128" s="13"/>
      <c r="J128" s="13"/>
      <c r="K128" s="13">
        <v>223</v>
      </c>
      <c r="L128" s="13">
        <v>9</v>
      </c>
      <c r="M128" s="13">
        <v>3</v>
      </c>
      <c r="N128" s="13" t="s">
        <v>3</v>
      </c>
      <c r="O128" s="13">
        <v>2</v>
      </c>
      <c r="P128" s="13">
        <f>ROUND(Source!EI118,O128)</f>
        <v>0</v>
      </c>
      <c r="Q128" s="13"/>
      <c r="R128" s="13"/>
      <c r="S128" s="13"/>
      <c r="T128" s="13"/>
      <c r="U128" s="13"/>
      <c r="V128" s="13"/>
      <c r="W128" s="13">
        <v>0</v>
      </c>
      <c r="X128" s="13">
        <v>1</v>
      </c>
      <c r="Y128" s="13">
        <v>0</v>
      </c>
      <c r="Z128" s="13">
        <v>0</v>
      </c>
      <c r="AA128" s="13">
        <v>1</v>
      </c>
      <c r="AB128" s="13">
        <v>0</v>
      </c>
    </row>
    <row r="129" spans="1:28" x14ac:dyDescent="0.2">
      <c r="A129" s="13">
        <v>50</v>
      </c>
      <c r="B129" s="13">
        <v>0</v>
      </c>
      <c r="C129" s="13">
        <v>0</v>
      </c>
      <c r="D129" s="13">
        <v>1</v>
      </c>
      <c r="E129" s="13">
        <v>229</v>
      </c>
      <c r="F129" s="13">
        <f>ROUND(Source!AZ118,O129)</f>
        <v>10880.61</v>
      </c>
      <c r="G129" s="13" t="s">
        <v>111</v>
      </c>
      <c r="H129" s="13" t="s">
        <v>112</v>
      </c>
      <c r="I129" s="13"/>
      <c r="J129" s="13"/>
      <c r="K129" s="13">
        <v>229</v>
      </c>
      <c r="L129" s="13">
        <v>10</v>
      </c>
      <c r="M129" s="13">
        <v>3</v>
      </c>
      <c r="N129" s="13" t="s">
        <v>3</v>
      </c>
      <c r="O129" s="13">
        <v>2</v>
      </c>
      <c r="P129" s="13">
        <f>ROUND(Source!ER118,O129)</f>
        <v>107065.2</v>
      </c>
      <c r="Q129" s="13"/>
      <c r="R129" s="13"/>
      <c r="S129" s="13"/>
      <c r="T129" s="13"/>
      <c r="U129" s="13"/>
      <c r="V129" s="13"/>
      <c r="W129" s="13">
        <v>10880.61</v>
      </c>
      <c r="X129" s="13">
        <v>1</v>
      </c>
      <c r="Y129" s="13">
        <v>10880.61</v>
      </c>
      <c r="Z129" s="13">
        <v>107065.2</v>
      </c>
      <c r="AA129" s="13">
        <v>1</v>
      </c>
      <c r="AB129" s="13">
        <v>107065.2</v>
      </c>
    </row>
    <row r="130" spans="1:28" x14ac:dyDescent="0.2">
      <c r="A130" s="13">
        <v>50</v>
      </c>
      <c r="B130" s="13">
        <v>0</v>
      </c>
      <c r="C130" s="13">
        <v>0</v>
      </c>
      <c r="D130" s="13">
        <v>1</v>
      </c>
      <c r="E130" s="13">
        <v>203</v>
      </c>
      <c r="F130" s="13">
        <f>ROUND(Source!Q118,O130)</f>
        <v>2.19</v>
      </c>
      <c r="G130" s="13" t="s">
        <v>113</v>
      </c>
      <c r="H130" s="13" t="s">
        <v>114</v>
      </c>
      <c r="I130" s="13"/>
      <c r="J130" s="13"/>
      <c r="K130" s="13">
        <v>203</v>
      </c>
      <c r="L130" s="13">
        <v>11</v>
      </c>
      <c r="M130" s="13">
        <v>3</v>
      </c>
      <c r="N130" s="13" t="s">
        <v>3</v>
      </c>
      <c r="O130" s="13">
        <v>2</v>
      </c>
      <c r="P130" s="13">
        <f>ROUND(Source!DI118,O130)</f>
        <v>43.8</v>
      </c>
      <c r="Q130" s="13"/>
      <c r="R130" s="13"/>
      <c r="S130" s="13"/>
      <c r="T130" s="13"/>
      <c r="U130" s="13"/>
      <c r="V130" s="13"/>
      <c r="W130" s="13">
        <v>2.19</v>
      </c>
      <c r="X130" s="13">
        <v>1</v>
      </c>
      <c r="Y130" s="13">
        <v>2.19</v>
      </c>
      <c r="Z130" s="13">
        <v>43.8</v>
      </c>
      <c r="AA130" s="13">
        <v>1</v>
      </c>
      <c r="AB130" s="13">
        <v>43.8</v>
      </c>
    </row>
    <row r="131" spans="1:28" x14ac:dyDescent="0.2">
      <c r="A131" s="13">
        <v>50</v>
      </c>
      <c r="B131" s="13">
        <v>0</v>
      </c>
      <c r="C131" s="13">
        <v>0</v>
      </c>
      <c r="D131" s="13">
        <v>1</v>
      </c>
      <c r="E131" s="13">
        <v>231</v>
      </c>
      <c r="F131" s="13">
        <f>ROUND(Source!BB118,O131)</f>
        <v>0</v>
      </c>
      <c r="G131" s="13" t="s">
        <v>115</v>
      </c>
      <c r="H131" s="13" t="s">
        <v>116</v>
      </c>
      <c r="I131" s="13"/>
      <c r="J131" s="13"/>
      <c r="K131" s="13">
        <v>231</v>
      </c>
      <c r="L131" s="13">
        <v>12</v>
      </c>
      <c r="M131" s="13">
        <v>3</v>
      </c>
      <c r="N131" s="13" t="s">
        <v>3</v>
      </c>
      <c r="O131" s="13">
        <v>2</v>
      </c>
      <c r="P131" s="13">
        <f>ROUND(Source!ET118,O131)</f>
        <v>0</v>
      </c>
      <c r="Q131" s="13"/>
      <c r="R131" s="13"/>
      <c r="S131" s="13"/>
      <c r="T131" s="13"/>
      <c r="U131" s="13"/>
      <c r="V131" s="13"/>
      <c r="W131" s="13">
        <v>0</v>
      </c>
      <c r="X131" s="13">
        <v>1</v>
      </c>
      <c r="Y131" s="13">
        <v>0</v>
      </c>
      <c r="Z131" s="13">
        <v>0</v>
      </c>
      <c r="AA131" s="13">
        <v>1</v>
      </c>
      <c r="AB131" s="13">
        <v>0</v>
      </c>
    </row>
    <row r="132" spans="1:28" x14ac:dyDescent="0.2">
      <c r="A132" s="13">
        <v>50</v>
      </c>
      <c r="B132" s="13">
        <v>0</v>
      </c>
      <c r="C132" s="13">
        <v>0</v>
      </c>
      <c r="D132" s="13">
        <v>1</v>
      </c>
      <c r="E132" s="13">
        <v>204</v>
      </c>
      <c r="F132" s="13">
        <f>ROUND(Source!R118,O132)</f>
        <v>0.43</v>
      </c>
      <c r="G132" s="13" t="s">
        <v>117</v>
      </c>
      <c r="H132" s="13" t="s">
        <v>118</v>
      </c>
      <c r="I132" s="13"/>
      <c r="J132" s="13"/>
      <c r="K132" s="13">
        <v>204</v>
      </c>
      <c r="L132" s="13">
        <v>13</v>
      </c>
      <c r="M132" s="13">
        <v>3</v>
      </c>
      <c r="N132" s="13" t="s">
        <v>3</v>
      </c>
      <c r="O132" s="13">
        <v>2</v>
      </c>
      <c r="P132" s="13">
        <f>ROUND(Source!DJ118,O132)</f>
        <v>24.22</v>
      </c>
      <c r="Q132" s="13"/>
      <c r="R132" s="13"/>
      <c r="S132" s="13"/>
      <c r="T132" s="13"/>
      <c r="U132" s="13"/>
      <c r="V132" s="13"/>
      <c r="W132" s="13">
        <v>0.43</v>
      </c>
      <c r="X132" s="13">
        <v>1</v>
      </c>
      <c r="Y132" s="13">
        <v>0.43</v>
      </c>
      <c r="Z132" s="13">
        <v>24.22</v>
      </c>
      <c r="AA132" s="13">
        <v>1</v>
      </c>
      <c r="AB132" s="13">
        <v>24.22</v>
      </c>
    </row>
    <row r="133" spans="1:28" x14ac:dyDescent="0.2">
      <c r="A133" s="13">
        <v>50</v>
      </c>
      <c r="B133" s="13">
        <v>0</v>
      </c>
      <c r="C133" s="13">
        <v>0</v>
      </c>
      <c r="D133" s="13">
        <v>1</v>
      </c>
      <c r="E133" s="13">
        <v>205</v>
      </c>
      <c r="F133" s="13">
        <f>ROUND(Source!S118,O133)</f>
        <v>932.18</v>
      </c>
      <c r="G133" s="13" t="s">
        <v>119</v>
      </c>
      <c r="H133" s="13" t="s">
        <v>120</v>
      </c>
      <c r="I133" s="13"/>
      <c r="J133" s="13"/>
      <c r="K133" s="13">
        <v>205</v>
      </c>
      <c r="L133" s="13">
        <v>14</v>
      </c>
      <c r="M133" s="13">
        <v>3</v>
      </c>
      <c r="N133" s="13" t="s">
        <v>3</v>
      </c>
      <c r="O133" s="13">
        <v>2</v>
      </c>
      <c r="P133" s="13">
        <f>ROUND(Source!DK118,O133)</f>
        <v>52528.34</v>
      </c>
      <c r="Q133" s="13"/>
      <c r="R133" s="13"/>
      <c r="S133" s="13"/>
      <c r="T133" s="13"/>
      <c r="U133" s="13"/>
      <c r="V133" s="13"/>
      <c r="W133" s="13">
        <v>932.18</v>
      </c>
      <c r="X133" s="13">
        <v>1</v>
      </c>
      <c r="Y133" s="13">
        <v>932.18</v>
      </c>
      <c r="Z133" s="13">
        <v>52528.34</v>
      </c>
      <c r="AA133" s="13">
        <v>1</v>
      </c>
      <c r="AB133" s="13">
        <v>52528.34</v>
      </c>
    </row>
    <row r="134" spans="1:28" x14ac:dyDescent="0.2">
      <c r="A134" s="13">
        <v>50</v>
      </c>
      <c r="B134" s="13">
        <v>0</v>
      </c>
      <c r="C134" s="13">
        <v>0</v>
      </c>
      <c r="D134" s="13">
        <v>1</v>
      </c>
      <c r="E134" s="13">
        <v>232</v>
      </c>
      <c r="F134" s="13">
        <f>ROUND(Source!BC118,O134)</f>
        <v>0</v>
      </c>
      <c r="G134" s="13" t="s">
        <v>121</v>
      </c>
      <c r="H134" s="13" t="s">
        <v>122</v>
      </c>
      <c r="I134" s="13"/>
      <c r="J134" s="13"/>
      <c r="K134" s="13">
        <v>232</v>
      </c>
      <c r="L134" s="13">
        <v>15</v>
      </c>
      <c r="M134" s="13">
        <v>3</v>
      </c>
      <c r="N134" s="13" t="s">
        <v>3</v>
      </c>
      <c r="O134" s="13">
        <v>2</v>
      </c>
      <c r="P134" s="13">
        <f>ROUND(Source!EU118,O134)</f>
        <v>0</v>
      </c>
      <c r="Q134" s="13"/>
      <c r="R134" s="13"/>
      <c r="S134" s="13"/>
      <c r="T134" s="13"/>
      <c r="U134" s="13"/>
      <c r="V134" s="13"/>
      <c r="W134" s="13">
        <v>0</v>
      </c>
      <c r="X134" s="13">
        <v>1</v>
      </c>
      <c r="Y134" s="13">
        <v>0</v>
      </c>
      <c r="Z134" s="13">
        <v>0</v>
      </c>
      <c r="AA134" s="13">
        <v>1</v>
      </c>
      <c r="AB134" s="13">
        <v>0</v>
      </c>
    </row>
    <row r="135" spans="1:28" x14ac:dyDescent="0.2">
      <c r="A135" s="13">
        <v>50</v>
      </c>
      <c r="B135" s="13">
        <v>0</v>
      </c>
      <c r="C135" s="13">
        <v>0</v>
      </c>
      <c r="D135" s="13">
        <v>1</v>
      </c>
      <c r="E135" s="13">
        <v>214</v>
      </c>
      <c r="F135" s="13">
        <f>ROUND(Source!AS118,O135)</f>
        <v>0</v>
      </c>
      <c r="G135" s="13" t="s">
        <v>123</v>
      </c>
      <c r="H135" s="13" t="s">
        <v>124</v>
      </c>
      <c r="I135" s="13"/>
      <c r="J135" s="13"/>
      <c r="K135" s="13">
        <v>214</v>
      </c>
      <c r="L135" s="13">
        <v>16</v>
      </c>
      <c r="M135" s="13">
        <v>3</v>
      </c>
      <c r="N135" s="13" t="s">
        <v>3</v>
      </c>
      <c r="O135" s="13">
        <v>2</v>
      </c>
      <c r="P135" s="13">
        <f>ROUND(Source!EK118,O135)</f>
        <v>0</v>
      </c>
      <c r="Q135" s="13"/>
      <c r="R135" s="13"/>
      <c r="S135" s="13"/>
      <c r="T135" s="13"/>
      <c r="U135" s="13"/>
      <c r="V135" s="13"/>
      <c r="W135" s="13">
        <v>0</v>
      </c>
      <c r="X135" s="13">
        <v>1</v>
      </c>
      <c r="Y135" s="13">
        <v>0</v>
      </c>
      <c r="Z135" s="13">
        <v>0</v>
      </c>
      <c r="AA135" s="13">
        <v>1</v>
      </c>
      <c r="AB135" s="13">
        <v>0</v>
      </c>
    </row>
    <row r="136" spans="1:28" x14ac:dyDescent="0.2">
      <c r="A136" s="13">
        <v>50</v>
      </c>
      <c r="B136" s="13">
        <v>0</v>
      </c>
      <c r="C136" s="13">
        <v>0</v>
      </c>
      <c r="D136" s="13">
        <v>1</v>
      </c>
      <c r="E136" s="13">
        <v>215</v>
      </c>
      <c r="F136" s="13">
        <f>ROUND(Source!AT118,O136)</f>
        <v>2282.62</v>
      </c>
      <c r="G136" s="13" t="s">
        <v>125</v>
      </c>
      <c r="H136" s="13" t="s">
        <v>126</v>
      </c>
      <c r="I136" s="13"/>
      <c r="J136" s="13"/>
      <c r="K136" s="13">
        <v>215</v>
      </c>
      <c r="L136" s="13">
        <v>17</v>
      </c>
      <c r="M136" s="13">
        <v>3</v>
      </c>
      <c r="N136" s="13" t="s">
        <v>3</v>
      </c>
      <c r="O136" s="13">
        <v>2</v>
      </c>
      <c r="P136" s="13">
        <f>ROUND(Source!EL118,O136)</f>
        <v>124830.8</v>
      </c>
      <c r="Q136" s="13"/>
      <c r="R136" s="13"/>
      <c r="S136" s="13"/>
      <c r="T136" s="13"/>
      <c r="U136" s="13"/>
      <c r="V136" s="13"/>
      <c r="W136" s="13">
        <v>2282.62</v>
      </c>
      <c r="X136" s="13">
        <v>1</v>
      </c>
      <c r="Y136" s="13">
        <v>2282.62</v>
      </c>
      <c r="Z136" s="13">
        <v>124830.8</v>
      </c>
      <c r="AA136" s="13">
        <v>1</v>
      </c>
      <c r="AB136" s="13">
        <v>124830.8</v>
      </c>
    </row>
    <row r="137" spans="1:28" x14ac:dyDescent="0.2">
      <c r="A137" s="13">
        <v>50</v>
      </c>
      <c r="B137" s="13">
        <v>0</v>
      </c>
      <c r="C137" s="13">
        <v>0</v>
      </c>
      <c r="D137" s="13">
        <v>1</v>
      </c>
      <c r="E137" s="13">
        <v>217</v>
      </c>
      <c r="F137" s="13">
        <f>ROUND(Source!AU118,O137)</f>
        <v>0</v>
      </c>
      <c r="G137" s="13" t="s">
        <v>127</v>
      </c>
      <c r="H137" s="13" t="s">
        <v>128</v>
      </c>
      <c r="I137" s="13"/>
      <c r="J137" s="13"/>
      <c r="K137" s="13">
        <v>217</v>
      </c>
      <c r="L137" s="13">
        <v>18</v>
      </c>
      <c r="M137" s="13">
        <v>3</v>
      </c>
      <c r="N137" s="13" t="s">
        <v>3</v>
      </c>
      <c r="O137" s="13">
        <v>2</v>
      </c>
      <c r="P137" s="13">
        <f>ROUND(Source!EM118,O137)</f>
        <v>0</v>
      </c>
      <c r="Q137" s="13"/>
      <c r="R137" s="13"/>
      <c r="S137" s="13"/>
      <c r="T137" s="13"/>
      <c r="U137" s="13"/>
      <c r="V137" s="13"/>
      <c r="W137" s="13">
        <v>0</v>
      </c>
      <c r="X137" s="13">
        <v>1</v>
      </c>
      <c r="Y137" s="13">
        <v>0</v>
      </c>
      <c r="Z137" s="13">
        <v>0</v>
      </c>
      <c r="AA137" s="13">
        <v>1</v>
      </c>
      <c r="AB137" s="13">
        <v>0</v>
      </c>
    </row>
    <row r="138" spans="1:28" x14ac:dyDescent="0.2">
      <c r="A138" s="13">
        <v>50</v>
      </c>
      <c r="B138" s="13">
        <v>0</v>
      </c>
      <c r="C138" s="13">
        <v>0</v>
      </c>
      <c r="D138" s="13">
        <v>1</v>
      </c>
      <c r="E138" s="13">
        <v>230</v>
      </c>
      <c r="F138" s="13">
        <f>ROUND(Source!BA118,O138)</f>
        <v>0</v>
      </c>
      <c r="G138" s="13" t="s">
        <v>129</v>
      </c>
      <c r="H138" s="13" t="s">
        <v>130</v>
      </c>
      <c r="I138" s="13"/>
      <c r="J138" s="13"/>
      <c r="K138" s="13">
        <v>230</v>
      </c>
      <c r="L138" s="13">
        <v>19</v>
      </c>
      <c r="M138" s="13">
        <v>3</v>
      </c>
      <c r="N138" s="13" t="s">
        <v>3</v>
      </c>
      <c r="O138" s="13">
        <v>2</v>
      </c>
      <c r="P138" s="13">
        <f>ROUND(Source!ES118,O138)</f>
        <v>0</v>
      </c>
      <c r="Q138" s="13"/>
      <c r="R138" s="13"/>
      <c r="S138" s="13"/>
      <c r="T138" s="13"/>
      <c r="U138" s="13"/>
      <c r="V138" s="13"/>
      <c r="W138" s="13">
        <v>0</v>
      </c>
      <c r="X138" s="13">
        <v>1</v>
      </c>
      <c r="Y138" s="13">
        <v>0</v>
      </c>
      <c r="Z138" s="13">
        <v>0</v>
      </c>
      <c r="AA138" s="13">
        <v>1</v>
      </c>
      <c r="AB138" s="13">
        <v>0</v>
      </c>
    </row>
    <row r="139" spans="1:28" x14ac:dyDescent="0.2">
      <c r="A139" s="13">
        <v>50</v>
      </c>
      <c r="B139" s="13">
        <v>0</v>
      </c>
      <c r="C139" s="13">
        <v>0</v>
      </c>
      <c r="D139" s="13">
        <v>1</v>
      </c>
      <c r="E139" s="13">
        <v>206</v>
      </c>
      <c r="F139" s="13">
        <f>ROUND(Source!T118,O139)</f>
        <v>0</v>
      </c>
      <c r="G139" s="13" t="s">
        <v>131</v>
      </c>
      <c r="H139" s="13" t="s">
        <v>132</v>
      </c>
      <c r="I139" s="13"/>
      <c r="J139" s="13"/>
      <c r="K139" s="13">
        <v>206</v>
      </c>
      <c r="L139" s="13">
        <v>20</v>
      </c>
      <c r="M139" s="13">
        <v>3</v>
      </c>
      <c r="N139" s="13" t="s">
        <v>3</v>
      </c>
      <c r="O139" s="13">
        <v>2</v>
      </c>
      <c r="P139" s="13">
        <f>ROUND(Source!DL118,O139)</f>
        <v>0</v>
      </c>
      <c r="Q139" s="13"/>
      <c r="R139" s="13"/>
      <c r="S139" s="13"/>
      <c r="T139" s="13"/>
      <c r="U139" s="13"/>
      <c r="V139" s="13"/>
      <c r="W139" s="13">
        <v>0</v>
      </c>
      <c r="X139" s="13">
        <v>1</v>
      </c>
      <c r="Y139" s="13">
        <v>0</v>
      </c>
      <c r="Z139" s="13">
        <v>0</v>
      </c>
      <c r="AA139" s="13">
        <v>1</v>
      </c>
      <c r="AB139" s="13">
        <v>0</v>
      </c>
    </row>
    <row r="140" spans="1:28" x14ac:dyDescent="0.2">
      <c r="A140" s="13">
        <v>50</v>
      </c>
      <c r="B140" s="13">
        <v>0</v>
      </c>
      <c r="C140" s="13">
        <v>0</v>
      </c>
      <c r="D140" s="13">
        <v>1</v>
      </c>
      <c r="E140" s="13">
        <v>207</v>
      </c>
      <c r="F140" s="13">
        <f>Source!U118</f>
        <v>69.667379999999994</v>
      </c>
      <c r="G140" s="13" t="s">
        <v>133</v>
      </c>
      <c r="H140" s="13" t="s">
        <v>134</v>
      </c>
      <c r="I140" s="13"/>
      <c r="J140" s="13"/>
      <c r="K140" s="13">
        <v>207</v>
      </c>
      <c r="L140" s="13">
        <v>21</v>
      </c>
      <c r="M140" s="13">
        <v>3</v>
      </c>
      <c r="N140" s="13" t="s">
        <v>3</v>
      </c>
      <c r="O140" s="13">
        <v>-1</v>
      </c>
      <c r="P140" s="13">
        <f>Source!DM118</f>
        <v>69.667379999999994</v>
      </c>
      <c r="Q140" s="13"/>
      <c r="R140" s="13"/>
      <c r="S140" s="13"/>
      <c r="T140" s="13"/>
      <c r="U140" s="13"/>
      <c r="V140" s="13"/>
      <c r="W140" s="13">
        <v>69.667379999999994</v>
      </c>
      <c r="X140" s="13">
        <v>1</v>
      </c>
      <c r="Y140" s="13">
        <v>69.667379999999994</v>
      </c>
      <c r="Z140" s="13">
        <v>69.667379999999994</v>
      </c>
      <c r="AA140" s="13">
        <v>1</v>
      </c>
      <c r="AB140" s="13">
        <v>69.667379999999994</v>
      </c>
    </row>
    <row r="141" spans="1:28" x14ac:dyDescent="0.2">
      <c r="A141" s="13">
        <v>50</v>
      </c>
      <c r="B141" s="13">
        <v>0</v>
      </c>
      <c r="C141" s="13">
        <v>0</v>
      </c>
      <c r="D141" s="13">
        <v>1</v>
      </c>
      <c r="E141" s="13">
        <v>208</v>
      </c>
      <c r="F141" s="13">
        <f>Source!V118</f>
        <v>0</v>
      </c>
      <c r="G141" s="13" t="s">
        <v>135</v>
      </c>
      <c r="H141" s="13" t="s">
        <v>136</v>
      </c>
      <c r="I141" s="13"/>
      <c r="J141" s="13"/>
      <c r="K141" s="13">
        <v>208</v>
      </c>
      <c r="L141" s="13">
        <v>22</v>
      </c>
      <c r="M141" s="13">
        <v>3</v>
      </c>
      <c r="N141" s="13" t="s">
        <v>3</v>
      </c>
      <c r="O141" s="13">
        <v>-1</v>
      </c>
      <c r="P141" s="13">
        <f>Source!DN118</f>
        <v>0</v>
      </c>
      <c r="Q141" s="13"/>
      <c r="R141" s="13"/>
      <c r="S141" s="13"/>
      <c r="T141" s="13"/>
      <c r="U141" s="13"/>
      <c r="V141" s="13"/>
      <c r="W141" s="13">
        <v>0</v>
      </c>
      <c r="X141" s="13">
        <v>1</v>
      </c>
      <c r="Y141" s="13">
        <v>0</v>
      </c>
      <c r="Z141" s="13">
        <v>0</v>
      </c>
      <c r="AA141" s="13">
        <v>1</v>
      </c>
      <c r="AB141" s="13">
        <v>0</v>
      </c>
    </row>
    <row r="142" spans="1:28" x14ac:dyDescent="0.2">
      <c r="A142" s="13">
        <v>50</v>
      </c>
      <c r="B142" s="13">
        <v>0</v>
      </c>
      <c r="C142" s="13">
        <v>0</v>
      </c>
      <c r="D142" s="13">
        <v>1</v>
      </c>
      <c r="E142" s="13">
        <v>209</v>
      </c>
      <c r="F142" s="13">
        <f>ROUND(Source!W118,O142)</f>
        <v>0</v>
      </c>
      <c r="G142" s="13" t="s">
        <v>137</v>
      </c>
      <c r="H142" s="13" t="s">
        <v>138</v>
      </c>
      <c r="I142" s="13"/>
      <c r="J142" s="13"/>
      <c r="K142" s="13">
        <v>209</v>
      </c>
      <c r="L142" s="13">
        <v>23</v>
      </c>
      <c r="M142" s="13">
        <v>3</v>
      </c>
      <c r="N142" s="13" t="s">
        <v>3</v>
      </c>
      <c r="O142" s="13">
        <v>2</v>
      </c>
      <c r="P142" s="13">
        <f>ROUND(Source!DO118,O142)</f>
        <v>0</v>
      </c>
      <c r="Q142" s="13"/>
      <c r="R142" s="13"/>
      <c r="S142" s="13"/>
      <c r="T142" s="13"/>
      <c r="U142" s="13"/>
      <c r="V142" s="13"/>
      <c r="W142" s="13">
        <v>0</v>
      </c>
      <c r="X142" s="13">
        <v>1</v>
      </c>
      <c r="Y142" s="13">
        <v>0</v>
      </c>
      <c r="Z142" s="13">
        <v>0</v>
      </c>
      <c r="AA142" s="13">
        <v>1</v>
      </c>
      <c r="AB142" s="13">
        <v>0</v>
      </c>
    </row>
    <row r="143" spans="1:28" x14ac:dyDescent="0.2">
      <c r="A143" s="13">
        <v>50</v>
      </c>
      <c r="B143" s="13">
        <v>0</v>
      </c>
      <c r="C143" s="13">
        <v>0</v>
      </c>
      <c r="D143" s="13">
        <v>1</v>
      </c>
      <c r="E143" s="13">
        <v>233</v>
      </c>
      <c r="F143" s="13">
        <f>ROUND(Source!BD118,O143)</f>
        <v>0</v>
      </c>
      <c r="G143" s="13" t="s">
        <v>139</v>
      </c>
      <c r="H143" s="13" t="s">
        <v>140</v>
      </c>
      <c r="I143" s="13"/>
      <c r="J143" s="13"/>
      <c r="K143" s="13">
        <v>233</v>
      </c>
      <c r="L143" s="13">
        <v>24</v>
      </c>
      <c r="M143" s="13">
        <v>3</v>
      </c>
      <c r="N143" s="13" t="s">
        <v>3</v>
      </c>
      <c r="O143" s="13">
        <v>2</v>
      </c>
      <c r="P143" s="13">
        <f>ROUND(Source!EV118,O143)</f>
        <v>0</v>
      </c>
      <c r="Q143" s="13"/>
      <c r="R143" s="13"/>
      <c r="S143" s="13"/>
      <c r="T143" s="13"/>
      <c r="U143" s="13"/>
      <c r="V143" s="13"/>
      <c r="W143" s="13">
        <v>0</v>
      </c>
      <c r="X143" s="13">
        <v>1</v>
      </c>
      <c r="Y143" s="13">
        <v>0</v>
      </c>
      <c r="Z143" s="13">
        <v>0</v>
      </c>
      <c r="AA143" s="13">
        <v>1</v>
      </c>
      <c r="AB143" s="13">
        <v>0</v>
      </c>
    </row>
    <row r="144" spans="1:28" x14ac:dyDescent="0.2">
      <c r="A144" s="13">
        <v>50</v>
      </c>
      <c r="B144" s="13">
        <v>0</v>
      </c>
      <c r="C144" s="13">
        <v>0</v>
      </c>
      <c r="D144" s="13">
        <v>1</v>
      </c>
      <c r="E144" s="13">
        <v>210</v>
      </c>
      <c r="F144" s="13">
        <f>ROUND(Source!X118,O144)</f>
        <v>839.35</v>
      </c>
      <c r="G144" s="13" t="s">
        <v>141</v>
      </c>
      <c r="H144" s="13" t="s">
        <v>142</v>
      </c>
      <c r="I144" s="13"/>
      <c r="J144" s="13"/>
      <c r="K144" s="13">
        <v>210</v>
      </c>
      <c r="L144" s="13">
        <v>25</v>
      </c>
      <c r="M144" s="13">
        <v>3</v>
      </c>
      <c r="N144" s="13" t="s">
        <v>3</v>
      </c>
      <c r="O144" s="13">
        <v>2</v>
      </c>
      <c r="P144" s="13">
        <f>ROUND(Source!DP118,O144)</f>
        <v>47297.32</v>
      </c>
      <c r="Q144" s="13"/>
      <c r="R144" s="13"/>
      <c r="S144" s="13"/>
      <c r="T144" s="13"/>
      <c r="U144" s="13"/>
      <c r="V144" s="13"/>
      <c r="W144" s="13">
        <v>839.35</v>
      </c>
      <c r="X144" s="13">
        <v>1</v>
      </c>
      <c r="Y144" s="13">
        <v>839.35</v>
      </c>
      <c r="Z144" s="13">
        <v>47297.32</v>
      </c>
      <c r="AA144" s="13">
        <v>1</v>
      </c>
      <c r="AB144" s="13">
        <v>47297.32</v>
      </c>
    </row>
    <row r="145" spans="1:255" x14ac:dyDescent="0.2">
      <c r="A145" s="13">
        <v>50</v>
      </c>
      <c r="B145" s="13">
        <v>0</v>
      </c>
      <c r="C145" s="13">
        <v>0</v>
      </c>
      <c r="D145" s="13">
        <v>1</v>
      </c>
      <c r="E145" s="13">
        <v>211</v>
      </c>
      <c r="F145" s="13">
        <f>ROUND(Source!Y118,O145)</f>
        <v>429</v>
      </c>
      <c r="G145" s="13" t="s">
        <v>143</v>
      </c>
      <c r="H145" s="13" t="s">
        <v>144</v>
      </c>
      <c r="I145" s="13"/>
      <c r="J145" s="13"/>
      <c r="K145" s="13">
        <v>211</v>
      </c>
      <c r="L145" s="13">
        <v>26</v>
      </c>
      <c r="M145" s="13">
        <v>3</v>
      </c>
      <c r="N145" s="13" t="s">
        <v>3</v>
      </c>
      <c r="O145" s="13">
        <v>2</v>
      </c>
      <c r="P145" s="13">
        <f>ROUND(Source!DQ118,O145)</f>
        <v>24174.18</v>
      </c>
      <c r="Q145" s="13"/>
      <c r="R145" s="13"/>
      <c r="S145" s="13"/>
      <c r="T145" s="13"/>
      <c r="U145" s="13"/>
      <c r="V145" s="13"/>
      <c r="W145" s="13">
        <v>429</v>
      </c>
      <c r="X145" s="13">
        <v>1</v>
      </c>
      <c r="Y145" s="13">
        <v>429</v>
      </c>
      <c r="Z145" s="13">
        <v>24174.18</v>
      </c>
      <c r="AA145" s="13">
        <v>1</v>
      </c>
      <c r="AB145" s="13">
        <v>24174.18</v>
      </c>
    </row>
    <row r="146" spans="1:255" x14ac:dyDescent="0.2">
      <c r="A146" s="13">
        <v>50</v>
      </c>
      <c r="B146" s="13">
        <v>0</v>
      </c>
      <c r="C146" s="13">
        <v>0</v>
      </c>
      <c r="D146" s="13">
        <v>1</v>
      </c>
      <c r="E146" s="13">
        <v>224</v>
      </c>
      <c r="F146" s="13">
        <f>ROUND(Source!AR118,O146)</f>
        <v>13163.23</v>
      </c>
      <c r="G146" s="13" t="s">
        <v>145</v>
      </c>
      <c r="H146" s="13" t="s">
        <v>146</v>
      </c>
      <c r="I146" s="13"/>
      <c r="J146" s="13"/>
      <c r="K146" s="13">
        <v>224</v>
      </c>
      <c r="L146" s="13">
        <v>27</v>
      </c>
      <c r="M146" s="13">
        <v>3</v>
      </c>
      <c r="N146" s="13" t="s">
        <v>3</v>
      </c>
      <c r="O146" s="13">
        <v>2</v>
      </c>
      <c r="P146" s="13">
        <f>ROUND(Source!EJ118,O146)</f>
        <v>231896</v>
      </c>
      <c r="Q146" s="13"/>
      <c r="R146" s="13"/>
      <c r="S146" s="13"/>
      <c r="T146" s="13"/>
      <c r="U146" s="13"/>
      <c r="V146" s="13"/>
      <c r="W146" s="13">
        <v>13163.23</v>
      </c>
      <c r="X146" s="13">
        <v>1</v>
      </c>
      <c r="Y146" s="13">
        <v>13163.23</v>
      </c>
      <c r="Z146" s="13">
        <v>231896</v>
      </c>
      <c r="AA146" s="13">
        <v>1</v>
      </c>
      <c r="AB146" s="13">
        <v>231896</v>
      </c>
    </row>
    <row r="148" spans="1:255" x14ac:dyDescent="0.2">
      <c r="A148" s="10">
        <v>4</v>
      </c>
      <c r="B148" s="10">
        <v>1</v>
      </c>
      <c r="C148" s="10"/>
      <c r="D148" s="10">
        <f>ROW(A173)</f>
        <v>173</v>
      </c>
      <c r="E148" s="10"/>
      <c r="F148" s="10" t="s">
        <v>30</v>
      </c>
      <c r="G148" s="10" t="s">
        <v>187</v>
      </c>
      <c r="H148" s="10" t="s">
        <v>3</v>
      </c>
      <c r="I148" s="10">
        <v>0</v>
      </c>
      <c r="J148" s="10"/>
      <c r="K148" s="10">
        <v>-1</v>
      </c>
      <c r="L148" s="10"/>
      <c r="M148" s="10" t="s">
        <v>3</v>
      </c>
      <c r="N148" s="10"/>
      <c r="O148" s="10"/>
      <c r="P148" s="10"/>
      <c r="Q148" s="10"/>
      <c r="R148" s="10"/>
      <c r="S148" s="10">
        <v>0</v>
      </c>
      <c r="T148" s="10">
        <v>0</v>
      </c>
      <c r="U148" s="10" t="s">
        <v>3</v>
      </c>
      <c r="V148" s="10">
        <v>0</v>
      </c>
      <c r="W148" s="10"/>
      <c r="X148" s="10"/>
      <c r="Y148" s="10"/>
      <c r="Z148" s="10"/>
      <c r="AA148" s="10"/>
      <c r="AB148" s="10" t="s">
        <v>3</v>
      </c>
      <c r="AC148" s="10" t="s">
        <v>3</v>
      </c>
      <c r="AD148" s="10" t="s">
        <v>3</v>
      </c>
      <c r="AE148" s="10" t="s">
        <v>3</v>
      </c>
      <c r="AF148" s="10" t="s">
        <v>3</v>
      </c>
      <c r="AG148" s="10" t="s">
        <v>3</v>
      </c>
      <c r="AH148" s="10"/>
      <c r="AI148" s="10"/>
      <c r="AJ148" s="10"/>
      <c r="AK148" s="10"/>
      <c r="AL148" s="10"/>
      <c r="AM148" s="10"/>
      <c r="AN148" s="10"/>
      <c r="AO148" s="10"/>
      <c r="AP148" s="10" t="s">
        <v>3</v>
      </c>
      <c r="AQ148" s="10" t="s">
        <v>3</v>
      </c>
      <c r="AR148" s="10" t="s">
        <v>3</v>
      </c>
      <c r="AS148" s="10"/>
      <c r="AT148" s="10"/>
      <c r="AU148" s="10"/>
      <c r="AV148" s="10"/>
      <c r="AW148" s="10"/>
      <c r="AX148" s="10"/>
      <c r="AY148" s="10"/>
      <c r="AZ148" s="10" t="s">
        <v>3</v>
      </c>
      <c r="BA148" s="10"/>
      <c r="BB148" s="10" t="s">
        <v>3</v>
      </c>
      <c r="BC148" s="10" t="s">
        <v>3</v>
      </c>
      <c r="BD148" s="10" t="s">
        <v>3</v>
      </c>
      <c r="BE148" s="10" t="s">
        <v>3</v>
      </c>
      <c r="BF148" s="10" t="s">
        <v>3</v>
      </c>
      <c r="BG148" s="10" t="s">
        <v>3</v>
      </c>
      <c r="BH148" s="10" t="s">
        <v>3</v>
      </c>
      <c r="BI148" s="10" t="s">
        <v>3</v>
      </c>
      <c r="BJ148" s="10" t="s">
        <v>3</v>
      </c>
      <c r="BK148" s="10" t="s">
        <v>3</v>
      </c>
      <c r="BL148" s="10" t="s">
        <v>3</v>
      </c>
      <c r="BM148" s="10" t="s">
        <v>3</v>
      </c>
      <c r="BN148" s="10" t="s">
        <v>3</v>
      </c>
      <c r="BO148" s="10" t="s">
        <v>3</v>
      </c>
      <c r="BP148" s="10" t="s">
        <v>3</v>
      </c>
      <c r="BQ148" s="10"/>
      <c r="BR148" s="10"/>
      <c r="BS148" s="10"/>
      <c r="BT148" s="10"/>
      <c r="BU148" s="10"/>
      <c r="BV148" s="10"/>
      <c r="BW148" s="10"/>
      <c r="BX148" s="10">
        <v>0</v>
      </c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>
        <v>0</v>
      </c>
    </row>
    <row r="150" spans="1:255" x14ac:dyDescent="0.2">
      <c r="A150" s="11">
        <v>52</v>
      </c>
      <c r="B150" s="11">
        <f t="shared" ref="B150:G150" si="102">B173</f>
        <v>1</v>
      </c>
      <c r="C150" s="11">
        <f t="shared" si="102"/>
        <v>4</v>
      </c>
      <c r="D150" s="11">
        <f t="shared" si="102"/>
        <v>148</v>
      </c>
      <c r="E150" s="11">
        <f t="shared" si="102"/>
        <v>0</v>
      </c>
      <c r="F150" s="11" t="str">
        <f t="shared" si="102"/>
        <v>2</v>
      </c>
      <c r="G150" s="11" t="str">
        <f t="shared" si="102"/>
        <v>Извещатели</v>
      </c>
      <c r="H150" s="11"/>
      <c r="I150" s="11"/>
      <c r="J150" s="11"/>
      <c r="K150" s="11"/>
      <c r="L150" s="11"/>
      <c r="M150" s="11"/>
      <c r="N150" s="11"/>
      <c r="O150" s="11">
        <f t="shared" ref="O150:AT150" si="103">O173</f>
        <v>34994.82</v>
      </c>
      <c r="P150" s="11">
        <f t="shared" si="103"/>
        <v>31236.29</v>
      </c>
      <c r="Q150" s="11">
        <f t="shared" si="103"/>
        <v>0</v>
      </c>
      <c r="R150" s="11">
        <f t="shared" si="103"/>
        <v>0</v>
      </c>
      <c r="S150" s="11">
        <f t="shared" si="103"/>
        <v>3758.53</v>
      </c>
      <c r="T150" s="11">
        <f t="shared" si="103"/>
        <v>0</v>
      </c>
      <c r="U150" s="11">
        <f t="shared" si="103"/>
        <v>298.570896</v>
      </c>
      <c r="V150" s="11">
        <f t="shared" si="103"/>
        <v>0</v>
      </c>
      <c r="W150" s="11">
        <f t="shared" si="103"/>
        <v>0</v>
      </c>
      <c r="X150" s="11">
        <f t="shared" si="103"/>
        <v>3390.14</v>
      </c>
      <c r="Y150" s="11">
        <f t="shared" si="103"/>
        <v>1739.38</v>
      </c>
      <c r="Z150" s="11">
        <f t="shared" si="103"/>
        <v>0</v>
      </c>
      <c r="AA150" s="11">
        <f t="shared" si="103"/>
        <v>0</v>
      </c>
      <c r="AB150" s="11">
        <f t="shared" si="103"/>
        <v>34994.82</v>
      </c>
      <c r="AC150" s="11">
        <f t="shared" si="103"/>
        <v>31236.29</v>
      </c>
      <c r="AD150" s="11">
        <f t="shared" si="103"/>
        <v>0</v>
      </c>
      <c r="AE150" s="11">
        <f t="shared" si="103"/>
        <v>0</v>
      </c>
      <c r="AF150" s="11">
        <f t="shared" si="103"/>
        <v>3758.53</v>
      </c>
      <c r="AG150" s="11">
        <f t="shared" si="103"/>
        <v>0</v>
      </c>
      <c r="AH150" s="11">
        <f t="shared" si="103"/>
        <v>298.570896</v>
      </c>
      <c r="AI150" s="11">
        <f t="shared" si="103"/>
        <v>0</v>
      </c>
      <c r="AJ150" s="11">
        <f t="shared" si="103"/>
        <v>0</v>
      </c>
      <c r="AK150" s="11">
        <f t="shared" si="103"/>
        <v>3390.14</v>
      </c>
      <c r="AL150" s="11">
        <f t="shared" si="103"/>
        <v>1739.38</v>
      </c>
      <c r="AM150" s="11">
        <f t="shared" si="103"/>
        <v>0</v>
      </c>
      <c r="AN150" s="11">
        <f t="shared" si="103"/>
        <v>0</v>
      </c>
      <c r="AO150" s="11">
        <f t="shared" si="103"/>
        <v>0</v>
      </c>
      <c r="AP150" s="11">
        <f t="shared" si="103"/>
        <v>30918.799999999999</v>
      </c>
      <c r="AQ150" s="11">
        <f t="shared" si="103"/>
        <v>0</v>
      </c>
      <c r="AR150" s="11">
        <f t="shared" si="103"/>
        <v>40124.339999999997</v>
      </c>
      <c r="AS150" s="11">
        <f t="shared" si="103"/>
        <v>0</v>
      </c>
      <c r="AT150" s="11">
        <f t="shared" si="103"/>
        <v>9205.5400000000009</v>
      </c>
      <c r="AU150" s="11">
        <f t="shared" ref="AU150:BZ150" si="104">AU173</f>
        <v>0</v>
      </c>
      <c r="AV150" s="11">
        <f t="shared" si="104"/>
        <v>31236.29</v>
      </c>
      <c r="AW150" s="11">
        <f t="shared" si="104"/>
        <v>317.49</v>
      </c>
      <c r="AX150" s="11">
        <f t="shared" si="104"/>
        <v>0</v>
      </c>
      <c r="AY150" s="11">
        <f t="shared" si="104"/>
        <v>317.49</v>
      </c>
      <c r="AZ150" s="11">
        <f t="shared" si="104"/>
        <v>30918.799999999999</v>
      </c>
      <c r="BA150" s="11">
        <f t="shared" si="104"/>
        <v>0</v>
      </c>
      <c r="BB150" s="11">
        <f t="shared" si="104"/>
        <v>0</v>
      </c>
      <c r="BC150" s="11">
        <f t="shared" si="104"/>
        <v>0</v>
      </c>
      <c r="BD150" s="11">
        <f t="shared" si="104"/>
        <v>0</v>
      </c>
      <c r="BE150" s="11">
        <f t="shared" si="104"/>
        <v>0</v>
      </c>
      <c r="BF150" s="11">
        <f t="shared" si="104"/>
        <v>0</v>
      </c>
      <c r="BG150" s="11">
        <f t="shared" si="104"/>
        <v>0</v>
      </c>
      <c r="BH150" s="11">
        <f t="shared" si="104"/>
        <v>0</v>
      </c>
      <c r="BI150" s="11">
        <f t="shared" si="104"/>
        <v>0</v>
      </c>
      <c r="BJ150" s="11">
        <f t="shared" si="104"/>
        <v>0</v>
      </c>
      <c r="BK150" s="11">
        <f t="shared" si="104"/>
        <v>0</v>
      </c>
      <c r="BL150" s="11">
        <f t="shared" si="104"/>
        <v>0</v>
      </c>
      <c r="BM150" s="11">
        <f t="shared" si="104"/>
        <v>0</v>
      </c>
      <c r="BN150" s="11">
        <f t="shared" si="104"/>
        <v>0</v>
      </c>
      <c r="BO150" s="11">
        <f t="shared" si="104"/>
        <v>0</v>
      </c>
      <c r="BP150" s="11">
        <f t="shared" si="104"/>
        <v>0</v>
      </c>
      <c r="BQ150" s="11">
        <f t="shared" si="104"/>
        <v>0</v>
      </c>
      <c r="BR150" s="11">
        <f t="shared" si="104"/>
        <v>0</v>
      </c>
      <c r="BS150" s="11">
        <f t="shared" si="104"/>
        <v>0</v>
      </c>
      <c r="BT150" s="11">
        <f t="shared" si="104"/>
        <v>0</v>
      </c>
      <c r="BU150" s="11">
        <f t="shared" si="104"/>
        <v>0</v>
      </c>
      <c r="BV150" s="11">
        <f t="shared" si="104"/>
        <v>0</v>
      </c>
      <c r="BW150" s="11">
        <f t="shared" si="104"/>
        <v>0</v>
      </c>
      <c r="BX150" s="11">
        <f t="shared" si="104"/>
        <v>0</v>
      </c>
      <c r="BY150" s="11">
        <f t="shared" si="104"/>
        <v>30918.799999999999</v>
      </c>
      <c r="BZ150" s="11">
        <f t="shared" si="104"/>
        <v>0</v>
      </c>
      <c r="CA150" s="11">
        <f t="shared" ref="CA150:DF150" si="105">CA173</f>
        <v>40124.339999999997</v>
      </c>
      <c r="CB150" s="11">
        <f t="shared" si="105"/>
        <v>0</v>
      </c>
      <c r="CC150" s="11">
        <f t="shared" si="105"/>
        <v>9205.5400000000009</v>
      </c>
      <c r="CD150" s="11">
        <f t="shared" si="105"/>
        <v>0</v>
      </c>
      <c r="CE150" s="11">
        <f t="shared" si="105"/>
        <v>31236.29</v>
      </c>
      <c r="CF150" s="11">
        <f t="shared" si="105"/>
        <v>317.4900000000016</v>
      </c>
      <c r="CG150" s="11">
        <f t="shared" si="105"/>
        <v>0</v>
      </c>
      <c r="CH150" s="11">
        <f t="shared" si="105"/>
        <v>317.4900000000016</v>
      </c>
      <c r="CI150" s="11">
        <f t="shared" si="105"/>
        <v>30918.799999999999</v>
      </c>
      <c r="CJ150" s="11">
        <f t="shared" si="105"/>
        <v>0</v>
      </c>
      <c r="CK150" s="11">
        <f t="shared" si="105"/>
        <v>0</v>
      </c>
      <c r="CL150" s="11">
        <f t="shared" si="105"/>
        <v>0</v>
      </c>
      <c r="CM150" s="11">
        <f t="shared" si="105"/>
        <v>0</v>
      </c>
      <c r="CN150" s="11">
        <f t="shared" si="105"/>
        <v>0</v>
      </c>
      <c r="CO150" s="11">
        <f t="shared" si="105"/>
        <v>0</v>
      </c>
      <c r="CP150" s="11">
        <f t="shared" si="105"/>
        <v>0</v>
      </c>
      <c r="CQ150" s="11">
        <f t="shared" si="105"/>
        <v>0</v>
      </c>
      <c r="CR150" s="11">
        <f t="shared" si="105"/>
        <v>0</v>
      </c>
      <c r="CS150" s="11">
        <f t="shared" si="105"/>
        <v>0</v>
      </c>
      <c r="CT150" s="11">
        <f t="shared" si="105"/>
        <v>0</v>
      </c>
      <c r="CU150" s="11">
        <f t="shared" si="105"/>
        <v>0</v>
      </c>
      <c r="CV150" s="11">
        <f t="shared" si="105"/>
        <v>0</v>
      </c>
      <c r="CW150" s="11">
        <f t="shared" si="105"/>
        <v>0</v>
      </c>
      <c r="CX150" s="11">
        <f t="shared" si="105"/>
        <v>0</v>
      </c>
      <c r="CY150" s="11">
        <f t="shared" si="105"/>
        <v>0</v>
      </c>
      <c r="CZ150" s="11">
        <f t="shared" si="105"/>
        <v>0</v>
      </c>
      <c r="DA150" s="11">
        <f t="shared" si="105"/>
        <v>0</v>
      </c>
      <c r="DB150" s="11">
        <f t="shared" si="105"/>
        <v>0</v>
      </c>
      <c r="DC150" s="11">
        <f t="shared" si="105"/>
        <v>0</v>
      </c>
      <c r="DD150" s="11">
        <f t="shared" si="105"/>
        <v>0</v>
      </c>
      <c r="DE150" s="11">
        <f t="shared" si="105"/>
        <v>0</v>
      </c>
      <c r="DF150" s="11">
        <f t="shared" si="105"/>
        <v>0</v>
      </c>
      <c r="DG150" s="12">
        <f t="shared" ref="DG150:EL150" si="106">DG173</f>
        <v>507527.94</v>
      </c>
      <c r="DH150" s="12">
        <f t="shared" si="106"/>
        <v>295734.78000000003</v>
      </c>
      <c r="DI150" s="12">
        <f t="shared" si="106"/>
        <v>0</v>
      </c>
      <c r="DJ150" s="12">
        <f t="shared" si="106"/>
        <v>0</v>
      </c>
      <c r="DK150" s="12">
        <f t="shared" si="106"/>
        <v>211793.16</v>
      </c>
      <c r="DL150" s="12">
        <f t="shared" si="106"/>
        <v>0</v>
      </c>
      <c r="DM150" s="12">
        <f t="shared" si="106"/>
        <v>298.570896</v>
      </c>
      <c r="DN150" s="12">
        <f t="shared" si="106"/>
        <v>0</v>
      </c>
      <c r="DO150" s="12">
        <f t="shared" si="106"/>
        <v>0</v>
      </c>
      <c r="DP150" s="12">
        <f t="shared" si="106"/>
        <v>191034.75</v>
      </c>
      <c r="DQ150" s="12">
        <f t="shared" si="106"/>
        <v>98014.12</v>
      </c>
      <c r="DR150" s="12">
        <f t="shared" si="106"/>
        <v>0</v>
      </c>
      <c r="DS150" s="12">
        <f t="shared" si="106"/>
        <v>0</v>
      </c>
      <c r="DT150" s="12">
        <f t="shared" si="106"/>
        <v>507527.94</v>
      </c>
      <c r="DU150" s="12">
        <f t="shared" si="106"/>
        <v>295734.78000000003</v>
      </c>
      <c r="DV150" s="12">
        <f t="shared" si="106"/>
        <v>0</v>
      </c>
      <c r="DW150" s="12">
        <f t="shared" si="106"/>
        <v>0</v>
      </c>
      <c r="DX150" s="12">
        <f t="shared" si="106"/>
        <v>211793.16</v>
      </c>
      <c r="DY150" s="12">
        <f t="shared" si="106"/>
        <v>0</v>
      </c>
      <c r="DZ150" s="12">
        <f t="shared" si="106"/>
        <v>298.570896</v>
      </c>
      <c r="EA150" s="12">
        <f t="shared" si="106"/>
        <v>0</v>
      </c>
      <c r="EB150" s="12">
        <f t="shared" si="106"/>
        <v>0</v>
      </c>
      <c r="EC150" s="12">
        <f t="shared" si="106"/>
        <v>191034.75</v>
      </c>
      <c r="ED150" s="12">
        <f t="shared" si="106"/>
        <v>98014.12</v>
      </c>
      <c r="EE150" s="12">
        <f t="shared" si="106"/>
        <v>0</v>
      </c>
      <c r="EF150" s="12">
        <f t="shared" si="106"/>
        <v>0</v>
      </c>
      <c r="EG150" s="12">
        <f t="shared" si="106"/>
        <v>0</v>
      </c>
      <c r="EH150" s="12">
        <f t="shared" si="106"/>
        <v>292476.58</v>
      </c>
      <c r="EI150" s="12">
        <f t="shared" si="106"/>
        <v>0</v>
      </c>
      <c r="EJ150" s="12">
        <f t="shared" si="106"/>
        <v>796576.81</v>
      </c>
      <c r="EK150" s="12">
        <f t="shared" si="106"/>
        <v>0</v>
      </c>
      <c r="EL150" s="12">
        <f t="shared" si="106"/>
        <v>504100.23</v>
      </c>
      <c r="EM150" s="12">
        <f t="shared" ref="EM150:FR150" si="107">EM173</f>
        <v>0</v>
      </c>
      <c r="EN150" s="12">
        <f t="shared" si="107"/>
        <v>295734.78000000003</v>
      </c>
      <c r="EO150" s="12">
        <f t="shared" si="107"/>
        <v>3258.2</v>
      </c>
      <c r="EP150" s="12">
        <f t="shared" si="107"/>
        <v>0</v>
      </c>
      <c r="EQ150" s="12">
        <f t="shared" si="107"/>
        <v>3258.2</v>
      </c>
      <c r="ER150" s="12">
        <f t="shared" si="107"/>
        <v>292476.58</v>
      </c>
      <c r="ES150" s="12">
        <f t="shared" si="107"/>
        <v>0</v>
      </c>
      <c r="ET150" s="12">
        <f t="shared" si="107"/>
        <v>0</v>
      </c>
      <c r="EU150" s="12">
        <f t="shared" si="107"/>
        <v>0</v>
      </c>
      <c r="EV150" s="12">
        <f t="shared" si="107"/>
        <v>0</v>
      </c>
      <c r="EW150" s="12">
        <f t="shared" si="107"/>
        <v>0</v>
      </c>
      <c r="EX150" s="12">
        <f t="shared" si="107"/>
        <v>0</v>
      </c>
      <c r="EY150" s="12">
        <f t="shared" si="107"/>
        <v>0</v>
      </c>
      <c r="EZ150" s="12">
        <f t="shared" si="107"/>
        <v>0</v>
      </c>
      <c r="FA150" s="12">
        <f t="shared" si="107"/>
        <v>0</v>
      </c>
      <c r="FB150" s="12">
        <f t="shared" si="107"/>
        <v>0</v>
      </c>
      <c r="FC150" s="12">
        <f t="shared" si="107"/>
        <v>0</v>
      </c>
      <c r="FD150" s="12">
        <f t="shared" si="107"/>
        <v>0</v>
      </c>
      <c r="FE150" s="12">
        <f t="shared" si="107"/>
        <v>0</v>
      </c>
      <c r="FF150" s="12">
        <f t="shared" si="107"/>
        <v>0</v>
      </c>
      <c r="FG150" s="12">
        <f t="shared" si="107"/>
        <v>0</v>
      </c>
      <c r="FH150" s="12">
        <f t="shared" si="107"/>
        <v>0</v>
      </c>
      <c r="FI150" s="12">
        <f t="shared" si="107"/>
        <v>0</v>
      </c>
      <c r="FJ150" s="12">
        <f t="shared" si="107"/>
        <v>0</v>
      </c>
      <c r="FK150" s="12">
        <f t="shared" si="107"/>
        <v>0</v>
      </c>
      <c r="FL150" s="12">
        <f t="shared" si="107"/>
        <v>0</v>
      </c>
      <c r="FM150" s="12">
        <f t="shared" si="107"/>
        <v>0</v>
      </c>
      <c r="FN150" s="12">
        <f t="shared" si="107"/>
        <v>0</v>
      </c>
      <c r="FO150" s="12">
        <f t="shared" si="107"/>
        <v>0</v>
      </c>
      <c r="FP150" s="12">
        <f t="shared" si="107"/>
        <v>0</v>
      </c>
      <c r="FQ150" s="12">
        <f t="shared" si="107"/>
        <v>292476.58</v>
      </c>
      <c r="FR150" s="12">
        <f t="shared" si="107"/>
        <v>0</v>
      </c>
      <c r="FS150" s="12">
        <f t="shared" ref="FS150:GX150" si="108">FS173</f>
        <v>796576.81</v>
      </c>
      <c r="FT150" s="12">
        <f t="shared" si="108"/>
        <v>0</v>
      </c>
      <c r="FU150" s="12">
        <f t="shared" si="108"/>
        <v>504100.23</v>
      </c>
      <c r="FV150" s="12">
        <f t="shared" si="108"/>
        <v>0</v>
      </c>
      <c r="FW150" s="12">
        <f t="shared" si="108"/>
        <v>295734.78000000003</v>
      </c>
      <c r="FX150" s="12">
        <f t="shared" si="108"/>
        <v>3258.2000000000116</v>
      </c>
      <c r="FY150" s="12">
        <f t="shared" si="108"/>
        <v>0</v>
      </c>
      <c r="FZ150" s="12">
        <f t="shared" si="108"/>
        <v>3258.2000000000116</v>
      </c>
      <c r="GA150" s="12">
        <f t="shared" si="108"/>
        <v>292476.58</v>
      </c>
      <c r="GB150" s="12">
        <f t="shared" si="108"/>
        <v>0</v>
      </c>
      <c r="GC150" s="12">
        <f t="shared" si="108"/>
        <v>0</v>
      </c>
      <c r="GD150" s="12">
        <f t="shared" si="108"/>
        <v>0</v>
      </c>
      <c r="GE150" s="12">
        <f t="shared" si="108"/>
        <v>0</v>
      </c>
      <c r="GF150" s="12">
        <f t="shared" si="108"/>
        <v>0</v>
      </c>
      <c r="GG150" s="12">
        <f t="shared" si="108"/>
        <v>0</v>
      </c>
      <c r="GH150" s="12">
        <f t="shared" si="108"/>
        <v>0</v>
      </c>
      <c r="GI150" s="12">
        <f t="shared" si="108"/>
        <v>0</v>
      </c>
      <c r="GJ150" s="12">
        <f t="shared" si="108"/>
        <v>0</v>
      </c>
      <c r="GK150" s="12">
        <f t="shared" si="108"/>
        <v>0</v>
      </c>
      <c r="GL150" s="12">
        <f t="shared" si="108"/>
        <v>0</v>
      </c>
      <c r="GM150" s="12">
        <f t="shared" si="108"/>
        <v>0</v>
      </c>
      <c r="GN150" s="12">
        <f t="shared" si="108"/>
        <v>0</v>
      </c>
      <c r="GO150" s="12">
        <f t="shared" si="108"/>
        <v>0</v>
      </c>
      <c r="GP150" s="12">
        <f t="shared" si="108"/>
        <v>0</v>
      </c>
      <c r="GQ150" s="12">
        <f t="shared" si="108"/>
        <v>0</v>
      </c>
      <c r="GR150" s="12">
        <f t="shared" si="108"/>
        <v>0</v>
      </c>
      <c r="GS150" s="12">
        <f t="shared" si="108"/>
        <v>0</v>
      </c>
      <c r="GT150" s="12">
        <f t="shared" si="108"/>
        <v>0</v>
      </c>
      <c r="GU150" s="12">
        <f t="shared" si="108"/>
        <v>0</v>
      </c>
      <c r="GV150" s="12">
        <f t="shared" si="108"/>
        <v>0</v>
      </c>
      <c r="GW150" s="12">
        <f t="shared" si="108"/>
        <v>0</v>
      </c>
      <c r="GX150" s="12">
        <f t="shared" si="108"/>
        <v>0</v>
      </c>
    </row>
    <row r="152" spans="1:255" x14ac:dyDescent="0.2">
      <c r="A152" s="2">
        <v>17</v>
      </c>
      <c r="B152" s="2">
        <v>1</v>
      </c>
      <c r="C152" s="2">
        <f>ROW(SmtRes!A77)</f>
        <v>77</v>
      </c>
      <c r="D152" s="2">
        <f>ROW(EtalonRes!A91)</f>
        <v>91</v>
      </c>
      <c r="E152" s="2" t="s">
        <v>188</v>
      </c>
      <c r="F152" s="2" t="s">
        <v>49</v>
      </c>
      <c r="G152" s="2" t="s">
        <v>50</v>
      </c>
      <c r="H152" s="2" t="s">
        <v>22</v>
      </c>
      <c r="I152" s="2">
        <f>ROUND(57+98,9)</f>
        <v>155</v>
      </c>
      <c r="J152" s="2">
        <v>0</v>
      </c>
      <c r="K152" s="2">
        <f>ROUND(57+98,9)</f>
        <v>155</v>
      </c>
      <c r="L152" s="2"/>
      <c r="M152" s="2"/>
      <c r="N152" s="2"/>
      <c r="O152" s="2">
        <f t="shared" ref="O152:O171" si="109">ROUND(CP152,2)</f>
        <v>2227.02</v>
      </c>
      <c r="P152" s="2">
        <f>ROUND((ROUND((AC152*AW152*I152),2)*BC152),2)</f>
        <v>162.75</v>
      </c>
      <c r="Q152" s="2">
        <f>(ROUND((ROUND((((ET152*1.2))*AV152*I152),2)*BB152),2)+ROUND((ROUND(((AE152-((EU152*1.2)))*AV152*I152),2)*BS152),2))</f>
        <v>0</v>
      </c>
      <c r="R152" s="2">
        <f>(ROUND((ROUND((((EU152*1.2))*AV152*I152),2)*BS152),2)+ROUND((ROUND(((AE152-((EU152*1.2)))*AV152*I152),2)*BS152),2))</f>
        <v>0</v>
      </c>
      <c r="S152" s="2">
        <f t="shared" ref="S152:S171" si="110">ROUND((ROUND((AF152*AV152*I152),2)*BA152),2)</f>
        <v>2064.27</v>
      </c>
      <c r="T152" s="2">
        <f t="shared" ref="T152:T171" si="111">ROUND(CU152*I152,2)</f>
        <v>0</v>
      </c>
      <c r="U152" s="2">
        <f t="shared" ref="U152:U171" si="112">CV152*I152</f>
        <v>163.58327999999997</v>
      </c>
      <c r="V152" s="2">
        <f t="shared" ref="V152:V171" si="113">CW152*I152</f>
        <v>0</v>
      </c>
      <c r="W152" s="2">
        <f t="shared" ref="W152:W171" si="114">ROUND(CX152*I152,2)</f>
        <v>0</v>
      </c>
      <c r="X152" s="2">
        <f>(ROUND((((S152+ROUND((ROUND((((EU152*1.2))*AV152*I152),2)*BS152),2))*AT152)/100),2)+ROUND(((ROUND((ROUND(((AE152-((EU152*1.2)))*AV152*I152),2)*BS152),2)*AT152)/100),2))</f>
        <v>1857.84</v>
      </c>
      <c r="Y152" s="2">
        <f>(ROUND((((S152+ROUND((ROUND((((EU152*1.2))*AV152*I152),2)*BS152),2))*AU152)/100),2)+ROUND(((ROUND((ROUND(((AE152-((EU152*1.2)))*AV152*I152),2)*BS152),2)*AU152)/100),2))</f>
        <v>949.56</v>
      </c>
      <c r="Z152" s="2"/>
      <c r="AA152" s="2">
        <v>55915256</v>
      </c>
      <c r="AB152" s="2">
        <f t="shared" ref="AB152:AB171" si="115">ROUND((AC152+AD152+AF152),6)</f>
        <v>13.77</v>
      </c>
      <c r="AC152" s="2">
        <f>ROUND(((ES152*1)),6)</f>
        <v>1.05</v>
      </c>
      <c r="AD152" s="2">
        <f>ROUND(((((ET152*1.2))-((EU152*1.2)))+AE152),6)</f>
        <v>0</v>
      </c>
      <c r="AE152" s="2">
        <f>ROUND(((EU152*1.2)),6)</f>
        <v>0</v>
      </c>
      <c r="AF152" s="2">
        <f>ROUND(((EV152*1.2)),6)</f>
        <v>12.72</v>
      </c>
      <c r="AG152" s="2">
        <f t="shared" ref="AG152:AG171" si="116">ROUND((AP152),6)</f>
        <v>0</v>
      </c>
      <c r="AH152" s="2">
        <f>((EW152*1.2))</f>
        <v>1.008</v>
      </c>
      <c r="AI152" s="2">
        <f>((EX152*1.2))</f>
        <v>0</v>
      </c>
      <c r="AJ152" s="2">
        <f t="shared" ref="AJ152:AJ171" si="117">(AS152)</f>
        <v>0</v>
      </c>
      <c r="AK152" s="2">
        <v>11.65</v>
      </c>
      <c r="AL152" s="2">
        <v>1.05</v>
      </c>
      <c r="AM152" s="2">
        <v>0</v>
      </c>
      <c r="AN152" s="2">
        <v>0</v>
      </c>
      <c r="AO152" s="2">
        <v>10.6</v>
      </c>
      <c r="AP152" s="2">
        <v>0</v>
      </c>
      <c r="AQ152" s="2">
        <v>0.84</v>
      </c>
      <c r="AR152" s="2">
        <v>0</v>
      </c>
      <c r="AS152" s="2">
        <v>0</v>
      </c>
      <c r="AT152" s="2">
        <v>90</v>
      </c>
      <c r="AU152" s="2">
        <v>46</v>
      </c>
      <c r="AV152" s="2">
        <v>1.0469999999999999</v>
      </c>
      <c r="AW152" s="2">
        <v>1</v>
      </c>
      <c r="AX152" s="2"/>
      <c r="AY152" s="2"/>
      <c r="AZ152" s="2">
        <v>1</v>
      </c>
      <c r="BA152" s="2">
        <v>1</v>
      </c>
      <c r="BB152" s="2">
        <v>1</v>
      </c>
      <c r="BC152" s="2">
        <v>1</v>
      </c>
      <c r="BD152" s="2" t="s">
        <v>3</v>
      </c>
      <c r="BE152" s="2" t="s">
        <v>3</v>
      </c>
      <c r="BF152" s="2" t="s">
        <v>3</v>
      </c>
      <c r="BG152" s="2" t="s">
        <v>3</v>
      </c>
      <c r="BH152" s="2">
        <v>0</v>
      </c>
      <c r="BI152" s="2">
        <v>2</v>
      </c>
      <c r="BJ152" s="2" t="s">
        <v>51</v>
      </c>
      <c r="BK152" s="2"/>
      <c r="BL152" s="2"/>
      <c r="BM152" s="2">
        <v>68</v>
      </c>
      <c r="BN152" s="2">
        <v>0</v>
      </c>
      <c r="BO152" s="2" t="s">
        <v>49</v>
      </c>
      <c r="BP152" s="2">
        <v>1</v>
      </c>
      <c r="BQ152" s="2">
        <v>40</v>
      </c>
      <c r="BR152" s="2">
        <v>0</v>
      </c>
      <c r="BS152" s="2">
        <v>1</v>
      </c>
      <c r="BT152" s="2">
        <v>1</v>
      </c>
      <c r="BU152" s="2">
        <v>1</v>
      </c>
      <c r="BV152" s="2">
        <v>1</v>
      </c>
      <c r="BW152" s="2">
        <v>1</v>
      </c>
      <c r="BX152" s="2">
        <v>1</v>
      </c>
      <c r="BY152" s="2" t="s">
        <v>3</v>
      </c>
      <c r="BZ152" s="2">
        <v>90</v>
      </c>
      <c r="CA152" s="2">
        <v>46</v>
      </c>
      <c r="CB152" s="2" t="s">
        <v>3</v>
      </c>
      <c r="CC152" s="2"/>
      <c r="CD152" s="2"/>
      <c r="CE152" s="2">
        <v>1566</v>
      </c>
      <c r="CF152" s="2">
        <v>0</v>
      </c>
      <c r="CG152" s="2">
        <v>0</v>
      </c>
      <c r="CH152" s="2"/>
      <c r="CI152" s="2"/>
      <c r="CJ152" s="2"/>
      <c r="CK152" s="2"/>
      <c r="CL152" s="2"/>
      <c r="CM152" s="2">
        <v>0</v>
      </c>
      <c r="CN152" s="2" t="s">
        <v>605</v>
      </c>
      <c r="CO152" s="2">
        <v>0</v>
      </c>
      <c r="CP152" s="2">
        <f t="shared" ref="CP152:CP171" si="118">(P152+Q152+S152)</f>
        <v>2227.02</v>
      </c>
      <c r="CQ152" s="2">
        <f>ROUND((ROUND((AC152*AW152*1),2)*BC152),2)</f>
        <v>1.05</v>
      </c>
      <c r="CR152" s="2">
        <f>(ROUND((ROUND((((ET152*1.2))*AV152*1),2)*BB152),2)+ROUND((ROUND(((AE152-((EU152*1.2)))*AV152*1),2)*BS152),2))</f>
        <v>0</v>
      </c>
      <c r="CS152" s="2">
        <f>(ROUND((ROUND((((EU152*1.2))*AV152*1),2)*BS152),2)+ROUND((ROUND(((AE152-((EU152*1.2)))*AV152*1),2)*BS152),2))</f>
        <v>0</v>
      </c>
      <c r="CT152" s="2">
        <f t="shared" ref="CT152:CT171" si="119">ROUND((ROUND((AF152*AV152*1),2)*BA152),2)</f>
        <v>13.32</v>
      </c>
      <c r="CU152" s="2">
        <f t="shared" ref="CU152:CU171" si="120">AG152</f>
        <v>0</v>
      </c>
      <c r="CV152" s="2">
        <f t="shared" ref="CV152:CV171" si="121">(AH152*AV152)</f>
        <v>1.0553759999999999</v>
      </c>
      <c r="CW152" s="2">
        <f t="shared" ref="CW152:CW171" si="122">AI152</f>
        <v>0</v>
      </c>
      <c r="CX152" s="2">
        <f t="shared" ref="CX152:CX171" si="123">AJ152</f>
        <v>0</v>
      </c>
      <c r="CY152" s="2">
        <f>(ROUND((((S152+ROUND((ROUND((((EU152*1.2))*AV152*1),2)*BS152),2))*AT152)/100),2)+ROUND(((ROUND((ROUND(((AE152-((EU152*1.2)))*AV152*1),2)*BS152),2)*AT152)/100),2))</f>
        <v>1857.84</v>
      </c>
      <c r="CZ152" s="2">
        <f>(ROUND((((S152+ROUND((ROUND((((EU152*1.2))*AV152*1),2)*BS152),2))*AU152)/100),2)+ROUND(((ROUND((ROUND(((AE152-((EU152*1.2)))*AV152*1),2)*BS152),2)*AU152)/100),2))</f>
        <v>949.56</v>
      </c>
      <c r="DA152" s="2"/>
      <c r="DB152" s="2">
        <v>69</v>
      </c>
      <c r="DC152" s="2" t="s">
        <v>3</v>
      </c>
      <c r="DD152" s="2" t="s">
        <v>77</v>
      </c>
      <c r="DE152" s="2" t="s">
        <v>78</v>
      </c>
      <c r="DF152" s="2" t="s">
        <v>78</v>
      </c>
      <c r="DG152" s="2" t="s">
        <v>78</v>
      </c>
      <c r="DH152" s="2" t="s">
        <v>3</v>
      </c>
      <c r="DI152" s="2" t="s">
        <v>78</v>
      </c>
      <c r="DJ152" s="2" t="s">
        <v>78</v>
      </c>
      <c r="DK152" s="2" t="s">
        <v>3</v>
      </c>
      <c r="DL152" s="2" t="s">
        <v>3</v>
      </c>
      <c r="DM152" s="2" t="s">
        <v>3</v>
      </c>
      <c r="DN152" s="2">
        <v>0</v>
      </c>
      <c r="DO152" s="2">
        <v>0</v>
      </c>
      <c r="DP152" s="2">
        <v>1</v>
      </c>
      <c r="DQ152" s="2">
        <v>1</v>
      </c>
      <c r="DR152" s="2"/>
      <c r="DS152" s="2"/>
      <c r="DT152" s="2"/>
      <c r="DU152" s="2">
        <v>1013</v>
      </c>
      <c r="DV152" s="2" t="s">
        <v>22</v>
      </c>
      <c r="DW152" s="2" t="s">
        <v>22</v>
      </c>
      <c r="DX152" s="2">
        <v>1</v>
      </c>
      <c r="DY152" s="2"/>
      <c r="DZ152" s="2" t="s">
        <v>3</v>
      </c>
      <c r="EA152" s="2" t="s">
        <v>3</v>
      </c>
      <c r="EB152" s="2" t="s">
        <v>3</v>
      </c>
      <c r="EC152" s="2" t="s">
        <v>3</v>
      </c>
      <c r="ED152" s="2"/>
      <c r="EE152" s="2">
        <v>55393700</v>
      </c>
      <c r="EF152" s="2">
        <v>40</v>
      </c>
      <c r="EG152" s="2" t="s">
        <v>26</v>
      </c>
      <c r="EH152" s="2">
        <v>0</v>
      </c>
      <c r="EI152" s="2" t="s">
        <v>3</v>
      </c>
      <c r="EJ152" s="2">
        <v>2</v>
      </c>
      <c r="EK152" s="2">
        <v>68</v>
      </c>
      <c r="EL152" s="2" t="s">
        <v>27</v>
      </c>
      <c r="EM152" s="2" t="s">
        <v>28</v>
      </c>
      <c r="EN152" s="2"/>
      <c r="EO152" s="2" t="s">
        <v>82</v>
      </c>
      <c r="EP152" s="2"/>
      <c r="EQ152" s="2">
        <v>0</v>
      </c>
      <c r="ER152" s="2">
        <v>11.65</v>
      </c>
      <c r="ES152" s="2">
        <v>1.05</v>
      </c>
      <c r="ET152" s="2">
        <v>0</v>
      </c>
      <c r="EU152" s="2">
        <v>0</v>
      </c>
      <c r="EV152" s="2">
        <v>10.6</v>
      </c>
      <c r="EW152" s="2">
        <v>0.84</v>
      </c>
      <c r="EX152" s="2">
        <v>0</v>
      </c>
      <c r="EY152" s="2">
        <v>0</v>
      </c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>
        <v>0</v>
      </c>
      <c r="FR152" s="2">
        <v>0</v>
      </c>
      <c r="FS152" s="2">
        <v>0</v>
      </c>
      <c r="FT152" s="2"/>
      <c r="FU152" s="2"/>
      <c r="FV152" s="2"/>
      <c r="FW152" s="2"/>
      <c r="FX152" s="2">
        <v>90</v>
      </c>
      <c r="FY152" s="2">
        <v>46</v>
      </c>
      <c r="FZ152" s="2"/>
      <c r="GA152" s="2" t="s">
        <v>3</v>
      </c>
      <c r="GB152" s="2"/>
      <c r="GC152" s="2"/>
      <c r="GD152" s="2">
        <v>1</v>
      </c>
      <c r="GE152" s="2"/>
      <c r="GF152" s="2">
        <v>-1797125674</v>
      </c>
      <c r="GG152" s="2">
        <v>2</v>
      </c>
      <c r="GH152" s="2">
        <v>1</v>
      </c>
      <c r="GI152" s="2">
        <v>2</v>
      </c>
      <c r="GJ152" s="2">
        <v>0</v>
      </c>
      <c r="GK152" s="2">
        <v>0</v>
      </c>
      <c r="GL152" s="2">
        <f t="shared" ref="GL152:GL171" si="124">ROUND(IF(AND(BH152=3,BI152=3,FS152&lt;&gt;0),P152,0),2)</f>
        <v>0</v>
      </c>
      <c r="GM152" s="2">
        <f t="shared" ref="GM152:GM171" si="125">ROUND(O152+X152+Y152,2)+GX152</f>
        <v>5034.42</v>
      </c>
      <c r="GN152" s="2">
        <f t="shared" ref="GN152:GN171" si="126">IF(OR(BI152=0,BI152=1),GM152-GX152,0)</f>
        <v>0</v>
      </c>
      <c r="GO152" s="2">
        <f t="shared" ref="GO152:GO171" si="127">IF(BI152=2,GM152-GX152,0)</f>
        <v>5034.42</v>
      </c>
      <c r="GP152" s="2">
        <f t="shared" ref="GP152:GP171" si="128">IF(BI152=4,GM152-GX152,0)</f>
        <v>0</v>
      </c>
      <c r="GQ152" s="2"/>
      <c r="GR152" s="2">
        <v>0</v>
      </c>
      <c r="GS152" s="2">
        <v>3</v>
      </c>
      <c r="GT152" s="2">
        <v>0</v>
      </c>
      <c r="GU152" s="2" t="s">
        <v>3</v>
      </c>
      <c r="GV152" s="2">
        <f t="shared" ref="GV152:GV171" si="129">ROUND((GT152),6)</f>
        <v>0</v>
      </c>
      <c r="GW152" s="2">
        <v>1</v>
      </c>
      <c r="GX152" s="2">
        <f t="shared" ref="GX152:GX171" si="130">ROUND(HC152*I152,2)</f>
        <v>0</v>
      </c>
      <c r="GY152" s="2"/>
      <c r="GZ152" s="2"/>
      <c r="HA152" s="2">
        <v>0</v>
      </c>
      <c r="HB152" s="2">
        <v>0</v>
      </c>
      <c r="HC152" s="2">
        <f t="shared" ref="HC152:HC171" si="131">GV152*GW152</f>
        <v>0</v>
      </c>
      <c r="HD152" s="2"/>
      <c r="HE152" s="2" t="s">
        <v>3</v>
      </c>
      <c r="HF152" s="2" t="s">
        <v>3</v>
      </c>
      <c r="HG152" s="2"/>
      <c r="HH152" s="2"/>
      <c r="HI152" s="2"/>
      <c r="HJ152" s="2"/>
      <c r="HK152" s="2"/>
      <c r="HL152" s="2"/>
      <c r="HM152" s="2" t="s">
        <v>3</v>
      </c>
      <c r="HN152" s="2" t="s">
        <v>3</v>
      </c>
      <c r="HO152" s="2" t="s">
        <v>3</v>
      </c>
      <c r="HP152" s="2" t="s">
        <v>3</v>
      </c>
      <c r="HQ152" s="2" t="s">
        <v>3</v>
      </c>
      <c r="HR152" s="2"/>
      <c r="HS152" s="2">
        <v>0</v>
      </c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>
        <v>0</v>
      </c>
      <c r="IL152" s="2"/>
      <c r="IM152" s="2"/>
      <c r="IN152" s="2"/>
      <c r="IO152" s="2"/>
      <c r="IP152" s="2"/>
      <c r="IQ152" s="2"/>
      <c r="IR152" s="2"/>
      <c r="IS152" s="2"/>
      <c r="IT152" s="2"/>
      <c r="IU152" s="2"/>
    </row>
    <row r="153" spans="1:255" x14ac:dyDescent="0.2">
      <c r="A153" s="3">
        <v>17</v>
      </c>
      <c r="B153" s="3">
        <v>1</v>
      </c>
      <c r="C153" s="3">
        <f>ROW(SmtRes!A78)</f>
        <v>78</v>
      </c>
      <c r="D153" s="3">
        <f>ROW(EtalonRes!A92)</f>
        <v>92</v>
      </c>
      <c r="E153" s="3" t="s">
        <v>188</v>
      </c>
      <c r="F153" s="3" t="s">
        <v>49</v>
      </c>
      <c r="G153" s="3" t="s">
        <v>50</v>
      </c>
      <c r="H153" s="3" t="s">
        <v>22</v>
      </c>
      <c r="I153" s="3">
        <f>ROUND(57+98,9)</f>
        <v>155</v>
      </c>
      <c r="J153" s="3">
        <v>0</v>
      </c>
      <c r="K153" s="3">
        <f>ROUND(57+98,9)</f>
        <v>155</v>
      </c>
      <c r="O153" s="3">
        <f t="shared" si="109"/>
        <v>117923.07</v>
      </c>
      <c r="P153" s="3">
        <f>ROUND((ROUND((AC153*AW153*I153),2)*BC153),2)</f>
        <v>1601.46</v>
      </c>
      <c r="Q153" s="3">
        <f>(ROUND((ROUND((((ET153*1.2))*AV153*I153),2)*BB153),2)+ROUND((ROUND(((AE153-((EU153*1.2)))*AV153*I153),2)*BS153),2))</f>
        <v>0</v>
      </c>
      <c r="R153" s="3">
        <f>(ROUND((ROUND((((EU153*1.2))*AV153*I153),2)*BS153),2)+ROUND((ROUND(((AE153-((EU153*1.2)))*AV153*I153),2)*BS153),2))</f>
        <v>0</v>
      </c>
      <c r="S153" s="3">
        <f t="shared" si="110"/>
        <v>116321.61</v>
      </c>
      <c r="T153" s="3">
        <f t="shared" si="111"/>
        <v>0</v>
      </c>
      <c r="U153" s="3">
        <f t="shared" si="112"/>
        <v>163.58327999999997</v>
      </c>
      <c r="V153" s="3">
        <f t="shared" si="113"/>
        <v>0</v>
      </c>
      <c r="W153" s="3">
        <f t="shared" si="114"/>
        <v>0</v>
      </c>
      <c r="X153" s="3">
        <f>(ROUND((((S153+ROUND((ROUND((((EU153*1.2))*AV153*I153),2)*BS153),2))*AT153)/100),2)+ROUND(((ROUND((ROUND(((AE153-((EU153*1.2)))*AV153*I153),2)*BS153),2)*AT153)/100),2))</f>
        <v>104689.45</v>
      </c>
      <c r="Y153" s="3">
        <f>(ROUND((((S153+ROUND((ROUND((((EU153*1.2))*AV153*I153),2)*BS153),2))*AU153)/100),2)+ROUND(((ROUND((ROUND(((AE153-((EU153*1.2)))*AV153*I153),2)*BS153),2)*AU153)/100),2))</f>
        <v>53507.94</v>
      </c>
      <c r="AA153" s="3">
        <v>55915258</v>
      </c>
      <c r="AB153" s="3">
        <f t="shared" si="115"/>
        <v>13.77</v>
      </c>
      <c r="AC153" s="3">
        <f>ROUND(((ES153*1)),6)</f>
        <v>1.05</v>
      </c>
      <c r="AD153" s="3">
        <f>ROUND(((((ET153*1.2))-((EU153*1.2)))+AE153),6)</f>
        <v>0</v>
      </c>
      <c r="AE153" s="3">
        <f>ROUND(((EU153*1.2)),6)</f>
        <v>0</v>
      </c>
      <c r="AF153" s="3">
        <f>ROUND(((EV153*1.2)),6)</f>
        <v>12.72</v>
      </c>
      <c r="AG153" s="3">
        <f t="shared" si="116"/>
        <v>0</v>
      </c>
      <c r="AH153" s="3">
        <f>((EW153*1.2))</f>
        <v>1.008</v>
      </c>
      <c r="AI153" s="3">
        <f>((EX153*1.2))</f>
        <v>0</v>
      </c>
      <c r="AJ153" s="3">
        <f t="shared" si="117"/>
        <v>0</v>
      </c>
      <c r="AK153" s="3">
        <v>11.65</v>
      </c>
      <c r="AL153" s="3">
        <v>1.05</v>
      </c>
      <c r="AM153" s="3">
        <v>0</v>
      </c>
      <c r="AN153" s="3">
        <v>0</v>
      </c>
      <c r="AO153" s="3">
        <v>10.6</v>
      </c>
      <c r="AP153" s="3">
        <v>0</v>
      </c>
      <c r="AQ153" s="3">
        <v>0.84</v>
      </c>
      <c r="AR153" s="3">
        <v>0</v>
      </c>
      <c r="AS153" s="3">
        <v>0</v>
      </c>
      <c r="AT153" s="3">
        <v>90</v>
      </c>
      <c r="AU153" s="3">
        <v>46</v>
      </c>
      <c r="AV153" s="3">
        <v>1.0469999999999999</v>
      </c>
      <c r="AW153" s="3">
        <v>1</v>
      </c>
      <c r="AZ153" s="3">
        <v>1</v>
      </c>
      <c r="BA153" s="3">
        <v>56.35</v>
      </c>
      <c r="BB153" s="3">
        <v>1</v>
      </c>
      <c r="BC153" s="3">
        <v>9.84</v>
      </c>
      <c r="BD153" s="3" t="s">
        <v>3</v>
      </c>
      <c r="BE153" s="3" t="s">
        <v>3</v>
      </c>
      <c r="BF153" s="3" t="s">
        <v>3</v>
      </c>
      <c r="BG153" s="3" t="s">
        <v>3</v>
      </c>
      <c r="BH153" s="3">
        <v>0</v>
      </c>
      <c r="BI153" s="3">
        <v>2</v>
      </c>
      <c r="BJ153" s="3" t="s">
        <v>51</v>
      </c>
      <c r="BM153" s="3">
        <v>68</v>
      </c>
      <c r="BN153" s="3">
        <v>0</v>
      </c>
      <c r="BO153" s="3" t="s">
        <v>49</v>
      </c>
      <c r="BP153" s="3">
        <v>1</v>
      </c>
      <c r="BQ153" s="3">
        <v>40</v>
      </c>
      <c r="BR153" s="3">
        <v>0</v>
      </c>
      <c r="BS153" s="3">
        <v>56.35</v>
      </c>
      <c r="BT153" s="3">
        <v>1</v>
      </c>
      <c r="BU153" s="3">
        <v>1</v>
      </c>
      <c r="BV153" s="3">
        <v>1</v>
      </c>
      <c r="BW153" s="3">
        <v>1</v>
      </c>
      <c r="BX153" s="3">
        <v>1</v>
      </c>
      <c r="BY153" s="3" t="s">
        <v>3</v>
      </c>
      <c r="BZ153" s="3">
        <v>90</v>
      </c>
      <c r="CA153" s="3">
        <v>46</v>
      </c>
      <c r="CB153" s="3" t="s">
        <v>3</v>
      </c>
      <c r="CE153" s="3">
        <v>1566</v>
      </c>
      <c r="CF153" s="3">
        <v>0</v>
      </c>
      <c r="CG153" s="3">
        <v>0</v>
      </c>
      <c r="CM153" s="3">
        <v>0</v>
      </c>
      <c r="CN153" s="3" t="s">
        <v>605</v>
      </c>
      <c r="CO153" s="3">
        <v>0</v>
      </c>
      <c r="CP153" s="3">
        <f t="shared" si="118"/>
        <v>117923.07</v>
      </c>
      <c r="CQ153" s="3">
        <f>ROUND((ROUND((AC153*AW153*1),2)*BC153),2)</f>
        <v>10.33</v>
      </c>
      <c r="CR153" s="3">
        <f>(ROUND((ROUND((((ET153*1.2))*AV153*1),2)*BB153),2)+ROUND((ROUND(((AE153-((EU153*1.2)))*AV153*1),2)*BS153),2))</f>
        <v>0</v>
      </c>
      <c r="CS153" s="3">
        <f>(ROUND((ROUND((((EU153*1.2))*AV153*1),2)*BS153),2)+ROUND((ROUND(((AE153-((EU153*1.2)))*AV153*1),2)*BS153),2))</f>
        <v>0</v>
      </c>
      <c r="CT153" s="3">
        <f t="shared" si="119"/>
        <v>750.58</v>
      </c>
      <c r="CU153" s="3">
        <f t="shared" si="120"/>
        <v>0</v>
      </c>
      <c r="CV153" s="3">
        <f t="shared" si="121"/>
        <v>1.0553759999999999</v>
      </c>
      <c r="CW153" s="3">
        <f t="shared" si="122"/>
        <v>0</v>
      </c>
      <c r="CX153" s="3">
        <f t="shared" si="123"/>
        <v>0</v>
      </c>
      <c r="CY153" s="3">
        <f>(ROUND((((S153+ROUND((ROUND((((EU153*1.2))*AV153*1),2)*BS153),2))*AT153)/100),2)+ROUND(((ROUND((ROUND(((AE153-((EU153*1.2)))*AV153*1),2)*BS153),2)*AT153)/100),2))</f>
        <v>104689.45</v>
      </c>
      <c r="CZ153" s="3">
        <f>(ROUND((((S153+ROUND((ROUND((((EU153*1.2))*AV153*1),2)*BS153),2))*AU153)/100),2)+ROUND(((ROUND((ROUND(((AE153-((EU153*1.2)))*AV153*1),2)*BS153),2)*AU153)/100),2))</f>
        <v>53507.94</v>
      </c>
      <c r="DB153" s="3">
        <v>70</v>
      </c>
      <c r="DC153" s="3" t="s">
        <v>3</v>
      </c>
      <c r="DD153" s="3" t="s">
        <v>77</v>
      </c>
      <c r="DE153" s="3" t="s">
        <v>78</v>
      </c>
      <c r="DF153" s="3" t="s">
        <v>78</v>
      </c>
      <c r="DG153" s="3" t="s">
        <v>78</v>
      </c>
      <c r="DH153" s="3" t="s">
        <v>3</v>
      </c>
      <c r="DI153" s="3" t="s">
        <v>78</v>
      </c>
      <c r="DJ153" s="3" t="s">
        <v>78</v>
      </c>
      <c r="DK153" s="3" t="s">
        <v>3</v>
      </c>
      <c r="DL153" s="3" t="s">
        <v>3</v>
      </c>
      <c r="DM153" s="3" t="s">
        <v>3</v>
      </c>
      <c r="DN153" s="3">
        <v>0</v>
      </c>
      <c r="DO153" s="3">
        <v>0</v>
      </c>
      <c r="DP153" s="3">
        <v>1</v>
      </c>
      <c r="DQ153" s="3">
        <v>1</v>
      </c>
      <c r="DU153" s="3">
        <v>1013</v>
      </c>
      <c r="DV153" s="3" t="s">
        <v>22</v>
      </c>
      <c r="DW153" s="3" t="s">
        <v>22</v>
      </c>
      <c r="DX153" s="3">
        <v>1</v>
      </c>
      <c r="DZ153" s="3" t="s">
        <v>3</v>
      </c>
      <c r="EA153" s="3" t="s">
        <v>3</v>
      </c>
      <c r="EB153" s="3" t="s">
        <v>3</v>
      </c>
      <c r="EC153" s="3" t="s">
        <v>3</v>
      </c>
      <c r="EE153" s="3">
        <v>55393700</v>
      </c>
      <c r="EF153" s="3">
        <v>40</v>
      </c>
      <c r="EG153" s="3" t="s">
        <v>26</v>
      </c>
      <c r="EH153" s="3">
        <v>0</v>
      </c>
      <c r="EI153" s="3" t="s">
        <v>3</v>
      </c>
      <c r="EJ153" s="3">
        <v>2</v>
      </c>
      <c r="EK153" s="3">
        <v>68</v>
      </c>
      <c r="EL153" s="3" t="s">
        <v>27</v>
      </c>
      <c r="EM153" s="3" t="s">
        <v>28</v>
      </c>
      <c r="EO153" s="3" t="s">
        <v>82</v>
      </c>
      <c r="EQ153" s="3">
        <v>0</v>
      </c>
      <c r="ER153" s="3">
        <v>11.65</v>
      </c>
      <c r="ES153" s="3">
        <v>1.05</v>
      </c>
      <c r="ET153" s="3">
        <v>0</v>
      </c>
      <c r="EU153" s="3">
        <v>0</v>
      </c>
      <c r="EV153" s="3">
        <v>10.6</v>
      </c>
      <c r="EW153" s="3">
        <v>0.84</v>
      </c>
      <c r="EX153" s="3">
        <v>0</v>
      </c>
      <c r="EY153" s="3">
        <v>0</v>
      </c>
      <c r="FQ153" s="3">
        <v>0</v>
      </c>
      <c r="FR153" s="3">
        <v>0</v>
      </c>
      <c r="FS153" s="3">
        <v>0</v>
      </c>
      <c r="FX153" s="3">
        <v>90</v>
      </c>
      <c r="FY153" s="3">
        <v>46</v>
      </c>
      <c r="GA153" s="3" t="s">
        <v>3</v>
      </c>
      <c r="GD153" s="3">
        <v>1</v>
      </c>
      <c r="GF153" s="3">
        <v>-1797125674</v>
      </c>
      <c r="GG153" s="3">
        <v>2</v>
      </c>
      <c r="GH153" s="3">
        <v>1</v>
      </c>
      <c r="GI153" s="3">
        <v>2</v>
      </c>
      <c r="GJ153" s="3">
        <v>0</v>
      </c>
      <c r="GK153" s="3">
        <v>0</v>
      </c>
      <c r="GL153" s="3">
        <f t="shared" si="124"/>
        <v>0</v>
      </c>
      <c r="GM153" s="3">
        <f t="shared" si="125"/>
        <v>276120.46000000002</v>
      </c>
      <c r="GN153" s="3">
        <f t="shared" si="126"/>
        <v>0</v>
      </c>
      <c r="GO153" s="3">
        <f t="shared" si="127"/>
        <v>276120.46000000002</v>
      </c>
      <c r="GP153" s="3">
        <f t="shared" si="128"/>
        <v>0</v>
      </c>
      <c r="GR153" s="3">
        <v>0</v>
      </c>
      <c r="GS153" s="3">
        <v>3</v>
      </c>
      <c r="GT153" s="3">
        <v>0</v>
      </c>
      <c r="GU153" s="3" t="s">
        <v>3</v>
      </c>
      <c r="GV153" s="3">
        <f t="shared" si="129"/>
        <v>0</v>
      </c>
      <c r="GW153" s="3">
        <v>1</v>
      </c>
      <c r="GX153" s="3">
        <f t="shared" si="130"/>
        <v>0</v>
      </c>
      <c r="HA153" s="3">
        <v>0</v>
      </c>
      <c r="HB153" s="3">
        <v>0</v>
      </c>
      <c r="HC153" s="3">
        <f t="shared" si="131"/>
        <v>0</v>
      </c>
      <c r="HE153" s="3" t="s">
        <v>3</v>
      </c>
      <c r="HF153" s="3" t="s">
        <v>3</v>
      </c>
      <c r="HM153" s="3" t="s">
        <v>3</v>
      </c>
      <c r="HN153" s="3" t="s">
        <v>3</v>
      </c>
      <c r="HO153" s="3" t="s">
        <v>3</v>
      </c>
      <c r="HP153" s="3" t="s">
        <v>3</v>
      </c>
      <c r="HQ153" s="3" t="s">
        <v>3</v>
      </c>
      <c r="HS153" s="3">
        <v>0</v>
      </c>
      <c r="IK153" s="3">
        <v>0</v>
      </c>
    </row>
    <row r="154" spans="1:255" x14ac:dyDescent="0.2">
      <c r="A154" s="2">
        <v>17</v>
      </c>
      <c r="B154" s="2">
        <v>1</v>
      </c>
      <c r="C154" s="2"/>
      <c r="D154" s="2"/>
      <c r="E154" s="2" t="s">
        <v>189</v>
      </c>
      <c r="F154" s="2" t="s">
        <v>190</v>
      </c>
      <c r="G154" s="2" t="s">
        <v>606</v>
      </c>
      <c r="H154" s="2" t="s">
        <v>191</v>
      </c>
      <c r="I154" s="2">
        <v>57</v>
      </c>
      <c r="J154" s="2">
        <v>0</v>
      </c>
      <c r="K154" s="2">
        <v>57</v>
      </c>
      <c r="L154" s="2"/>
      <c r="M154" s="2"/>
      <c r="N154" s="2"/>
      <c r="O154" s="2">
        <f t="shared" si="109"/>
        <v>1991.58</v>
      </c>
      <c r="P154" s="2">
        <f>ROUND((ROUND((AC154*I154),2)*BC154),2)</f>
        <v>1991.58</v>
      </c>
      <c r="Q154" s="2">
        <f>(ROUND((ROUND(((ET154)*AV154*I154),2)*BB154),2)+ROUND((ROUND(((AE154-(EU154))*AV154*I154),2)*BS154),2))</f>
        <v>0</v>
      </c>
      <c r="R154" s="2">
        <f>(ROUND((ROUND(((EU154)*AV154*I154),2)*BS154),2)+ROUND((ROUND(((AE154-(EU154))*AV154*I154),2)*BS154),2))</f>
        <v>0</v>
      </c>
      <c r="S154" s="2">
        <f t="shared" si="110"/>
        <v>0</v>
      </c>
      <c r="T154" s="2">
        <f t="shared" si="111"/>
        <v>0</v>
      </c>
      <c r="U154" s="2">
        <f t="shared" si="112"/>
        <v>0</v>
      </c>
      <c r="V154" s="2">
        <f t="shared" si="113"/>
        <v>0</v>
      </c>
      <c r="W154" s="2">
        <f t="shared" si="114"/>
        <v>0</v>
      </c>
      <c r="X154" s="2">
        <f>(ROUND((((S154+ROUND((ROUND(((EU154)*AV154*I154),2)*BS154),2))*AT154)/100),2)+ROUND(((ROUND((ROUND(((AE154-(EU154))*AV154*I154),2)*BS154),2)*AT154)/100),2))</f>
        <v>0</v>
      </c>
      <c r="Y154" s="2">
        <f>(ROUND((((S154+ROUND((ROUND(((EU154)*AV154*I154),2)*BS154),2))*AU154)/100),2)+ROUND(((ROUND((ROUND(((AE154-(EU154))*AV154*I154),2)*BS154),2)*AU154)/100),2))</f>
        <v>0</v>
      </c>
      <c r="Z154" s="2"/>
      <c r="AA154" s="2">
        <v>55915256</v>
      </c>
      <c r="AB154" s="2">
        <f t="shared" si="115"/>
        <v>34.94</v>
      </c>
      <c r="AC154" s="2">
        <f>ROUND((ES154),6)</f>
        <v>34.94</v>
      </c>
      <c r="AD154" s="2">
        <f>ROUND((((ET154)-(EU154))+AE154),6)</f>
        <v>0</v>
      </c>
      <c r="AE154" s="2">
        <f t="shared" ref="AE154:AF157" si="132">ROUND((EU154),6)</f>
        <v>0</v>
      </c>
      <c r="AF154" s="2">
        <f t="shared" si="132"/>
        <v>0</v>
      </c>
      <c r="AG154" s="2">
        <f t="shared" si="116"/>
        <v>0</v>
      </c>
      <c r="AH154" s="2">
        <f t="shared" ref="AH154:AI157" si="133">(EW154)</f>
        <v>0</v>
      </c>
      <c r="AI154" s="2">
        <f t="shared" si="133"/>
        <v>0</v>
      </c>
      <c r="AJ154" s="2">
        <f t="shared" si="117"/>
        <v>0</v>
      </c>
      <c r="AK154" s="2">
        <v>34.94</v>
      </c>
      <c r="AL154" s="2">
        <v>34.94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1</v>
      </c>
      <c r="AW154" s="2">
        <v>1</v>
      </c>
      <c r="AX154" s="2"/>
      <c r="AY154" s="2"/>
      <c r="AZ154" s="2">
        <v>1</v>
      </c>
      <c r="BA154" s="2">
        <v>1</v>
      </c>
      <c r="BB154" s="2">
        <v>1</v>
      </c>
      <c r="BC154" s="2">
        <v>1</v>
      </c>
      <c r="BD154" s="2" t="s">
        <v>3</v>
      </c>
      <c r="BE154" s="2" t="s">
        <v>3</v>
      </c>
      <c r="BF154" s="2" t="s">
        <v>3</v>
      </c>
      <c r="BG154" s="2" t="s">
        <v>3</v>
      </c>
      <c r="BH154" s="2">
        <v>3</v>
      </c>
      <c r="BI154" s="2">
        <v>3</v>
      </c>
      <c r="BJ154" s="2" t="s">
        <v>192</v>
      </c>
      <c r="BK154" s="2"/>
      <c r="BL154" s="2"/>
      <c r="BM154" s="2">
        <v>746</v>
      </c>
      <c r="BN154" s="2">
        <v>0</v>
      </c>
      <c r="BO154" s="2" t="s">
        <v>3</v>
      </c>
      <c r="BP154" s="2">
        <v>0</v>
      </c>
      <c r="BQ154" s="2">
        <v>130</v>
      </c>
      <c r="BR154" s="2">
        <v>0</v>
      </c>
      <c r="BS154" s="2">
        <v>1</v>
      </c>
      <c r="BT154" s="2">
        <v>1</v>
      </c>
      <c r="BU154" s="2">
        <v>1</v>
      </c>
      <c r="BV154" s="2">
        <v>1</v>
      </c>
      <c r="BW154" s="2">
        <v>1</v>
      </c>
      <c r="BX154" s="2">
        <v>1</v>
      </c>
      <c r="BY154" s="2" t="s">
        <v>3</v>
      </c>
      <c r="BZ154" s="2">
        <v>0</v>
      </c>
      <c r="CA154" s="2">
        <v>0</v>
      </c>
      <c r="CB154" s="2" t="s">
        <v>3</v>
      </c>
      <c r="CC154" s="2"/>
      <c r="CD154" s="2"/>
      <c r="CE154" s="2">
        <v>1566</v>
      </c>
      <c r="CF154" s="2">
        <v>0</v>
      </c>
      <c r="CG154" s="2">
        <v>0</v>
      </c>
      <c r="CH154" s="2"/>
      <c r="CI154" s="2"/>
      <c r="CJ154" s="2"/>
      <c r="CK154" s="2"/>
      <c r="CL154" s="2"/>
      <c r="CM154" s="2">
        <v>0</v>
      </c>
      <c r="CN154" s="2" t="s">
        <v>3</v>
      </c>
      <c r="CO154" s="2">
        <v>0</v>
      </c>
      <c r="CP154" s="2">
        <f t="shared" si="118"/>
        <v>1991.58</v>
      </c>
      <c r="CQ154" s="2">
        <f>ROUND((ROUND((AC154*1),2)*BC154),2)</f>
        <v>34.94</v>
      </c>
      <c r="CR154" s="2">
        <f>(ROUND((ROUND(((ET154)*AV154*1),2)*BB154),2)+ROUND((ROUND(((AE154-(EU154))*AV154*1),2)*BS154),2))</f>
        <v>0</v>
      </c>
      <c r="CS154" s="2">
        <f>(ROUND((ROUND(((EU154)*AV154*1),2)*BS154),2)+ROUND((ROUND(((AE154-(EU154))*AV154*1),2)*BS154),2))</f>
        <v>0</v>
      </c>
      <c r="CT154" s="2">
        <f t="shared" si="119"/>
        <v>0</v>
      </c>
      <c r="CU154" s="2">
        <f t="shared" si="120"/>
        <v>0</v>
      </c>
      <c r="CV154" s="2">
        <f t="shared" si="121"/>
        <v>0</v>
      </c>
      <c r="CW154" s="2">
        <f t="shared" si="122"/>
        <v>0</v>
      </c>
      <c r="CX154" s="2">
        <f t="shared" si="123"/>
        <v>0</v>
      </c>
      <c r="CY154" s="2">
        <f>(ROUND((((S154+ROUND((ROUND(((EU154)*AV154*1),2)*BS154),2))*AT154)/100),2)+ROUND(((ROUND((ROUND(((AE154-(EU154))*AV154*1),2)*BS154),2)*AT154)/100),2))</f>
        <v>0</v>
      </c>
      <c r="CZ154" s="2">
        <f>(ROUND((((S154+ROUND((ROUND(((EU154)*AV154*1),2)*BS154),2))*AU154)/100),2)+ROUND(((ROUND((ROUND(((AE154-(EU154))*AV154*1),2)*BS154),2)*AU154)/100),2))</f>
        <v>0</v>
      </c>
      <c r="DA154" s="2"/>
      <c r="DB154" s="2"/>
      <c r="DC154" s="2" t="s">
        <v>3</v>
      </c>
      <c r="DD154" s="2" t="s">
        <v>3</v>
      </c>
      <c r="DE154" s="2" t="s">
        <v>3</v>
      </c>
      <c r="DF154" s="2" t="s">
        <v>3</v>
      </c>
      <c r="DG154" s="2" t="s">
        <v>3</v>
      </c>
      <c r="DH154" s="2" t="s">
        <v>3</v>
      </c>
      <c r="DI154" s="2" t="s">
        <v>3</v>
      </c>
      <c r="DJ154" s="2" t="s">
        <v>3</v>
      </c>
      <c r="DK154" s="2" t="s">
        <v>3</v>
      </c>
      <c r="DL154" s="2" t="s">
        <v>3</v>
      </c>
      <c r="DM154" s="2" t="s">
        <v>3</v>
      </c>
      <c r="DN154" s="2">
        <v>0</v>
      </c>
      <c r="DO154" s="2">
        <v>0</v>
      </c>
      <c r="DP154" s="2">
        <v>1</v>
      </c>
      <c r="DQ154" s="2">
        <v>1</v>
      </c>
      <c r="DR154" s="2"/>
      <c r="DS154" s="2"/>
      <c r="DT154" s="2"/>
      <c r="DU154" s="2">
        <v>1010</v>
      </c>
      <c r="DV154" s="2" t="s">
        <v>191</v>
      </c>
      <c r="DW154" s="2" t="s">
        <v>191</v>
      </c>
      <c r="DX154" s="2">
        <v>1</v>
      </c>
      <c r="DY154" s="2"/>
      <c r="DZ154" s="2" t="s">
        <v>3</v>
      </c>
      <c r="EA154" s="2" t="s">
        <v>3</v>
      </c>
      <c r="EB154" s="2" t="s">
        <v>3</v>
      </c>
      <c r="EC154" s="2" t="s">
        <v>3</v>
      </c>
      <c r="ED154" s="2"/>
      <c r="EE154" s="2">
        <v>55393806</v>
      </c>
      <c r="EF154" s="2">
        <v>130</v>
      </c>
      <c r="EG154" s="2" t="s">
        <v>193</v>
      </c>
      <c r="EH154" s="2">
        <v>0</v>
      </c>
      <c r="EI154" s="2" t="s">
        <v>3</v>
      </c>
      <c r="EJ154" s="2">
        <v>3</v>
      </c>
      <c r="EK154" s="2">
        <v>746</v>
      </c>
      <c r="EL154" s="2" t="s">
        <v>194</v>
      </c>
      <c r="EM154" s="2" t="s">
        <v>195</v>
      </c>
      <c r="EN154" s="2"/>
      <c r="EO154" s="2" t="s">
        <v>3</v>
      </c>
      <c r="EP154" s="2"/>
      <c r="EQ154" s="2">
        <v>0</v>
      </c>
      <c r="ER154" s="2">
        <v>34.94</v>
      </c>
      <c r="ES154" s="2">
        <v>34.94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>
        <v>0</v>
      </c>
      <c r="FR154" s="2">
        <f>P154</f>
        <v>1991.58</v>
      </c>
      <c r="FS154" s="2">
        <v>0</v>
      </c>
      <c r="FT154" s="2"/>
      <c r="FU154" s="2"/>
      <c r="FV154" s="2"/>
      <c r="FW154" s="2"/>
      <c r="FX154" s="2">
        <v>0</v>
      </c>
      <c r="FY154" s="2">
        <v>0</v>
      </c>
      <c r="FZ154" s="2"/>
      <c r="GA154" s="2" t="s">
        <v>3</v>
      </c>
      <c r="GB154" s="2"/>
      <c r="GC154" s="2"/>
      <c r="GD154" s="2">
        <v>1</v>
      </c>
      <c r="GE154" s="2"/>
      <c r="GF154" s="2">
        <v>1129817184</v>
      </c>
      <c r="GG154" s="2">
        <v>2</v>
      </c>
      <c r="GH154" s="2">
        <v>1</v>
      </c>
      <c r="GI154" s="2">
        <v>-2</v>
      </c>
      <c r="GJ154" s="2">
        <v>0</v>
      </c>
      <c r="GK154" s="2">
        <v>0</v>
      </c>
      <c r="GL154" s="2">
        <f t="shared" si="124"/>
        <v>0</v>
      </c>
      <c r="GM154" s="2">
        <f t="shared" si="125"/>
        <v>1991.58</v>
      </c>
      <c r="GN154" s="2">
        <f t="shared" si="126"/>
        <v>0</v>
      </c>
      <c r="GO154" s="2">
        <f t="shared" si="127"/>
        <v>0</v>
      </c>
      <c r="GP154" s="2">
        <f t="shared" si="128"/>
        <v>0</v>
      </c>
      <c r="GQ154" s="2"/>
      <c r="GR154" s="2">
        <v>0</v>
      </c>
      <c r="GS154" s="2">
        <v>3</v>
      </c>
      <c r="GT154" s="2">
        <v>0</v>
      </c>
      <c r="GU154" s="2" t="s">
        <v>3</v>
      </c>
      <c r="GV154" s="2">
        <f t="shared" si="129"/>
        <v>0</v>
      </c>
      <c r="GW154" s="2">
        <v>1</v>
      </c>
      <c r="GX154" s="2">
        <f t="shared" si="130"/>
        <v>0</v>
      </c>
      <c r="GY154" s="2"/>
      <c r="GZ154" s="2"/>
      <c r="HA154" s="2">
        <v>0</v>
      </c>
      <c r="HB154" s="2">
        <v>0</v>
      </c>
      <c r="HC154" s="2">
        <f t="shared" si="131"/>
        <v>0</v>
      </c>
      <c r="HD154" s="2"/>
      <c r="HE154" s="2" t="s">
        <v>3</v>
      </c>
      <c r="HF154" s="2" t="s">
        <v>3</v>
      </c>
      <c r="HG154" s="2"/>
      <c r="HH154" s="2"/>
      <c r="HI154" s="2"/>
      <c r="HJ154" s="2"/>
      <c r="HK154" s="2"/>
      <c r="HL154" s="2"/>
      <c r="HM154" s="2" t="s">
        <v>3</v>
      </c>
      <c r="HN154" s="2" t="s">
        <v>3</v>
      </c>
      <c r="HO154" s="2" t="s">
        <v>3</v>
      </c>
      <c r="HP154" s="2" t="s">
        <v>3</v>
      </c>
      <c r="HQ154" s="2" t="s">
        <v>3</v>
      </c>
      <c r="HR154" s="2"/>
      <c r="HS154" s="2">
        <v>0</v>
      </c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>
        <v>0</v>
      </c>
      <c r="IL154" s="2"/>
      <c r="IM154" s="2"/>
      <c r="IN154" s="2"/>
      <c r="IO154" s="2"/>
      <c r="IP154" s="2"/>
      <c r="IQ154" s="2"/>
      <c r="IR154" s="2"/>
      <c r="IS154" s="2"/>
      <c r="IT154" s="2"/>
      <c r="IU154" s="2"/>
    </row>
    <row r="155" spans="1:255" x14ac:dyDescent="0.2">
      <c r="A155" s="3">
        <v>17</v>
      </c>
      <c r="B155" s="3">
        <v>1</v>
      </c>
      <c r="E155" s="3" t="s">
        <v>189</v>
      </c>
      <c r="F155" s="3" t="s">
        <v>190</v>
      </c>
      <c r="G155" s="3" t="s">
        <v>606</v>
      </c>
      <c r="H155" s="3" t="s">
        <v>191</v>
      </c>
      <c r="I155" s="3">
        <v>57</v>
      </c>
      <c r="J155" s="3">
        <v>0</v>
      </c>
      <c r="K155" s="3">
        <v>57</v>
      </c>
      <c r="O155" s="3">
        <f t="shared" si="109"/>
        <v>8444.2999999999993</v>
      </c>
      <c r="P155" s="3">
        <f>ROUND((ROUND((AC155*I155),2)*BC155),2)</f>
        <v>8444.2999999999993</v>
      </c>
      <c r="Q155" s="3">
        <f>(ROUND((ROUND(((ET155)*AV155*I155),2)*BB155),2)+ROUND((ROUND(((AE155-(EU155))*AV155*I155),2)*BS155),2))</f>
        <v>0</v>
      </c>
      <c r="R155" s="3">
        <f>(ROUND((ROUND(((EU155)*AV155*I155),2)*BS155),2)+ROUND((ROUND(((AE155-(EU155))*AV155*I155),2)*BS155),2))</f>
        <v>0</v>
      </c>
      <c r="S155" s="3">
        <f t="shared" si="110"/>
        <v>0</v>
      </c>
      <c r="T155" s="3">
        <f t="shared" si="111"/>
        <v>0</v>
      </c>
      <c r="U155" s="3">
        <f t="shared" si="112"/>
        <v>0</v>
      </c>
      <c r="V155" s="3">
        <f t="shared" si="113"/>
        <v>0</v>
      </c>
      <c r="W155" s="3">
        <f t="shared" si="114"/>
        <v>0</v>
      </c>
      <c r="X155" s="3">
        <f>(ROUND((((S155+ROUND((ROUND(((EU155)*AV155*I155),2)*BS155),2))*AT155)/100),2)+ROUND(((ROUND((ROUND(((AE155-(EU155))*AV155*I155),2)*BS155),2)*AT155)/100),2))</f>
        <v>0</v>
      </c>
      <c r="Y155" s="3">
        <f>(ROUND((((S155+ROUND((ROUND(((EU155)*AV155*I155),2)*BS155),2))*AU155)/100),2)+ROUND(((ROUND((ROUND(((AE155-(EU155))*AV155*I155),2)*BS155),2)*AU155)/100),2))</f>
        <v>0</v>
      </c>
      <c r="AA155" s="3">
        <v>55915258</v>
      </c>
      <c r="AB155" s="3">
        <f t="shared" si="115"/>
        <v>34.94</v>
      </c>
      <c r="AC155" s="3">
        <f>ROUND((ES155),6)</f>
        <v>34.94</v>
      </c>
      <c r="AD155" s="3">
        <f>ROUND((((ET155)-(EU155))+AE155),6)</f>
        <v>0</v>
      </c>
      <c r="AE155" s="3">
        <f t="shared" si="132"/>
        <v>0</v>
      </c>
      <c r="AF155" s="3">
        <f t="shared" si="132"/>
        <v>0</v>
      </c>
      <c r="AG155" s="3">
        <f t="shared" si="116"/>
        <v>0</v>
      </c>
      <c r="AH155" s="3">
        <f t="shared" si="133"/>
        <v>0</v>
      </c>
      <c r="AI155" s="3">
        <f t="shared" si="133"/>
        <v>0</v>
      </c>
      <c r="AJ155" s="3">
        <f t="shared" si="117"/>
        <v>0</v>
      </c>
      <c r="AK155" s="3">
        <v>34.94</v>
      </c>
      <c r="AL155" s="3">
        <v>34.94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1</v>
      </c>
      <c r="AW155" s="3">
        <v>1</v>
      </c>
      <c r="AZ155" s="3">
        <v>1</v>
      </c>
      <c r="BA155" s="3">
        <v>1</v>
      </c>
      <c r="BB155" s="3">
        <v>1</v>
      </c>
      <c r="BC155" s="3">
        <v>4.24</v>
      </c>
      <c r="BD155" s="3" t="s">
        <v>3</v>
      </c>
      <c r="BE155" s="3" t="s">
        <v>3</v>
      </c>
      <c r="BF155" s="3" t="s">
        <v>3</v>
      </c>
      <c r="BG155" s="3" t="s">
        <v>3</v>
      </c>
      <c r="BH155" s="3">
        <v>3</v>
      </c>
      <c r="BI155" s="3">
        <v>3</v>
      </c>
      <c r="BJ155" s="3" t="s">
        <v>192</v>
      </c>
      <c r="BM155" s="3">
        <v>746</v>
      </c>
      <c r="BN155" s="3">
        <v>0</v>
      </c>
      <c r="BO155" s="3" t="s">
        <v>3</v>
      </c>
      <c r="BP155" s="3">
        <v>0</v>
      </c>
      <c r="BQ155" s="3">
        <v>130</v>
      </c>
      <c r="BR155" s="3">
        <v>0</v>
      </c>
      <c r="BS155" s="3">
        <v>1</v>
      </c>
      <c r="BT155" s="3">
        <v>1</v>
      </c>
      <c r="BU155" s="3">
        <v>1</v>
      </c>
      <c r="BV155" s="3">
        <v>1</v>
      </c>
      <c r="BW155" s="3">
        <v>1</v>
      </c>
      <c r="BX155" s="3">
        <v>1</v>
      </c>
      <c r="BY155" s="3" t="s">
        <v>3</v>
      </c>
      <c r="BZ155" s="3">
        <v>0</v>
      </c>
      <c r="CA155" s="3">
        <v>0</v>
      </c>
      <c r="CB155" s="3" t="s">
        <v>3</v>
      </c>
      <c r="CE155" s="3">
        <v>1566</v>
      </c>
      <c r="CF155" s="3">
        <v>0</v>
      </c>
      <c r="CG155" s="3">
        <v>0</v>
      </c>
      <c r="CM155" s="3">
        <v>0</v>
      </c>
      <c r="CN155" s="3" t="s">
        <v>3</v>
      </c>
      <c r="CO155" s="3">
        <v>0</v>
      </c>
      <c r="CP155" s="3">
        <f t="shared" si="118"/>
        <v>8444.2999999999993</v>
      </c>
      <c r="CQ155" s="3">
        <f>ROUND((ROUND((AC155*1),2)*BC155),2)</f>
        <v>148.15</v>
      </c>
      <c r="CR155" s="3">
        <f>(ROUND((ROUND(((ET155)*AV155*1),2)*BB155),2)+ROUND((ROUND(((AE155-(EU155))*AV155*1),2)*BS155),2))</f>
        <v>0</v>
      </c>
      <c r="CS155" s="3">
        <f>(ROUND((ROUND(((EU155)*AV155*1),2)*BS155),2)+ROUND((ROUND(((AE155-(EU155))*AV155*1),2)*BS155),2))</f>
        <v>0</v>
      </c>
      <c r="CT155" s="3">
        <f t="shared" si="119"/>
        <v>0</v>
      </c>
      <c r="CU155" s="3">
        <f t="shared" si="120"/>
        <v>0</v>
      </c>
      <c r="CV155" s="3">
        <f t="shared" si="121"/>
        <v>0</v>
      </c>
      <c r="CW155" s="3">
        <f t="shared" si="122"/>
        <v>0</v>
      </c>
      <c r="CX155" s="3">
        <f t="shared" si="123"/>
        <v>0</v>
      </c>
      <c r="CY155" s="3">
        <f>(ROUND((((S155+ROUND((ROUND(((EU155)*AV155*1),2)*BS155),2))*AT155)/100),2)+ROUND(((ROUND((ROUND(((AE155-(EU155))*AV155*1),2)*BS155),2)*AT155)/100),2))</f>
        <v>0</v>
      </c>
      <c r="CZ155" s="3">
        <f>(ROUND((((S155+ROUND((ROUND(((EU155)*AV155*1),2)*BS155),2))*AU155)/100),2)+ROUND(((ROUND((ROUND(((AE155-(EU155))*AV155*1),2)*BS155),2)*AU155)/100),2))</f>
        <v>0</v>
      </c>
      <c r="DC155" s="3" t="s">
        <v>3</v>
      </c>
      <c r="DD155" s="3" t="s">
        <v>3</v>
      </c>
      <c r="DE155" s="3" t="s">
        <v>3</v>
      </c>
      <c r="DF155" s="3" t="s">
        <v>3</v>
      </c>
      <c r="DG155" s="3" t="s">
        <v>3</v>
      </c>
      <c r="DH155" s="3" t="s">
        <v>3</v>
      </c>
      <c r="DI155" s="3" t="s">
        <v>3</v>
      </c>
      <c r="DJ155" s="3" t="s">
        <v>3</v>
      </c>
      <c r="DK155" s="3" t="s">
        <v>3</v>
      </c>
      <c r="DL155" s="3" t="s">
        <v>3</v>
      </c>
      <c r="DM155" s="3" t="s">
        <v>3</v>
      </c>
      <c r="DN155" s="3">
        <v>0</v>
      </c>
      <c r="DO155" s="3">
        <v>0</v>
      </c>
      <c r="DP155" s="3">
        <v>1</v>
      </c>
      <c r="DQ155" s="3">
        <v>1</v>
      </c>
      <c r="DU155" s="3">
        <v>1010</v>
      </c>
      <c r="DV155" s="3" t="s">
        <v>191</v>
      </c>
      <c r="DW155" s="3" t="s">
        <v>191</v>
      </c>
      <c r="DX155" s="3">
        <v>1</v>
      </c>
      <c r="DZ155" s="3" t="s">
        <v>3</v>
      </c>
      <c r="EA155" s="3" t="s">
        <v>3</v>
      </c>
      <c r="EB155" s="3" t="s">
        <v>3</v>
      </c>
      <c r="EC155" s="3" t="s">
        <v>3</v>
      </c>
      <c r="EE155" s="3">
        <v>55393806</v>
      </c>
      <c r="EF155" s="3">
        <v>130</v>
      </c>
      <c r="EG155" s="3" t="s">
        <v>193</v>
      </c>
      <c r="EH155" s="3">
        <v>0</v>
      </c>
      <c r="EI155" s="3" t="s">
        <v>3</v>
      </c>
      <c r="EJ155" s="3">
        <v>3</v>
      </c>
      <c r="EK155" s="3">
        <v>746</v>
      </c>
      <c r="EL155" s="3" t="s">
        <v>194</v>
      </c>
      <c r="EM155" s="3" t="s">
        <v>195</v>
      </c>
      <c r="EO155" s="3" t="s">
        <v>3</v>
      </c>
      <c r="EQ155" s="3">
        <v>0</v>
      </c>
      <c r="ER155" s="3">
        <v>34.94</v>
      </c>
      <c r="ES155" s="3">
        <v>34.94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0</v>
      </c>
      <c r="FQ155" s="3">
        <v>0</v>
      </c>
      <c r="FR155" s="3">
        <f>P155</f>
        <v>8444.2999999999993</v>
      </c>
      <c r="FS155" s="3">
        <v>0</v>
      </c>
      <c r="FX155" s="3">
        <v>0</v>
      </c>
      <c r="FY155" s="3">
        <v>0</v>
      </c>
      <c r="GA155" s="3" t="s">
        <v>3</v>
      </c>
      <c r="GD155" s="3">
        <v>1</v>
      </c>
      <c r="GF155" s="3">
        <v>1129817184</v>
      </c>
      <c r="GG155" s="3">
        <v>2</v>
      </c>
      <c r="GH155" s="3">
        <v>1</v>
      </c>
      <c r="GI155" s="3">
        <v>2</v>
      </c>
      <c r="GJ155" s="3">
        <v>0</v>
      </c>
      <c r="GK155" s="3">
        <v>0</v>
      </c>
      <c r="GL155" s="3">
        <f t="shared" si="124"/>
        <v>0</v>
      </c>
      <c r="GM155" s="3">
        <f t="shared" si="125"/>
        <v>8444.2999999999993</v>
      </c>
      <c r="GN155" s="3">
        <f t="shared" si="126"/>
        <v>0</v>
      </c>
      <c r="GO155" s="3">
        <f t="shared" si="127"/>
        <v>0</v>
      </c>
      <c r="GP155" s="3">
        <f t="shared" si="128"/>
        <v>0</v>
      </c>
      <c r="GR155" s="3">
        <v>0</v>
      </c>
      <c r="GS155" s="3">
        <v>3</v>
      </c>
      <c r="GT155" s="3">
        <v>0</v>
      </c>
      <c r="GU155" s="3" t="s">
        <v>3</v>
      </c>
      <c r="GV155" s="3">
        <f t="shared" si="129"/>
        <v>0</v>
      </c>
      <c r="GW155" s="3">
        <v>1</v>
      </c>
      <c r="GX155" s="3">
        <f t="shared" si="130"/>
        <v>0</v>
      </c>
      <c r="HA155" s="3">
        <v>0</v>
      </c>
      <c r="HB155" s="3">
        <v>0</v>
      </c>
      <c r="HC155" s="3">
        <f t="shared" si="131"/>
        <v>0</v>
      </c>
      <c r="HE155" s="3" t="s">
        <v>3</v>
      </c>
      <c r="HF155" s="3" t="s">
        <v>3</v>
      </c>
      <c r="HM155" s="3" t="s">
        <v>3</v>
      </c>
      <c r="HN155" s="3" t="s">
        <v>3</v>
      </c>
      <c r="HO155" s="3" t="s">
        <v>3</v>
      </c>
      <c r="HP155" s="3" t="s">
        <v>3</v>
      </c>
      <c r="HQ155" s="3" t="s">
        <v>3</v>
      </c>
      <c r="HS155" s="3">
        <v>0</v>
      </c>
      <c r="IK155" s="3">
        <v>0</v>
      </c>
    </row>
    <row r="156" spans="1:255" x14ac:dyDescent="0.2">
      <c r="A156" s="2">
        <v>17</v>
      </c>
      <c r="B156" s="2">
        <v>1</v>
      </c>
      <c r="C156" s="2"/>
      <c r="D156" s="2"/>
      <c r="E156" s="2" t="s">
        <v>196</v>
      </c>
      <c r="F156" s="2" t="s">
        <v>197</v>
      </c>
      <c r="G156" s="2" t="s">
        <v>198</v>
      </c>
      <c r="H156" s="2" t="s">
        <v>153</v>
      </c>
      <c r="I156" s="2">
        <v>98</v>
      </c>
      <c r="J156" s="2">
        <v>0</v>
      </c>
      <c r="K156" s="2">
        <v>98</v>
      </c>
      <c r="L156" s="2"/>
      <c r="M156" s="2"/>
      <c r="N156" s="2"/>
      <c r="O156" s="2">
        <f t="shared" si="109"/>
        <v>5352.76</v>
      </c>
      <c r="P156" s="2">
        <f t="shared" ref="P156:P167" si="134">ROUND((ROUND((AC156*AW156*I156),2)*BC156),2)</f>
        <v>5352.76</v>
      </c>
      <c r="Q156" s="2">
        <f>(ROUND((ROUND(((ET156)*AV156*I156),2)*BB156),2)+ROUND((ROUND(((AE156-(EU156))*AV156*I156),2)*BS156),2))</f>
        <v>0</v>
      </c>
      <c r="R156" s="2">
        <f>(ROUND((ROUND(((EU156)*AV156*I156),2)*BS156),2)+ROUND((ROUND(((AE156-(EU156))*AV156*I156),2)*BS156),2))</f>
        <v>0</v>
      </c>
      <c r="S156" s="2">
        <f t="shared" si="110"/>
        <v>0</v>
      </c>
      <c r="T156" s="2">
        <f t="shared" si="111"/>
        <v>0</v>
      </c>
      <c r="U156" s="2">
        <f t="shared" si="112"/>
        <v>0</v>
      </c>
      <c r="V156" s="2">
        <f t="shared" si="113"/>
        <v>0</v>
      </c>
      <c r="W156" s="2">
        <f t="shared" si="114"/>
        <v>0</v>
      </c>
      <c r="X156" s="2">
        <f>(ROUND((((S156+ROUND((ROUND(((EU156)*AV156*I156),2)*BS156),2))*AT156)/100),2)+ROUND(((ROUND((ROUND(((AE156-(EU156))*AV156*I156),2)*BS156),2)*AT156)/100),2))</f>
        <v>0</v>
      </c>
      <c r="Y156" s="2">
        <f>(ROUND((((S156+ROUND((ROUND(((EU156)*AV156*I156),2)*BS156),2))*AU156)/100),2)+ROUND(((ROUND((ROUND(((AE156-(EU156))*AV156*I156),2)*BS156),2)*AU156)/100),2))</f>
        <v>0</v>
      </c>
      <c r="Z156" s="2"/>
      <c r="AA156" s="2">
        <v>55915256</v>
      </c>
      <c r="AB156" s="2">
        <f t="shared" si="115"/>
        <v>54.62</v>
      </c>
      <c r="AC156" s="2">
        <f>ROUND((ES156),6)</f>
        <v>54.62</v>
      </c>
      <c r="AD156" s="2">
        <f>ROUND((((ET156)-(EU156))+AE156),6)</f>
        <v>0</v>
      </c>
      <c r="AE156" s="2">
        <f t="shared" si="132"/>
        <v>0</v>
      </c>
      <c r="AF156" s="2">
        <f t="shared" si="132"/>
        <v>0</v>
      </c>
      <c r="AG156" s="2">
        <f t="shared" si="116"/>
        <v>0</v>
      </c>
      <c r="AH156" s="2">
        <f t="shared" si="133"/>
        <v>0</v>
      </c>
      <c r="AI156" s="2">
        <f t="shared" si="133"/>
        <v>0</v>
      </c>
      <c r="AJ156" s="2">
        <f t="shared" si="117"/>
        <v>0</v>
      </c>
      <c r="AK156" s="2">
        <v>54.62</v>
      </c>
      <c r="AL156" s="2">
        <v>54.62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1</v>
      </c>
      <c r="AW156" s="2">
        <v>1</v>
      </c>
      <c r="AX156" s="2"/>
      <c r="AY156" s="2"/>
      <c r="AZ156" s="2">
        <v>1</v>
      </c>
      <c r="BA156" s="2">
        <v>1</v>
      </c>
      <c r="BB156" s="2">
        <v>1</v>
      </c>
      <c r="BC156" s="2">
        <v>1</v>
      </c>
      <c r="BD156" s="2" t="s">
        <v>3</v>
      </c>
      <c r="BE156" s="2" t="s">
        <v>3</v>
      </c>
      <c r="BF156" s="2" t="s">
        <v>3</v>
      </c>
      <c r="BG156" s="2" t="s">
        <v>3</v>
      </c>
      <c r="BH156" s="2">
        <v>3</v>
      </c>
      <c r="BI156" s="2">
        <v>3</v>
      </c>
      <c r="BJ156" s="2" t="s">
        <v>197</v>
      </c>
      <c r="BK156" s="2"/>
      <c r="BL156" s="2"/>
      <c r="BM156" s="2">
        <v>400007</v>
      </c>
      <c r="BN156" s="2">
        <v>0</v>
      </c>
      <c r="BO156" s="2" t="s">
        <v>3</v>
      </c>
      <c r="BP156" s="2">
        <v>0</v>
      </c>
      <c r="BQ156" s="2">
        <v>214</v>
      </c>
      <c r="BR156" s="2">
        <v>0</v>
      </c>
      <c r="BS156" s="2">
        <v>1</v>
      </c>
      <c r="BT156" s="2">
        <v>1</v>
      </c>
      <c r="BU156" s="2">
        <v>1</v>
      </c>
      <c r="BV156" s="2">
        <v>1</v>
      </c>
      <c r="BW156" s="2">
        <v>1</v>
      </c>
      <c r="BX156" s="2">
        <v>1</v>
      </c>
      <c r="BY156" s="2" t="s">
        <v>3</v>
      </c>
      <c r="BZ156" s="2">
        <v>0</v>
      </c>
      <c r="CA156" s="2">
        <v>0</v>
      </c>
      <c r="CB156" s="2" t="s">
        <v>3</v>
      </c>
      <c r="CC156" s="2"/>
      <c r="CD156" s="2"/>
      <c r="CE156" s="2">
        <v>1566</v>
      </c>
      <c r="CF156" s="2">
        <v>0</v>
      </c>
      <c r="CG156" s="2">
        <v>0</v>
      </c>
      <c r="CH156" s="2"/>
      <c r="CI156" s="2"/>
      <c r="CJ156" s="2"/>
      <c r="CK156" s="2"/>
      <c r="CL156" s="2"/>
      <c r="CM156" s="2">
        <v>0</v>
      </c>
      <c r="CN156" s="2" t="s">
        <v>3</v>
      </c>
      <c r="CO156" s="2">
        <v>0</v>
      </c>
      <c r="CP156" s="2">
        <f t="shared" si="118"/>
        <v>5352.76</v>
      </c>
      <c r="CQ156" s="2">
        <f t="shared" ref="CQ156:CQ167" si="135">ROUND((ROUND((AC156*AW156*1),2)*BC156),2)</f>
        <v>54.62</v>
      </c>
      <c r="CR156" s="2">
        <f>(ROUND((ROUND(((ET156)*AV156*1),2)*BB156),2)+ROUND((ROUND(((AE156-(EU156))*AV156*1),2)*BS156),2))</f>
        <v>0</v>
      </c>
      <c r="CS156" s="2">
        <f>(ROUND((ROUND(((EU156)*AV156*1),2)*BS156),2)+ROUND((ROUND(((AE156-(EU156))*AV156*1),2)*BS156),2))</f>
        <v>0</v>
      </c>
      <c r="CT156" s="2">
        <f t="shared" si="119"/>
        <v>0</v>
      </c>
      <c r="CU156" s="2">
        <f t="shared" si="120"/>
        <v>0</v>
      </c>
      <c r="CV156" s="2">
        <f t="shared" si="121"/>
        <v>0</v>
      </c>
      <c r="CW156" s="2">
        <f t="shared" si="122"/>
        <v>0</v>
      </c>
      <c r="CX156" s="2">
        <f t="shared" si="123"/>
        <v>0</v>
      </c>
      <c r="CY156" s="2">
        <f>(ROUND((((S156+ROUND((ROUND(((EU156)*AV156*1),2)*BS156),2))*AT156)/100),2)+ROUND(((ROUND((ROUND(((AE156-(EU156))*AV156*1),2)*BS156),2)*AT156)/100),2))</f>
        <v>0</v>
      </c>
      <c r="CZ156" s="2">
        <f>(ROUND((((S156+ROUND((ROUND(((EU156)*AV156*1),2)*BS156),2))*AU156)/100),2)+ROUND(((ROUND((ROUND(((AE156-(EU156))*AV156*1),2)*BS156),2)*AU156)/100),2))</f>
        <v>0</v>
      </c>
      <c r="DA156" s="2"/>
      <c r="DB156" s="2"/>
      <c r="DC156" s="2" t="s">
        <v>3</v>
      </c>
      <c r="DD156" s="2" t="s">
        <v>3</v>
      </c>
      <c r="DE156" s="2" t="s">
        <v>3</v>
      </c>
      <c r="DF156" s="2" t="s">
        <v>3</v>
      </c>
      <c r="DG156" s="2" t="s">
        <v>3</v>
      </c>
      <c r="DH156" s="2" t="s">
        <v>3</v>
      </c>
      <c r="DI156" s="2" t="s">
        <v>3</v>
      </c>
      <c r="DJ156" s="2" t="s">
        <v>3</v>
      </c>
      <c r="DK156" s="2" t="s">
        <v>3</v>
      </c>
      <c r="DL156" s="2" t="s">
        <v>3</v>
      </c>
      <c r="DM156" s="2" t="s">
        <v>3</v>
      </c>
      <c r="DN156" s="2">
        <v>0</v>
      </c>
      <c r="DO156" s="2">
        <v>0</v>
      </c>
      <c r="DP156" s="2">
        <v>1</v>
      </c>
      <c r="DQ156" s="2">
        <v>1</v>
      </c>
      <c r="DR156" s="2"/>
      <c r="DS156" s="2"/>
      <c r="DT156" s="2"/>
      <c r="DU156" s="2">
        <v>1013</v>
      </c>
      <c r="DV156" s="2" t="s">
        <v>153</v>
      </c>
      <c r="DW156" s="2" t="s">
        <v>153</v>
      </c>
      <c r="DX156" s="2">
        <v>1</v>
      </c>
      <c r="DY156" s="2"/>
      <c r="DZ156" s="2" t="s">
        <v>3</v>
      </c>
      <c r="EA156" s="2" t="s">
        <v>3</v>
      </c>
      <c r="EB156" s="2" t="s">
        <v>3</v>
      </c>
      <c r="EC156" s="2" t="s">
        <v>3</v>
      </c>
      <c r="ED156" s="2"/>
      <c r="EE156" s="2">
        <v>55393630</v>
      </c>
      <c r="EF156" s="2">
        <v>214</v>
      </c>
      <c r="EG156" s="2" t="s">
        <v>154</v>
      </c>
      <c r="EH156" s="2">
        <v>0</v>
      </c>
      <c r="EI156" s="2" t="s">
        <v>3</v>
      </c>
      <c r="EJ156" s="2">
        <v>3</v>
      </c>
      <c r="EK156" s="2">
        <v>400007</v>
      </c>
      <c r="EL156" s="2" t="s">
        <v>154</v>
      </c>
      <c r="EM156" s="2" t="s">
        <v>155</v>
      </c>
      <c r="EN156" s="2"/>
      <c r="EO156" s="2" t="s">
        <v>3</v>
      </c>
      <c r="EP156" s="2"/>
      <c r="EQ156" s="2">
        <v>16</v>
      </c>
      <c r="ER156" s="2">
        <v>0</v>
      </c>
      <c r="ES156" s="2">
        <v>54.62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>
        <v>0</v>
      </c>
      <c r="FR156" s="2">
        <f>P156</f>
        <v>5352.76</v>
      </c>
      <c r="FS156" s="2">
        <v>0</v>
      </c>
      <c r="FT156" s="2"/>
      <c r="FU156" s="2"/>
      <c r="FV156" s="2"/>
      <c r="FW156" s="2"/>
      <c r="FX156" s="2">
        <v>0</v>
      </c>
      <c r="FY156" s="2">
        <v>0</v>
      </c>
      <c r="FZ156" s="2"/>
      <c r="GA156" s="2" t="s">
        <v>199</v>
      </c>
      <c r="GB156" s="2"/>
      <c r="GC156" s="2"/>
      <c r="GD156" s="2">
        <v>1</v>
      </c>
      <c r="GE156" s="2"/>
      <c r="GF156" s="2">
        <v>1311952328</v>
      </c>
      <c r="GG156" s="2">
        <v>2</v>
      </c>
      <c r="GH156" s="2">
        <v>4</v>
      </c>
      <c r="GI156" s="2">
        <v>-2</v>
      </c>
      <c r="GJ156" s="2">
        <v>0</v>
      </c>
      <c r="GK156" s="2">
        <v>0</v>
      </c>
      <c r="GL156" s="2">
        <f t="shared" si="124"/>
        <v>0</v>
      </c>
      <c r="GM156" s="2">
        <f t="shared" si="125"/>
        <v>5352.76</v>
      </c>
      <c r="GN156" s="2">
        <f t="shared" si="126"/>
        <v>0</v>
      </c>
      <c r="GO156" s="2">
        <f t="shared" si="127"/>
        <v>0</v>
      </c>
      <c r="GP156" s="2">
        <f t="shared" si="128"/>
        <v>0</v>
      </c>
      <c r="GQ156" s="2"/>
      <c r="GR156" s="2">
        <v>1</v>
      </c>
      <c r="GS156" s="2">
        <v>2</v>
      </c>
      <c r="GT156" s="2">
        <v>0</v>
      </c>
      <c r="GU156" s="2" t="s">
        <v>3</v>
      </c>
      <c r="GV156" s="2">
        <f t="shared" si="129"/>
        <v>0</v>
      </c>
      <c r="GW156" s="2">
        <v>1</v>
      </c>
      <c r="GX156" s="2">
        <f t="shared" si="130"/>
        <v>0</v>
      </c>
      <c r="GY156" s="2"/>
      <c r="GZ156" s="2"/>
      <c r="HA156" s="2">
        <v>0</v>
      </c>
      <c r="HB156" s="2">
        <v>0</v>
      </c>
      <c r="HC156" s="2">
        <f t="shared" si="131"/>
        <v>0</v>
      </c>
      <c r="HD156" s="2"/>
      <c r="HE156" s="2" t="s">
        <v>34</v>
      </c>
      <c r="HF156" s="2" t="s">
        <v>157</v>
      </c>
      <c r="HG156" s="2"/>
      <c r="HH156" s="2"/>
      <c r="HI156" s="2"/>
      <c r="HJ156" s="2"/>
      <c r="HK156" s="2"/>
      <c r="HL156" s="2"/>
      <c r="HM156" s="2" t="s">
        <v>3</v>
      </c>
      <c r="HN156" s="2" t="s">
        <v>3</v>
      </c>
      <c r="HO156" s="2" t="s">
        <v>3</v>
      </c>
      <c r="HP156" s="2" t="s">
        <v>3</v>
      </c>
      <c r="HQ156" s="2" t="s">
        <v>3</v>
      </c>
      <c r="HR156" s="2"/>
      <c r="HS156" s="2">
        <v>0</v>
      </c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>
        <v>0</v>
      </c>
      <c r="IL156" s="2"/>
      <c r="IM156" s="2"/>
      <c r="IN156" s="2"/>
      <c r="IO156" s="2"/>
      <c r="IP156" s="2"/>
      <c r="IQ156" s="2"/>
      <c r="IR156" s="2"/>
      <c r="IS156" s="2"/>
      <c r="IT156" s="2"/>
      <c r="IU156" s="2"/>
    </row>
    <row r="157" spans="1:255" x14ac:dyDescent="0.2">
      <c r="A157" s="3">
        <v>17</v>
      </c>
      <c r="B157" s="3">
        <v>1</v>
      </c>
      <c r="E157" s="3" t="s">
        <v>196</v>
      </c>
      <c r="F157" s="3" t="s">
        <v>197</v>
      </c>
      <c r="G157" s="3" t="s">
        <v>198</v>
      </c>
      <c r="H157" s="3" t="s">
        <v>153</v>
      </c>
      <c r="I157" s="3">
        <v>98</v>
      </c>
      <c r="J157" s="3">
        <v>0</v>
      </c>
      <c r="K157" s="3">
        <v>98</v>
      </c>
      <c r="O157" s="3">
        <f t="shared" si="109"/>
        <v>52671.16</v>
      </c>
      <c r="P157" s="3">
        <f t="shared" si="134"/>
        <v>52671.16</v>
      </c>
      <c r="Q157" s="3">
        <f>(ROUND((ROUND(((ET157)*AV157*I157),2)*BB157),2)+ROUND((ROUND(((AE157-(EU157))*AV157*I157),2)*BS157),2))</f>
        <v>0</v>
      </c>
      <c r="R157" s="3">
        <f>(ROUND((ROUND(((EU157)*AV157*I157),2)*BS157),2)+ROUND((ROUND(((AE157-(EU157))*AV157*I157),2)*BS157),2))</f>
        <v>0</v>
      </c>
      <c r="S157" s="3">
        <f t="shared" si="110"/>
        <v>0</v>
      </c>
      <c r="T157" s="3">
        <f t="shared" si="111"/>
        <v>0</v>
      </c>
      <c r="U157" s="3">
        <f t="shared" si="112"/>
        <v>0</v>
      </c>
      <c r="V157" s="3">
        <f t="shared" si="113"/>
        <v>0</v>
      </c>
      <c r="W157" s="3">
        <f t="shared" si="114"/>
        <v>0</v>
      </c>
      <c r="X157" s="3">
        <f>(ROUND((((S157+ROUND((ROUND(((EU157)*AV157*I157),2)*BS157),2))*AT157)/100),2)+ROUND(((ROUND((ROUND(((AE157-(EU157))*AV157*I157),2)*BS157),2)*AT157)/100),2))</f>
        <v>0</v>
      </c>
      <c r="Y157" s="3">
        <f>(ROUND((((S157+ROUND((ROUND(((EU157)*AV157*I157),2)*BS157),2))*AU157)/100),2)+ROUND(((ROUND((ROUND(((AE157-(EU157))*AV157*I157),2)*BS157),2)*AU157)/100),2))</f>
        <v>0</v>
      </c>
      <c r="AA157" s="3">
        <v>55915258</v>
      </c>
      <c r="AB157" s="3">
        <f t="shared" si="115"/>
        <v>54.62</v>
      </c>
      <c r="AC157" s="3">
        <f>ROUND((ES157),6)</f>
        <v>54.62</v>
      </c>
      <c r="AD157" s="3">
        <f>ROUND((((ET157)-(EU157))+AE157),6)</f>
        <v>0</v>
      </c>
      <c r="AE157" s="3">
        <f t="shared" si="132"/>
        <v>0</v>
      </c>
      <c r="AF157" s="3">
        <f t="shared" si="132"/>
        <v>0</v>
      </c>
      <c r="AG157" s="3">
        <f t="shared" si="116"/>
        <v>0</v>
      </c>
      <c r="AH157" s="3">
        <f t="shared" si="133"/>
        <v>0</v>
      </c>
      <c r="AI157" s="3">
        <f t="shared" si="133"/>
        <v>0</v>
      </c>
      <c r="AJ157" s="3">
        <f t="shared" si="117"/>
        <v>0</v>
      </c>
      <c r="AK157" s="3">
        <v>54.62</v>
      </c>
      <c r="AL157" s="3">
        <v>54.62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1</v>
      </c>
      <c r="AW157" s="3">
        <v>1</v>
      </c>
      <c r="AZ157" s="3">
        <v>1</v>
      </c>
      <c r="BA157" s="3">
        <v>1</v>
      </c>
      <c r="BB157" s="3">
        <v>1</v>
      </c>
      <c r="BC157" s="3">
        <v>9.84</v>
      </c>
      <c r="BD157" s="3" t="s">
        <v>3</v>
      </c>
      <c r="BE157" s="3" t="s">
        <v>3</v>
      </c>
      <c r="BF157" s="3" t="s">
        <v>3</v>
      </c>
      <c r="BG157" s="3" t="s">
        <v>3</v>
      </c>
      <c r="BH157" s="3">
        <v>3</v>
      </c>
      <c r="BI157" s="3">
        <v>3</v>
      </c>
      <c r="BJ157" s="3" t="s">
        <v>197</v>
      </c>
      <c r="BM157" s="3">
        <v>400007</v>
      </c>
      <c r="BN157" s="3">
        <v>0</v>
      </c>
      <c r="BO157" s="3" t="s">
        <v>3</v>
      </c>
      <c r="BP157" s="3">
        <v>0</v>
      </c>
      <c r="BQ157" s="3">
        <v>214</v>
      </c>
      <c r="BR157" s="3">
        <v>0</v>
      </c>
      <c r="BS157" s="3">
        <v>1</v>
      </c>
      <c r="BT157" s="3">
        <v>1</v>
      </c>
      <c r="BU157" s="3">
        <v>1</v>
      </c>
      <c r="BV157" s="3">
        <v>1</v>
      </c>
      <c r="BW157" s="3">
        <v>1</v>
      </c>
      <c r="BX157" s="3">
        <v>1</v>
      </c>
      <c r="BY157" s="3" t="s">
        <v>3</v>
      </c>
      <c r="BZ157" s="3">
        <v>0</v>
      </c>
      <c r="CA157" s="3">
        <v>0</v>
      </c>
      <c r="CB157" s="3" t="s">
        <v>3</v>
      </c>
      <c r="CE157" s="3">
        <v>1566</v>
      </c>
      <c r="CF157" s="3">
        <v>0</v>
      </c>
      <c r="CG157" s="3">
        <v>0</v>
      </c>
      <c r="CM157" s="3">
        <v>0</v>
      </c>
      <c r="CN157" s="3" t="s">
        <v>3</v>
      </c>
      <c r="CO157" s="3">
        <v>0</v>
      </c>
      <c r="CP157" s="3">
        <f t="shared" si="118"/>
        <v>52671.16</v>
      </c>
      <c r="CQ157" s="3">
        <f t="shared" si="135"/>
        <v>537.46</v>
      </c>
      <c r="CR157" s="3">
        <f>(ROUND((ROUND(((ET157)*AV157*1),2)*BB157),2)+ROUND((ROUND(((AE157-(EU157))*AV157*1),2)*BS157),2))</f>
        <v>0</v>
      </c>
      <c r="CS157" s="3">
        <f>(ROUND((ROUND(((EU157)*AV157*1),2)*BS157),2)+ROUND((ROUND(((AE157-(EU157))*AV157*1),2)*BS157),2))</f>
        <v>0</v>
      </c>
      <c r="CT157" s="3">
        <f t="shared" si="119"/>
        <v>0</v>
      </c>
      <c r="CU157" s="3">
        <f t="shared" si="120"/>
        <v>0</v>
      </c>
      <c r="CV157" s="3">
        <f t="shared" si="121"/>
        <v>0</v>
      </c>
      <c r="CW157" s="3">
        <f t="shared" si="122"/>
        <v>0</v>
      </c>
      <c r="CX157" s="3">
        <f t="shared" si="123"/>
        <v>0</v>
      </c>
      <c r="CY157" s="3">
        <f>(ROUND((((S157+ROUND((ROUND(((EU157)*AV157*1),2)*BS157),2))*AT157)/100),2)+ROUND(((ROUND((ROUND(((AE157-(EU157))*AV157*1),2)*BS157),2)*AT157)/100),2))</f>
        <v>0</v>
      </c>
      <c r="CZ157" s="3">
        <f>(ROUND((((S157+ROUND((ROUND(((EU157)*AV157*1),2)*BS157),2))*AU157)/100),2)+ROUND(((ROUND((ROUND(((AE157-(EU157))*AV157*1),2)*BS157),2)*AU157)/100),2))</f>
        <v>0</v>
      </c>
      <c r="DC157" s="3" t="s">
        <v>3</v>
      </c>
      <c r="DD157" s="3" t="s">
        <v>3</v>
      </c>
      <c r="DE157" s="3" t="s">
        <v>3</v>
      </c>
      <c r="DF157" s="3" t="s">
        <v>3</v>
      </c>
      <c r="DG157" s="3" t="s">
        <v>3</v>
      </c>
      <c r="DH157" s="3" t="s">
        <v>3</v>
      </c>
      <c r="DI157" s="3" t="s">
        <v>3</v>
      </c>
      <c r="DJ157" s="3" t="s">
        <v>3</v>
      </c>
      <c r="DK157" s="3" t="s">
        <v>3</v>
      </c>
      <c r="DL157" s="3" t="s">
        <v>3</v>
      </c>
      <c r="DM157" s="3" t="s">
        <v>3</v>
      </c>
      <c r="DN157" s="3">
        <v>0</v>
      </c>
      <c r="DO157" s="3">
        <v>0</v>
      </c>
      <c r="DP157" s="3">
        <v>1</v>
      </c>
      <c r="DQ157" s="3">
        <v>1</v>
      </c>
      <c r="DU157" s="3">
        <v>1013</v>
      </c>
      <c r="DV157" s="3" t="s">
        <v>153</v>
      </c>
      <c r="DW157" s="3" t="s">
        <v>153</v>
      </c>
      <c r="DX157" s="3">
        <v>1</v>
      </c>
      <c r="DZ157" s="3" t="s">
        <v>3</v>
      </c>
      <c r="EA157" s="3" t="s">
        <v>3</v>
      </c>
      <c r="EB157" s="3" t="s">
        <v>3</v>
      </c>
      <c r="EC157" s="3" t="s">
        <v>3</v>
      </c>
      <c r="EE157" s="3">
        <v>55393630</v>
      </c>
      <c r="EF157" s="3">
        <v>214</v>
      </c>
      <c r="EG157" s="3" t="s">
        <v>154</v>
      </c>
      <c r="EH157" s="3">
        <v>0</v>
      </c>
      <c r="EI157" s="3" t="s">
        <v>3</v>
      </c>
      <c r="EJ157" s="3">
        <v>3</v>
      </c>
      <c r="EK157" s="3">
        <v>400007</v>
      </c>
      <c r="EL157" s="3" t="s">
        <v>154</v>
      </c>
      <c r="EM157" s="3" t="s">
        <v>155</v>
      </c>
      <c r="EO157" s="3" t="s">
        <v>3</v>
      </c>
      <c r="EQ157" s="3">
        <v>16</v>
      </c>
      <c r="ER157" s="3">
        <v>0</v>
      </c>
      <c r="ES157" s="3">
        <v>54.62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5</v>
      </c>
      <c r="FC157" s="3">
        <v>1</v>
      </c>
      <c r="FD157" s="3">
        <v>18</v>
      </c>
      <c r="FF157" s="3">
        <v>629</v>
      </c>
      <c r="FQ157" s="3">
        <v>0</v>
      </c>
      <c r="FR157" s="3">
        <f>P157</f>
        <v>52671.16</v>
      </c>
      <c r="FS157" s="3">
        <v>0</v>
      </c>
      <c r="FX157" s="3">
        <v>0</v>
      </c>
      <c r="FY157" s="3">
        <v>0</v>
      </c>
      <c r="GA157" s="3" t="s">
        <v>199</v>
      </c>
      <c r="GD157" s="3">
        <v>1</v>
      </c>
      <c r="GF157" s="3">
        <v>1311952328</v>
      </c>
      <c r="GG157" s="3">
        <v>2</v>
      </c>
      <c r="GH157" s="3">
        <v>3</v>
      </c>
      <c r="GI157" s="3">
        <v>5</v>
      </c>
      <c r="GJ157" s="3">
        <v>0</v>
      </c>
      <c r="GK157" s="3">
        <v>0</v>
      </c>
      <c r="GL157" s="3">
        <f t="shared" si="124"/>
        <v>0</v>
      </c>
      <c r="GM157" s="3">
        <f t="shared" si="125"/>
        <v>52671.16</v>
      </c>
      <c r="GN157" s="3">
        <f t="shared" si="126"/>
        <v>0</v>
      </c>
      <c r="GO157" s="3">
        <f t="shared" si="127"/>
        <v>0</v>
      </c>
      <c r="GP157" s="3">
        <f t="shared" si="128"/>
        <v>0</v>
      </c>
      <c r="GR157" s="3">
        <v>1</v>
      </c>
      <c r="GS157" s="3">
        <v>1</v>
      </c>
      <c r="GT157" s="3">
        <v>0</v>
      </c>
      <c r="GU157" s="3" t="s">
        <v>3</v>
      </c>
      <c r="GV157" s="3">
        <f t="shared" si="129"/>
        <v>0</v>
      </c>
      <c r="GW157" s="3">
        <v>1</v>
      </c>
      <c r="GX157" s="3">
        <f t="shared" si="130"/>
        <v>0</v>
      </c>
      <c r="HA157" s="3">
        <v>0</v>
      </c>
      <c r="HB157" s="3">
        <v>0</v>
      </c>
      <c r="HC157" s="3">
        <f t="shared" si="131"/>
        <v>0</v>
      </c>
      <c r="HE157" s="3" t="s">
        <v>34</v>
      </c>
      <c r="HF157" s="3" t="s">
        <v>157</v>
      </c>
      <c r="HM157" s="3" t="s">
        <v>3</v>
      </c>
      <c r="HN157" s="3" t="s">
        <v>3</v>
      </c>
      <c r="HO157" s="3" t="s">
        <v>3</v>
      </c>
      <c r="HP157" s="3" t="s">
        <v>3</v>
      </c>
      <c r="HQ157" s="3" t="s">
        <v>3</v>
      </c>
      <c r="HS157" s="3">
        <v>0</v>
      </c>
      <c r="IK157" s="3">
        <v>0</v>
      </c>
    </row>
    <row r="158" spans="1:255" x14ac:dyDescent="0.2">
      <c r="A158" s="2">
        <v>17</v>
      </c>
      <c r="B158" s="2">
        <v>1</v>
      </c>
      <c r="C158" s="2">
        <f>ROW(SmtRes!A79)</f>
        <v>79</v>
      </c>
      <c r="D158" s="2">
        <f>ROW(EtalonRes!A93)</f>
        <v>93</v>
      </c>
      <c r="E158" s="2" t="s">
        <v>200</v>
      </c>
      <c r="F158" s="2" t="s">
        <v>53</v>
      </c>
      <c r="G158" s="2" t="s">
        <v>201</v>
      </c>
      <c r="H158" s="2" t="s">
        <v>22</v>
      </c>
      <c r="I158" s="2">
        <f>ROUND(79+15+22,9)</f>
        <v>116</v>
      </c>
      <c r="J158" s="2">
        <v>0</v>
      </c>
      <c r="K158" s="2">
        <f>ROUND(79+15+22,9)</f>
        <v>116</v>
      </c>
      <c r="L158" s="2"/>
      <c r="M158" s="2"/>
      <c r="N158" s="2"/>
      <c r="O158" s="2">
        <f t="shared" si="109"/>
        <v>1682.91</v>
      </c>
      <c r="P158" s="2">
        <f t="shared" si="134"/>
        <v>138.04</v>
      </c>
      <c r="Q158" s="2">
        <f>(ROUND((ROUND((((ET158*1.2))*AV158*I158),2)*BB158),2)+ROUND((ROUND(((AE158-((EU158*1.2)))*AV158*I158),2)*BS158),2))</f>
        <v>0</v>
      </c>
      <c r="R158" s="2">
        <f>(ROUND((ROUND((((EU158*1.2))*AV158*I158),2)*BS158),2)+ROUND((ROUND(((AE158-((EU158*1.2)))*AV158*I158),2)*BS158),2))</f>
        <v>0</v>
      </c>
      <c r="S158" s="2">
        <f t="shared" si="110"/>
        <v>1544.87</v>
      </c>
      <c r="T158" s="2">
        <f t="shared" si="111"/>
        <v>0</v>
      </c>
      <c r="U158" s="2">
        <f t="shared" si="112"/>
        <v>122.42361599999998</v>
      </c>
      <c r="V158" s="2">
        <f t="shared" si="113"/>
        <v>0</v>
      </c>
      <c r="W158" s="2">
        <f t="shared" si="114"/>
        <v>0</v>
      </c>
      <c r="X158" s="2">
        <f>(ROUND((((S158+ROUND((ROUND((((EU158*1.2))*AV158*I158),2)*BS158),2))*AT158)/100),2)+ROUND(((ROUND((ROUND(((AE158-((EU158*1.2)))*AV158*I158),2)*BS158),2)*AT158)/100),2))</f>
        <v>1390.38</v>
      </c>
      <c r="Y158" s="2">
        <f>(ROUND((((S158+ROUND((ROUND((((EU158*1.2))*AV158*I158),2)*BS158),2))*AU158)/100),2)+ROUND(((ROUND((ROUND(((AE158-((EU158*1.2)))*AV158*I158),2)*BS158),2)*AU158)/100),2))</f>
        <v>710.64</v>
      </c>
      <c r="Z158" s="2"/>
      <c r="AA158" s="2">
        <v>55915256</v>
      </c>
      <c r="AB158" s="2">
        <f t="shared" si="115"/>
        <v>13.91</v>
      </c>
      <c r="AC158" s="2">
        <f>ROUND(((ES158*1)),6)</f>
        <v>1.19</v>
      </c>
      <c r="AD158" s="2">
        <f>ROUND(((((ET158*1.2))-((EU158*1.2)))+AE158),6)</f>
        <v>0</v>
      </c>
      <c r="AE158" s="2">
        <f>ROUND(((EU158*1.2)),6)</f>
        <v>0</v>
      </c>
      <c r="AF158" s="2">
        <f>ROUND(((EV158*1.2)),6)</f>
        <v>12.72</v>
      </c>
      <c r="AG158" s="2">
        <f t="shared" si="116"/>
        <v>0</v>
      </c>
      <c r="AH158" s="2">
        <f>((EW158*1.2))</f>
        <v>1.008</v>
      </c>
      <c r="AI158" s="2">
        <f>((EX158*1.2))</f>
        <v>0</v>
      </c>
      <c r="AJ158" s="2">
        <f t="shared" si="117"/>
        <v>0</v>
      </c>
      <c r="AK158" s="2">
        <v>11.79</v>
      </c>
      <c r="AL158" s="2">
        <v>1.19</v>
      </c>
      <c r="AM158" s="2">
        <v>0</v>
      </c>
      <c r="AN158" s="2">
        <v>0</v>
      </c>
      <c r="AO158" s="2">
        <v>10.6</v>
      </c>
      <c r="AP158" s="2">
        <v>0</v>
      </c>
      <c r="AQ158" s="2">
        <v>0.84</v>
      </c>
      <c r="AR158" s="2">
        <v>0</v>
      </c>
      <c r="AS158" s="2">
        <v>0</v>
      </c>
      <c r="AT158" s="2">
        <v>90</v>
      </c>
      <c r="AU158" s="2">
        <v>46</v>
      </c>
      <c r="AV158" s="2">
        <v>1.0469999999999999</v>
      </c>
      <c r="AW158" s="2">
        <v>1</v>
      </c>
      <c r="AX158" s="2"/>
      <c r="AY158" s="2"/>
      <c r="AZ158" s="2">
        <v>1</v>
      </c>
      <c r="BA158" s="2">
        <v>1</v>
      </c>
      <c r="BB158" s="2">
        <v>1</v>
      </c>
      <c r="BC158" s="2">
        <v>1</v>
      </c>
      <c r="BD158" s="2" t="s">
        <v>3</v>
      </c>
      <c r="BE158" s="2" t="s">
        <v>3</v>
      </c>
      <c r="BF158" s="2" t="s">
        <v>3</v>
      </c>
      <c r="BG158" s="2" t="s">
        <v>3</v>
      </c>
      <c r="BH158" s="2">
        <v>0</v>
      </c>
      <c r="BI158" s="2">
        <v>2</v>
      </c>
      <c r="BJ158" s="2" t="s">
        <v>55</v>
      </c>
      <c r="BK158" s="2"/>
      <c r="BL158" s="2"/>
      <c r="BM158" s="2">
        <v>68</v>
      </c>
      <c r="BN158" s="2">
        <v>0</v>
      </c>
      <c r="BO158" s="2" t="s">
        <v>53</v>
      </c>
      <c r="BP158" s="2">
        <v>1</v>
      </c>
      <c r="BQ158" s="2">
        <v>40</v>
      </c>
      <c r="BR158" s="2">
        <v>0</v>
      </c>
      <c r="BS158" s="2">
        <v>1</v>
      </c>
      <c r="BT158" s="2">
        <v>1</v>
      </c>
      <c r="BU158" s="2">
        <v>1</v>
      </c>
      <c r="BV158" s="2">
        <v>1</v>
      </c>
      <c r="BW158" s="2">
        <v>1</v>
      </c>
      <c r="BX158" s="2">
        <v>1</v>
      </c>
      <c r="BY158" s="2" t="s">
        <v>3</v>
      </c>
      <c r="BZ158" s="2">
        <v>90</v>
      </c>
      <c r="CA158" s="2">
        <v>46</v>
      </c>
      <c r="CB158" s="2" t="s">
        <v>3</v>
      </c>
      <c r="CC158" s="2"/>
      <c r="CD158" s="2"/>
      <c r="CE158" s="2">
        <v>1566</v>
      </c>
      <c r="CF158" s="2">
        <v>0</v>
      </c>
      <c r="CG158" s="2">
        <v>0</v>
      </c>
      <c r="CH158" s="2"/>
      <c r="CI158" s="2"/>
      <c r="CJ158" s="2"/>
      <c r="CK158" s="2"/>
      <c r="CL158" s="2"/>
      <c r="CM158" s="2">
        <v>0</v>
      </c>
      <c r="CN158" s="2" t="s">
        <v>605</v>
      </c>
      <c r="CO158" s="2">
        <v>0</v>
      </c>
      <c r="CP158" s="2">
        <f t="shared" si="118"/>
        <v>1682.9099999999999</v>
      </c>
      <c r="CQ158" s="2">
        <f t="shared" si="135"/>
        <v>1.19</v>
      </c>
      <c r="CR158" s="2">
        <f>(ROUND((ROUND((((ET158*1.2))*AV158*1),2)*BB158),2)+ROUND((ROUND(((AE158-((EU158*1.2)))*AV158*1),2)*BS158),2))</f>
        <v>0</v>
      </c>
      <c r="CS158" s="2">
        <f>(ROUND((ROUND((((EU158*1.2))*AV158*1),2)*BS158),2)+ROUND((ROUND(((AE158-((EU158*1.2)))*AV158*1),2)*BS158),2))</f>
        <v>0</v>
      </c>
      <c r="CT158" s="2">
        <f t="shared" si="119"/>
        <v>13.32</v>
      </c>
      <c r="CU158" s="2">
        <f t="shared" si="120"/>
        <v>0</v>
      </c>
      <c r="CV158" s="2">
        <f t="shared" si="121"/>
        <v>1.0553759999999999</v>
      </c>
      <c r="CW158" s="2">
        <f t="shared" si="122"/>
        <v>0</v>
      </c>
      <c r="CX158" s="2">
        <f t="shared" si="123"/>
        <v>0</v>
      </c>
      <c r="CY158" s="2">
        <f>(ROUND((((S158+ROUND((ROUND((((EU158*1.2))*AV158*1),2)*BS158),2))*AT158)/100),2)+ROUND(((ROUND((ROUND(((AE158-((EU158*1.2)))*AV158*1),2)*BS158),2)*AT158)/100),2))</f>
        <v>1390.38</v>
      </c>
      <c r="CZ158" s="2">
        <f>(ROUND((((S158+ROUND((ROUND((((EU158*1.2))*AV158*1),2)*BS158),2))*AU158)/100),2)+ROUND(((ROUND((ROUND(((AE158-((EU158*1.2)))*AV158*1),2)*BS158),2)*AU158)/100),2))</f>
        <v>710.64</v>
      </c>
      <c r="DA158" s="2"/>
      <c r="DB158" s="2">
        <v>71</v>
      </c>
      <c r="DC158" s="2" t="s">
        <v>3</v>
      </c>
      <c r="DD158" s="2" t="s">
        <v>77</v>
      </c>
      <c r="DE158" s="2" t="s">
        <v>78</v>
      </c>
      <c r="DF158" s="2" t="s">
        <v>78</v>
      </c>
      <c r="DG158" s="2" t="s">
        <v>78</v>
      </c>
      <c r="DH158" s="2" t="s">
        <v>3</v>
      </c>
      <c r="DI158" s="2" t="s">
        <v>78</v>
      </c>
      <c r="DJ158" s="2" t="s">
        <v>78</v>
      </c>
      <c r="DK158" s="2" t="s">
        <v>3</v>
      </c>
      <c r="DL158" s="2" t="s">
        <v>3</v>
      </c>
      <c r="DM158" s="2" t="s">
        <v>3</v>
      </c>
      <c r="DN158" s="2">
        <v>0</v>
      </c>
      <c r="DO158" s="2">
        <v>0</v>
      </c>
      <c r="DP158" s="2">
        <v>1</v>
      </c>
      <c r="DQ158" s="2">
        <v>1</v>
      </c>
      <c r="DR158" s="2"/>
      <c r="DS158" s="2"/>
      <c r="DT158" s="2"/>
      <c r="DU158" s="2">
        <v>1013</v>
      </c>
      <c r="DV158" s="2" t="s">
        <v>22</v>
      </c>
      <c r="DW158" s="2" t="s">
        <v>22</v>
      </c>
      <c r="DX158" s="2">
        <v>1</v>
      </c>
      <c r="DY158" s="2"/>
      <c r="DZ158" s="2" t="s">
        <v>3</v>
      </c>
      <c r="EA158" s="2" t="s">
        <v>3</v>
      </c>
      <c r="EB158" s="2" t="s">
        <v>3</v>
      </c>
      <c r="EC158" s="2" t="s">
        <v>3</v>
      </c>
      <c r="ED158" s="2"/>
      <c r="EE158" s="2">
        <v>55393700</v>
      </c>
      <c r="EF158" s="2">
        <v>40</v>
      </c>
      <c r="EG158" s="2" t="s">
        <v>26</v>
      </c>
      <c r="EH158" s="2">
        <v>0</v>
      </c>
      <c r="EI158" s="2" t="s">
        <v>3</v>
      </c>
      <c r="EJ158" s="2">
        <v>2</v>
      </c>
      <c r="EK158" s="2">
        <v>68</v>
      </c>
      <c r="EL158" s="2" t="s">
        <v>27</v>
      </c>
      <c r="EM158" s="2" t="s">
        <v>28</v>
      </c>
      <c r="EN158" s="2"/>
      <c r="EO158" s="2" t="s">
        <v>82</v>
      </c>
      <c r="EP158" s="2"/>
      <c r="EQ158" s="2">
        <v>0</v>
      </c>
      <c r="ER158" s="2">
        <v>11.79</v>
      </c>
      <c r="ES158" s="2">
        <v>1.19</v>
      </c>
      <c r="ET158" s="2">
        <v>0</v>
      </c>
      <c r="EU158" s="2">
        <v>0</v>
      </c>
      <c r="EV158" s="2">
        <v>10.6</v>
      </c>
      <c r="EW158" s="2">
        <v>0.84</v>
      </c>
      <c r="EX158" s="2">
        <v>0</v>
      </c>
      <c r="EY158" s="2">
        <v>0</v>
      </c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>
        <v>0</v>
      </c>
      <c r="FR158" s="2">
        <v>0</v>
      </c>
      <c r="FS158" s="2">
        <v>0</v>
      </c>
      <c r="FT158" s="2"/>
      <c r="FU158" s="2"/>
      <c r="FV158" s="2"/>
      <c r="FW158" s="2"/>
      <c r="FX158" s="2">
        <v>90</v>
      </c>
      <c r="FY158" s="2">
        <v>46</v>
      </c>
      <c r="FZ158" s="2"/>
      <c r="GA158" s="2" t="s">
        <v>3</v>
      </c>
      <c r="GB158" s="2"/>
      <c r="GC158" s="2"/>
      <c r="GD158" s="2">
        <v>1</v>
      </c>
      <c r="GE158" s="2"/>
      <c r="GF158" s="2">
        <v>975169722</v>
      </c>
      <c r="GG158" s="2">
        <v>2</v>
      </c>
      <c r="GH158" s="2">
        <v>1</v>
      </c>
      <c r="GI158" s="2">
        <v>2</v>
      </c>
      <c r="GJ158" s="2">
        <v>0</v>
      </c>
      <c r="GK158" s="2">
        <v>0</v>
      </c>
      <c r="GL158" s="2">
        <f t="shared" si="124"/>
        <v>0</v>
      </c>
      <c r="GM158" s="2">
        <f t="shared" si="125"/>
        <v>3783.93</v>
      </c>
      <c r="GN158" s="2">
        <f t="shared" si="126"/>
        <v>0</v>
      </c>
      <c r="GO158" s="2">
        <f t="shared" si="127"/>
        <v>3783.93</v>
      </c>
      <c r="GP158" s="2">
        <f t="shared" si="128"/>
        <v>0</v>
      </c>
      <c r="GQ158" s="2"/>
      <c r="GR158" s="2">
        <v>0</v>
      </c>
      <c r="GS158" s="2">
        <v>3</v>
      </c>
      <c r="GT158" s="2">
        <v>0</v>
      </c>
      <c r="GU158" s="2" t="s">
        <v>3</v>
      </c>
      <c r="GV158" s="2">
        <f t="shared" si="129"/>
        <v>0</v>
      </c>
      <c r="GW158" s="2">
        <v>1</v>
      </c>
      <c r="GX158" s="2">
        <f t="shared" si="130"/>
        <v>0</v>
      </c>
      <c r="GY158" s="2"/>
      <c r="GZ158" s="2"/>
      <c r="HA158" s="2">
        <v>0</v>
      </c>
      <c r="HB158" s="2">
        <v>0</v>
      </c>
      <c r="HC158" s="2">
        <f t="shared" si="131"/>
        <v>0</v>
      </c>
      <c r="HD158" s="2"/>
      <c r="HE158" s="2" t="s">
        <v>3</v>
      </c>
      <c r="HF158" s="2" t="s">
        <v>3</v>
      </c>
      <c r="HG158" s="2"/>
      <c r="HH158" s="2"/>
      <c r="HI158" s="2"/>
      <c r="HJ158" s="2"/>
      <c r="HK158" s="2"/>
      <c r="HL158" s="2"/>
      <c r="HM158" s="2" t="s">
        <v>3</v>
      </c>
      <c r="HN158" s="2" t="s">
        <v>3</v>
      </c>
      <c r="HO158" s="2" t="s">
        <v>3</v>
      </c>
      <c r="HP158" s="2" t="s">
        <v>3</v>
      </c>
      <c r="HQ158" s="2" t="s">
        <v>3</v>
      </c>
      <c r="HR158" s="2"/>
      <c r="HS158" s="2">
        <v>0</v>
      </c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>
        <v>0</v>
      </c>
      <c r="IL158" s="2"/>
      <c r="IM158" s="2"/>
      <c r="IN158" s="2"/>
      <c r="IO158" s="2"/>
      <c r="IP158" s="2"/>
      <c r="IQ158" s="2"/>
      <c r="IR158" s="2"/>
      <c r="IS158" s="2"/>
      <c r="IT158" s="2"/>
      <c r="IU158" s="2"/>
    </row>
    <row r="159" spans="1:255" x14ac:dyDescent="0.2">
      <c r="A159" s="3">
        <v>17</v>
      </c>
      <c r="B159" s="3">
        <v>1</v>
      </c>
      <c r="C159" s="3">
        <f>ROW(SmtRes!A80)</f>
        <v>80</v>
      </c>
      <c r="D159" s="3">
        <f>ROW(EtalonRes!A94)</f>
        <v>94</v>
      </c>
      <c r="E159" s="3" t="s">
        <v>200</v>
      </c>
      <c r="F159" s="3" t="s">
        <v>53</v>
      </c>
      <c r="G159" s="3" t="s">
        <v>201</v>
      </c>
      <c r="H159" s="3" t="s">
        <v>22</v>
      </c>
      <c r="I159" s="3">
        <f>ROUND(79+15+22,9)</f>
        <v>116</v>
      </c>
      <c r="J159" s="3">
        <v>0</v>
      </c>
      <c r="K159" s="3">
        <f>ROUND(79+15+22,9)</f>
        <v>116</v>
      </c>
      <c r="O159" s="3">
        <f t="shared" si="109"/>
        <v>88411.73</v>
      </c>
      <c r="P159" s="3">
        <f t="shared" si="134"/>
        <v>1358.31</v>
      </c>
      <c r="Q159" s="3">
        <f>(ROUND((ROUND((((ET159*1.2))*AV159*I159),2)*BB159),2)+ROUND((ROUND(((AE159-((EU159*1.2)))*AV159*I159),2)*BS159),2))</f>
        <v>0</v>
      </c>
      <c r="R159" s="3">
        <f>(ROUND((ROUND((((EU159*1.2))*AV159*I159),2)*BS159),2)+ROUND((ROUND(((AE159-((EU159*1.2)))*AV159*I159),2)*BS159),2))</f>
        <v>0</v>
      </c>
      <c r="S159" s="3">
        <f t="shared" si="110"/>
        <v>87053.42</v>
      </c>
      <c r="T159" s="3">
        <f t="shared" si="111"/>
        <v>0</v>
      </c>
      <c r="U159" s="3">
        <f t="shared" si="112"/>
        <v>122.42361599999998</v>
      </c>
      <c r="V159" s="3">
        <f t="shared" si="113"/>
        <v>0</v>
      </c>
      <c r="W159" s="3">
        <f t="shared" si="114"/>
        <v>0</v>
      </c>
      <c r="X159" s="3">
        <f>(ROUND((((S159+ROUND((ROUND((((EU159*1.2))*AV159*I159),2)*BS159),2))*AT159)/100),2)+ROUND(((ROUND((ROUND(((AE159-((EU159*1.2)))*AV159*I159),2)*BS159),2)*AT159)/100),2))</f>
        <v>78348.08</v>
      </c>
      <c r="Y159" s="3">
        <f>(ROUND((((S159+ROUND((ROUND((((EU159*1.2))*AV159*I159),2)*BS159),2))*AU159)/100),2)+ROUND(((ROUND((ROUND(((AE159-((EU159*1.2)))*AV159*I159),2)*BS159),2)*AU159)/100),2))</f>
        <v>40044.57</v>
      </c>
      <c r="AA159" s="3">
        <v>55915258</v>
      </c>
      <c r="AB159" s="3">
        <f t="shared" si="115"/>
        <v>13.91</v>
      </c>
      <c r="AC159" s="3">
        <f>ROUND(((ES159*1)),6)</f>
        <v>1.19</v>
      </c>
      <c r="AD159" s="3">
        <f>ROUND(((((ET159*1.2))-((EU159*1.2)))+AE159),6)</f>
        <v>0</v>
      </c>
      <c r="AE159" s="3">
        <f>ROUND(((EU159*1.2)),6)</f>
        <v>0</v>
      </c>
      <c r="AF159" s="3">
        <f>ROUND(((EV159*1.2)),6)</f>
        <v>12.72</v>
      </c>
      <c r="AG159" s="3">
        <f t="shared" si="116"/>
        <v>0</v>
      </c>
      <c r="AH159" s="3">
        <f>((EW159*1.2))</f>
        <v>1.008</v>
      </c>
      <c r="AI159" s="3">
        <f>((EX159*1.2))</f>
        <v>0</v>
      </c>
      <c r="AJ159" s="3">
        <f t="shared" si="117"/>
        <v>0</v>
      </c>
      <c r="AK159" s="3">
        <v>11.79</v>
      </c>
      <c r="AL159" s="3">
        <v>1.19</v>
      </c>
      <c r="AM159" s="3">
        <v>0</v>
      </c>
      <c r="AN159" s="3">
        <v>0</v>
      </c>
      <c r="AO159" s="3">
        <v>10.6</v>
      </c>
      <c r="AP159" s="3">
        <v>0</v>
      </c>
      <c r="AQ159" s="3">
        <v>0.84</v>
      </c>
      <c r="AR159" s="3">
        <v>0</v>
      </c>
      <c r="AS159" s="3">
        <v>0</v>
      </c>
      <c r="AT159" s="3">
        <v>90</v>
      </c>
      <c r="AU159" s="3">
        <v>46</v>
      </c>
      <c r="AV159" s="3">
        <v>1.0469999999999999</v>
      </c>
      <c r="AW159" s="3">
        <v>1</v>
      </c>
      <c r="AZ159" s="3">
        <v>1</v>
      </c>
      <c r="BA159" s="3">
        <v>56.35</v>
      </c>
      <c r="BB159" s="3">
        <v>1</v>
      </c>
      <c r="BC159" s="3">
        <v>9.84</v>
      </c>
      <c r="BD159" s="3" t="s">
        <v>3</v>
      </c>
      <c r="BE159" s="3" t="s">
        <v>3</v>
      </c>
      <c r="BF159" s="3" t="s">
        <v>3</v>
      </c>
      <c r="BG159" s="3" t="s">
        <v>3</v>
      </c>
      <c r="BH159" s="3">
        <v>0</v>
      </c>
      <c r="BI159" s="3">
        <v>2</v>
      </c>
      <c r="BJ159" s="3" t="s">
        <v>55</v>
      </c>
      <c r="BM159" s="3">
        <v>68</v>
      </c>
      <c r="BN159" s="3">
        <v>0</v>
      </c>
      <c r="BO159" s="3" t="s">
        <v>53</v>
      </c>
      <c r="BP159" s="3">
        <v>1</v>
      </c>
      <c r="BQ159" s="3">
        <v>40</v>
      </c>
      <c r="BR159" s="3">
        <v>0</v>
      </c>
      <c r="BS159" s="3">
        <v>56.35</v>
      </c>
      <c r="BT159" s="3">
        <v>1</v>
      </c>
      <c r="BU159" s="3">
        <v>1</v>
      </c>
      <c r="BV159" s="3">
        <v>1</v>
      </c>
      <c r="BW159" s="3">
        <v>1</v>
      </c>
      <c r="BX159" s="3">
        <v>1</v>
      </c>
      <c r="BY159" s="3" t="s">
        <v>3</v>
      </c>
      <c r="BZ159" s="3">
        <v>90</v>
      </c>
      <c r="CA159" s="3">
        <v>46</v>
      </c>
      <c r="CB159" s="3" t="s">
        <v>3</v>
      </c>
      <c r="CE159" s="3">
        <v>1566</v>
      </c>
      <c r="CF159" s="3">
        <v>0</v>
      </c>
      <c r="CG159" s="3">
        <v>0</v>
      </c>
      <c r="CM159" s="3">
        <v>0</v>
      </c>
      <c r="CN159" s="3" t="s">
        <v>605</v>
      </c>
      <c r="CO159" s="3">
        <v>0</v>
      </c>
      <c r="CP159" s="3">
        <f t="shared" si="118"/>
        <v>88411.73</v>
      </c>
      <c r="CQ159" s="3">
        <f t="shared" si="135"/>
        <v>11.71</v>
      </c>
      <c r="CR159" s="3">
        <f>(ROUND((ROUND((((ET159*1.2))*AV159*1),2)*BB159),2)+ROUND((ROUND(((AE159-((EU159*1.2)))*AV159*1),2)*BS159),2))</f>
        <v>0</v>
      </c>
      <c r="CS159" s="3">
        <f>(ROUND((ROUND((((EU159*1.2))*AV159*1),2)*BS159),2)+ROUND((ROUND(((AE159-((EU159*1.2)))*AV159*1),2)*BS159),2))</f>
        <v>0</v>
      </c>
      <c r="CT159" s="3">
        <f t="shared" si="119"/>
        <v>750.58</v>
      </c>
      <c r="CU159" s="3">
        <f t="shared" si="120"/>
        <v>0</v>
      </c>
      <c r="CV159" s="3">
        <f t="shared" si="121"/>
        <v>1.0553759999999999</v>
      </c>
      <c r="CW159" s="3">
        <f t="shared" si="122"/>
        <v>0</v>
      </c>
      <c r="CX159" s="3">
        <f t="shared" si="123"/>
        <v>0</v>
      </c>
      <c r="CY159" s="3">
        <f>(ROUND((((S159+ROUND((ROUND((((EU159*1.2))*AV159*1),2)*BS159),2))*AT159)/100),2)+ROUND(((ROUND((ROUND(((AE159-((EU159*1.2)))*AV159*1),2)*BS159),2)*AT159)/100),2))</f>
        <v>78348.08</v>
      </c>
      <c r="CZ159" s="3">
        <f>(ROUND((((S159+ROUND((ROUND((((EU159*1.2))*AV159*1),2)*BS159),2))*AU159)/100),2)+ROUND(((ROUND((ROUND(((AE159-((EU159*1.2)))*AV159*1),2)*BS159),2)*AU159)/100),2))</f>
        <v>40044.57</v>
      </c>
      <c r="DB159" s="3">
        <v>72</v>
      </c>
      <c r="DC159" s="3" t="s">
        <v>3</v>
      </c>
      <c r="DD159" s="3" t="s">
        <v>77</v>
      </c>
      <c r="DE159" s="3" t="s">
        <v>78</v>
      </c>
      <c r="DF159" s="3" t="s">
        <v>78</v>
      </c>
      <c r="DG159" s="3" t="s">
        <v>78</v>
      </c>
      <c r="DH159" s="3" t="s">
        <v>3</v>
      </c>
      <c r="DI159" s="3" t="s">
        <v>78</v>
      </c>
      <c r="DJ159" s="3" t="s">
        <v>78</v>
      </c>
      <c r="DK159" s="3" t="s">
        <v>3</v>
      </c>
      <c r="DL159" s="3" t="s">
        <v>3</v>
      </c>
      <c r="DM159" s="3" t="s">
        <v>3</v>
      </c>
      <c r="DN159" s="3">
        <v>0</v>
      </c>
      <c r="DO159" s="3">
        <v>0</v>
      </c>
      <c r="DP159" s="3">
        <v>1</v>
      </c>
      <c r="DQ159" s="3">
        <v>1</v>
      </c>
      <c r="DU159" s="3">
        <v>1013</v>
      </c>
      <c r="DV159" s="3" t="s">
        <v>22</v>
      </c>
      <c r="DW159" s="3" t="s">
        <v>22</v>
      </c>
      <c r="DX159" s="3">
        <v>1</v>
      </c>
      <c r="DZ159" s="3" t="s">
        <v>3</v>
      </c>
      <c r="EA159" s="3" t="s">
        <v>3</v>
      </c>
      <c r="EB159" s="3" t="s">
        <v>3</v>
      </c>
      <c r="EC159" s="3" t="s">
        <v>3</v>
      </c>
      <c r="EE159" s="3">
        <v>55393700</v>
      </c>
      <c r="EF159" s="3">
        <v>40</v>
      </c>
      <c r="EG159" s="3" t="s">
        <v>26</v>
      </c>
      <c r="EH159" s="3">
        <v>0</v>
      </c>
      <c r="EI159" s="3" t="s">
        <v>3</v>
      </c>
      <c r="EJ159" s="3">
        <v>2</v>
      </c>
      <c r="EK159" s="3">
        <v>68</v>
      </c>
      <c r="EL159" s="3" t="s">
        <v>27</v>
      </c>
      <c r="EM159" s="3" t="s">
        <v>28</v>
      </c>
      <c r="EO159" s="3" t="s">
        <v>82</v>
      </c>
      <c r="EQ159" s="3">
        <v>0</v>
      </c>
      <c r="ER159" s="3">
        <v>11.79</v>
      </c>
      <c r="ES159" s="3">
        <v>1.19</v>
      </c>
      <c r="ET159" s="3">
        <v>0</v>
      </c>
      <c r="EU159" s="3">
        <v>0</v>
      </c>
      <c r="EV159" s="3">
        <v>10.6</v>
      </c>
      <c r="EW159" s="3">
        <v>0.84</v>
      </c>
      <c r="EX159" s="3">
        <v>0</v>
      </c>
      <c r="EY159" s="3">
        <v>0</v>
      </c>
      <c r="FQ159" s="3">
        <v>0</v>
      </c>
      <c r="FR159" s="3">
        <v>0</v>
      </c>
      <c r="FS159" s="3">
        <v>0</v>
      </c>
      <c r="FX159" s="3">
        <v>90</v>
      </c>
      <c r="FY159" s="3">
        <v>46</v>
      </c>
      <c r="GA159" s="3" t="s">
        <v>3</v>
      </c>
      <c r="GD159" s="3">
        <v>1</v>
      </c>
      <c r="GF159" s="3">
        <v>975169722</v>
      </c>
      <c r="GG159" s="3">
        <v>2</v>
      </c>
      <c r="GH159" s="3">
        <v>1</v>
      </c>
      <c r="GI159" s="3">
        <v>2</v>
      </c>
      <c r="GJ159" s="3">
        <v>0</v>
      </c>
      <c r="GK159" s="3">
        <v>0</v>
      </c>
      <c r="GL159" s="3">
        <f t="shared" si="124"/>
        <v>0</v>
      </c>
      <c r="GM159" s="3">
        <f t="shared" si="125"/>
        <v>206804.38</v>
      </c>
      <c r="GN159" s="3">
        <f t="shared" si="126"/>
        <v>0</v>
      </c>
      <c r="GO159" s="3">
        <f t="shared" si="127"/>
        <v>206804.38</v>
      </c>
      <c r="GP159" s="3">
        <f t="shared" si="128"/>
        <v>0</v>
      </c>
      <c r="GR159" s="3">
        <v>0</v>
      </c>
      <c r="GS159" s="3">
        <v>3</v>
      </c>
      <c r="GT159" s="3">
        <v>0</v>
      </c>
      <c r="GU159" s="3" t="s">
        <v>3</v>
      </c>
      <c r="GV159" s="3">
        <f t="shared" si="129"/>
        <v>0</v>
      </c>
      <c r="GW159" s="3">
        <v>1</v>
      </c>
      <c r="GX159" s="3">
        <f t="shared" si="130"/>
        <v>0</v>
      </c>
      <c r="HA159" s="3">
        <v>0</v>
      </c>
      <c r="HB159" s="3">
        <v>0</v>
      </c>
      <c r="HC159" s="3">
        <f t="shared" si="131"/>
        <v>0</v>
      </c>
      <c r="HE159" s="3" t="s">
        <v>3</v>
      </c>
      <c r="HF159" s="3" t="s">
        <v>3</v>
      </c>
      <c r="HM159" s="3" t="s">
        <v>3</v>
      </c>
      <c r="HN159" s="3" t="s">
        <v>3</v>
      </c>
      <c r="HO159" s="3" t="s">
        <v>3</v>
      </c>
      <c r="HP159" s="3" t="s">
        <v>3</v>
      </c>
      <c r="HQ159" s="3" t="s">
        <v>3</v>
      </c>
      <c r="HS159" s="3">
        <v>0</v>
      </c>
      <c r="IK159" s="3">
        <v>0</v>
      </c>
    </row>
    <row r="160" spans="1:255" x14ac:dyDescent="0.2">
      <c r="A160" s="2">
        <v>17</v>
      </c>
      <c r="B160" s="2">
        <v>1</v>
      </c>
      <c r="C160" s="2"/>
      <c r="D160" s="2"/>
      <c r="E160" s="2" t="s">
        <v>202</v>
      </c>
      <c r="F160" s="2" t="s">
        <v>203</v>
      </c>
      <c r="G160" s="2" t="s">
        <v>204</v>
      </c>
      <c r="H160" s="2" t="s">
        <v>153</v>
      </c>
      <c r="I160" s="2">
        <v>79</v>
      </c>
      <c r="J160" s="2">
        <v>0</v>
      </c>
      <c r="K160" s="2">
        <v>79</v>
      </c>
      <c r="L160" s="2"/>
      <c r="M160" s="2"/>
      <c r="N160" s="2"/>
      <c r="O160" s="2">
        <f t="shared" si="109"/>
        <v>15145.88</v>
      </c>
      <c r="P160" s="2">
        <f t="shared" si="134"/>
        <v>15145.88</v>
      </c>
      <c r="Q160" s="2">
        <f t="shared" ref="Q160:Q165" si="136">(ROUND((ROUND(((ET160)*AV160*I160),2)*BB160),2)+ROUND((ROUND(((AE160-(EU160))*AV160*I160),2)*BS160),2))</f>
        <v>0</v>
      </c>
      <c r="R160" s="2">
        <f t="shared" ref="R160:R165" si="137">(ROUND((ROUND(((EU160)*AV160*I160),2)*BS160),2)+ROUND((ROUND(((AE160-(EU160))*AV160*I160),2)*BS160),2))</f>
        <v>0</v>
      </c>
      <c r="S160" s="2">
        <f t="shared" si="110"/>
        <v>0</v>
      </c>
      <c r="T160" s="2">
        <f t="shared" si="111"/>
        <v>0</v>
      </c>
      <c r="U160" s="2">
        <f t="shared" si="112"/>
        <v>0</v>
      </c>
      <c r="V160" s="2">
        <f t="shared" si="113"/>
        <v>0</v>
      </c>
      <c r="W160" s="2">
        <f t="shared" si="114"/>
        <v>0</v>
      </c>
      <c r="X160" s="2">
        <f t="shared" ref="X160:X165" si="138">(ROUND((((S160+ROUND((ROUND(((EU160)*AV160*I160),2)*BS160),2))*AT160)/100),2)+ROUND(((ROUND((ROUND(((AE160-(EU160))*AV160*I160),2)*BS160),2)*AT160)/100),2))</f>
        <v>0</v>
      </c>
      <c r="Y160" s="2">
        <f t="shared" ref="Y160:Y165" si="139">(ROUND((((S160+ROUND((ROUND(((EU160)*AV160*I160),2)*BS160),2))*AU160)/100),2)+ROUND(((ROUND((ROUND(((AE160-(EU160))*AV160*I160),2)*BS160),2)*AU160)/100),2))</f>
        <v>0</v>
      </c>
      <c r="Z160" s="2"/>
      <c r="AA160" s="2">
        <v>55915256</v>
      </c>
      <c r="AB160" s="2">
        <f t="shared" si="115"/>
        <v>191.72</v>
      </c>
      <c r="AC160" s="2">
        <f t="shared" ref="AC160:AC165" si="140">ROUND((ES160),6)</f>
        <v>191.72</v>
      </c>
      <c r="AD160" s="2">
        <f t="shared" ref="AD160:AD165" si="141">ROUND((((ET160)-(EU160))+AE160),6)</f>
        <v>0</v>
      </c>
      <c r="AE160" s="2">
        <f t="shared" ref="AE160:AF165" si="142">ROUND((EU160),6)</f>
        <v>0</v>
      </c>
      <c r="AF160" s="2">
        <f t="shared" si="142"/>
        <v>0</v>
      </c>
      <c r="AG160" s="2">
        <f t="shared" si="116"/>
        <v>0</v>
      </c>
      <c r="AH160" s="2">
        <f t="shared" ref="AH160:AI165" si="143">(EW160)</f>
        <v>0</v>
      </c>
      <c r="AI160" s="2">
        <f t="shared" si="143"/>
        <v>0</v>
      </c>
      <c r="AJ160" s="2">
        <f t="shared" si="117"/>
        <v>0</v>
      </c>
      <c r="AK160" s="2">
        <v>191.72000000000003</v>
      </c>
      <c r="AL160" s="2">
        <v>191.72000000000003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1</v>
      </c>
      <c r="AW160" s="2">
        <v>1</v>
      </c>
      <c r="AX160" s="2"/>
      <c r="AY160" s="2"/>
      <c r="AZ160" s="2">
        <v>1</v>
      </c>
      <c r="BA160" s="2">
        <v>1</v>
      </c>
      <c r="BB160" s="2">
        <v>1</v>
      </c>
      <c r="BC160" s="2">
        <v>1</v>
      </c>
      <c r="BD160" s="2" t="s">
        <v>3</v>
      </c>
      <c r="BE160" s="2" t="s">
        <v>3</v>
      </c>
      <c r="BF160" s="2" t="s">
        <v>3</v>
      </c>
      <c r="BG160" s="2" t="s">
        <v>3</v>
      </c>
      <c r="BH160" s="2">
        <v>3</v>
      </c>
      <c r="BI160" s="2">
        <v>3</v>
      </c>
      <c r="BJ160" s="2" t="s">
        <v>203</v>
      </c>
      <c r="BK160" s="2"/>
      <c r="BL160" s="2"/>
      <c r="BM160" s="2">
        <v>400007</v>
      </c>
      <c r="BN160" s="2">
        <v>0</v>
      </c>
      <c r="BO160" s="2" t="s">
        <v>3</v>
      </c>
      <c r="BP160" s="2">
        <v>0</v>
      </c>
      <c r="BQ160" s="2">
        <v>214</v>
      </c>
      <c r="BR160" s="2">
        <v>0</v>
      </c>
      <c r="BS160" s="2">
        <v>1</v>
      </c>
      <c r="BT160" s="2">
        <v>1</v>
      </c>
      <c r="BU160" s="2">
        <v>1</v>
      </c>
      <c r="BV160" s="2">
        <v>1</v>
      </c>
      <c r="BW160" s="2">
        <v>1</v>
      </c>
      <c r="BX160" s="2">
        <v>1</v>
      </c>
      <c r="BY160" s="2" t="s">
        <v>3</v>
      </c>
      <c r="BZ160" s="2">
        <v>0</v>
      </c>
      <c r="CA160" s="2">
        <v>0</v>
      </c>
      <c r="CB160" s="2" t="s">
        <v>3</v>
      </c>
      <c r="CC160" s="2"/>
      <c r="CD160" s="2"/>
      <c r="CE160" s="2">
        <v>1566</v>
      </c>
      <c r="CF160" s="2">
        <v>0</v>
      </c>
      <c r="CG160" s="2">
        <v>0</v>
      </c>
      <c r="CH160" s="2"/>
      <c r="CI160" s="2"/>
      <c r="CJ160" s="2"/>
      <c r="CK160" s="2"/>
      <c r="CL160" s="2"/>
      <c r="CM160" s="2">
        <v>0</v>
      </c>
      <c r="CN160" s="2" t="s">
        <v>3</v>
      </c>
      <c r="CO160" s="2">
        <v>0</v>
      </c>
      <c r="CP160" s="2">
        <f t="shared" si="118"/>
        <v>15145.88</v>
      </c>
      <c r="CQ160" s="2">
        <f t="shared" si="135"/>
        <v>191.72</v>
      </c>
      <c r="CR160" s="2">
        <f t="shared" ref="CR160:CR165" si="144">(ROUND((ROUND(((ET160)*AV160*1),2)*BB160),2)+ROUND((ROUND(((AE160-(EU160))*AV160*1),2)*BS160),2))</f>
        <v>0</v>
      </c>
      <c r="CS160" s="2">
        <f t="shared" ref="CS160:CS165" si="145">(ROUND((ROUND(((EU160)*AV160*1),2)*BS160),2)+ROUND((ROUND(((AE160-(EU160))*AV160*1),2)*BS160),2))</f>
        <v>0</v>
      </c>
      <c r="CT160" s="2">
        <f t="shared" si="119"/>
        <v>0</v>
      </c>
      <c r="CU160" s="2">
        <f t="shared" si="120"/>
        <v>0</v>
      </c>
      <c r="CV160" s="2">
        <f t="shared" si="121"/>
        <v>0</v>
      </c>
      <c r="CW160" s="2">
        <f t="shared" si="122"/>
        <v>0</v>
      </c>
      <c r="CX160" s="2">
        <f t="shared" si="123"/>
        <v>0</v>
      </c>
      <c r="CY160" s="2">
        <f t="shared" ref="CY160:CY165" si="146">(ROUND((((S160+ROUND((ROUND(((EU160)*AV160*1),2)*BS160),2))*AT160)/100),2)+ROUND(((ROUND((ROUND(((AE160-(EU160))*AV160*1),2)*BS160),2)*AT160)/100),2))</f>
        <v>0</v>
      </c>
      <c r="CZ160" s="2">
        <f t="shared" ref="CZ160:CZ165" si="147">(ROUND((((S160+ROUND((ROUND(((EU160)*AV160*1),2)*BS160),2))*AU160)/100),2)+ROUND(((ROUND((ROUND(((AE160-(EU160))*AV160*1),2)*BS160),2)*AU160)/100),2))</f>
        <v>0</v>
      </c>
      <c r="DA160" s="2"/>
      <c r="DB160" s="2"/>
      <c r="DC160" s="2" t="s">
        <v>3</v>
      </c>
      <c r="DD160" s="2" t="s">
        <v>3</v>
      </c>
      <c r="DE160" s="2" t="s">
        <v>3</v>
      </c>
      <c r="DF160" s="2" t="s">
        <v>3</v>
      </c>
      <c r="DG160" s="2" t="s">
        <v>3</v>
      </c>
      <c r="DH160" s="2" t="s">
        <v>3</v>
      </c>
      <c r="DI160" s="2" t="s">
        <v>3</v>
      </c>
      <c r="DJ160" s="2" t="s">
        <v>3</v>
      </c>
      <c r="DK160" s="2" t="s">
        <v>3</v>
      </c>
      <c r="DL160" s="2" t="s">
        <v>3</v>
      </c>
      <c r="DM160" s="2" t="s">
        <v>3</v>
      </c>
      <c r="DN160" s="2">
        <v>0</v>
      </c>
      <c r="DO160" s="2">
        <v>0</v>
      </c>
      <c r="DP160" s="2">
        <v>1</v>
      </c>
      <c r="DQ160" s="2">
        <v>1</v>
      </c>
      <c r="DR160" s="2"/>
      <c r="DS160" s="2"/>
      <c r="DT160" s="2"/>
      <c r="DU160" s="2">
        <v>1013</v>
      </c>
      <c r="DV160" s="2" t="s">
        <v>153</v>
      </c>
      <c r="DW160" s="2" t="s">
        <v>153</v>
      </c>
      <c r="DX160" s="2">
        <v>1</v>
      </c>
      <c r="DY160" s="2"/>
      <c r="DZ160" s="2" t="s">
        <v>3</v>
      </c>
      <c r="EA160" s="2" t="s">
        <v>3</v>
      </c>
      <c r="EB160" s="2" t="s">
        <v>3</v>
      </c>
      <c r="EC160" s="2" t="s">
        <v>3</v>
      </c>
      <c r="ED160" s="2"/>
      <c r="EE160" s="2">
        <v>55393630</v>
      </c>
      <c r="EF160" s="2">
        <v>214</v>
      </c>
      <c r="EG160" s="2" t="s">
        <v>154</v>
      </c>
      <c r="EH160" s="2">
        <v>0</v>
      </c>
      <c r="EI160" s="2" t="s">
        <v>3</v>
      </c>
      <c r="EJ160" s="2">
        <v>3</v>
      </c>
      <c r="EK160" s="2">
        <v>400007</v>
      </c>
      <c r="EL160" s="2" t="s">
        <v>154</v>
      </c>
      <c r="EM160" s="2" t="s">
        <v>155</v>
      </c>
      <c r="EN160" s="2"/>
      <c r="EO160" s="2" t="s">
        <v>3</v>
      </c>
      <c r="EP160" s="2"/>
      <c r="EQ160" s="2">
        <v>16</v>
      </c>
      <c r="ER160" s="2">
        <v>0</v>
      </c>
      <c r="ES160" s="2">
        <v>191.72000000000003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>
        <v>0</v>
      </c>
      <c r="FR160" s="2">
        <f t="shared" ref="FR160:FR165" si="148">P160</f>
        <v>15145.88</v>
      </c>
      <c r="FS160" s="2">
        <v>0</v>
      </c>
      <c r="FT160" s="2"/>
      <c r="FU160" s="2"/>
      <c r="FV160" s="2"/>
      <c r="FW160" s="2"/>
      <c r="FX160" s="2">
        <v>0</v>
      </c>
      <c r="FY160" s="2">
        <v>0</v>
      </c>
      <c r="FZ160" s="2"/>
      <c r="GA160" s="2" t="s">
        <v>205</v>
      </c>
      <c r="GB160" s="2"/>
      <c r="GC160" s="2"/>
      <c r="GD160" s="2">
        <v>1</v>
      </c>
      <c r="GE160" s="2"/>
      <c r="GF160" s="2">
        <v>-2092655643</v>
      </c>
      <c r="GG160" s="2">
        <v>2</v>
      </c>
      <c r="GH160" s="2">
        <v>4</v>
      </c>
      <c r="GI160" s="2">
        <v>-2</v>
      </c>
      <c r="GJ160" s="2">
        <v>0</v>
      </c>
      <c r="GK160" s="2">
        <v>0</v>
      </c>
      <c r="GL160" s="2">
        <f t="shared" si="124"/>
        <v>0</v>
      </c>
      <c r="GM160" s="2">
        <f t="shared" si="125"/>
        <v>15145.88</v>
      </c>
      <c r="GN160" s="2">
        <f t="shared" si="126"/>
        <v>0</v>
      </c>
      <c r="GO160" s="2">
        <f t="shared" si="127"/>
        <v>0</v>
      </c>
      <c r="GP160" s="2">
        <f t="shared" si="128"/>
        <v>0</v>
      </c>
      <c r="GQ160" s="2"/>
      <c r="GR160" s="2">
        <v>1</v>
      </c>
      <c r="GS160" s="2">
        <v>2</v>
      </c>
      <c r="GT160" s="2">
        <v>0</v>
      </c>
      <c r="GU160" s="2" t="s">
        <v>3</v>
      </c>
      <c r="GV160" s="2">
        <f t="shared" si="129"/>
        <v>0</v>
      </c>
      <c r="GW160" s="2">
        <v>1</v>
      </c>
      <c r="GX160" s="2">
        <f t="shared" si="130"/>
        <v>0</v>
      </c>
      <c r="GY160" s="2"/>
      <c r="GZ160" s="2"/>
      <c r="HA160" s="2">
        <v>0</v>
      </c>
      <c r="HB160" s="2">
        <v>0</v>
      </c>
      <c r="HC160" s="2">
        <f t="shared" si="131"/>
        <v>0</v>
      </c>
      <c r="HD160" s="2"/>
      <c r="HE160" s="2" t="s">
        <v>34</v>
      </c>
      <c r="HF160" s="2" t="s">
        <v>157</v>
      </c>
      <c r="HG160" s="2"/>
      <c r="HH160" s="2"/>
      <c r="HI160" s="2"/>
      <c r="HJ160" s="2"/>
      <c r="HK160" s="2"/>
      <c r="HL160" s="2"/>
      <c r="HM160" s="2" t="s">
        <v>3</v>
      </c>
      <c r="HN160" s="2" t="s">
        <v>3</v>
      </c>
      <c r="HO160" s="2" t="s">
        <v>3</v>
      </c>
      <c r="HP160" s="2" t="s">
        <v>3</v>
      </c>
      <c r="HQ160" s="2" t="s">
        <v>3</v>
      </c>
      <c r="HR160" s="2"/>
      <c r="HS160" s="2">
        <v>0</v>
      </c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>
        <v>0</v>
      </c>
      <c r="IL160" s="2"/>
      <c r="IM160" s="2"/>
      <c r="IN160" s="2"/>
      <c r="IO160" s="2"/>
      <c r="IP160" s="2"/>
      <c r="IQ160" s="2"/>
      <c r="IR160" s="2"/>
      <c r="IS160" s="2"/>
      <c r="IT160" s="2"/>
      <c r="IU160" s="2"/>
    </row>
    <row r="161" spans="1:255" x14ac:dyDescent="0.2">
      <c r="A161" s="3">
        <v>17</v>
      </c>
      <c r="B161" s="3">
        <v>1</v>
      </c>
      <c r="E161" s="3" t="s">
        <v>202</v>
      </c>
      <c r="F161" s="3" t="s">
        <v>203</v>
      </c>
      <c r="G161" s="3" t="s">
        <v>204</v>
      </c>
      <c r="H161" s="3" t="s">
        <v>153</v>
      </c>
      <c r="I161" s="3">
        <v>79</v>
      </c>
      <c r="J161" s="3">
        <v>0</v>
      </c>
      <c r="K161" s="3">
        <v>79</v>
      </c>
      <c r="O161" s="3">
        <f t="shared" si="109"/>
        <v>149035.46</v>
      </c>
      <c r="P161" s="3">
        <f t="shared" si="134"/>
        <v>149035.46</v>
      </c>
      <c r="Q161" s="3">
        <f t="shared" si="136"/>
        <v>0</v>
      </c>
      <c r="R161" s="3">
        <f t="shared" si="137"/>
        <v>0</v>
      </c>
      <c r="S161" s="3">
        <f t="shared" si="110"/>
        <v>0</v>
      </c>
      <c r="T161" s="3">
        <f t="shared" si="111"/>
        <v>0</v>
      </c>
      <c r="U161" s="3">
        <f t="shared" si="112"/>
        <v>0</v>
      </c>
      <c r="V161" s="3">
        <f t="shared" si="113"/>
        <v>0</v>
      </c>
      <c r="W161" s="3">
        <f t="shared" si="114"/>
        <v>0</v>
      </c>
      <c r="X161" s="3">
        <f t="shared" si="138"/>
        <v>0</v>
      </c>
      <c r="Y161" s="3">
        <f t="shared" si="139"/>
        <v>0</v>
      </c>
      <c r="AA161" s="3">
        <v>55915258</v>
      </c>
      <c r="AB161" s="3">
        <f t="shared" si="115"/>
        <v>191.72</v>
      </c>
      <c r="AC161" s="3">
        <f t="shared" si="140"/>
        <v>191.72</v>
      </c>
      <c r="AD161" s="3">
        <f t="shared" si="141"/>
        <v>0</v>
      </c>
      <c r="AE161" s="3">
        <f t="shared" si="142"/>
        <v>0</v>
      </c>
      <c r="AF161" s="3">
        <f t="shared" si="142"/>
        <v>0</v>
      </c>
      <c r="AG161" s="3">
        <f t="shared" si="116"/>
        <v>0</v>
      </c>
      <c r="AH161" s="3">
        <f t="shared" si="143"/>
        <v>0</v>
      </c>
      <c r="AI161" s="3">
        <f t="shared" si="143"/>
        <v>0</v>
      </c>
      <c r="AJ161" s="3">
        <f t="shared" si="117"/>
        <v>0</v>
      </c>
      <c r="AK161" s="3">
        <v>191.72000000000003</v>
      </c>
      <c r="AL161" s="3">
        <v>191.72000000000003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1</v>
      </c>
      <c r="AW161" s="3">
        <v>1</v>
      </c>
      <c r="AZ161" s="3">
        <v>1</v>
      </c>
      <c r="BA161" s="3">
        <v>1</v>
      </c>
      <c r="BB161" s="3">
        <v>1</v>
      </c>
      <c r="BC161" s="3">
        <v>9.84</v>
      </c>
      <c r="BD161" s="3" t="s">
        <v>3</v>
      </c>
      <c r="BE161" s="3" t="s">
        <v>3</v>
      </c>
      <c r="BF161" s="3" t="s">
        <v>3</v>
      </c>
      <c r="BG161" s="3" t="s">
        <v>3</v>
      </c>
      <c r="BH161" s="3">
        <v>3</v>
      </c>
      <c r="BI161" s="3">
        <v>3</v>
      </c>
      <c r="BJ161" s="3" t="s">
        <v>203</v>
      </c>
      <c r="BM161" s="3">
        <v>400007</v>
      </c>
      <c r="BN161" s="3">
        <v>0</v>
      </c>
      <c r="BO161" s="3" t="s">
        <v>3</v>
      </c>
      <c r="BP161" s="3">
        <v>0</v>
      </c>
      <c r="BQ161" s="3">
        <v>214</v>
      </c>
      <c r="BR161" s="3">
        <v>0</v>
      </c>
      <c r="BS161" s="3">
        <v>1</v>
      </c>
      <c r="BT161" s="3">
        <v>1</v>
      </c>
      <c r="BU161" s="3">
        <v>1</v>
      </c>
      <c r="BV161" s="3">
        <v>1</v>
      </c>
      <c r="BW161" s="3">
        <v>1</v>
      </c>
      <c r="BX161" s="3">
        <v>1</v>
      </c>
      <c r="BY161" s="3" t="s">
        <v>3</v>
      </c>
      <c r="BZ161" s="3">
        <v>0</v>
      </c>
      <c r="CA161" s="3">
        <v>0</v>
      </c>
      <c r="CB161" s="3" t="s">
        <v>3</v>
      </c>
      <c r="CE161" s="3">
        <v>1566</v>
      </c>
      <c r="CF161" s="3">
        <v>0</v>
      </c>
      <c r="CG161" s="3">
        <v>0</v>
      </c>
      <c r="CM161" s="3">
        <v>0</v>
      </c>
      <c r="CN161" s="3" t="s">
        <v>3</v>
      </c>
      <c r="CO161" s="3">
        <v>0</v>
      </c>
      <c r="CP161" s="3">
        <f t="shared" si="118"/>
        <v>149035.46</v>
      </c>
      <c r="CQ161" s="3">
        <f t="shared" si="135"/>
        <v>1886.52</v>
      </c>
      <c r="CR161" s="3">
        <f t="shared" si="144"/>
        <v>0</v>
      </c>
      <c r="CS161" s="3">
        <f t="shared" si="145"/>
        <v>0</v>
      </c>
      <c r="CT161" s="3">
        <f t="shared" si="119"/>
        <v>0</v>
      </c>
      <c r="CU161" s="3">
        <f t="shared" si="120"/>
        <v>0</v>
      </c>
      <c r="CV161" s="3">
        <f t="shared" si="121"/>
        <v>0</v>
      </c>
      <c r="CW161" s="3">
        <f t="shared" si="122"/>
        <v>0</v>
      </c>
      <c r="CX161" s="3">
        <f t="shared" si="123"/>
        <v>0</v>
      </c>
      <c r="CY161" s="3">
        <f t="shared" si="146"/>
        <v>0</v>
      </c>
      <c r="CZ161" s="3">
        <f t="shared" si="147"/>
        <v>0</v>
      </c>
      <c r="DC161" s="3" t="s">
        <v>3</v>
      </c>
      <c r="DD161" s="3" t="s">
        <v>3</v>
      </c>
      <c r="DE161" s="3" t="s">
        <v>3</v>
      </c>
      <c r="DF161" s="3" t="s">
        <v>3</v>
      </c>
      <c r="DG161" s="3" t="s">
        <v>3</v>
      </c>
      <c r="DH161" s="3" t="s">
        <v>3</v>
      </c>
      <c r="DI161" s="3" t="s">
        <v>3</v>
      </c>
      <c r="DJ161" s="3" t="s">
        <v>3</v>
      </c>
      <c r="DK161" s="3" t="s">
        <v>3</v>
      </c>
      <c r="DL161" s="3" t="s">
        <v>3</v>
      </c>
      <c r="DM161" s="3" t="s">
        <v>3</v>
      </c>
      <c r="DN161" s="3">
        <v>0</v>
      </c>
      <c r="DO161" s="3">
        <v>0</v>
      </c>
      <c r="DP161" s="3">
        <v>1</v>
      </c>
      <c r="DQ161" s="3">
        <v>1</v>
      </c>
      <c r="DU161" s="3">
        <v>1013</v>
      </c>
      <c r="DV161" s="3" t="s">
        <v>153</v>
      </c>
      <c r="DW161" s="3" t="s">
        <v>153</v>
      </c>
      <c r="DX161" s="3">
        <v>1</v>
      </c>
      <c r="DZ161" s="3" t="s">
        <v>3</v>
      </c>
      <c r="EA161" s="3" t="s">
        <v>3</v>
      </c>
      <c r="EB161" s="3" t="s">
        <v>3</v>
      </c>
      <c r="EC161" s="3" t="s">
        <v>3</v>
      </c>
      <c r="EE161" s="3">
        <v>55393630</v>
      </c>
      <c r="EF161" s="3">
        <v>214</v>
      </c>
      <c r="EG161" s="3" t="s">
        <v>154</v>
      </c>
      <c r="EH161" s="3">
        <v>0</v>
      </c>
      <c r="EI161" s="3" t="s">
        <v>3</v>
      </c>
      <c r="EJ161" s="3">
        <v>3</v>
      </c>
      <c r="EK161" s="3">
        <v>400007</v>
      </c>
      <c r="EL161" s="3" t="s">
        <v>154</v>
      </c>
      <c r="EM161" s="3" t="s">
        <v>155</v>
      </c>
      <c r="EO161" s="3" t="s">
        <v>3</v>
      </c>
      <c r="EQ161" s="3">
        <v>16</v>
      </c>
      <c r="ER161" s="3">
        <v>0</v>
      </c>
      <c r="ES161" s="3">
        <v>191.72000000000003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5</v>
      </c>
      <c r="FC161" s="3">
        <v>1</v>
      </c>
      <c r="FD161" s="3">
        <v>18</v>
      </c>
      <c r="FF161" s="3">
        <v>2208</v>
      </c>
      <c r="FQ161" s="3">
        <v>0</v>
      </c>
      <c r="FR161" s="3">
        <f t="shared" si="148"/>
        <v>149035.46</v>
      </c>
      <c r="FS161" s="3">
        <v>0</v>
      </c>
      <c r="FX161" s="3">
        <v>0</v>
      </c>
      <c r="FY161" s="3">
        <v>0</v>
      </c>
      <c r="GA161" s="3" t="s">
        <v>205</v>
      </c>
      <c r="GD161" s="3">
        <v>1</v>
      </c>
      <c r="GF161" s="3">
        <v>-2092655643</v>
      </c>
      <c r="GG161" s="3">
        <v>2</v>
      </c>
      <c r="GH161" s="3">
        <v>3</v>
      </c>
      <c r="GI161" s="3">
        <v>5</v>
      </c>
      <c r="GJ161" s="3">
        <v>0</v>
      </c>
      <c r="GK161" s="3">
        <v>0</v>
      </c>
      <c r="GL161" s="3">
        <f t="shared" si="124"/>
        <v>0</v>
      </c>
      <c r="GM161" s="3">
        <f t="shared" si="125"/>
        <v>149035.46</v>
      </c>
      <c r="GN161" s="3">
        <f t="shared" si="126"/>
        <v>0</v>
      </c>
      <c r="GO161" s="3">
        <f t="shared" si="127"/>
        <v>0</v>
      </c>
      <c r="GP161" s="3">
        <f t="shared" si="128"/>
        <v>0</v>
      </c>
      <c r="GR161" s="3">
        <v>1</v>
      </c>
      <c r="GS161" s="3">
        <v>1</v>
      </c>
      <c r="GT161" s="3">
        <v>0</v>
      </c>
      <c r="GU161" s="3" t="s">
        <v>3</v>
      </c>
      <c r="GV161" s="3">
        <f t="shared" si="129"/>
        <v>0</v>
      </c>
      <c r="GW161" s="3">
        <v>1</v>
      </c>
      <c r="GX161" s="3">
        <f t="shared" si="130"/>
        <v>0</v>
      </c>
      <c r="HA161" s="3">
        <v>0</v>
      </c>
      <c r="HB161" s="3">
        <v>0</v>
      </c>
      <c r="HC161" s="3">
        <f t="shared" si="131"/>
        <v>0</v>
      </c>
      <c r="HE161" s="3" t="s">
        <v>34</v>
      </c>
      <c r="HF161" s="3" t="s">
        <v>157</v>
      </c>
      <c r="HM161" s="3" t="s">
        <v>3</v>
      </c>
      <c r="HN161" s="3" t="s">
        <v>3</v>
      </c>
      <c r="HO161" s="3" t="s">
        <v>3</v>
      </c>
      <c r="HP161" s="3" t="s">
        <v>3</v>
      </c>
      <c r="HQ161" s="3" t="s">
        <v>3</v>
      </c>
      <c r="HS161" s="3">
        <v>0</v>
      </c>
      <c r="IK161" s="3">
        <v>0</v>
      </c>
    </row>
    <row r="162" spans="1:255" x14ac:dyDescent="0.2">
      <c r="A162" s="2">
        <v>17</v>
      </c>
      <c r="B162" s="2">
        <v>1</v>
      </c>
      <c r="C162" s="2"/>
      <c r="D162" s="2"/>
      <c r="E162" s="2" t="s">
        <v>206</v>
      </c>
      <c r="F162" s="2" t="s">
        <v>207</v>
      </c>
      <c r="G162" s="2" t="s">
        <v>208</v>
      </c>
      <c r="H162" s="2" t="s">
        <v>153</v>
      </c>
      <c r="I162" s="2">
        <v>15</v>
      </c>
      <c r="J162" s="2">
        <v>0</v>
      </c>
      <c r="K162" s="2">
        <v>15</v>
      </c>
      <c r="L162" s="2"/>
      <c r="M162" s="2"/>
      <c r="N162" s="2"/>
      <c r="O162" s="2">
        <f t="shared" si="109"/>
        <v>2901.75</v>
      </c>
      <c r="P162" s="2">
        <f t="shared" si="134"/>
        <v>2901.75</v>
      </c>
      <c r="Q162" s="2">
        <f t="shared" si="136"/>
        <v>0</v>
      </c>
      <c r="R162" s="2">
        <f t="shared" si="137"/>
        <v>0</v>
      </c>
      <c r="S162" s="2">
        <f t="shared" si="110"/>
        <v>0</v>
      </c>
      <c r="T162" s="2">
        <f t="shared" si="111"/>
        <v>0</v>
      </c>
      <c r="U162" s="2">
        <f t="shared" si="112"/>
        <v>0</v>
      </c>
      <c r="V162" s="2">
        <f t="shared" si="113"/>
        <v>0</v>
      </c>
      <c r="W162" s="2">
        <f t="shared" si="114"/>
        <v>0</v>
      </c>
      <c r="X162" s="2">
        <f t="shared" si="138"/>
        <v>0</v>
      </c>
      <c r="Y162" s="2">
        <f t="shared" si="139"/>
        <v>0</v>
      </c>
      <c r="Z162" s="2"/>
      <c r="AA162" s="2">
        <v>55915256</v>
      </c>
      <c r="AB162" s="2">
        <f t="shared" si="115"/>
        <v>193.45</v>
      </c>
      <c r="AC162" s="2">
        <f t="shared" si="140"/>
        <v>193.45</v>
      </c>
      <c r="AD162" s="2">
        <f t="shared" si="141"/>
        <v>0</v>
      </c>
      <c r="AE162" s="2">
        <f t="shared" si="142"/>
        <v>0</v>
      </c>
      <c r="AF162" s="2">
        <f t="shared" si="142"/>
        <v>0</v>
      </c>
      <c r="AG162" s="2">
        <f t="shared" si="116"/>
        <v>0</v>
      </c>
      <c r="AH162" s="2">
        <f t="shared" si="143"/>
        <v>0</v>
      </c>
      <c r="AI162" s="2">
        <f t="shared" si="143"/>
        <v>0</v>
      </c>
      <c r="AJ162" s="2">
        <f t="shared" si="117"/>
        <v>0</v>
      </c>
      <c r="AK162" s="2">
        <v>193.45</v>
      </c>
      <c r="AL162" s="2">
        <v>193.45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1</v>
      </c>
      <c r="AW162" s="2">
        <v>1</v>
      </c>
      <c r="AX162" s="2"/>
      <c r="AY162" s="2"/>
      <c r="AZ162" s="2">
        <v>1</v>
      </c>
      <c r="BA162" s="2">
        <v>1</v>
      </c>
      <c r="BB162" s="2">
        <v>1</v>
      </c>
      <c r="BC162" s="2">
        <v>1</v>
      </c>
      <c r="BD162" s="2" t="s">
        <v>3</v>
      </c>
      <c r="BE162" s="2" t="s">
        <v>3</v>
      </c>
      <c r="BF162" s="2" t="s">
        <v>3</v>
      </c>
      <c r="BG162" s="2" t="s">
        <v>3</v>
      </c>
      <c r="BH162" s="2">
        <v>3</v>
      </c>
      <c r="BI162" s="2">
        <v>3</v>
      </c>
      <c r="BJ162" s="2" t="s">
        <v>207</v>
      </c>
      <c r="BK162" s="2"/>
      <c r="BL162" s="2"/>
      <c r="BM162" s="2">
        <v>400007</v>
      </c>
      <c r="BN162" s="2">
        <v>0</v>
      </c>
      <c r="BO162" s="2" t="s">
        <v>3</v>
      </c>
      <c r="BP162" s="2">
        <v>0</v>
      </c>
      <c r="BQ162" s="2">
        <v>214</v>
      </c>
      <c r="BR162" s="2">
        <v>0</v>
      </c>
      <c r="BS162" s="2">
        <v>1</v>
      </c>
      <c r="BT162" s="2">
        <v>1</v>
      </c>
      <c r="BU162" s="2">
        <v>1</v>
      </c>
      <c r="BV162" s="2">
        <v>1</v>
      </c>
      <c r="BW162" s="2">
        <v>1</v>
      </c>
      <c r="BX162" s="2">
        <v>1</v>
      </c>
      <c r="BY162" s="2" t="s">
        <v>3</v>
      </c>
      <c r="BZ162" s="2">
        <v>0</v>
      </c>
      <c r="CA162" s="2">
        <v>0</v>
      </c>
      <c r="CB162" s="2" t="s">
        <v>3</v>
      </c>
      <c r="CC162" s="2"/>
      <c r="CD162" s="2"/>
      <c r="CE162" s="2">
        <v>1566</v>
      </c>
      <c r="CF162" s="2">
        <v>0</v>
      </c>
      <c r="CG162" s="2">
        <v>0</v>
      </c>
      <c r="CH162" s="2"/>
      <c r="CI162" s="2"/>
      <c r="CJ162" s="2"/>
      <c r="CK162" s="2"/>
      <c r="CL162" s="2"/>
      <c r="CM162" s="2">
        <v>0</v>
      </c>
      <c r="CN162" s="2" t="s">
        <v>3</v>
      </c>
      <c r="CO162" s="2">
        <v>0</v>
      </c>
      <c r="CP162" s="2">
        <f t="shared" si="118"/>
        <v>2901.75</v>
      </c>
      <c r="CQ162" s="2">
        <f t="shared" si="135"/>
        <v>193.45</v>
      </c>
      <c r="CR162" s="2">
        <f t="shared" si="144"/>
        <v>0</v>
      </c>
      <c r="CS162" s="2">
        <f t="shared" si="145"/>
        <v>0</v>
      </c>
      <c r="CT162" s="2">
        <f t="shared" si="119"/>
        <v>0</v>
      </c>
      <c r="CU162" s="2">
        <f t="shared" si="120"/>
        <v>0</v>
      </c>
      <c r="CV162" s="2">
        <f t="shared" si="121"/>
        <v>0</v>
      </c>
      <c r="CW162" s="2">
        <f t="shared" si="122"/>
        <v>0</v>
      </c>
      <c r="CX162" s="2">
        <f t="shared" si="123"/>
        <v>0</v>
      </c>
      <c r="CY162" s="2">
        <f t="shared" si="146"/>
        <v>0</v>
      </c>
      <c r="CZ162" s="2">
        <f t="shared" si="147"/>
        <v>0</v>
      </c>
      <c r="DA162" s="2"/>
      <c r="DB162" s="2"/>
      <c r="DC162" s="2" t="s">
        <v>3</v>
      </c>
      <c r="DD162" s="2" t="s">
        <v>3</v>
      </c>
      <c r="DE162" s="2" t="s">
        <v>3</v>
      </c>
      <c r="DF162" s="2" t="s">
        <v>3</v>
      </c>
      <c r="DG162" s="2" t="s">
        <v>3</v>
      </c>
      <c r="DH162" s="2" t="s">
        <v>3</v>
      </c>
      <c r="DI162" s="2" t="s">
        <v>3</v>
      </c>
      <c r="DJ162" s="2" t="s">
        <v>3</v>
      </c>
      <c r="DK162" s="2" t="s">
        <v>3</v>
      </c>
      <c r="DL162" s="2" t="s">
        <v>3</v>
      </c>
      <c r="DM162" s="2" t="s">
        <v>3</v>
      </c>
      <c r="DN162" s="2">
        <v>0</v>
      </c>
      <c r="DO162" s="2">
        <v>0</v>
      </c>
      <c r="DP162" s="2">
        <v>1</v>
      </c>
      <c r="DQ162" s="2">
        <v>1</v>
      </c>
      <c r="DR162" s="2"/>
      <c r="DS162" s="2"/>
      <c r="DT162" s="2"/>
      <c r="DU162" s="2">
        <v>1013</v>
      </c>
      <c r="DV162" s="2" t="s">
        <v>153</v>
      </c>
      <c r="DW162" s="2" t="s">
        <v>153</v>
      </c>
      <c r="DX162" s="2">
        <v>1</v>
      </c>
      <c r="DY162" s="2"/>
      <c r="DZ162" s="2" t="s">
        <v>3</v>
      </c>
      <c r="EA162" s="2" t="s">
        <v>3</v>
      </c>
      <c r="EB162" s="2" t="s">
        <v>3</v>
      </c>
      <c r="EC162" s="2" t="s">
        <v>3</v>
      </c>
      <c r="ED162" s="2"/>
      <c r="EE162" s="2">
        <v>55393630</v>
      </c>
      <c r="EF162" s="2">
        <v>214</v>
      </c>
      <c r="EG162" s="2" t="s">
        <v>154</v>
      </c>
      <c r="EH162" s="2">
        <v>0</v>
      </c>
      <c r="EI162" s="2" t="s">
        <v>3</v>
      </c>
      <c r="EJ162" s="2">
        <v>3</v>
      </c>
      <c r="EK162" s="2">
        <v>400007</v>
      </c>
      <c r="EL162" s="2" t="s">
        <v>154</v>
      </c>
      <c r="EM162" s="2" t="s">
        <v>155</v>
      </c>
      <c r="EN162" s="2"/>
      <c r="EO162" s="2" t="s">
        <v>3</v>
      </c>
      <c r="EP162" s="2"/>
      <c r="EQ162" s="2">
        <v>16</v>
      </c>
      <c r="ER162" s="2">
        <v>0</v>
      </c>
      <c r="ES162" s="2">
        <v>193.45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>
        <v>0</v>
      </c>
      <c r="FR162" s="2">
        <f t="shared" si="148"/>
        <v>2901.75</v>
      </c>
      <c r="FS162" s="2">
        <v>0</v>
      </c>
      <c r="FT162" s="2"/>
      <c r="FU162" s="2"/>
      <c r="FV162" s="2"/>
      <c r="FW162" s="2"/>
      <c r="FX162" s="2">
        <v>0</v>
      </c>
      <c r="FY162" s="2">
        <v>0</v>
      </c>
      <c r="FZ162" s="2"/>
      <c r="GA162" s="2" t="s">
        <v>209</v>
      </c>
      <c r="GB162" s="2"/>
      <c r="GC162" s="2"/>
      <c r="GD162" s="2">
        <v>1</v>
      </c>
      <c r="GE162" s="2"/>
      <c r="GF162" s="2">
        <v>-1577239901</v>
      </c>
      <c r="GG162" s="2">
        <v>2</v>
      </c>
      <c r="GH162" s="2">
        <v>4</v>
      </c>
      <c r="GI162" s="2">
        <v>-2</v>
      </c>
      <c r="GJ162" s="2">
        <v>0</v>
      </c>
      <c r="GK162" s="2">
        <v>0</v>
      </c>
      <c r="GL162" s="2">
        <f t="shared" si="124"/>
        <v>0</v>
      </c>
      <c r="GM162" s="2">
        <f t="shared" si="125"/>
        <v>2901.75</v>
      </c>
      <c r="GN162" s="2">
        <f t="shared" si="126"/>
        <v>0</v>
      </c>
      <c r="GO162" s="2">
        <f t="shared" si="127"/>
        <v>0</v>
      </c>
      <c r="GP162" s="2">
        <f t="shared" si="128"/>
        <v>0</v>
      </c>
      <c r="GQ162" s="2"/>
      <c r="GR162" s="2">
        <v>1</v>
      </c>
      <c r="GS162" s="2">
        <v>2</v>
      </c>
      <c r="GT162" s="2">
        <v>0</v>
      </c>
      <c r="GU162" s="2" t="s">
        <v>3</v>
      </c>
      <c r="GV162" s="2">
        <f t="shared" si="129"/>
        <v>0</v>
      </c>
      <c r="GW162" s="2">
        <v>1</v>
      </c>
      <c r="GX162" s="2">
        <f t="shared" si="130"/>
        <v>0</v>
      </c>
      <c r="GY162" s="2"/>
      <c r="GZ162" s="2"/>
      <c r="HA162" s="2">
        <v>0</v>
      </c>
      <c r="HB162" s="2">
        <v>0</v>
      </c>
      <c r="HC162" s="2">
        <f t="shared" si="131"/>
        <v>0</v>
      </c>
      <c r="HD162" s="2"/>
      <c r="HE162" s="2" t="s">
        <v>34</v>
      </c>
      <c r="HF162" s="2" t="s">
        <v>157</v>
      </c>
      <c r="HG162" s="2"/>
      <c r="HH162" s="2"/>
      <c r="HI162" s="2"/>
      <c r="HJ162" s="2"/>
      <c r="HK162" s="2"/>
      <c r="HL162" s="2"/>
      <c r="HM162" s="2" t="s">
        <v>3</v>
      </c>
      <c r="HN162" s="2" t="s">
        <v>3</v>
      </c>
      <c r="HO162" s="2" t="s">
        <v>3</v>
      </c>
      <c r="HP162" s="2" t="s">
        <v>3</v>
      </c>
      <c r="HQ162" s="2" t="s">
        <v>3</v>
      </c>
      <c r="HR162" s="2"/>
      <c r="HS162" s="2">
        <v>0</v>
      </c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>
        <v>0</v>
      </c>
      <c r="IL162" s="2"/>
      <c r="IM162" s="2"/>
      <c r="IN162" s="2"/>
      <c r="IO162" s="2"/>
      <c r="IP162" s="2"/>
      <c r="IQ162" s="2"/>
      <c r="IR162" s="2"/>
      <c r="IS162" s="2"/>
      <c r="IT162" s="2"/>
      <c r="IU162" s="2"/>
    </row>
    <row r="163" spans="1:255" x14ac:dyDescent="0.2">
      <c r="A163" s="3">
        <v>17</v>
      </c>
      <c r="B163" s="3">
        <v>1</v>
      </c>
      <c r="E163" s="3" t="s">
        <v>206</v>
      </c>
      <c r="F163" s="3" t="s">
        <v>207</v>
      </c>
      <c r="G163" s="3" t="s">
        <v>208</v>
      </c>
      <c r="H163" s="3" t="s">
        <v>153</v>
      </c>
      <c r="I163" s="3">
        <v>15</v>
      </c>
      <c r="J163" s="3">
        <v>0</v>
      </c>
      <c r="K163" s="3">
        <v>15</v>
      </c>
      <c r="O163" s="3">
        <f t="shared" si="109"/>
        <v>28553.22</v>
      </c>
      <c r="P163" s="3">
        <f t="shared" si="134"/>
        <v>28553.22</v>
      </c>
      <c r="Q163" s="3">
        <f t="shared" si="136"/>
        <v>0</v>
      </c>
      <c r="R163" s="3">
        <f t="shared" si="137"/>
        <v>0</v>
      </c>
      <c r="S163" s="3">
        <f t="shared" si="110"/>
        <v>0</v>
      </c>
      <c r="T163" s="3">
        <f t="shared" si="111"/>
        <v>0</v>
      </c>
      <c r="U163" s="3">
        <f t="shared" si="112"/>
        <v>0</v>
      </c>
      <c r="V163" s="3">
        <f t="shared" si="113"/>
        <v>0</v>
      </c>
      <c r="W163" s="3">
        <f t="shared" si="114"/>
        <v>0</v>
      </c>
      <c r="X163" s="3">
        <f t="shared" si="138"/>
        <v>0</v>
      </c>
      <c r="Y163" s="3">
        <f t="shared" si="139"/>
        <v>0</v>
      </c>
      <c r="AA163" s="3">
        <v>55915258</v>
      </c>
      <c r="AB163" s="3">
        <f t="shared" si="115"/>
        <v>193.45</v>
      </c>
      <c r="AC163" s="3">
        <f t="shared" si="140"/>
        <v>193.45</v>
      </c>
      <c r="AD163" s="3">
        <f t="shared" si="141"/>
        <v>0</v>
      </c>
      <c r="AE163" s="3">
        <f t="shared" si="142"/>
        <v>0</v>
      </c>
      <c r="AF163" s="3">
        <f t="shared" si="142"/>
        <v>0</v>
      </c>
      <c r="AG163" s="3">
        <f t="shared" si="116"/>
        <v>0</v>
      </c>
      <c r="AH163" s="3">
        <f t="shared" si="143"/>
        <v>0</v>
      </c>
      <c r="AI163" s="3">
        <f t="shared" si="143"/>
        <v>0</v>
      </c>
      <c r="AJ163" s="3">
        <f t="shared" si="117"/>
        <v>0</v>
      </c>
      <c r="AK163" s="3">
        <v>193.45</v>
      </c>
      <c r="AL163" s="3">
        <v>193.45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1</v>
      </c>
      <c r="AW163" s="3">
        <v>1</v>
      </c>
      <c r="AZ163" s="3">
        <v>1</v>
      </c>
      <c r="BA163" s="3">
        <v>1</v>
      </c>
      <c r="BB163" s="3">
        <v>1</v>
      </c>
      <c r="BC163" s="3">
        <v>9.84</v>
      </c>
      <c r="BD163" s="3" t="s">
        <v>3</v>
      </c>
      <c r="BE163" s="3" t="s">
        <v>3</v>
      </c>
      <c r="BF163" s="3" t="s">
        <v>3</v>
      </c>
      <c r="BG163" s="3" t="s">
        <v>3</v>
      </c>
      <c r="BH163" s="3">
        <v>3</v>
      </c>
      <c r="BI163" s="3">
        <v>3</v>
      </c>
      <c r="BJ163" s="3" t="s">
        <v>207</v>
      </c>
      <c r="BM163" s="3">
        <v>400007</v>
      </c>
      <c r="BN163" s="3">
        <v>0</v>
      </c>
      <c r="BO163" s="3" t="s">
        <v>3</v>
      </c>
      <c r="BP163" s="3">
        <v>0</v>
      </c>
      <c r="BQ163" s="3">
        <v>214</v>
      </c>
      <c r="BR163" s="3">
        <v>0</v>
      </c>
      <c r="BS163" s="3">
        <v>1</v>
      </c>
      <c r="BT163" s="3">
        <v>1</v>
      </c>
      <c r="BU163" s="3">
        <v>1</v>
      </c>
      <c r="BV163" s="3">
        <v>1</v>
      </c>
      <c r="BW163" s="3">
        <v>1</v>
      </c>
      <c r="BX163" s="3">
        <v>1</v>
      </c>
      <c r="BY163" s="3" t="s">
        <v>3</v>
      </c>
      <c r="BZ163" s="3">
        <v>0</v>
      </c>
      <c r="CA163" s="3">
        <v>0</v>
      </c>
      <c r="CB163" s="3" t="s">
        <v>3</v>
      </c>
      <c r="CE163" s="3">
        <v>1566</v>
      </c>
      <c r="CF163" s="3">
        <v>0</v>
      </c>
      <c r="CG163" s="3">
        <v>0</v>
      </c>
      <c r="CM163" s="3">
        <v>0</v>
      </c>
      <c r="CN163" s="3" t="s">
        <v>3</v>
      </c>
      <c r="CO163" s="3">
        <v>0</v>
      </c>
      <c r="CP163" s="3">
        <f t="shared" si="118"/>
        <v>28553.22</v>
      </c>
      <c r="CQ163" s="3">
        <f t="shared" si="135"/>
        <v>1903.55</v>
      </c>
      <c r="CR163" s="3">
        <f t="shared" si="144"/>
        <v>0</v>
      </c>
      <c r="CS163" s="3">
        <f t="shared" si="145"/>
        <v>0</v>
      </c>
      <c r="CT163" s="3">
        <f t="shared" si="119"/>
        <v>0</v>
      </c>
      <c r="CU163" s="3">
        <f t="shared" si="120"/>
        <v>0</v>
      </c>
      <c r="CV163" s="3">
        <f t="shared" si="121"/>
        <v>0</v>
      </c>
      <c r="CW163" s="3">
        <f t="shared" si="122"/>
        <v>0</v>
      </c>
      <c r="CX163" s="3">
        <f t="shared" si="123"/>
        <v>0</v>
      </c>
      <c r="CY163" s="3">
        <f t="shared" si="146"/>
        <v>0</v>
      </c>
      <c r="CZ163" s="3">
        <f t="shared" si="147"/>
        <v>0</v>
      </c>
      <c r="DC163" s="3" t="s">
        <v>3</v>
      </c>
      <c r="DD163" s="3" t="s">
        <v>3</v>
      </c>
      <c r="DE163" s="3" t="s">
        <v>3</v>
      </c>
      <c r="DF163" s="3" t="s">
        <v>3</v>
      </c>
      <c r="DG163" s="3" t="s">
        <v>3</v>
      </c>
      <c r="DH163" s="3" t="s">
        <v>3</v>
      </c>
      <c r="DI163" s="3" t="s">
        <v>3</v>
      </c>
      <c r="DJ163" s="3" t="s">
        <v>3</v>
      </c>
      <c r="DK163" s="3" t="s">
        <v>3</v>
      </c>
      <c r="DL163" s="3" t="s">
        <v>3</v>
      </c>
      <c r="DM163" s="3" t="s">
        <v>3</v>
      </c>
      <c r="DN163" s="3">
        <v>0</v>
      </c>
      <c r="DO163" s="3">
        <v>0</v>
      </c>
      <c r="DP163" s="3">
        <v>1</v>
      </c>
      <c r="DQ163" s="3">
        <v>1</v>
      </c>
      <c r="DU163" s="3">
        <v>1013</v>
      </c>
      <c r="DV163" s="3" t="s">
        <v>153</v>
      </c>
      <c r="DW163" s="3" t="s">
        <v>153</v>
      </c>
      <c r="DX163" s="3">
        <v>1</v>
      </c>
      <c r="DZ163" s="3" t="s">
        <v>3</v>
      </c>
      <c r="EA163" s="3" t="s">
        <v>3</v>
      </c>
      <c r="EB163" s="3" t="s">
        <v>3</v>
      </c>
      <c r="EC163" s="3" t="s">
        <v>3</v>
      </c>
      <c r="EE163" s="3">
        <v>55393630</v>
      </c>
      <c r="EF163" s="3">
        <v>214</v>
      </c>
      <c r="EG163" s="3" t="s">
        <v>154</v>
      </c>
      <c r="EH163" s="3">
        <v>0</v>
      </c>
      <c r="EI163" s="3" t="s">
        <v>3</v>
      </c>
      <c r="EJ163" s="3">
        <v>3</v>
      </c>
      <c r="EK163" s="3">
        <v>400007</v>
      </c>
      <c r="EL163" s="3" t="s">
        <v>154</v>
      </c>
      <c r="EM163" s="3" t="s">
        <v>155</v>
      </c>
      <c r="EO163" s="3" t="s">
        <v>3</v>
      </c>
      <c r="EQ163" s="3">
        <v>16</v>
      </c>
      <c r="ER163" s="3">
        <v>0</v>
      </c>
      <c r="ES163" s="3">
        <v>193.45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5</v>
      </c>
      <c r="FC163" s="3">
        <v>1</v>
      </c>
      <c r="FD163" s="3">
        <v>18</v>
      </c>
      <c r="FF163" s="3">
        <v>2228</v>
      </c>
      <c r="FQ163" s="3">
        <v>0</v>
      </c>
      <c r="FR163" s="3">
        <f t="shared" si="148"/>
        <v>28553.22</v>
      </c>
      <c r="FS163" s="3">
        <v>0</v>
      </c>
      <c r="FX163" s="3">
        <v>0</v>
      </c>
      <c r="FY163" s="3">
        <v>0</v>
      </c>
      <c r="GA163" s="3" t="s">
        <v>209</v>
      </c>
      <c r="GD163" s="3">
        <v>1</v>
      </c>
      <c r="GF163" s="3">
        <v>-1577239901</v>
      </c>
      <c r="GG163" s="3">
        <v>2</v>
      </c>
      <c r="GH163" s="3">
        <v>3</v>
      </c>
      <c r="GI163" s="3">
        <v>5</v>
      </c>
      <c r="GJ163" s="3">
        <v>0</v>
      </c>
      <c r="GK163" s="3">
        <v>0</v>
      </c>
      <c r="GL163" s="3">
        <f t="shared" si="124"/>
        <v>0</v>
      </c>
      <c r="GM163" s="3">
        <f t="shared" si="125"/>
        <v>28553.22</v>
      </c>
      <c r="GN163" s="3">
        <f t="shared" si="126"/>
        <v>0</v>
      </c>
      <c r="GO163" s="3">
        <f t="shared" si="127"/>
        <v>0</v>
      </c>
      <c r="GP163" s="3">
        <f t="shared" si="128"/>
        <v>0</v>
      </c>
      <c r="GR163" s="3">
        <v>1</v>
      </c>
      <c r="GS163" s="3">
        <v>1</v>
      </c>
      <c r="GT163" s="3">
        <v>0</v>
      </c>
      <c r="GU163" s="3" t="s">
        <v>3</v>
      </c>
      <c r="GV163" s="3">
        <f t="shared" si="129"/>
        <v>0</v>
      </c>
      <c r="GW163" s="3">
        <v>1</v>
      </c>
      <c r="GX163" s="3">
        <f t="shared" si="130"/>
        <v>0</v>
      </c>
      <c r="HA163" s="3">
        <v>0</v>
      </c>
      <c r="HB163" s="3">
        <v>0</v>
      </c>
      <c r="HC163" s="3">
        <f t="shared" si="131"/>
        <v>0</v>
      </c>
      <c r="HE163" s="3" t="s">
        <v>34</v>
      </c>
      <c r="HF163" s="3" t="s">
        <v>157</v>
      </c>
      <c r="HM163" s="3" t="s">
        <v>3</v>
      </c>
      <c r="HN163" s="3" t="s">
        <v>3</v>
      </c>
      <c r="HO163" s="3" t="s">
        <v>3</v>
      </c>
      <c r="HP163" s="3" t="s">
        <v>3</v>
      </c>
      <c r="HQ163" s="3" t="s">
        <v>3</v>
      </c>
      <c r="HS163" s="3">
        <v>0</v>
      </c>
      <c r="IK163" s="3">
        <v>0</v>
      </c>
    </row>
    <row r="164" spans="1:255" x14ac:dyDescent="0.2">
      <c r="A164" s="2">
        <v>17</v>
      </c>
      <c r="B164" s="2">
        <v>1</v>
      </c>
      <c r="C164" s="2"/>
      <c r="D164" s="2"/>
      <c r="E164" s="2" t="s">
        <v>210</v>
      </c>
      <c r="F164" s="2" t="s">
        <v>211</v>
      </c>
      <c r="G164" s="2" t="s">
        <v>212</v>
      </c>
      <c r="H164" s="2" t="s">
        <v>153</v>
      </c>
      <c r="I164" s="2">
        <v>22</v>
      </c>
      <c r="J164" s="2">
        <v>0</v>
      </c>
      <c r="K164" s="2">
        <v>22</v>
      </c>
      <c r="L164" s="2"/>
      <c r="M164" s="2"/>
      <c r="N164" s="2"/>
      <c r="O164" s="2">
        <f t="shared" si="109"/>
        <v>4168.12</v>
      </c>
      <c r="P164" s="2">
        <f t="shared" si="134"/>
        <v>4168.12</v>
      </c>
      <c r="Q164" s="2">
        <f t="shared" si="136"/>
        <v>0</v>
      </c>
      <c r="R164" s="2">
        <f t="shared" si="137"/>
        <v>0</v>
      </c>
      <c r="S164" s="2">
        <f t="shared" si="110"/>
        <v>0</v>
      </c>
      <c r="T164" s="2">
        <f t="shared" si="111"/>
        <v>0</v>
      </c>
      <c r="U164" s="2">
        <f t="shared" si="112"/>
        <v>0</v>
      </c>
      <c r="V164" s="2">
        <f t="shared" si="113"/>
        <v>0</v>
      </c>
      <c r="W164" s="2">
        <f t="shared" si="114"/>
        <v>0</v>
      </c>
      <c r="X164" s="2">
        <f t="shared" si="138"/>
        <v>0</v>
      </c>
      <c r="Y164" s="2">
        <f t="shared" si="139"/>
        <v>0</v>
      </c>
      <c r="Z164" s="2"/>
      <c r="AA164" s="2">
        <v>55915256</v>
      </c>
      <c r="AB164" s="2">
        <f t="shared" si="115"/>
        <v>189.46</v>
      </c>
      <c r="AC164" s="2">
        <f t="shared" si="140"/>
        <v>189.46</v>
      </c>
      <c r="AD164" s="2">
        <f t="shared" si="141"/>
        <v>0</v>
      </c>
      <c r="AE164" s="2">
        <f t="shared" si="142"/>
        <v>0</v>
      </c>
      <c r="AF164" s="2">
        <f t="shared" si="142"/>
        <v>0</v>
      </c>
      <c r="AG164" s="2">
        <f t="shared" si="116"/>
        <v>0</v>
      </c>
      <c r="AH164" s="2">
        <f t="shared" si="143"/>
        <v>0</v>
      </c>
      <c r="AI164" s="2">
        <f t="shared" si="143"/>
        <v>0</v>
      </c>
      <c r="AJ164" s="2">
        <f t="shared" si="117"/>
        <v>0</v>
      </c>
      <c r="AK164" s="2">
        <v>189.45999999999998</v>
      </c>
      <c r="AL164" s="2">
        <v>189.45999999999998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1</v>
      </c>
      <c r="AW164" s="2">
        <v>1</v>
      </c>
      <c r="AX164" s="2"/>
      <c r="AY164" s="2"/>
      <c r="AZ164" s="2">
        <v>1</v>
      </c>
      <c r="BA164" s="2">
        <v>1</v>
      </c>
      <c r="BB164" s="2">
        <v>1</v>
      </c>
      <c r="BC164" s="2">
        <v>1</v>
      </c>
      <c r="BD164" s="2" t="s">
        <v>3</v>
      </c>
      <c r="BE164" s="2" t="s">
        <v>3</v>
      </c>
      <c r="BF164" s="2" t="s">
        <v>3</v>
      </c>
      <c r="BG164" s="2" t="s">
        <v>3</v>
      </c>
      <c r="BH164" s="2">
        <v>3</v>
      </c>
      <c r="BI164" s="2">
        <v>3</v>
      </c>
      <c r="BJ164" s="2" t="s">
        <v>211</v>
      </c>
      <c r="BK164" s="2"/>
      <c r="BL164" s="2"/>
      <c r="BM164" s="2">
        <v>400007</v>
      </c>
      <c r="BN164" s="2">
        <v>0</v>
      </c>
      <c r="BO164" s="2" t="s">
        <v>3</v>
      </c>
      <c r="BP164" s="2">
        <v>0</v>
      </c>
      <c r="BQ164" s="2">
        <v>214</v>
      </c>
      <c r="BR164" s="2">
        <v>0</v>
      </c>
      <c r="BS164" s="2">
        <v>1</v>
      </c>
      <c r="BT164" s="2">
        <v>1</v>
      </c>
      <c r="BU164" s="2">
        <v>1</v>
      </c>
      <c r="BV164" s="2">
        <v>1</v>
      </c>
      <c r="BW164" s="2">
        <v>1</v>
      </c>
      <c r="BX164" s="2">
        <v>1</v>
      </c>
      <c r="BY164" s="2" t="s">
        <v>3</v>
      </c>
      <c r="BZ164" s="2">
        <v>0</v>
      </c>
      <c r="CA164" s="2">
        <v>0</v>
      </c>
      <c r="CB164" s="2" t="s">
        <v>3</v>
      </c>
      <c r="CC164" s="2"/>
      <c r="CD164" s="2"/>
      <c r="CE164" s="2">
        <v>1566</v>
      </c>
      <c r="CF164" s="2">
        <v>0</v>
      </c>
      <c r="CG164" s="2">
        <v>0</v>
      </c>
      <c r="CH164" s="2"/>
      <c r="CI164" s="2"/>
      <c r="CJ164" s="2"/>
      <c r="CK164" s="2"/>
      <c r="CL164" s="2"/>
      <c r="CM164" s="2">
        <v>0</v>
      </c>
      <c r="CN164" s="2" t="s">
        <v>3</v>
      </c>
      <c r="CO164" s="2">
        <v>0</v>
      </c>
      <c r="CP164" s="2">
        <f t="shared" si="118"/>
        <v>4168.12</v>
      </c>
      <c r="CQ164" s="2">
        <f t="shared" si="135"/>
        <v>189.46</v>
      </c>
      <c r="CR164" s="2">
        <f t="shared" si="144"/>
        <v>0</v>
      </c>
      <c r="CS164" s="2">
        <f t="shared" si="145"/>
        <v>0</v>
      </c>
      <c r="CT164" s="2">
        <f t="shared" si="119"/>
        <v>0</v>
      </c>
      <c r="CU164" s="2">
        <f t="shared" si="120"/>
        <v>0</v>
      </c>
      <c r="CV164" s="2">
        <f t="shared" si="121"/>
        <v>0</v>
      </c>
      <c r="CW164" s="2">
        <f t="shared" si="122"/>
        <v>0</v>
      </c>
      <c r="CX164" s="2">
        <f t="shared" si="123"/>
        <v>0</v>
      </c>
      <c r="CY164" s="2">
        <f t="shared" si="146"/>
        <v>0</v>
      </c>
      <c r="CZ164" s="2">
        <f t="shared" si="147"/>
        <v>0</v>
      </c>
      <c r="DA164" s="2"/>
      <c r="DB164" s="2"/>
      <c r="DC164" s="2" t="s">
        <v>3</v>
      </c>
      <c r="DD164" s="2" t="s">
        <v>3</v>
      </c>
      <c r="DE164" s="2" t="s">
        <v>3</v>
      </c>
      <c r="DF164" s="2" t="s">
        <v>3</v>
      </c>
      <c r="DG164" s="2" t="s">
        <v>3</v>
      </c>
      <c r="DH164" s="2" t="s">
        <v>3</v>
      </c>
      <c r="DI164" s="2" t="s">
        <v>3</v>
      </c>
      <c r="DJ164" s="2" t="s">
        <v>3</v>
      </c>
      <c r="DK164" s="2" t="s">
        <v>3</v>
      </c>
      <c r="DL164" s="2" t="s">
        <v>3</v>
      </c>
      <c r="DM164" s="2" t="s">
        <v>3</v>
      </c>
      <c r="DN164" s="2">
        <v>0</v>
      </c>
      <c r="DO164" s="2">
        <v>0</v>
      </c>
      <c r="DP164" s="2">
        <v>1</v>
      </c>
      <c r="DQ164" s="2">
        <v>1</v>
      </c>
      <c r="DR164" s="2"/>
      <c r="DS164" s="2"/>
      <c r="DT164" s="2"/>
      <c r="DU164" s="2">
        <v>1013</v>
      </c>
      <c r="DV164" s="2" t="s">
        <v>153</v>
      </c>
      <c r="DW164" s="2" t="s">
        <v>153</v>
      </c>
      <c r="DX164" s="2">
        <v>1</v>
      </c>
      <c r="DY164" s="2"/>
      <c r="DZ164" s="2" t="s">
        <v>3</v>
      </c>
      <c r="EA164" s="2" t="s">
        <v>3</v>
      </c>
      <c r="EB164" s="2" t="s">
        <v>3</v>
      </c>
      <c r="EC164" s="2" t="s">
        <v>3</v>
      </c>
      <c r="ED164" s="2"/>
      <c r="EE164" s="2">
        <v>55393630</v>
      </c>
      <c r="EF164" s="2">
        <v>214</v>
      </c>
      <c r="EG164" s="2" t="s">
        <v>154</v>
      </c>
      <c r="EH164" s="2">
        <v>0</v>
      </c>
      <c r="EI164" s="2" t="s">
        <v>3</v>
      </c>
      <c r="EJ164" s="2">
        <v>3</v>
      </c>
      <c r="EK164" s="2">
        <v>400007</v>
      </c>
      <c r="EL164" s="2" t="s">
        <v>154</v>
      </c>
      <c r="EM164" s="2" t="s">
        <v>155</v>
      </c>
      <c r="EN164" s="2"/>
      <c r="EO164" s="2" t="s">
        <v>3</v>
      </c>
      <c r="EP164" s="2"/>
      <c r="EQ164" s="2">
        <v>16</v>
      </c>
      <c r="ER164" s="2">
        <v>0</v>
      </c>
      <c r="ES164" s="2">
        <v>189.45999999999998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>
        <v>0</v>
      </c>
      <c r="FR164" s="2">
        <f t="shared" si="148"/>
        <v>4168.12</v>
      </c>
      <c r="FS164" s="2">
        <v>0</v>
      </c>
      <c r="FT164" s="2"/>
      <c r="FU164" s="2"/>
      <c r="FV164" s="2"/>
      <c r="FW164" s="2"/>
      <c r="FX164" s="2">
        <v>0</v>
      </c>
      <c r="FY164" s="2">
        <v>0</v>
      </c>
      <c r="FZ164" s="2"/>
      <c r="GA164" s="2" t="s">
        <v>213</v>
      </c>
      <c r="GB164" s="2"/>
      <c r="GC164" s="2"/>
      <c r="GD164" s="2">
        <v>1</v>
      </c>
      <c r="GE164" s="2"/>
      <c r="GF164" s="2">
        <v>1766875421</v>
      </c>
      <c r="GG164" s="2">
        <v>2</v>
      </c>
      <c r="GH164" s="2">
        <v>4</v>
      </c>
      <c r="GI164" s="2">
        <v>-2</v>
      </c>
      <c r="GJ164" s="2">
        <v>0</v>
      </c>
      <c r="GK164" s="2">
        <v>0</v>
      </c>
      <c r="GL164" s="2">
        <f t="shared" si="124"/>
        <v>0</v>
      </c>
      <c r="GM164" s="2">
        <f t="shared" si="125"/>
        <v>4168.12</v>
      </c>
      <c r="GN164" s="2">
        <f t="shared" si="126"/>
        <v>0</v>
      </c>
      <c r="GO164" s="2">
        <f t="shared" si="127"/>
        <v>0</v>
      </c>
      <c r="GP164" s="2">
        <f t="shared" si="128"/>
        <v>0</v>
      </c>
      <c r="GQ164" s="2"/>
      <c r="GR164" s="2">
        <v>1</v>
      </c>
      <c r="GS164" s="2">
        <v>2</v>
      </c>
      <c r="GT164" s="2">
        <v>0</v>
      </c>
      <c r="GU164" s="2" t="s">
        <v>3</v>
      </c>
      <c r="GV164" s="2">
        <f t="shared" si="129"/>
        <v>0</v>
      </c>
      <c r="GW164" s="2">
        <v>1</v>
      </c>
      <c r="GX164" s="2">
        <f t="shared" si="130"/>
        <v>0</v>
      </c>
      <c r="GY164" s="2"/>
      <c r="GZ164" s="2"/>
      <c r="HA164" s="2">
        <v>0</v>
      </c>
      <c r="HB164" s="2">
        <v>0</v>
      </c>
      <c r="HC164" s="2">
        <f t="shared" si="131"/>
        <v>0</v>
      </c>
      <c r="HD164" s="2"/>
      <c r="HE164" s="2" t="s">
        <v>34</v>
      </c>
      <c r="HF164" s="2" t="s">
        <v>157</v>
      </c>
      <c r="HG164" s="2"/>
      <c r="HH164" s="2"/>
      <c r="HI164" s="2"/>
      <c r="HJ164" s="2"/>
      <c r="HK164" s="2"/>
      <c r="HL164" s="2"/>
      <c r="HM164" s="2" t="s">
        <v>3</v>
      </c>
      <c r="HN164" s="2" t="s">
        <v>3</v>
      </c>
      <c r="HO164" s="2" t="s">
        <v>3</v>
      </c>
      <c r="HP164" s="2" t="s">
        <v>3</v>
      </c>
      <c r="HQ164" s="2" t="s">
        <v>3</v>
      </c>
      <c r="HR164" s="2"/>
      <c r="HS164" s="2">
        <v>0</v>
      </c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>
        <v>0</v>
      </c>
      <c r="IL164" s="2"/>
      <c r="IM164" s="2"/>
      <c r="IN164" s="2"/>
      <c r="IO164" s="2"/>
      <c r="IP164" s="2"/>
      <c r="IQ164" s="2"/>
      <c r="IR164" s="2"/>
      <c r="IS164" s="2"/>
      <c r="IT164" s="2"/>
      <c r="IU164" s="2"/>
    </row>
    <row r="165" spans="1:255" x14ac:dyDescent="0.2">
      <c r="A165" s="3">
        <v>17</v>
      </c>
      <c r="B165" s="3">
        <v>1</v>
      </c>
      <c r="E165" s="3" t="s">
        <v>210</v>
      </c>
      <c r="F165" s="3" t="s">
        <v>211</v>
      </c>
      <c r="G165" s="3" t="s">
        <v>212</v>
      </c>
      <c r="H165" s="3" t="s">
        <v>153</v>
      </c>
      <c r="I165" s="3">
        <v>22</v>
      </c>
      <c r="J165" s="3">
        <v>0</v>
      </c>
      <c r="K165" s="3">
        <v>22</v>
      </c>
      <c r="O165" s="3">
        <f t="shared" si="109"/>
        <v>41014.300000000003</v>
      </c>
      <c r="P165" s="3">
        <f t="shared" si="134"/>
        <v>41014.300000000003</v>
      </c>
      <c r="Q165" s="3">
        <f t="shared" si="136"/>
        <v>0</v>
      </c>
      <c r="R165" s="3">
        <f t="shared" si="137"/>
        <v>0</v>
      </c>
      <c r="S165" s="3">
        <f t="shared" si="110"/>
        <v>0</v>
      </c>
      <c r="T165" s="3">
        <f t="shared" si="111"/>
        <v>0</v>
      </c>
      <c r="U165" s="3">
        <f t="shared" si="112"/>
        <v>0</v>
      </c>
      <c r="V165" s="3">
        <f t="shared" si="113"/>
        <v>0</v>
      </c>
      <c r="W165" s="3">
        <f t="shared" si="114"/>
        <v>0</v>
      </c>
      <c r="X165" s="3">
        <f t="shared" si="138"/>
        <v>0</v>
      </c>
      <c r="Y165" s="3">
        <f t="shared" si="139"/>
        <v>0</v>
      </c>
      <c r="AA165" s="3">
        <v>55915258</v>
      </c>
      <c r="AB165" s="3">
        <f t="shared" si="115"/>
        <v>189.46</v>
      </c>
      <c r="AC165" s="3">
        <f t="shared" si="140"/>
        <v>189.46</v>
      </c>
      <c r="AD165" s="3">
        <f t="shared" si="141"/>
        <v>0</v>
      </c>
      <c r="AE165" s="3">
        <f t="shared" si="142"/>
        <v>0</v>
      </c>
      <c r="AF165" s="3">
        <f t="shared" si="142"/>
        <v>0</v>
      </c>
      <c r="AG165" s="3">
        <f t="shared" si="116"/>
        <v>0</v>
      </c>
      <c r="AH165" s="3">
        <f t="shared" si="143"/>
        <v>0</v>
      </c>
      <c r="AI165" s="3">
        <f t="shared" si="143"/>
        <v>0</v>
      </c>
      <c r="AJ165" s="3">
        <f t="shared" si="117"/>
        <v>0</v>
      </c>
      <c r="AK165" s="3">
        <v>189.45999999999998</v>
      </c>
      <c r="AL165" s="3">
        <v>189.45999999999998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1</v>
      </c>
      <c r="AW165" s="3">
        <v>1</v>
      </c>
      <c r="AZ165" s="3">
        <v>1</v>
      </c>
      <c r="BA165" s="3">
        <v>1</v>
      </c>
      <c r="BB165" s="3">
        <v>1</v>
      </c>
      <c r="BC165" s="3">
        <v>9.84</v>
      </c>
      <c r="BD165" s="3" t="s">
        <v>3</v>
      </c>
      <c r="BE165" s="3" t="s">
        <v>3</v>
      </c>
      <c r="BF165" s="3" t="s">
        <v>3</v>
      </c>
      <c r="BG165" s="3" t="s">
        <v>3</v>
      </c>
      <c r="BH165" s="3">
        <v>3</v>
      </c>
      <c r="BI165" s="3">
        <v>3</v>
      </c>
      <c r="BJ165" s="3" t="s">
        <v>211</v>
      </c>
      <c r="BM165" s="3">
        <v>400007</v>
      </c>
      <c r="BN165" s="3">
        <v>0</v>
      </c>
      <c r="BO165" s="3" t="s">
        <v>3</v>
      </c>
      <c r="BP165" s="3">
        <v>0</v>
      </c>
      <c r="BQ165" s="3">
        <v>214</v>
      </c>
      <c r="BR165" s="3">
        <v>0</v>
      </c>
      <c r="BS165" s="3">
        <v>1</v>
      </c>
      <c r="BT165" s="3">
        <v>1</v>
      </c>
      <c r="BU165" s="3">
        <v>1</v>
      </c>
      <c r="BV165" s="3">
        <v>1</v>
      </c>
      <c r="BW165" s="3">
        <v>1</v>
      </c>
      <c r="BX165" s="3">
        <v>1</v>
      </c>
      <c r="BY165" s="3" t="s">
        <v>3</v>
      </c>
      <c r="BZ165" s="3">
        <v>0</v>
      </c>
      <c r="CA165" s="3">
        <v>0</v>
      </c>
      <c r="CB165" s="3" t="s">
        <v>3</v>
      </c>
      <c r="CE165" s="3">
        <v>1566</v>
      </c>
      <c r="CF165" s="3">
        <v>0</v>
      </c>
      <c r="CG165" s="3">
        <v>0</v>
      </c>
      <c r="CM165" s="3">
        <v>0</v>
      </c>
      <c r="CN165" s="3" t="s">
        <v>3</v>
      </c>
      <c r="CO165" s="3">
        <v>0</v>
      </c>
      <c r="CP165" s="3">
        <f t="shared" si="118"/>
        <v>41014.300000000003</v>
      </c>
      <c r="CQ165" s="3">
        <f t="shared" si="135"/>
        <v>1864.29</v>
      </c>
      <c r="CR165" s="3">
        <f t="shared" si="144"/>
        <v>0</v>
      </c>
      <c r="CS165" s="3">
        <f t="shared" si="145"/>
        <v>0</v>
      </c>
      <c r="CT165" s="3">
        <f t="shared" si="119"/>
        <v>0</v>
      </c>
      <c r="CU165" s="3">
        <f t="shared" si="120"/>
        <v>0</v>
      </c>
      <c r="CV165" s="3">
        <f t="shared" si="121"/>
        <v>0</v>
      </c>
      <c r="CW165" s="3">
        <f t="shared" si="122"/>
        <v>0</v>
      </c>
      <c r="CX165" s="3">
        <f t="shared" si="123"/>
        <v>0</v>
      </c>
      <c r="CY165" s="3">
        <f t="shared" si="146"/>
        <v>0</v>
      </c>
      <c r="CZ165" s="3">
        <f t="shared" si="147"/>
        <v>0</v>
      </c>
      <c r="DC165" s="3" t="s">
        <v>3</v>
      </c>
      <c r="DD165" s="3" t="s">
        <v>3</v>
      </c>
      <c r="DE165" s="3" t="s">
        <v>3</v>
      </c>
      <c r="DF165" s="3" t="s">
        <v>3</v>
      </c>
      <c r="DG165" s="3" t="s">
        <v>3</v>
      </c>
      <c r="DH165" s="3" t="s">
        <v>3</v>
      </c>
      <c r="DI165" s="3" t="s">
        <v>3</v>
      </c>
      <c r="DJ165" s="3" t="s">
        <v>3</v>
      </c>
      <c r="DK165" s="3" t="s">
        <v>3</v>
      </c>
      <c r="DL165" s="3" t="s">
        <v>3</v>
      </c>
      <c r="DM165" s="3" t="s">
        <v>3</v>
      </c>
      <c r="DN165" s="3">
        <v>0</v>
      </c>
      <c r="DO165" s="3">
        <v>0</v>
      </c>
      <c r="DP165" s="3">
        <v>1</v>
      </c>
      <c r="DQ165" s="3">
        <v>1</v>
      </c>
      <c r="DU165" s="3">
        <v>1013</v>
      </c>
      <c r="DV165" s="3" t="s">
        <v>153</v>
      </c>
      <c r="DW165" s="3" t="s">
        <v>153</v>
      </c>
      <c r="DX165" s="3">
        <v>1</v>
      </c>
      <c r="DZ165" s="3" t="s">
        <v>3</v>
      </c>
      <c r="EA165" s="3" t="s">
        <v>3</v>
      </c>
      <c r="EB165" s="3" t="s">
        <v>3</v>
      </c>
      <c r="EC165" s="3" t="s">
        <v>3</v>
      </c>
      <c r="EE165" s="3">
        <v>55393630</v>
      </c>
      <c r="EF165" s="3">
        <v>214</v>
      </c>
      <c r="EG165" s="3" t="s">
        <v>154</v>
      </c>
      <c r="EH165" s="3">
        <v>0</v>
      </c>
      <c r="EI165" s="3" t="s">
        <v>3</v>
      </c>
      <c r="EJ165" s="3">
        <v>3</v>
      </c>
      <c r="EK165" s="3">
        <v>400007</v>
      </c>
      <c r="EL165" s="3" t="s">
        <v>154</v>
      </c>
      <c r="EM165" s="3" t="s">
        <v>155</v>
      </c>
      <c r="EO165" s="3" t="s">
        <v>3</v>
      </c>
      <c r="EQ165" s="3">
        <v>16</v>
      </c>
      <c r="ER165" s="3">
        <v>0</v>
      </c>
      <c r="ES165" s="3">
        <v>189.45999999999998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5</v>
      </c>
      <c r="FC165" s="3">
        <v>1</v>
      </c>
      <c r="FD165" s="3">
        <v>18</v>
      </c>
      <c r="FF165" s="3">
        <v>2182</v>
      </c>
      <c r="FQ165" s="3">
        <v>0</v>
      </c>
      <c r="FR165" s="3">
        <f t="shared" si="148"/>
        <v>41014.300000000003</v>
      </c>
      <c r="FS165" s="3">
        <v>0</v>
      </c>
      <c r="FX165" s="3">
        <v>0</v>
      </c>
      <c r="FY165" s="3">
        <v>0</v>
      </c>
      <c r="GA165" s="3" t="s">
        <v>213</v>
      </c>
      <c r="GD165" s="3">
        <v>1</v>
      </c>
      <c r="GF165" s="3">
        <v>1766875421</v>
      </c>
      <c r="GG165" s="3">
        <v>2</v>
      </c>
      <c r="GH165" s="3">
        <v>3</v>
      </c>
      <c r="GI165" s="3">
        <v>5</v>
      </c>
      <c r="GJ165" s="3">
        <v>0</v>
      </c>
      <c r="GK165" s="3">
        <v>0</v>
      </c>
      <c r="GL165" s="3">
        <f t="shared" si="124"/>
        <v>0</v>
      </c>
      <c r="GM165" s="3">
        <f t="shared" si="125"/>
        <v>41014.300000000003</v>
      </c>
      <c r="GN165" s="3">
        <f t="shared" si="126"/>
        <v>0</v>
      </c>
      <c r="GO165" s="3">
        <f t="shared" si="127"/>
        <v>0</v>
      </c>
      <c r="GP165" s="3">
        <f t="shared" si="128"/>
        <v>0</v>
      </c>
      <c r="GR165" s="3">
        <v>1</v>
      </c>
      <c r="GS165" s="3">
        <v>1</v>
      </c>
      <c r="GT165" s="3">
        <v>0</v>
      </c>
      <c r="GU165" s="3" t="s">
        <v>3</v>
      </c>
      <c r="GV165" s="3">
        <f t="shared" si="129"/>
        <v>0</v>
      </c>
      <c r="GW165" s="3">
        <v>1</v>
      </c>
      <c r="GX165" s="3">
        <f t="shared" si="130"/>
        <v>0</v>
      </c>
      <c r="HA165" s="3">
        <v>0</v>
      </c>
      <c r="HB165" s="3">
        <v>0</v>
      </c>
      <c r="HC165" s="3">
        <f t="shared" si="131"/>
        <v>0</v>
      </c>
      <c r="HE165" s="3" t="s">
        <v>34</v>
      </c>
      <c r="HF165" s="3" t="s">
        <v>157</v>
      </c>
      <c r="HM165" s="3" t="s">
        <v>3</v>
      </c>
      <c r="HN165" s="3" t="s">
        <v>3</v>
      </c>
      <c r="HO165" s="3" t="s">
        <v>3</v>
      </c>
      <c r="HP165" s="3" t="s">
        <v>3</v>
      </c>
      <c r="HQ165" s="3" t="s">
        <v>3</v>
      </c>
      <c r="HS165" s="3">
        <v>0</v>
      </c>
      <c r="IK165" s="3">
        <v>0</v>
      </c>
    </row>
    <row r="166" spans="1:255" x14ac:dyDescent="0.2">
      <c r="A166" s="2">
        <v>17</v>
      </c>
      <c r="B166" s="2">
        <v>1</v>
      </c>
      <c r="C166" s="2">
        <f>ROW(SmtRes!A83)</f>
        <v>83</v>
      </c>
      <c r="D166" s="2">
        <f>ROW(EtalonRes!A98)</f>
        <v>98</v>
      </c>
      <c r="E166" s="2" t="s">
        <v>214</v>
      </c>
      <c r="F166" s="2" t="s">
        <v>57</v>
      </c>
      <c r="G166" s="2" t="s">
        <v>215</v>
      </c>
      <c r="H166" s="2" t="s">
        <v>22</v>
      </c>
      <c r="I166" s="2">
        <f>ROUND(1+9,9)</f>
        <v>10</v>
      </c>
      <c r="J166" s="2">
        <v>0</v>
      </c>
      <c r="K166" s="2">
        <f>ROUND(1+9,9)</f>
        <v>10</v>
      </c>
      <c r="L166" s="2"/>
      <c r="M166" s="2"/>
      <c r="N166" s="2"/>
      <c r="O166" s="2">
        <f t="shared" si="109"/>
        <v>166.09</v>
      </c>
      <c r="P166" s="2">
        <f t="shared" si="134"/>
        <v>16.7</v>
      </c>
      <c r="Q166" s="2">
        <f>(ROUND((ROUND((((ET166*1.2))*AV166*I166),2)*BB166),2)+ROUND((ROUND(((AE166-((EU166*1.2)))*AV166*I166),2)*BS166),2))</f>
        <v>0</v>
      </c>
      <c r="R166" s="2">
        <f>(ROUND((ROUND((((EU166*1.2))*AV166*I166),2)*BS166),2)+ROUND((ROUND(((AE166-((EU166*1.2)))*AV166*I166),2)*BS166),2))</f>
        <v>0</v>
      </c>
      <c r="S166" s="2">
        <f t="shared" si="110"/>
        <v>149.38999999999999</v>
      </c>
      <c r="T166" s="2">
        <f t="shared" si="111"/>
        <v>0</v>
      </c>
      <c r="U166" s="2">
        <f t="shared" si="112"/>
        <v>12.564</v>
      </c>
      <c r="V166" s="2">
        <f t="shared" si="113"/>
        <v>0</v>
      </c>
      <c r="W166" s="2">
        <f t="shared" si="114"/>
        <v>0</v>
      </c>
      <c r="X166" s="2">
        <f>(ROUND((((S166+ROUND((ROUND((((EU166*1.2))*AV166*I166),2)*BS166),2))*AT166)/100),2)+ROUND(((ROUND((ROUND(((AE166-((EU166*1.2)))*AV166*I166),2)*BS166),2)*AT166)/100),2))</f>
        <v>141.91999999999999</v>
      </c>
      <c r="Y166" s="2">
        <f>(ROUND((((S166+ROUND((ROUND((((EU166*1.2))*AV166*I166),2)*BS166),2))*AU166)/100),2)+ROUND(((ROUND((ROUND(((AE166-((EU166*1.2)))*AV166*I166),2)*BS166),2)*AU166)/100),2))</f>
        <v>79.180000000000007</v>
      </c>
      <c r="Z166" s="2"/>
      <c r="AA166" s="2">
        <v>55915256</v>
      </c>
      <c r="AB166" s="2">
        <f t="shared" si="115"/>
        <v>15.938000000000001</v>
      </c>
      <c r="AC166" s="2">
        <f>ROUND(((ES166*1)),6)</f>
        <v>1.67</v>
      </c>
      <c r="AD166" s="2">
        <f>ROUND(((((ET166*1.2))-((EU166*1.2)))+AE166),6)</f>
        <v>0</v>
      </c>
      <c r="AE166" s="2">
        <f>ROUND(((EU166*1.2)),6)</f>
        <v>0</v>
      </c>
      <c r="AF166" s="2">
        <f>ROUND(((EV166*1.2)),6)</f>
        <v>14.268000000000001</v>
      </c>
      <c r="AG166" s="2">
        <f t="shared" si="116"/>
        <v>0</v>
      </c>
      <c r="AH166" s="2">
        <f>((EW166*1.2))</f>
        <v>1.2</v>
      </c>
      <c r="AI166" s="2">
        <f>((EX166*1.2))</f>
        <v>0</v>
      </c>
      <c r="AJ166" s="2">
        <f t="shared" si="117"/>
        <v>0</v>
      </c>
      <c r="AK166" s="2">
        <v>13.56</v>
      </c>
      <c r="AL166" s="2">
        <v>1.67</v>
      </c>
      <c r="AM166" s="2">
        <v>0</v>
      </c>
      <c r="AN166" s="2">
        <v>0</v>
      </c>
      <c r="AO166" s="2">
        <v>11.89</v>
      </c>
      <c r="AP166" s="2">
        <v>0</v>
      </c>
      <c r="AQ166" s="2">
        <v>1</v>
      </c>
      <c r="AR166" s="2">
        <v>0</v>
      </c>
      <c r="AS166" s="2">
        <v>0</v>
      </c>
      <c r="AT166" s="2">
        <v>95</v>
      </c>
      <c r="AU166" s="2">
        <v>53</v>
      </c>
      <c r="AV166" s="2">
        <v>1.0469999999999999</v>
      </c>
      <c r="AW166" s="2">
        <v>1</v>
      </c>
      <c r="AX166" s="2"/>
      <c r="AY166" s="2"/>
      <c r="AZ166" s="2">
        <v>1</v>
      </c>
      <c r="BA166" s="2">
        <v>1</v>
      </c>
      <c r="BB166" s="2">
        <v>1</v>
      </c>
      <c r="BC166" s="2">
        <v>1</v>
      </c>
      <c r="BD166" s="2" t="s">
        <v>3</v>
      </c>
      <c r="BE166" s="2" t="s">
        <v>3</v>
      </c>
      <c r="BF166" s="2" t="s">
        <v>3</v>
      </c>
      <c r="BG166" s="2" t="s">
        <v>3</v>
      </c>
      <c r="BH166" s="2">
        <v>0</v>
      </c>
      <c r="BI166" s="2">
        <v>2</v>
      </c>
      <c r="BJ166" s="2" t="s">
        <v>59</v>
      </c>
      <c r="BK166" s="2"/>
      <c r="BL166" s="2"/>
      <c r="BM166" s="2">
        <v>69</v>
      </c>
      <c r="BN166" s="2">
        <v>0</v>
      </c>
      <c r="BO166" s="2" t="s">
        <v>57</v>
      </c>
      <c r="BP166" s="2">
        <v>1</v>
      </c>
      <c r="BQ166" s="2">
        <v>40</v>
      </c>
      <c r="BR166" s="2">
        <v>0</v>
      </c>
      <c r="BS166" s="2">
        <v>1</v>
      </c>
      <c r="BT166" s="2">
        <v>1</v>
      </c>
      <c r="BU166" s="2">
        <v>1</v>
      </c>
      <c r="BV166" s="2">
        <v>1</v>
      </c>
      <c r="BW166" s="2">
        <v>1</v>
      </c>
      <c r="BX166" s="2">
        <v>1</v>
      </c>
      <c r="BY166" s="2" t="s">
        <v>3</v>
      </c>
      <c r="BZ166" s="2">
        <v>95</v>
      </c>
      <c r="CA166" s="2">
        <v>53</v>
      </c>
      <c r="CB166" s="2" t="s">
        <v>3</v>
      </c>
      <c r="CC166" s="2"/>
      <c r="CD166" s="2"/>
      <c r="CE166" s="2">
        <v>1566</v>
      </c>
      <c r="CF166" s="2">
        <v>0</v>
      </c>
      <c r="CG166" s="2">
        <v>0</v>
      </c>
      <c r="CH166" s="2"/>
      <c r="CI166" s="2"/>
      <c r="CJ166" s="2"/>
      <c r="CK166" s="2"/>
      <c r="CL166" s="2"/>
      <c r="CM166" s="2">
        <v>0</v>
      </c>
      <c r="CN166" s="2" t="s">
        <v>605</v>
      </c>
      <c r="CO166" s="2">
        <v>0</v>
      </c>
      <c r="CP166" s="2">
        <f t="shared" si="118"/>
        <v>166.08999999999997</v>
      </c>
      <c r="CQ166" s="2">
        <f t="shared" si="135"/>
        <v>1.67</v>
      </c>
      <c r="CR166" s="2">
        <f>(ROUND((ROUND((((ET166*1.2))*AV166*1),2)*BB166),2)+ROUND((ROUND(((AE166-((EU166*1.2)))*AV166*1),2)*BS166),2))</f>
        <v>0</v>
      </c>
      <c r="CS166" s="2">
        <f>(ROUND((ROUND((((EU166*1.2))*AV166*1),2)*BS166),2)+ROUND((ROUND(((AE166-((EU166*1.2)))*AV166*1),2)*BS166),2))</f>
        <v>0</v>
      </c>
      <c r="CT166" s="2">
        <f t="shared" si="119"/>
        <v>14.94</v>
      </c>
      <c r="CU166" s="2">
        <f t="shared" si="120"/>
        <v>0</v>
      </c>
      <c r="CV166" s="2">
        <f t="shared" si="121"/>
        <v>1.2564</v>
      </c>
      <c r="CW166" s="2">
        <f t="shared" si="122"/>
        <v>0</v>
      </c>
      <c r="CX166" s="2">
        <f t="shared" si="123"/>
        <v>0</v>
      </c>
      <c r="CY166" s="2">
        <f>(ROUND((((S166+ROUND((ROUND((((EU166*1.2))*AV166*1),2)*BS166),2))*AT166)/100),2)+ROUND(((ROUND((ROUND(((AE166-((EU166*1.2)))*AV166*1),2)*BS166),2)*AT166)/100),2))</f>
        <v>141.91999999999999</v>
      </c>
      <c r="CZ166" s="2">
        <f>(ROUND((((S166+ROUND((ROUND((((EU166*1.2))*AV166*1),2)*BS166),2))*AU166)/100),2)+ROUND(((ROUND((ROUND(((AE166-((EU166*1.2)))*AV166*1),2)*BS166),2)*AU166)/100),2))</f>
        <v>79.180000000000007</v>
      </c>
      <c r="DA166" s="2"/>
      <c r="DB166" s="2">
        <v>73</v>
      </c>
      <c r="DC166" s="2" t="s">
        <v>3</v>
      </c>
      <c r="DD166" s="2" t="s">
        <v>77</v>
      </c>
      <c r="DE166" s="2" t="s">
        <v>78</v>
      </c>
      <c r="DF166" s="2" t="s">
        <v>78</v>
      </c>
      <c r="DG166" s="2" t="s">
        <v>78</v>
      </c>
      <c r="DH166" s="2" t="s">
        <v>3</v>
      </c>
      <c r="DI166" s="2" t="s">
        <v>78</v>
      </c>
      <c r="DJ166" s="2" t="s">
        <v>78</v>
      </c>
      <c r="DK166" s="2" t="s">
        <v>3</v>
      </c>
      <c r="DL166" s="2" t="s">
        <v>3</v>
      </c>
      <c r="DM166" s="2" t="s">
        <v>3</v>
      </c>
      <c r="DN166" s="2">
        <v>0</v>
      </c>
      <c r="DO166" s="2">
        <v>0</v>
      </c>
      <c r="DP166" s="2">
        <v>1</v>
      </c>
      <c r="DQ166" s="2">
        <v>1</v>
      </c>
      <c r="DR166" s="2"/>
      <c r="DS166" s="2"/>
      <c r="DT166" s="2"/>
      <c r="DU166" s="2">
        <v>1013</v>
      </c>
      <c r="DV166" s="2" t="s">
        <v>22</v>
      </c>
      <c r="DW166" s="2" t="s">
        <v>22</v>
      </c>
      <c r="DX166" s="2">
        <v>1</v>
      </c>
      <c r="DY166" s="2"/>
      <c r="DZ166" s="2" t="s">
        <v>3</v>
      </c>
      <c r="EA166" s="2" t="s">
        <v>3</v>
      </c>
      <c r="EB166" s="2" t="s">
        <v>3</v>
      </c>
      <c r="EC166" s="2" t="s">
        <v>3</v>
      </c>
      <c r="ED166" s="2"/>
      <c r="EE166" s="2">
        <v>55393701</v>
      </c>
      <c r="EF166" s="2">
        <v>40</v>
      </c>
      <c r="EG166" s="2" t="s">
        <v>26</v>
      </c>
      <c r="EH166" s="2">
        <v>0</v>
      </c>
      <c r="EI166" s="2" t="s">
        <v>3</v>
      </c>
      <c r="EJ166" s="2">
        <v>2</v>
      </c>
      <c r="EK166" s="2">
        <v>69</v>
      </c>
      <c r="EL166" s="2" t="s">
        <v>60</v>
      </c>
      <c r="EM166" s="2" t="s">
        <v>61</v>
      </c>
      <c r="EN166" s="2"/>
      <c r="EO166" s="2" t="s">
        <v>82</v>
      </c>
      <c r="EP166" s="2"/>
      <c r="EQ166" s="2">
        <v>0</v>
      </c>
      <c r="ER166" s="2">
        <v>13.56</v>
      </c>
      <c r="ES166" s="2">
        <v>1.67</v>
      </c>
      <c r="ET166" s="2">
        <v>0</v>
      </c>
      <c r="EU166" s="2">
        <v>0</v>
      </c>
      <c r="EV166" s="2">
        <v>11.89</v>
      </c>
      <c r="EW166" s="2">
        <v>1</v>
      </c>
      <c r="EX166" s="2">
        <v>0</v>
      </c>
      <c r="EY166" s="2">
        <v>0</v>
      </c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>
        <v>0</v>
      </c>
      <c r="FR166" s="2">
        <v>0</v>
      </c>
      <c r="FS166" s="2">
        <v>0</v>
      </c>
      <c r="FT166" s="2"/>
      <c r="FU166" s="2"/>
      <c r="FV166" s="2"/>
      <c r="FW166" s="2"/>
      <c r="FX166" s="2">
        <v>95</v>
      </c>
      <c r="FY166" s="2">
        <v>53</v>
      </c>
      <c r="FZ166" s="2"/>
      <c r="GA166" s="2" t="s">
        <v>3</v>
      </c>
      <c r="GB166" s="2"/>
      <c r="GC166" s="2"/>
      <c r="GD166" s="2">
        <v>1</v>
      </c>
      <c r="GE166" s="2"/>
      <c r="GF166" s="2">
        <v>205901832</v>
      </c>
      <c r="GG166" s="2">
        <v>2</v>
      </c>
      <c r="GH166" s="2">
        <v>1</v>
      </c>
      <c r="GI166" s="2">
        <v>2</v>
      </c>
      <c r="GJ166" s="2">
        <v>0</v>
      </c>
      <c r="GK166" s="2">
        <v>0</v>
      </c>
      <c r="GL166" s="2">
        <f t="shared" si="124"/>
        <v>0</v>
      </c>
      <c r="GM166" s="2">
        <f t="shared" si="125"/>
        <v>387.19</v>
      </c>
      <c r="GN166" s="2">
        <f t="shared" si="126"/>
        <v>0</v>
      </c>
      <c r="GO166" s="2">
        <f t="shared" si="127"/>
        <v>387.19</v>
      </c>
      <c r="GP166" s="2">
        <f t="shared" si="128"/>
        <v>0</v>
      </c>
      <c r="GQ166" s="2"/>
      <c r="GR166" s="2">
        <v>0</v>
      </c>
      <c r="GS166" s="2">
        <v>3</v>
      </c>
      <c r="GT166" s="2">
        <v>0</v>
      </c>
      <c r="GU166" s="2" t="s">
        <v>3</v>
      </c>
      <c r="GV166" s="2">
        <f t="shared" si="129"/>
        <v>0</v>
      </c>
      <c r="GW166" s="2">
        <v>1</v>
      </c>
      <c r="GX166" s="2">
        <f t="shared" si="130"/>
        <v>0</v>
      </c>
      <c r="GY166" s="2"/>
      <c r="GZ166" s="2"/>
      <c r="HA166" s="2">
        <v>0</v>
      </c>
      <c r="HB166" s="2">
        <v>0</v>
      </c>
      <c r="HC166" s="2">
        <f t="shared" si="131"/>
        <v>0</v>
      </c>
      <c r="HD166" s="2"/>
      <c r="HE166" s="2" t="s">
        <v>3</v>
      </c>
      <c r="HF166" s="2" t="s">
        <v>3</v>
      </c>
      <c r="HG166" s="2"/>
      <c r="HH166" s="2"/>
      <c r="HI166" s="2"/>
      <c r="HJ166" s="2"/>
      <c r="HK166" s="2"/>
      <c r="HL166" s="2"/>
      <c r="HM166" s="2" t="s">
        <v>3</v>
      </c>
      <c r="HN166" s="2" t="s">
        <v>3</v>
      </c>
      <c r="HO166" s="2" t="s">
        <v>3</v>
      </c>
      <c r="HP166" s="2" t="s">
        <v>3</v>
      </c>
      <c r="HQ166" s="2" t="s">
        <v>3</v>
      </c>
      <c r="HR166" s="2"/>
      <c r="HS166" s="2">
        <v>0</v>
      </c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>
        <v>0</v>
      </c>
      <c r="IL166" s="2"/>
      <c r="IM166" s="2"/>
      <c r="IN166" s="2"/>
      <c r="IO166" s="2"/>
      <c r="IP166" s="2"/>
      <c r="IQ166" s="2"/>
      <c r="IR166" s="2"/>
      <c r="IS166" s="2"/>
      <c r="IT166" s="2"/>
      <c r="IU166" s="2"/>
    </row>
    <row r="167" spans="1:255" x14ac:dyDescent="0.2">
      <c r="A167" s="3">
        <v>17</v>
      </c>
      <c r="B167" s="3">
        <v>1</v>
      </c>
      <c r="C167" s="3">
        <f>ROW(SmtRes!A86)</f>
        <v>86</v>
      </c>
      <c r="D167" s="3">
        <f>ROW(EtalonRes!A102)</f>
        <v>102</v>
      </c>
      <c r="E167" s="3" t="s">
        <v>214</v>
      </c>
      <c r="F167" s="3" t="s">
        <v>57</v>
      </c>
      <c r="G167" s="3" t="s">
        <v>215</v>
      </c>
      <c r="H167" s="3" t="s">
        <v>22</v>
      </c>
      <c r="I167" s="3">
        <f>ROUND(1+9,9)</f>
        <v>10</v>
      </c>
      <c r="J167" s="3">
        <v>0</v>
      </c>
      <c r="K167" s="3">
        <f>ROUND(1+9,9)</f>
        <v>10</v>
      </c>
      <c r="O167" s="3">
        <f t="shared" si="109"/>
        <v>8716.56</v>
      </c>
      <c r="P167" s="3">
        <f t="shared" si="134"/>
        <v>298.43</v>
      </c>
      <c r="Q167" s="3">
        <f>(ROUND((ROUND((((ET167*1.2))*AV167*I167),2)*BB167),2)+ROUND((ROUND(((AE167-((EU167*1.2)))*AV167*I167),2)*BS167),2))</f>
        <v>0</v>
      </c>
      <c r="R167" s="3">
        <f>(ROUND((ROUND((((EU167*1.2))*AV167*I167),2)*BS167),2)+ROUND((ROUND(((AE167-((EU167*1.2)))*AV167*I167),2)*BS167),2))</f>
        <v>0</v>
      </c>
      <c r="S167" s="3">
        <f t="shared" si="110"/>
        <v>8418.1299999999992</v>
      </c>
      <c r="T167" s="3">
        <f t="shared" si="111"/>
        <v>0</v>
      </c>
      <c r="U167" s="3">
        <f t="shared" si="112"/>
        <v>12.564</v>
      </c>
      <c r="V167" s="3">
        <f t="shared" si="113"/>
        <v>0</v>
      </c>
      <c r="W167" s="3">
        <f t="shared" si="114"/>
        <v>0</v>
      </c>
      <c r="X167" s="3">
        <f>(ROUND((((S167+ROUND((ROUND((((EU167*1.2))*AV167*I167),2)*BS167),2))*AT167)/100),2)+ROUND(((ROUND((ROUND(((AE167-((EU167*1.2)))*AV167*I167),2)*BS167),2)*AT167)/100),2))</f>
        <v>7997.22</v>
      </c>
      <c r="Y167" s="3">
        <f>(ROUND((((S167+ROUND((ROUND((((EU167*1.2))*AV167*I167),2)*BS167),2))*AU167)/100),2)+ROUND(((ROUND((ROUND(((AE167-((EU167*1.2)))*AV167*I167),2)*BS167),2)*AU167)/100),2))</f>
        <v>4461.6099999999997</v>
      </c>
      <c r="AA167" s="3">
        <v>55915258</v>
      </c>
      <c r="AB167" s="3">
        <f t="shared" si="115"/>
        <v>15.938000000000001</v>
      </c>
      <c r="AC167" s="3">
        <f>ROUND(((ES167*1)),6)</f>
        <v>1.67</v>
      </c>
      <c r="AD167" s="3">
        <f>ROUND(((((ET167*1.2))-((EU167*1.2)))+AE167),6)</f>
        <v>0</v>
      </c>
      <c r="AE167" s="3">
        <f>ROUND(((EU167*1.2)),6)</f>
        <v>0</v>
      </c>
      <c r="AF167" s="3">
        <f>ROUND(((EV167*1.2)),6)</f>
        <v>14.268000000000001</v>
      </c>
      <c r="AG167" s="3">
        <f t="shared" si="116"/>
        <v>0</v>
      </c>
      <c r="AH167" s="3">
        <f>((EW167*1.2))</f>
        <v>1.2</v>
      </c>
      <c r="AI167" s="3">
        <f>((EX167*1.2))</f>
        <v>0</v>
      </c>
      <c r="AJ167" s="3">
        <f t="shared" si="117"/>
        <v>0</v>
      </c>
      <c r="AK167" s="3">
        <v>13.56</v>
      </c>
      <c r="AL167" s="3">
        <v>1.67</v>
      </c>
      <c r="AM167" s="3">
        <v>0</v>
      </c>
      <c r="AN167" s="3">
        <v>0</v>
      </c>
      <c r="AO167" s="3">
        <v>11.89</v>
      </c>
      <c r="AP167" s="3">
        <v>0</v>
      </c>
      <c r="AQ167" s="3">
        <v>1</v>
      </c>
      <c r="AR167" s="3">
        <v>0</v>
      </c>
      <c r="AS167" s="3">
        <v>0</v>
      </c>
      <c r="AT167" s="3">
        <v>95</v>
      </c>
      <c r="AU167" s="3">
        <v>53</v>
      </c>
      <c r="AV167" s="3">
        <v>1.0469999999999999</v>
      </c>
      <c r="AW167" s="3">
        <v>1</v>
      </c>
      <c r="AZ167" s="3">
        <v>1</v>
      </c>
      <c r="BA167" s="3">
        <v>56.35</v>
      </c>
      <c r="BB167" s="3">
        <v>1</v>
      </c>
      <c r="BC167" s="3">
        <v>17.87</v>
      </c>
      <c r="BD167" s="3" t="s">
        <v>3</v>
      </c>
      <c r="BE167" s="3" t="s">
        <v>3</v>
      </c>
      <c r="BF167" s="3" t="s">
        <v>3</v>
      </c>
      <c r="BG167" s="3" t="s">
        <v>3</v>
      </c>
      <c r="BH167" s="3">
        <v>0</v>
      </c>
      <c r="BI167" s="3">
        <v>2</v>
      </c>
      <c r="BJ167" s="3" t="s">
        <v>59</v>
      </c>
      <c r="BM167" s="3">
        <v>69</v>
      </c>
      <c r="BN167" s="3">
        <v>0</v>
      </c>
      <c r="BO167" s="3" t="s">
        <v>57</v>
      </c>
      <c r="BP167" s="3">
        <v>1</v>
      </c>
      <c r="BQ167" s="3">
        <v>40</v>
      </c>
      <c r="BR167" s="3">
        <v>0</v>
      </c>
      <c r="BS167" s="3">
        <v>56.35</v>
      </c>
      <c r="BT167" s="3">
        <v>1</v>
      </c>
      <c r="BU167" s="3">
        <v>1</v>
      </c>
      <c r="BV167" s="3">
        <v>1</v>
      </c>
      <c r="BW167" s="3">
        <v>1</v>
      </c>
      <c r="BX167" s="3">
        <v>1</v>
      </c>
      <c r="BY167" s="3" t="s">
        <v>3</v>
      </c>
      <c r="BZ167" s="3">
        <v>95</v>
      </c>
      <c r="CA167" s="3">
        <v>53</v>
      </c>
      <c r="CB167" s="3" t="s">
        <v>3</v>
      </c>
      <c r="CE167" s="3">
        <v>1566</v>
      </c>
      <c r="CF167" s="3">
        <v>0</v>
      </c>
      <c r="CG167" s="3">
        <v>0</v>
      </c>
      <c r="CM167" s="3">
        <v>0</v>
      </c>
      <c r="CN167" s="3" t="s">
        <v>605</v>
      </c>
      <c r="CO167" s="3">
        <v>0</v>
      </c>
      <c r="CP167" s="3">
        <f t="shared" si="118"/>
        <v>8716.56</v>
      </c>
      <c r="CQ167" s="3">
        <f t="shared" si="135"/>
        <v>29.84</v>
      </c>
      <c r="CR167" s="3">
        <f>(ROUND((ROUND((((ET167*1.2))*AV167*1),2)*BB167),2)+ROUND((ROUND(((AE167-((EU167*1.2)))*AV167*1),2)*BS167),2))</f>
        <v>0</v>
      </c>
      <c r="CS167" s="3">
        <f>(ROUND((ROUND((((EU167*1.2))*AV167*1),2)*BS167),2)+ROUND((ROUND(((AE167-((EU167*1.2)))*AV167*1),2)*BS167),2))</f>
        <v>0</v>
      </c>
      <c r="CT167" s="3">
        <f t="shared" si="119"/>
        <v>841.87</v>
      </c>
      <c r="CU167" s="3">
        <f t="shared" si="120"/>
        <v>0</v>
      </c>
      <c r="CV167" s="3">
        <f t="shared" si="121"/>
        <v>1.2564</v>
      </c>
      <c r="CW167" s="3">
        <f t="shared" si="122"/>
        <v>0</v>
      </c>
      <c r="CX167" s="3">
        <f t="shared" si="123"/>
        <v>0</v>
      </c>
      <c r="CY167" s="3">
        <f>(ROUND((((S167+ROUND((ROUND((((EU167*1.2))*AV167*1),2)*BS167),2))*AT167)/100),2)+ROUND(((ROUND((ROUND(((AE167-((EU167*1.2)))*AV167*1),2)*BS167),2)*AT167)/100),2))</f>
        <v>7997.22</v>
      </c>
      <c r="CZ167" s="3">
        <f>(ROUND((((S167+ROUND((ROUND((((EU167*1.2))*AV167*1),2)*BS167),2))*AU167)/100),2)+ROUND(((ROUND((ROUND(((AE167-((EU167*1.2)))*AV167*1),2)*BS167),2)*AU167)/100),2))</f>
        <v>4461.6099999999997</v>
      </c>
      <c r="DB167" s="3">
        <v>74</v>
      </c>
      <c r="DC167" s="3" t="s">
        <v>3</v>
      </c>
      <c r="DD167" s="3" t="s">
        <v>77</v>
      </c>
      <c r="DE167" s="3" t="s">
        <v>78</v>
      </c>
      <c r="DF167" s="3" t="s">
        <v>78</v>
      </c>
      <c r="DG167" s="3" t="s">
        <v>78</v>
      </c>
      <c r="DH167" s="3" t="s">
        <v>3</v>
      </c>
      <c r="DI167" s="3" t="s">
        <v>78</v>
      </c>
      <c r="DJ167" s="3" t="s">
        <v>78</v>
      </c>
      <c r="DK167" s="3" t="s">
        <v>3</v>
      </c>
      <c r="DL167" s="3" t="s">
        <v>3</v>
      </c>
      <c r="DM167" s="3" t="s">
        <v>3</v>
      </c>
      <c r="DN167" s="3">
        <v>0</v>
      </c>
      <c r="DO167" s="3">
        <v>0</v>
      </c>
      <c r="DP167" s="3">
        <v>1</v>
      </c>
      <c r="DQ167" s="3">
        <v>1</v>
      </c>
      <c r="DU167" s="3">
        <v>1013</v>
      </c>
      <c r="DV167" s="3" t="s">
        <v>22</v>
      </c>
      <c r="DW167" s="3" t="s">
        <v>22</v>
      </c>
      <c r="DX167" s="3">
        <v>1</v>
      </c>
      <c r="DZ167" s="3" t="s">
        <v>3</v>
      </c>
      <c r="EA167" s="3" t="s">
        <v>3</v>
      </c>
      <c r="EB167" s="3" t="s">
        <v>3</v>
      </c>
      <c r="EC167" s="3" t="s">
        <v>3</v>
      </c>
      <c r="EE167" s="3">
        <v>55393701</v>
      </c>
      <c r="EF167" s="3">
        <v>40</v>
      </c>
      <c r="EG167" s="3" t="s">
        <v>26</v>
      </c>
      <c r="EH167" s="3">
        <v>0</v>
      </c>
      <c r="EI167" s="3" t="s">
        <v>3</v>
      </c>
      <c r="EJ167" s="3">
        <v>2</v>
      </c>
      <c r="EK167" s="3">
        <v>69</v>
      </c>
      <c r="EL167" s="3" t="s">
        <v>60</v>
      </c>
      <c r="EM167" s="3" t="s">
        <v>61</v>
      </c>
      <c r="EO167" s="3" t="s">
        <v>82</v>
      </c>
      <c r="EQ167" s="3">
        <v>0</v>
      </c>
      <c r="ER167" s="3">
        <v>13.56</v>
      </c>
      <c r="ES167" s="3">
        <v>1.67</v>
      </c>
      <c r="ET167" s="3">
        <v>0</v>
      </c>
      <c r="EU167" s="3">
        <v>0</v>
      </c>
      <c r="EV167" s="3">
        <v>11.89</v>
      </c>
      <c r="EW167" s="3">
        <v>1</v>
      </c>
      <c r="EX167" s="3">
        <v>0</v>
      </c>
      <c r="EY167" s="3">
        <v>0</v>
      </c>
      <c r="FQ167" s="3">
        <v>0</v>
      </c>
      <c r="FR167" s="3">
        <v>0</v>
      </c>
      <c r="FS167" s="3">
        <v>0</v>
      </c>
      <c r="FX167" s="3">
        <v>95</v>
      </c>
      <c r="FY167" s="3">
        <v>53</v>
      </c>
      <c r="GA167" s="3" t="s">
        <v>3</v>
      </c>
      <c r="GD167" s="3">
        <v>1</v>
      </c>
      <c r="GF167" s="3">
        <v>205901832</v>
      </c>
      <c r="GG167" s="3">
        <v>2</v>
      </c>
      <c r="GH167" s="3">
        <v>1</v>
      </c>
      <c r="GI167" s="3">
        <v>2</v>
      </c>
      <c r="GJ167" s="3">
        <v>0</v>
      </c>
      <c r="GK167" s="3">
        <v>0</v>
      </c>
      <c r="GL167" s="3">
        <f t="shared" si="124"/>
        <v>0</v>
      </c>
      <c r="GM167" s="3">
        <f t="shared" si="125"/>
        <v>21175.39</v>
      </c>
      <c r="GN167" s="3">
        <f t="shared" si="126"/>
        <v>0</v>
      </c>
      <c r="GO167" s="3">
        <f t="shared" si="127"/>
        <v>21175.39</v>
      </c>
      <c r="GP167" s="3">
        <f t="shared" si="128"/>
        <v>0</v>
      </c>
      <c r="GR167" s="3">
        <v>0</v>
      </c>
      <c r="GS167" s="3">
        <v>3</v>
      </c>
      <c r="GT167" s="3">
        <v>0</v>
      </c>
      <c r="GU167" s="3" t="s">
        <v>3</v>
      </c>
      <c r="GV167" s="3">
        <f t="shared" si="129"/>
        <v>0</v>
      </c>
      <c r="GW167" s="3">
        <v>1</v>
      </c>
      <c r="GX167" s="3">
        <f t="shared" si="130"/>
        <v>0</v>
      </c>
      <c r="HA167" s="3">
        <v>0</v>
      </c>
      <c r="HB167" s="3">
        <v>0</v>
      </c>
      <c r="HC167" s="3">
        <f t="shared" si="131"/>
        <v>0</v>
      </c>
      <c r="HE167" s="3" t="s">
        <v>3</v>
      </c>
      <c r="HF167" s="3" t="s">
        <v>3</v>
      </c>
      <c r="HM167" s="3" t="s">
        <v>3</v>
      </c>
      <c r="HN167" s="3" t="s">
        <v>3</v>
      </c>
      <c r="HO167" s="3" t="s">
        <v>3</v>
      </c>
      <c r="HP167" s="3" t="s">
        <v>3</v>
      </c>
      <c r="HQ167" s="3" t="s">
        <v>3</v>
      </c>
      <c r="HS167" s="3">
        <v>0</v>
      </c>
      <c r="IK167" s="3">
        <v>0</v>
      </c>
    </row>
    <row r="168" spans="1:255" x14ac:dyDescent="0.2">
      <c r="A168" s="2">
        <v>17</v>
      </c>
      <c r="B168" s="2">
        <v>1</v>
      </c>
      <c r="C168" s="2"/>
      <c r="D168" s="2"/>
      <c r="E168" s="2" t="s">
        <v>216</v>
      </c>
      <c r="F168" s="2" t="s">
        <v>217</v>
      </c>
      <c r="G168" s="2" t="s">
        <v>218</v>
      </c>
      <c r="H168" s="2" t="s">
        <v>191</v>
      </c>
      <c r="I168" s="2">
        <v>1</v>
      </c>
      <c r="J168" s="2">
        <v>0</v>
      </c>
      <c r="K168" s="2">
        <v>1</v>
      </c>
      <c r="L168" s="2"/>
      <c r="M168" s="2"/>
      <c r="N168" s="2"/>
      <c r="O168" s="2">
        <f t="shared" si="109"/>
        <v>83.32</v>
      </c>
      <c r="P168" s="2">
        <f>ROUND((ROUND((AC168*I168),2)*BC168),2)</f>
        <v>83.32</v>
      </c>
      <c r="Q168" s="2">
        <f>(ROUND((ROUND(((ET168)*AV168*I168),2)*BB168),2)+ROUND((ROUND(((AE168-(EU168))*AV168*I168),2)*BS168),2))</f>
        <v>0</v>
      </c>
      <c r="R168" s="2">
        <f>(ROUND((ROUND(((EU168)*AV168*I168),2)*BS168),2)+ROUND((ROUND(((AE168-(EU168))*AV168*I168),2)*BS168),2))</f>
        <v>0</v>
      </c>
      <c r="S168" s="2">
        <f t="shared" si="110"/>
        <v>0</v>
      </c>
      <c r="T168" s="2">
        <f t="shared" si="111"/>
        <v>0</v>
      </c>
      <c r="U168" s="2">
        <f t="shared" si="112"/>
        <v>0</v>
      </c>
      <c r="V168" s="2">
        <f t="shared" si="113"/>
        <v>0</v>
      </c>
      <c r="W168" s="2">
        <f t="shared" si="114"/>
        <v>0</v>
      </c>
      <c r="X168" s="2">
        <f>(ROUND((((S168+ROUND((ROUND(((EU168)*AV168*I168),2)*BS168),2))*AT168)/100),2)+ROUND(((ROUND((ROUND(((AE168-(EU168))*AV168*I168),2)*BS168),2)*AT168)/100),2))</f>
        <v>0</v>
      </c>
      <c r="Y168" s="2">
        <f>(ROUND((((S168+ROUND((ROUND(((EU168)*AV168*I168),2)*BS168),2))*AU168)/100),2)+ROUND(((ROUND((ROUND(((AE168-(EU168))*AV168*I168),2)*BS168),2)*AU168)/100),2))</f>
        <v>0</v>
      </c>
      <c r="Z168" s="2"/>
      <c r="AA168" s="2">
        <v>55915256</v>
      </c>
      <c r="AB168" s="2">
        <f t="shared" si="115"/>
        <v>83.32</v>
      </c>
      <c r="AC168" s="2">
        <f>ROUND((ES168),6)</f>
        <v>83.32</v>
      </c>
      <c r="AD168" s="2">
        <f>ROUND((((ET168)-(EU168))+AE168),6)</f>
        <v>0</v>
      </c>
      <c r="AE168" s="2">
        <f t="shared" ref="AE168:AF171" si="149">ROUND((EU168),6)</f>
        <v>0</v>
      </c>
      <c r="AF168" s="2">
        <f t="shared" si="149"/>
        <v>0</v>
      </c>
      <c r="AG168" s="2">
        <f t="shared" si="116"/>
        <v>0</v>
      </c>
      <c r="AH168" s="2">
        <f t="shared" ref="AH168:AI171" si="150">(EW168)</f>
        <v>0</v>
      </c>
      <c r="AI168" s="2">
        <f t="shared" si="150"/>
        <v>0</v>
      </c>
      <c r="AJ168" s="2">
        <f t="shared" si="117"/>
        <v>0</v>
      </c>
      <c r="AK168" s="2">
        <v>83.32</v>
      </c>
      <c r="AL168" s="2">
        <v>83.32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1</v>
      </c>
      <c r="AW168" s="2">
        <v>1</v>
      </c>
      <c r="AX168" s="2"/>
      <c r="AY168" s="2"/>
      <c r="AZ168" s="2">
        <v>1</v>
      </c>
      <c r="BA168" s="2">
        <v>1</v>
      </c>
      <c r="BB168" s="2">
        <v>1</v>
      </c>
      <c r="BC168" s="2">
        <v>1</v>
      </c>
      <c r="BD168" s="2" t="s">
        <v>3</v>
      </c>
      <c r="BE168" s="2" t="s">
        <v>3</v>
      </c>
      <c r="BF168" s="2" t="s">
        <v>3</v>
      </c>
      <c r="BG168" s="2" t="s">
        <v>3</v>
      </c>
      <c r="BH168" s="2">
        <v>3</v>
      </c>
      <c r="BI168" s="2">
        <v>3</v>
      </c>
      <c r="BJ168" s="2" t="s">
        <v>219</v>
      </c>
      <c r="BK168" s="2"/>
      <c r="BL168" s="2"/>
      <c r="BM168" s="2">
        <v>746</v>
      </c>
      <c r="BN168" s="2">
        <v>0</v>
      </c>
      <c r="BO168" s="2" t="s">
        <v>3</v>
      </c>
      <c r="BP168" s="2">
        <v>0</v>
      </c>
      <c r="BQ168" s="2">
        <v>130</v>
      </c>
      <c r="BR168" s="2">
        <v>0</v>
      </c>
      <c r="BS168" s="2">
        <v>1</v>
      </c>
      <c r="BT168" s="2">
        <v>1</v>
      </c>
      <c r="BU168" s="2">
        <v>1</v>
      </c>
      <c r="BV168" s="2">
        <v>1</v>
      </c>
      <c r="BW168" s="2">
        <v>1</v>
      </c>
      <c r="BX168" s="2">
        <v>1</v>
      </c>
      <c r="BY168" s="2" t="s">
        <v>3</v>
      </c>
      <c r="BZ168" s="2">
        <v>0</v>
      </c>
      <c r="CA168" s="2">
        <v>0</v>
      </c>
      <c r="CB168" s="2" t="s">
        <v>3</v>
      </c>
      <c r="CC168" s="2"/>
      <c r="CD168" s="2"/>
      <c r="CE168" s="2">
        <v>1566</v>
      </c>
      <c r="CF168" s="2">
        <v>0</v>
      </c>
      <c r="CG168" s="2">
        <v>0</v>
      </c>
      <c r="CH168" s="2"/>
      <c r="CI168" s="2"/>
      <c r="CJ168" s="2"/>
      <c r="CK168" s="2"/>
      <c r="CL168" s="2"/>
      <c r="CM168" s="2">
        <v>0</v>
      </c>
      <c r="CN168" s="2" t="s">
        <v>3</v>
      </c>
      <c r="CO168" s="2">
        <v>0</v>
      </c>
      <c r="CP168" s="2">
        <f t="shared" si="118"/>
        <v>83.32</v>
      </c>
      <c r="CQ168" s="2">
        <f>ROUND((ROUND((AC168*1),2)*BC168),2)</f>
        <v>83.32</v>
      </c>
      <c r="CR168" s="2">
        <f>(ROUND((ROUND(((ET168)*AV168*1),2)*BB168),2)+ROUND((ROUND(((AE168-(EU168))*AV168*1),2)*BS168),2))</f>
        <v>0</v>
      </c>
      <c r="CS168" s="2">
        <f>(ROUND((ROUND(((EU168)*AV168*1),2)*BS168),2)+ROUND((ROUND(((AE168-(EU168))*AV168*1),2)*BS168),2))</f>
        <v>0</v>
      </c>
      <c r="CT168" s="2">
        <f t="shared" si="119"/>
        <v>0</v>
      </c>
      <c r="CU168" s="2">
        <f t="shared" si="120"/>
        <v>0</v>
      </c>
      <c r="CV168" s="2">
        <f t="shared" si="121"/>
        <v>0</v>
      </c>
      <c r="CW168" s="2">
        <f t="shared" si="122"/>
        <v>0</v>
      </c>
      <c r="CX168" s="2">
        <f t="shared" si="123"/>
        <v>0</v>
      </c>
      <c r="CY168" s="2">
        <f>(ROUND((((S168+ROUND((ROUND(((EU168)*AV168*1),2)*BS168),2))*AT168)/100),2)+ROUND(((ROUND((ROUND(((AE168-(EU168))*AV168*1),2)*BS168),2)*AT168)/100),2))</f>
        <v>0</v>
      </c>
      <c r="CZ168" s="2">
        <f>(ROUND((((S168+ROUND((ROUND(((EU168)*AV168*1),2)*BS168),2))*AU168)/100),2)+ROUND(((ROUND((ROUND(((AE168-(EU168))*AV168*1),2)*BS168),2)*AU168)/100),2))</f>
        <v>0</v>
      </c>
      <c r="DA168" s="2"/>
      <c r="DB168" s="2"/>
      <c r="DC168" s="2" t="s">
        <v>3</v>
      </c>
      <c r="DD168" s="2" t="s">
        <v>3</v>
      </c>
      <c r="DE168" s="2" t="s">
        <v>3</v>
      </c>
      <c r="DF168" s="2" t="s">
        <v>3</v>
      </c>
      <c r="DG168" s="2" t="s">
        <v>3</v>
      </c>
      <c r="DH168" s="2" t="s">
        <v>3</v>
      </c>
      <c r="DI168" s="2" t="s">
        <v>3</v>
      </c>
      <c r="DJ168" s="2" t="s">
        <v>3</v>
      </c>
      <c r="DK168" s="2" t="s">
        <v>3</v>
      </c>
      <c r="DL168" s="2" t="s">
        <v>3</v>
      </c>
      <c r="DM168" s="2" t="s">
        <v>3</v>
      </c>
      <c r="DN168" s="2">
        <v>0</v>
      </c>
      <c r="DO168" s="2">
        <v>0</v>
      </c>
      <c r="DP168" s="2">
        <v>1</v>
      </c>
      <c r="DQ168" s="2">
        <v>1</v>
      </c>
      <c r="DR168" s="2"/>
      <c r="DS168" s="2"/>
      <c r="DT168" s="2"/>
      <c r="DU168" s="2">
        <v>1010</v>
      </c>
      <c r="DV168" s="2" t="s">
        <v>191</v>
      </c>
      <c r="DW168" s="2" t="s">
        <v>191</v>
      </c>
      <c r="DX168" s="2">
        <v>1</v>
      </c>
      <c r="DY168" s="2"/>
      <c r="DZ168" s="2" t="s">
        <v>3</v>
      </c>
      <c r="EA168" s="2" t="s">
        <v>3</v>
      </c>
      <c r="EB168" s="2" t="s">
        <v>3</v>
      </c>
      <c r="EC168" s="2" t="s">
        <v>3</v>
      </c>
      <c r="ED168" s="2"/>
      <c r="EE168" s="2">
        <v>55393806</v>
      </c>
      <c r="EF168" s="2">
        <v>130</v>
      </c>
      <c r="EG168" s="2" t="s">
        <v>193</v>
      </c>
      <c r="EH168" s="2">
        <v>0</v>
      </c>
      <c r="EI168" s="2" t="s">
        <v>3</v>
      </c>
      <c r="EJ168" s="2">
        <v>3</v>
      </c>
      <c r="EK168" s="2">
        <v>746</v>
      </c>
      <c r="EL168" s="2" t="s">
        <v>194</v>
      </c>
      <c r="EM168" s="2" t="s">
        <v>195</v>
      </c>
      <c r="EN168" s="2"/>
      <c r="EO168" s="2" t="s">
        <v>3</v>
      </c>
      <c r="EP168" s="2"/>
      <c r="EQ168" s="2">
        <v>0</v>
      </c>
      <c r="ER168" s="2">
        <v>83.32</v>
      </c>
      <c r="ES168" s="2">
        <v>83.32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>
        <v>0</v>
      </c>
      <c r="FR168" s="2">
        <f>P168</f>
        <v>83.32</v>
      </c>
      <c r="FS168" s="2">
        <v>0</v>
      </c>
      <c r="FT168" s="2"/>
      <c r="FU168" s="2"/>
      <c r="FV168" s="2"/>
      <c r="FW168" s="2"/>
      <c r="FX168" s="2">
        <v>0</v>
      </c>
      <c r="FY168" s="2">
        <v>0</v>
      </c>
      <c r="FZ168" s="2"/>
      <c r="GA168" s="2" t="s">
        <v>3</v>
      </c>
      <c r="GB168" s="2"/>
      <c r="GC168" s="2"/>
      <c r="GD168" s="2">
        <v>1</v>
      </c>
      <c r="GE168" s="2"/>
      <c r="GF168" s="2">
        <v>1387177213</v>
      </c>
      <c r="GG168" s="2">
        <v>2</v>
      </c>
      <c r="GH168" s="2">
        <v>1</v>
      </c>
      <c r="GI168" s="2">
        <v>-2</v>
      </c>
      <c r="GJ168" s="2">
        <v>0</v>
      </c>
      <c r="GK168" s="2">
        <v>0</v>
      </c>
      <c r="GL168" s="2">
        <f t="shared" si="124"/>
        <v>0</v>
      </c>
      <c r="GM168" s="2">
        <f t="shared" si="125"/>
        <v>83.32</v>
      </c>
      <c r="GN168" s="2">
        <f t="shared" si="126"/>
        <v>0</v>
      </c>
      <c r="GO168" s="2">
        <f t="shared" si="127"/>
        <v>0</v>
      </c>
      <c r="GP168" s="2">
        <f t="shared" si="128"/>
        <v>0</v>
      </c>
      <c r="GQ168" s="2"/>
      <c r="GR168" s="2">
        <v>0</v>
      </c>
      <c r="GS168" s="2">
        <v>3</v>
      </c>
      <c r="GT168" s="2">
        <v>0</v>
      </c>
      <c r="GU168" s="2" t="s">
        <v>3</v>
      </c>
      <c r="GV168" s="2">
        <f t="shared" si="129"/>
        <v>0</v>
      </c>
      <c r="GW168" s="2">
        <v>1</v>
      </c>
      <c r="GX168" s="2">
        <f t="shared" si="130"/>
        <v>0</v>
      </c>
      <c r="GY168" s="2"/>
      <c r="GZ168" s="2"/>
      <c r="HA168" s="2">
        <v>0</v>
      </c>
      <c r="HB168" s="2">
        <v>0</v>
      </c>
      <c r="HC168" s="2">
        <f t="shared" si="131"/>
        <v>0</v>
      </c>
      <c r="HD168" s="2"/>
      <c r="HE168" s="2" t="s">
        <v>3</v>
      </c>
      <c r="HF168" s="2" t="s">
        <v>3</v>
      </c>
      <c r="HG168" s="2"/>
      <c r="HH168" s="2"/>
      <c r="HI168" s="2"/>
      <c r="HJ168" s="2"/>
      <c r="HK168" s="2"/>
      <c r="HL168" s="2"/>
      <c r="HM168" s="2" t="s">
        <v>3</v>
      </c>
      <c r="HN168" s="2" t="s">
        <v>3</v>
      </c>
      <c r="HO168" s="2" t="s">
        <v>3</v>
      </c>
      <c r="HP168" s="2" t="s">
        <v>3</v>
      </c>
      <c r="HQ168" s="2" t="s">
        <v>3</v>
      </c>
      <c r="HR168" s="2"/>
      <c r="HS168" s="2">
        <v>0</v>
      </c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>
        <v>0</v>
      </c>
      <c r="IL168" s="2"/>
      <c r="IM168" s="2"/>
      <c r="IN168" s="2"/>
      <c r="IO168" s="2"/>
      <c r="IP168" s="2"/>
      <c r="IQ168" s="2"/>
      <c r="IR168" s="2"/>
      <c r="IS168" s="2"/>
      <c r="IT168" s="2"/>
      <c r="IU168" s="2"/>
    </row>
    <row r="169" spans="1:255" x14ac:dyDescent="0.2">
      <c r="A169" s="3">
        <v>17</v>
      </c>
      <c r="B169" s="3">
        <v>1</v>
      </c>
      <c r="E169" s="3" t="s">
        <v>216</v>
      </c>
      <c r="F169" s="3" t="s">
        <v>217</v>
      </c>
      <c r="G169" s="3" t="s">
        <v>218</v>
      </c>
      <c r="H169" s="3" t="s">
        <v>191</v>
      </c>
      <c r="I169" s="3">
        <v>1</v>
      </c>
      <c r="J169" s="3">
        <v>0</v>
      </c>
      <c r="K169" s="3">
        <v>1</v>
      </c>
      <c r="O169" s="3">
        <f t="shared" si="109"/>
        <v>208.3</v>
      </c>
      <c r="P169" s="3">
        <f>ROUND((ROUND((AC169*I169),2)*BC169),2)</f>
        <v>208.3</v>
      </c>
      <c r="Q169" s="3">
        <f>(ROUND((ROUND(((ET169)*AV169*I169),2)*BB169),2)+ROUND((ROUND(((AE169-(EU169))*AV169*I169),2)*BS169),2))</f>
        <v>0</v>
      </c>
      <c r="R169" s="3">
        <f>(ROUND((ROUND(((EU169)*AV169*I169),2)*BS169),2)+ROUND((ROUND(((AE169-(EU169))*AV169*I169),2)*BS169),2))</f>
        <v>0</v>
      </c>
      <c r="S169" s="3">
        <f t="shared" si="110"/>
        <v>0</v>
      </c>
      <c r="T169" s="3">
        <f t="shared" si="111"/>
        <v>0</v>
      </c>
      <c r="U169" s="3">
        <f t="shared" si="112"/>
        <v>0</v>
      </c>
      <c r="V169" s="3">
        <f t="shared" si="113"/>
        <v>0</v>
      </c>
      <c r="W169" s="3">
        <f t="shared" si="114"/>
        <v>0</v>
      </c>
      <c r="X169" s="3">
        <f>(ROUND((((S169+ROUND((ROUND(((EU169)*AV169*I169),2)*BS169),2))*AT169)/100),2)+ROUND(((ROUND((ROUND(((AE169-(EU169))*AV169*I169),2)*BS169),2)*AT169)/100),2))</f>
        <v>0</v>
      </c>
      <c r="Y169" s="3">
        <f>(ROUND((((S169+ROUND((ROUND(((EU169)*AV169*I169),2)*BS169),2))*AU169)/100),2)+ROUND(((ROUND((ROUND(((AE169-(EU169))*AV169*I169),2)*BS169),2)*AU169)/100),2))</f>
        <v>0</v>
      </c>
      <c r="AA169" s="3">
        <v>55915258</v>
      </c>
      <c r="AB169" s="3">
        <f t="shared" si="115"/>
        <v>83.32</v>
      </c>
      <c r="AC169" s="3">
        <f>ROUND((ES169),6)</f>
        <v>83.32</v>
      </c>
      <c r="AD169" s="3">
        <f>ROUND((((ET169)-(EU169))+AE169),6)</f>
        <v>0</v>
      </c>
      <c r="AE169" s="3">
        <f t="shared" si="149"/>
        <v>0</v>
      </c>
      <c r="AF169" s="3">
        <f t="shared" si="149"/>
        <v>0</v>
      </c>
      <c r="AG169" s="3">
        <f t="shared" si="116"/>
        <v>0</v>
      </c>
      <c r="AH169" s="3">
        <f t="shared" si="150"/>
        <v>0</v>
      </c>
      <c r="AI169" s="3">
        <f t="shared" si="150"/>
        <v>0</v>
      </c>
      <c r="AJ169" s="3">
        <f t="shared" si="117"/>
        <v>0</v>
      </c>
      <c r="AK169" s="3">
        <v>83.32</v>
      </c>
      <c r="AL169" s="3">
        <v>83.32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1</v>
      </c>
      <c r="AW169" s="3">
        <v>1</v>
      </c>
      <c r="AZ169" s="3">
        <v>1</v>
      </c>
      <c r="BA169" s="3">
        <v>1</v>
      </c>
      <c r="BB169" s="3">
        <v>1</v>
      </c>
      <c r="BC169" s="3">
        <v>2.5</v>
      </c>
      <c r="BD169" s="3" t="s">
        <v>3</v>
      </c>
      <c r="BE169" s="3" t="s">
        <v>3</v>
      </c>
      <c r="BF169" s="3" t="s">
        <v>3</v>
      </c>
      <c r="BG169" s="3" t="s">
        <v>3</v>
      </c>
      <c r="BH169" s="3">
        <v>3</v>
      </c>
      <c r="BI169" s="3">
        <v>3</v>
      </c>
      <c r="BJ169" s="3" t="s">
        <v>219</v>
      </c>
      <c r="BM169" s="3">
        <v>746</v>
      </c>
      <c r="BN169" s="3">
        <v>0</v>
      </c>
      <c r="BO169" s="3" t="s">
        <v>3</v>
      </c>
      <c r="BP169" s="3">
        <v>0</v>
      </c>
      <c r="BQ169" s="3">
        <v>130</v>
      </c>
      <c r="BR169" s="3">
        <v>0</v>
      </c>
      <c r="BS169" s="3">
        <v>1</v>
      </c>
      <c r="BT169" s="3">
        <v>1</v>
      </c>
      <c r="BU169" s="3">
        <v>1</v>
      </c>
      <c r="BV169" s="3">
        <v>1</v>
      </c>
      <c r="BW169" s="3">
        <v>1</v>
      </c>
      <c r="BX169" s="3">
        <v>1</v>
      </c>
      <c r="BY169" s="3" t="s">
        <v>3</v>
      </c>
      <c r="BZ169" s="3">
        <v>0</v>
      </c>
      <c r="CA169" s="3">
        <v>0</v>
      </c>
      <c r="CB169" s="3" t="s">
        <v>3</v>
      </c>
      <c r="CE169" s="3">
        <v>1566</v>
      </c>
      <c r="CF169" s="3">
        <v>0</v>
      </c>
      <c r="CG169" s="3">
        <v>0</v>
      </c>
      <c r="CM169" s="3">
        <v>0</v>
      </c>
      <c r="CN169" s="3" t="s">
        <v>3</v>
      </c>
      <c r="CO169" s="3">
        <v>0</v>
      </c>
      <c r="CP169" s="3">
        <f t="shared" si="118"/>
        <v>208.3</v>
      </c>
      <c r="CQ169" s="3">
        <f>ROUND((ROUND((AC169*1),2)*BC169),2)</f>
        <v>208.3</v>
      </c>
      <c r="CR169" s="3">
        <f>(ROUND((ROUND(((ET169)*AV169*1),2)*BB169),2)+ROUND((ROUND(((AE169-(EU169))*AV169*1),2)*BS169),2))</f>
        <v>0</v>
      </c>
      <c r="CS169" s="3">
        <f>(ROUND((ROUND(((EU169)*AV169*1),2)*BS169),2)+ROUND((ROUND(((AE169-(EU169))*AV169*1),2)*BS169),2))</f>
        <v>0</v>
      </c>
      <c r="CT169" s="3">
        <f t="shared" si="119"/>
        <v>0</v>
      </c>
      <c r="CU169" s="3">
        <f t="shared" si="120"/>
        <v>0</v>
      </c>
      <c r="CV169" s="3">
        <f t="shared" si="121"/>
        <v>0</v>
      </c>
      <c r="CW169" s="3">
        <f t="shared" si="122"/>
        <v>0</v>
      </c>
      <c r="CX169" s="3">
        <f t="shared" si="123"/>
        <v>0</v>
      </c>
      <c r="CY169" s="3">
        <f>(ROUND((((S169+ROUND((ROUND(((EU169)*AV169*1),2)*BS169),2))*AT169)/100),2)+ROUND(((ROUND((ROUND(((AE169-(EU169))*AV169*1),2)*BS169),2)*AT169)/100),2))</f>
        <v>0</v>
      </c>
      <c r="CZ169" s="3">
        <f>(ROUND((((S169+ROUND((ROUND(((EU169)*AV169*1),2)*BS169),2))*AU169)/100),2)+ROUND(((ROUND((ROUND(((AE169-(EU169))*AV169*1),2)*BS169),2)*AU169)/100),2))</f>
        <v>0</v>
      </c>
      <c r="DC169" s="3" t="s">
        <v>3</v>
      </c>
      <c r="DD169" s="3" t="s">
        <v>3</v>
      </c>
      <c r="DE169" s="3" t="s">
        <v>3</v>
      </c>
      <c r="DF169" s="3" t="s">
        <v>3</v>
      </c>
      <c r="DG169" s="3" t="s">
        <v>3</v>
      </c>
      <c r="DH169" s="3" t="s">
        <v>3</v>
      </c>
      <c r="DI169" s="3" t="s">
        <v>3</v>
      </c>
      <c r="DJ169" s="3" t="s">
        <v>3</v>
      </c>
      <c r="DK169" s="3" t="s">
        <v>3</v>
      </c>
      <c r="DL169" s="3" t="s">
        <v>3</v>
      </c>
      <c r="DM169" s="3" t="s">
        <v>3</v>
      </c>
      <c r="DN169" s="3">
        <v>0</v>
      </c>
      <c r="DO169" s="3">
        <v>0</v>
      </c>
      <c r="DP169" s="3">
        <v>1</v>
      </c>
      <c r="DQ169" s="3">
        <v>1</v>
      </c>
      <c r="DU169" s="3">
        <v>1010</v>
      </c>
      <c r="DV169" s="3" t="s">
        <v>191</v>
      </c>
      <c r="DW169" s="3" t="s">
        <v>191</v>
      </c>
      <c r="DX169" s="3">
        <v>1</v>
      </c>
      <c r="DZ169" s="3" t="s">
        <v>3</v>
      </c>
      <c r="EA169" s="3" t="s">
        <v>3</v>
      </c>
      <c r="EB169" s="3" t="s">
        <v>3</v>
      </c>
      <c r="EC169" s="3" t="s">
        <v>3</v>
      </c>
      <c r="EE169" s="3">
        <v>55393806</v>
      </c>
      <c r="EF169" s="3">
        <v>130</v>
      </c>
      <c r="EG169" s="3" t="s">
        <v>193</v>
      </c>
      <c r="EH169" s="3">
        <v>0</v>
      </c>
      <c r="EI169" s="3" t="s">
        <v>3</v>
      </c>
      <c r="EJ169" s="3">
        <v>3</v>
      </c>
      <c r="EK169" s="3">
        <v>746</v>
      </c>
      <c r="EL169" s="3" t="s">
        <v>194</v>
      </c>
      <c r="EM169" s="3" t="s">
        <v>195</v>
      </c>
      <c r="EO169" s="3" t="s">
        <v>3</v>
      </c>
      <c r="EQ169" s="3">
        <v>0</v>
      </c>
      <c r="ER169" s="3">
        <v>83.32</v>
      </c>
      <c r="ES169" s="3">
        <v>83.32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FQ169" s="3">
        <v>0</v>
      </c>
      <c r="FR169" s="3">
        <f>P169</f>
        <v>208.3</v>
      </c>
      <c r="FS169" s="3">
        <v>0</v>
      </c>
      <c r="FX169" s="3">
        <v>0</v>
      </c>
      <c r="FY169" s="3">
        <v>0</v>
      </c>
      <c r="GA169" s="3" t="s">
        <v>3</v>
      </c>
      <c r="GD169" s="3">
        <v>1</v>
      </c>
      <c r="GF169" s="3">
        <v>1387177213</v>
      </c>
      <c r="GG169" s="3">
        <v>2</v>
      </c>
      <c r="GH169" s="3">
        <v>1</v>
      </c>
      <c r="GI169" s="3">
        <v>2</v>
      </c>
      <c r="GJ169" s="3">
        <v>0</v>
      </c>
      <c r="GK169" s="3">
        <v>0</v>
      </c>
      <c r="GL169" s="3">
        <f t="shared" si="124"/>
        <v>0</v>
      </c>
      <c r="GM169" s="3">
        <f t="shared" si="125"/>
        <v>208.3</v>
      </c>
      <c r="GN169" s="3">
        <f t="shared" si="126"/>
        <v>0</v>
      </c>
      <c r="GO169" s="3">
        <f t="shared" si="127"/>
        <v>0</v>
      </c>
      <c r="GP169" s="3">
        <f t="shared" si="128"/>
        <v>0</v>
      </c>
      <c r="GR169" s="3">
        <v>0</v>
      </c>
      <c r="GS169" s="3">
        <v>3</v>
      </c>
      <c r="GT169" s="3">
        <v>0</v>
      </c>
      <c r="GU169" s="3" t="s">
        <v>3</v>
      </c>
      <c r="GV169" s="3">
        <f t="shared" si="129"/>
        <v>0</v>
      </c>
      <c r="GW169" s="3">
        <v>1</v>
      </c>
      <c r="GX169" s="3">
        <f t="shared" si="130"/>
        <v>0</v>
      </c>
      <c r="HA169" s="3">
        <v>0</v>
      </c>
      <c r="HB169" s="3">
        <v>0</v>
      </c>
      <c r="HC169" s="3">
        <f t="shared" si="131"/>
        <v>0</v>
      </c>
      <c r="HE169" s="3" t="s">
        <v>3</v>
      </c>
      <c r="HF169" s="3" t="s">
        <v>3</v>
      </c>
      <c r="HM169" s="3" t="s">
        <v>3</v>
      </c>
      <c r="HN169" s="3" t="s">
        <v>3</v>
      </c>
      <c r="HO169" s="3" t="s">
        <v>3</v>
      </c>
      <c r="HP169" s="3" t="s">
        <v>3</v>
      </c>
      <c r="HQ169" s="3" t="s">
        <v>3</v>
      </c>
      <c r="HS169" s="3">
        <v>0</v>
      </c>
      <c r="IK169" s="3">
        <v>0</v>
      </c>
    </row>
    <row r="170" spans="1:255" x14ac:dyDescent="0.2">
      <c r="A170" s="2">
        <v>17</v>
      </c>
      <c r="B170" s="2">
        <v>1</v>
      </c>
      <c r="C170" s="2"/>
      <c r="D170" s="2"/>
      <c r="E170" s="2" t="s">
        <v>220</v>
      </c>
      <c r="F170" s="2" t="s">
        <v>221</v>
      </c>
      <c r="G170" s="2" t="s">
        <v>222</v>
      </c>
      <c r="H170" s="2" t="s">
        <v>153</v>
      </c>
      <c r="I170" s="2">
        <v>9</v>
      </c>
      <c r="J170" s="2">
        <v>0</v>
      </c>
      <c r="K170" s="2">
        <v>9</v>
      </c>
      <c r="L170" s="2"/>
      <c r="M170" s="2"/>
      <c r="N170" s="2"/>
      <c r="O170" s="2">
        <f t="shared" si="109"/>
        <v>1275.3900000000001</v>
      </c>
      <c r="P170" s="2">
        <f>ROUND((ROUND((AC170*AW170*I170),2)*BC170),2)</f>
        <v>1275.3900000000001</v>
      </c>
      <c r="Q170" s="2">
        <f>(ROUND((ROUND(((ET170)*AV170*I170),2)*BB170),2)+ROUND((ROUND(((AE170-(EU170))*AV170*I170),2)*BS170),2))</f>
        <v>0</v>
      </c>
      <c r="R170" s="2">
        <f>(ROUND((ROUND(((EU170)*AV170*I170),2)*BS170),2)+ROUND((ROUND(((AE170-(EU170))*AV170*I170),2)*BS170),2))</f>
        <v>0</v>
      </c>
      <c r="S170" s="2">
        <f t="shared" si="110"/>
        <v>0</v>
      </c>
      <c r="T170" s="2">
        <f t="shared" si="111"/>
        <v>0</v>
      </c>
      <c r="U170" s="2">
        <f t="shared" si="112"/>
        <v>0</v>
      </c>
      <c r="V170" s="2">
        <f t="shared" si="113"/>
        <v>0</v>
      </c>
      <c r="W170" s="2">
        <f t="shared" si="114"/>
        <v>0</v>
      </c>
      <c r="X170" s="2">
        <f>(ROUND((((S170+ROUND((ROUND(((EU170)*AV170*I170),2)*BS170),2))*AT170)/100),2)+ROUND(((ROUND((ROUND(((AE170-(EU170))*AV170*I170),2)*BS170),2)*AT170)/100),2))</f>
        <v>0</v>
      </c>
      <c r="Y170" s="2">
        <f>(ROUND((((S170+ROUND((ROUND(((EU170)*AV170*I170),2)*BS170),2))*AU170)/100),2)+ROUND(((ROUND((ROUND(((AE170-(EU170))*AV170*I170),2)*BS170),2)*AU170)/100),2))</f>
        <v>0</v>
      </c>
      <c r="Z170" s="2"/>
      <c r="AA170" s="2">
        <v>55915256</v>
      </c>
      <c r="AB170" s="2">
        <f t="shared" si="115"/>
        <v>141.71</v>
      </c>
      <c r="AC170" s="2">
        <f>ROUND((ES170),6)</f>
        <v>141.71</v>
      </c>
      <c r="AD170" s="2">
        <f>ROUND((((ET170)-(EU170))+AE170),6)</f>
        <v>0</v>
      </c>
      <c r="AE170" s="2">
        <f t="shared" si="149"/>
        <v>0</v>
      </c>
      <c r="AF170" s="2">
        <f t="shared" si="149"/>
        <v>0</v>
      </c>
      <c r="AG170" s="2">
        <f t="shared" si="116"/>
        <v>0</v>
      </c>
      <c r="AH170" s="2">
        <f t="shared" si="150"/>
        <v>0</v>
      </c>
      <c r="AI170" s="2">
        <f t="shared" si="150"/>
        <v>0</v>
      </c>
      <c r="AJ170" s="2">
        <f t="shared" si="117"/>
        <v>0</v>
      </c>
      <c r="AK170" s="2">
        <v>141.71</v>
      </c>
      <c r="AL170" s="2">
        <v>141.71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1</v>
      </c>
      <c r="AW170" s="2">
        <v>1</v>
      </c>
      <c r="AX170" s="2"/>
      <c r="AY170" s="2"/>
      <c r="AZ170" s="2">
        <v>1</v>
      </c>
      <c r="BA170" s="2">
        <v>1</v>
      </c>
      <c r="BB170" s="2">
        <v>1</v>
      </c>
      <c r="BC170" s="2">
        <v>1</v>
      </c>
      <c r="BD170" s="2" t="s">
        <v>3</v>
      </c>
      <c r="BE170" s="2" t="s">
        <v>3</v>
      </c>
      <c r="BF170" s="2" t="s">
        <v>3</v>
      </c>
      <c r="BG170" s="2" t="s">
        <v>3</v>
      </c>
      <c r="BH170" s="2">
        <v>3</v>
      </c>
      <c r="BI170" s="2">
        <v>3</v>
      </c>
      <c r="BJ170" s="2" t="s">
        <v>221</v>
      </c>
      <c r="BK170" s="2"/>
      <c r="BL170" s="2"/>
      <c r="BM170" s="2">
        <v>400007</v>
      </c>
      <c r="BN170" s="2">
        <v>0</v>
      </c>
      <c r="BO170" s="2" t="s">
        <v>3</v>
      </c>
      <c r="BP170" s="2">
        <v>0</v>
      </c>
      <c r="BQ170" s="2">
        <v>214</v>
      </c>
      <c r="BR170" s="2">
        <v>0</v>
      </c>
      <c r="BS170" s="2">
        <v>1</v>
      </c>
      <c r="BT170" s="2">
        <v>1</v>
      </c>
      <c r="BU170" s="2">
        <v>1</v>
      </c>
      <c r="BV170" s="2">
        <v>1</v>
      </c>
      <c r="BW170" s="2">
        <v>1</v>
      </c>
      <c r="BX170" s="2">
        <v>1</v>
      </c>
      <c r="BY170" s="2" t="s">
        <v>3</v>
      </c>
      <c r="BZ170" s="2">
        <v>0</v>
      </c>
      <c r="CA170" s="2">
        <v>0</v>
      </c>
      <c r="CB170" s="2" t="s">
        <v>3</v>
      </c>
      <c r="CC170" s="2"/>
      <c r="CD170" s="2"/>
      <c r="CE170" s="2">
        <v>1566</v>
      </c>
      <c r="CF170" s="2">
        <v>0</v>
      </c>
      <c r="CG170" s="2">
        <v>0</v>
      </c>
      <c r="CH170" s="2"/>
      <c r="CI170" s="2"/>
      <c r="CJ170" s="2"/>
      <c r="CK170" s="2"/>
      <c r="CL170" s="2"/>
      <c r="CM170" s="2">
        <v>0</v>
      </c>
      <c r="CN170" s="2" t="s">
        <v>3</v>
      </c>
      <c r="CO170" s="2">
        <v>0</v>
      </c>
      <c r="CP170" s="2">
        <f t="shared" si="118"/>
        <v>1275.3900000000001</v>
      </c>
      <c r="CQ170" s="2">
        <f>ROUND((ROUND((AC170*AW170*1),2)*BC170),2)</f>
        <v>141.71</v>
      </c>
      <c r="CR170" s="2">
        <f>(ROUND((ROUND(((ET170)*AV170*1),2)*BB170),2)+ROUND((ROUND(((AE170-(EU170))*AV170*1),2)*BS170),2))</f>
        <v>0</v>
      </c>
      <c r="CS170" s="2">
        <f>(ROUND((ROUND(((EU170)*AV170*1),2)*BS170),2)+ROUND((ROUND(((AE170-(EU170))*AV170*1),2)*BS170),2))</f>
        <v>0</v>
      </c>
      <c r="CT170" s="2">
        <f t="shared" si="119"/>
        <v>0</v>
      </c>
      <c r="CU170" s="2">
        <f t="shared" si="120"/>
        <v>0</v>
      </c>
      <c r="CV170" s="2">
        <f t="shared" si="121"/>
        <v>0</v>
      </c>
      <c r="CW170" s="2">
        <f t="shared" si="122"/>
        <v>0</v>
      </c>
      <c r="CX170" s="2">
        <f t="shared" si="123"/>
        <v>0</v>
      </c>
      <c r="CY170" s="2">
        <f>(ROUND((((S170+ROUND((ROUND(((EU170)*AV170*1),2)*BS170),2))*AT170)/100),2)+ROUND(((ROUND((ROUND(((AE170-(EU170))*AV170*1),2)*BS170),2)*AT170)/100),2))</f>
        <v>0</v>
      </c>
      <c r="CZ170" s="2">
        <f>(ROUND((((S170+ROUND((ROUND(((EU170)*AV170*1),2)*BS170),2))*AU170)/100),2)+ROUND(((ROUND((ROUND(((AE170-(EU170))*AV170*1),2)*BS170),2)*AU170)/100),2))</f>
        <v>0</v>
      </c>
      <c r="DA170" s="2"/>
      <c r="DB170" s="2"/>
      <c r="DC170" s="2" t="s">
        <v>3</v>
      </c>
      <c r="DD170" s="2" t="s">
        <v>3</v>
      </c>
      <c r="DE170" s="2" t="s">
        <v>3</v>
      </c>
      <c r="DF170" s="2" t="s">
        <v>3</v>
      </c>
      <c r="DG170" s="2" t="s">
        <v>3</v>
      </c>
      <c r="DH170" s="2" t="s">
        <v>3</v>
      </c>
      <c r="DI170" s="2" t="s">
        <v>3</v>
      </c>
      <c r="DJ170" s="2" t="s">
        <v>3</v>
      </c>
      <c r="DK170" s="2" t="s">
        <v>3</v>
      </c>
      <c r="DL170" s="2" t="s">
        <v>3</v>
      </c>
      <c r="DM170" s="2" t="s">
        <v>3</v>
      </c>
      <c r="DN170" s="2">
        <v>0</v>
      </c>
      <c r="DO170" s="2">
        <v>0</v>
      </c>
      <c r="DP170" s="2">
        <v>1</v>
      </c>
      <c r="DQ170" s="2">
        <v>1</v>
      </c>
      <c r="DR170" s="2"/>
      <c r="DS170" s="2"/>
      <c r="DT170" s="2"/>
      <c r="DU170" s="2">
        <v>1013</v>
      </c>
      <c r="DV170" s="2" t="s">
        <v>153</v>
      </c>
      <c r="DW170" s="2" t="s">
        <v>153</v>
      </c>
      <c r="DX170" s="2">
        <v>1</v>
      </c>
      <c r="DY170" s="2"/>
      <c r="DZ170" s="2" t="s">
        <v>3</v>
      </c>
      <c r="EA170" s="2" t="s">
        <v>3</v>
      </c>
      <c r="EB170" s="2" t="s">
        <v>3</v>
      </c>
      <c r="EC170" s="2" t="s">
        <v>3</v>
      </c>
      <c r="ED170" s="2"/>
      <c r="EE170" s="2">
        <v>55393630</v>
      </c>
      <c r="EF170" s="2">
        <v>214</v>
      </c>
      <c r="EG170" s="2" t="s">
        <v>154</v>
      </c>
      <c r="EH170" s="2">
        <v>0</v>
      </c>
      <c r="EI170" s="2" t="s">
        <v>3</v>
      </c>
      <c r="EJ170" s="2">
        <v>3</v>
      </c>
      <c r="EK170" s="2">
        <v>400007</v>
      </c>
      <c r="EL170" s="2" t="s">
        <v>154</v>
      </c>
      <c r="EM170" s="2" t="s">
        <v>155</v>
      </c>
      <c r="EN170" s="2"/>
      <c r="EO170" s="2" t="s">
        <v>3</v>
      </c>
      <c r="EP170" s="2"/>
      <c r="EQ170" s="2">
        <v>16</v>
      </c>
      <c r="ER170" s="2">
        <v>0</v>
      </c>
      <c r="ES170" s="2">
        <v>141.71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>
        <v>0</v>
      </c>
      <c r="FR170" s="2">
        <f>P170</f>
        <v>1275.3900000000001</v>
      </c>
      <c r="FS170" s="2">
        <v>0</v>
      </c>
      <c r="FT170" s="2"/>
      <c r="FU170" s="2"/>
      <c r="FV170" s="2"/>
      <c r="FW170" s="2"/>
      <c r="FX170" s="2">
        <v>0</v>
      </c>
      <c r="FY170" s="2">
        <v>0</v>
      </c>
      <c r="FZ170" s="2"/>
      <c r="GA170" s="2" t="s">
        <v>223</v>
      </c>
      <c r="GB170" s="2"/>
      <c r="GC170" s="2"/>
      <c r="GD170" s="2">
        <v>1</v>
      </c>
      <c r="GE170" s="2"/>
      <c r="GF170" s="2">
        <v>-1639517283</v>
      </c>
      <c r="GG170" s="2">
        <v>2</v>
      </c>
      <c r="GH170" s="2">
        <v>4</v>
      </c>
      <c r="GI170" s="2">
        <v>-2</v>
      </c>
      <c r="GJ170" s="2">
        <v>0</v>
      </c>
      <c r="GK170" s="2">
        <v>0</v>
      </c>
      <c r="GL170" s="2">
        <f t="shared" si="124"/>
        <v>0</v>
      </c>
      <c r="GM170" s="2">
        <f t="shared" si="125"/>
        <v>1275.3900000000001</v>
      </c>
      <c r="GN170" s="2">
        <f t="shared" si="126"/>
        <v>0</v>
      </c>
      <c r="GO170" s="2">
        <f t="shared" si="127"/>
        <v>0</v>
      </c>
      <c r="GP170" s="2">
        <f t="shared" si="128"/>
        <v>0</v>
      </c>
      <c r="GQ170" s="2"/>
      <c r="GR170" s="2">
        <v>1</v>
      </c>
      <c r="GS170" s="2">
        <v>2</v>
      </c>
      <c r="GT170" s="2">
        <v>0</v>
      </c>
      <c r="GU170" s="2" t="s">
        <v>3</v>
      </c>
      <c r="GV170" s="2">
        <f t="shared" si="129"/>
        <v>0</v>
      </c>
      <c r="GW170" s="2">
        <v>1</v>
      </c>
      <c r="GX170" s="2">
        <f t="shared" si="130"/>
        <v>0</v>
      </c>
      <c r="GY170" s="2"/>
      <c r="GZ170" s="2"/>
      <c r="HA170" s="2">
        <v>0</v>
      </c>
      <c r="HB170" s="2">
        <v>0</v>
      </c>
      <c r="HC170" s="2">
        <f t="shared" si="131"/>
        <v>0</v>
      </c>
      <c r="HD170" s="2"/>
      <c r="HE170" s="2" t="s">
        <v>34</v>
      </c>
      <c r="HF170" s="2" t="s">
        <v>157</v>
      </c>
      <c r="HG170" s="2"/>
      <c r="HH170" s="2"/>
      <c r="HI170" s="2"/>
      <c r="HJ170" s="2"/>
      <c r="HK170" s="2"/>
      <c r="HL170" s="2"/>
      <c r="HM170" s="2" t="s">
        <v>3</v>
      </c>
      <c r="HN170" s="2" t="s">
        <v>3</v>
      </c>
      <c r="HO170" s="2" t="s">
        <v>3</v>
      </c>
      <c r="HP170" s="2" t="s">
        <v>3</v>
      </c>
      <c r="HQ170" s="2" t="s">
        <v>3</v>
      </c>
      <c r="HR170" s="2"/>
      <c r="HS170" s="2">
        <v>0</v>
      </c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>
        <v>0</v>
      </c>
      <c r="IL170" s="2"/>
      <c r="IM170" s="2"/>
      <c r="IN170" s="2"/>
      <c r="IO170" s="2"/>
      <c r="IP170" s="2"/>
      <c r="IQ170" s="2"/>
      <c r="IR170" s="2"/>
      <c r="IS170" s="2"/>
      <c r="IT170" s="2"/>
      <c r="IU170" s="2"/>
    </row>
    <row r="171" spans="1:255" x14ac:dyDescent="0.2">
      <c r="A171" s="3">
        <v>17</v>
      </c>
      <c r="B171" s="3">
        <v>1</v>
      </c>
      <c r="E171" s="3" t="s">
        <v>220</v>
      </c>
      <c r="F171" s="3" t="s">
        <v>221</v>
      </c>
      <c r="G171" s="3" t="s">
        <v>222</v>
      </c>
      <c r="H171" s="3" t="s">
        <v>153</v>
      </c>
      <c r="I171" s="3">
        <v>9</v>
      </c>
      <c r="J171" s="3">
        <v>0</v>
      </c>
      <c r="K171" s="3">
        <v>9</v>
      </c>
      <c r="O171" s="3">
        <f t="shared" si="109"/>
        <v>12549.84</v>
      </c>
      <c r="P171" s="3">
        <f>ROUND((ROUND((AC171*AW171*I171),2)*BC171),2)</f>
        <v>12549.84</v>
      </c>
      <c r="Q171" s="3">
        <f>(ROUND((ROUND(((ET171)*AV171*I171),2)*BB171),2)+ROUND((ROUND(((AE171-(EU171))*AV171*I171),2)*BS171),2))</f>
        <v>0</v>
      </c>
      <c r="R171" s="3">
        <f>(ROUND((ROUND(((EU171)*AV171*I171),2)*BS171),2)+ROUND((ROUND(((AE171-(EU171))*AV171*I171),2)*BS171),2))</f>
        <v>0</v>
      </c>
      <c r="S171" s="3">
        <f t="shared" si="110"/>
        <v>0</v>
      </c>
      <c r="T171" s="3">
        <f t="shared" si="111"/>
        <v>0</v>
      </c>
      <c r="U171" s="3">
        <f t="shared" si="112"/>
        <v>0</v>
      </c>
      <c r="V171" s="3">
        <f t="shared" si="113"/>
        <v>0</v>
      </c>
      <c r="W171" s="3">
        <f t="shared" si="114"/>
        <v>0</v>
      </c>
      <c r="X171" s="3">
        <f>(ROUND((((S171+ROUND((ROUND(((EU171)*AV171*I171),2)*BS171),2))*AT171)/100),2)+ROUND(((ROUND((ROUND(((AE171-(EU171))*AV171*I171),2)*BS171),2)*AT171)/100),2))</f>
        <v>0</v>
      </c>
      <c r="Y171" s="3">
        <f>(ROUND((((S171+ROUND((ROUND(((EU171)*AV171*I171),2)*BS171),2))*AU171)/100),2)+ROUND(((ROUND((ROUND(((AE171-(EU171))*AV171*I171),2)*BS171),2)*AU171)/100),2))</f>
        <v>0</v>
      </c>
      <c r="AA171" s="3">
        <v>55915258</v>
      </c>
      <c r="AB171" s="3">
        <f t="shared" si="115"/>
        <v>141.71</v>
      </c>
      <c r="AC171" s="3">
        <f>ROUND((ES171),6)</f>
        <v>141.71</v>
      </c>
      <c r="AD171" s="3">
        <f>ROUND((((ET171)-(EU171))+AE171),6)</f>
        <v>0</v>
      </c>
      <c r="AE171" s="3">
        <f t="shared" si="149"/>
        <v>0</v>
      </c>
      <c r="AF171" s="3">
        <f t="shared" si="149"/>
        <v>0</v>
      </c>
      <c r="AG171" s="3">
        <f t="shared" si="116"/>
        <v>0</v>
      </c>
      <c r="AH171" s="3">
        <f t="shared" si="150"/>
        <v>0</v>
      </c>
      <c r="AI171" s="3">
        <f t="shared" si="150"/>
        <v>0</v>
      </c>
      <c r="AJ171" s="3">
        <f t="shared" si="117"/>
        <v>0</v>
      </c>
      <c r="AK171" s="3">
        <v>141.71</v>
      </c>
      <c r="AL171" s="3">
        <v>141.71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1</v>
      </c>
      <c r="AW171" s="3">
        <v>1</v>
      </c>
      <c r="AZ171" s="3">
        <v>1</v>
      </c>
      <c r="BA171" s="3">
        <v>1</v>
      </c>
      <c r="BB171" s="3">
        <v>1</v>
      </c>
      <c r="BC171" s="3">
        <v>9.84</v>
      </c>
      <c r="BD171" s="3" t="s">
        <v>3</v>
      </c>
      <c r="BE171" s="3" t="s">
        <v>3</v>
      </c>
      <c r="BF171" s="3" t="s">
        <v>3</v>
      </c>
      <c r="BG171" s="3" t="s">
        <v>3</v>
      </c>
      <c r="BH171" s="3">
        <v>3</v>
      </c>
      <c r="BI171" s="3">
        <v>3</v>
      </c>
      <c r="BJ171" s="3" t="s">
        <v>221</v>
      </c>
      <c r="BM171" s="3">
        <v>400007</v>
      </c>
      <c r="BN171" s="3">
        <v>0</v>
      </c>
      <c r="BO171" s="3" t="s">
        <v>3</v>
      </c>
      <c r="BP171" s="3">
        <v>0</v>
      </c>
      <c r="BQ171" s="3">
        <v>214</v>
      </c>
      <c r="BR171" s="3">
        <v>0</v>
      </c>
      <c r="BS171" s="3">
        <v>1</v>
      </c>
      <c r="BT171" s="3">
        <v>1</v>
      </c>
      <c r="BU171" s="3">
        <v>1</v>
      </c>
      <c r="BV171" s="3">
        <v>1</v>
      </c>
      <c r="BW171" s="3">
        <v>1</v>
      </c>
      <c r="BX171" s="3">
        <v>1</v>
      </c>
      <c r="BY171" s="3" t="s">
        <v>3</v>
      </c>
      <c r="BZ171" s="3">
        <v>0</v>
      </c>
      <c r="CA171" s="3">
        <v>0</v>
      </c>
      <c r="CB171" s="3" t="s">
        <v>3</v>
      </c>
      <c r="CE171" s="3">
        <v>1566</v>
      </c>
      <c r="CF171" s="3">
        <v>0</v>
      </c>
      <c r="CG171" s="3">
        <v>0</v>
      </c>
      <c r="CM171" s="3">
        <v>0</v>
      </c>
      <c r="CN171" s="3" t="s">
        <v>3</v>
      </c>
      <c r="CO171" s="3">
        <v>0</v>
      </c>
      <c r="CP171" s="3">
        <f t="shared" si="118"/>
        <v>12549.84</v>
      </c>
      <c r="CQ171" s="3">
        <f>ROUND((ROUND((AC171*AW171*1),2)*BC171),2)</f>
        <v>1394.43</v>
      </c>
      <c r="CR171" s="3">
        <f>(ROUND((ROUND(((ET171)*AV171*1),2)*BB171),2)+ROUND((ROUND(((AE171-(EU171))*AV171*1),2)*BS171),2))</f>
        <v>0</v>
      </c>
      <c r="CS171" s="3">
        <f>(ROUND((ROUND(((EU171)*AV171*1),2)*BS171),2)+ROUND((ROUND(((AE171-(EU171))*AV171*1),2)*BS171),2))</f>
        <v>0</v>
      </c>
      <c r="CT171" s="3">
        <f t="shared" si="119"/>
        <v>0</v>
      </c>
      <c r="CU171" s="3">
        <f t="shared" si="120"/>
        <v>0</v>
      </c>
      <c r="CV171" s="3">
        <f t="shared" si="121"/>
        <v>0</v>
      </c>
      <c r="CW171" s="3">
        <f t="shared" si="122"/>
        <v>0</v>
      </c>
      <c r="CX171" s="3">
        <f t="shared" si="123"/>
        <v>0</v>
      </c>
      <c r="CY171" s="3">
        <f>(ROUND((((S171+ROUND((ROUND(((EU171)*AV171*1),2)*BS171),2))*AT171)/100),2)+ROUND(((ROUND((ROUND(((AE171-(EU171))*AV171*1),2)*BS171),2)*AT171)/100),2))</f>
        <v>0</v>
      </c>
      <c r="CZ171" s="3">
        <f>(ROUND((((S171+ROUND((ROUND(((EU171)*AV171*1),2)*BS171),2))*AU171)/100),2)+ROUND(((ROUND((ROUND(((AE171-(EU171))*AV171*1),2)*BS171),2)*AU171)/100),2))</f>
        <v>0</v>
      </c>
      <c r="DC171" s="3" t="s">
        <v>3</v>
      </c>
      <c r="DD171" s="3" t="s">
        <v>3</v>
      </c>
      <c r="DE171" s="3" t="s">
        <v>3</v>
      </c>
      <c r="DF171" s="3" t="s">
        <v>3</v>
      </c>
      <c r="DG171" s="3" t="s">
        <v>3</v>
      </c>
      <c r="DH171" s="3" t="s">
        <v>3</v>
      </c>
      <c r="DI171" s="3" t="s">
        <v>3</v>
      </c>
      <c r="DJ171" s="3" t="s">
        <v>3</v>
      </c>
      <c r="DK171" s="3" t="s">
        <v>3</v>
      </c>
      <c r="DL171" s="3" t="s">
        <v>3</v>
      </c>
      <c r="DM171" s="3" t="s">
        <v>3</v>
      </c>
      <c r="DN171" s="3">
        <v>0</v>
      </c>
      <c r="DO171" s="3">
        <v>0</v>
      </c>
      <c r="DP171" s="3">
        <v>1</v>
      </c>
      <c r="DQ171" s="3">
        <v>1</v>
      </c>
      <c r="DU171" s="3">
        <v>1013</v>
      </c>
      <c r="DV171" s="3" t="s">
        <v>153</v>
      </c>
      <c r="DW171" s="3" t="s">
        <v>153</v>
      </c>
      <c r="DX171" s="3">
        <v>1</v>
      </c>
      <c r="DZ171" s="3" t="s">
        <v>3</v>
      </c>
      <c r="EA171" s="3" t="s">
        <v>3</v>
      </c>
      <c r="EB171" s="3" t="s">
        <v>3</v>
      </c>
      <c r="EC171" s="3" t="s">
        <v>3</v>
      </c>
      <c r="EE171" s="3">
        <v>55393630</v>
      </c>
      <c r="EF171" s="3">
        <v>214</v>
      </c>
      <c r="EG171" s="3" t="s">
        <v>154</v>
      </c>
      <c r="EH171" s="3">
        <v>0</v>
      </c>
      <c r="EI171" s="3" t="s">
        <v>3</v>
      </c>
      <c r="EJ171" s="3">
        <v>3</v>
      </c>
      <c r="EK171" s="3">
        <v>400007</v>
      </c>
      <c r="EL171" s="3" t="s">
        <v>154</v>
      </c>
      <c r="EM171" s="3" t="s">
        <v>155</v>
      </c>
      <c r="EO171" s="3" t="s">
        <v>3</v>
      </c>
      <c r="EQ171" s="3">
        <v>16</v>
      </c>
      <c r="ER171" s="3">
        <v>0</v>
      </c>
      <c r="ES171" s="3">
        <v>141.71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5</v>
      </c>
      <c r="FC171" s="3">
        <v>1</v>
      </c>
      <c r="FD171" s="3">
        <v>18</v>
      </c>
      <c r="FF171" s="3">
        <v>1632</v>
      </c>
      <c r="FQ171" s="3">
        <v>0</v>
      </c>
      <c r="FR171" s="3">
        <f>P171</f>
        <v>12549.84</v>
      </c>
      <c r="FS171" s="3">
        <v>0</v>
      </c>
      <c r="FX171" s="3">
        <v>0</v>
      </c>
      <c r="FY171" s="3">
        <v>0</v>
      </c>
      <c r="GA171" s="3" t="s">
        <v>223</v>
      </c>
      <c r="GD171" s="3">
        <v>1</v>
      </c>
      <c r="GF171" s="3">
        <v>-1639517283</v>
      </c>
      <c r="GG171" s="3">
        <v>2</v>
      </c>
      <c r="GH171" s="3">
        <v>3</v>
      </c>
      <c r="GI171" s="3">
        <v>5</v>
      </c>
      <c r="GJ171" s="3">
        <v>0</v>
      </c>
      <c r="GK171" s="3">
        <v>0</v>
      </c>
      <c r="GL171" s="3">
        <f t="shared" si="124"/>
        <v>0</v>
      </c>
      <c r="GM171" s="3">
        <f t="shared" si="125"/>
        <v>12549.84</v>
      </c>
      <c r="GN171" s="3">
        <f t="shared" si="126"/>
        <v>0</v>
      </c>
      <c r="GO171" s="3">
        <f t="shared" si="127"/>
        <v>0</v>
      </c>
      <c r="GP171" s="3">
        <f t="shared" si="128"/>
        <v>0</v>
      </c>
      <c r="GR171" s="3">
        <v>1</v>
      </c>
      <c r="GS171" s="3">
        <v>1</v>
      </c>
      <c r="GT171" s="3">
        <v>0</v>
      </c>
      <c r="GU171" s="3" t="s">
        <v>3</v>
      </c>
      <c r="GV171" s="3">
        <f t="shared" si="129"/>
        <v>0</v>
      </c>
      <c r="GW171" s="3">
        <v>1</v>
      </c>
      <c r="GX171" s="3">
        <f t="shared" si="130"/>
        <v>0</v>
      </c>
      <c r="HA171" s="3">
        <v>0</v>
      </c>
      <c r="HB171" s="3">
        <v>0</v>
      </c>
      <c r="HC171" s="3">
        <f t="shared" si="131"/>
        <v>0</v>
      </c>
      <c r="HE171" s="3" t="s">
        <v>34</v>
      </c>
      <c r="HF171" s="3" t="s">
        <v>157</v>
      </c>
      <c r="HM171" s="3" t="s">
        <v>3</v>
      </c>
      <c r="HN171" s="3" t="s">
        <v>3</v>
      </c>
      <c r="HO171" s="3" t="s">
        <v>3</v>
      </c>
      <c r="HP171" s="3" t="s">
        <v>3</v>
      </c>
      <c r="HQ171" s="3" t="s">
        <v>3</v>
      </c>
      <c r="HS171" s="3">
        <v>0</v>
      </c>
      <c r="IK171" s="3">
        <v>0</v>
      </c>
    </row>
    <row r="173" spans="1:255" x14ac:dyDescent="0.2">
      <c r="A173" s="11">
        <v>51</v>
      </c>
      <c r="B173" s="11">
        <f>B148</f>
        <v>1</v>
      </c>
      <c r="C173" s="11">
        <f>A148</f>
        <v>4</v>
      </c>
      <c r="D173" s="11">
        <f>ROW(A148)</f>
        <v>148</v>
      </c>
      <c r="E173" s="11"/>
      <c r="F173" s="11" t="str">
        <f>IF(F148&lt;&gt;"",F148,"")</f>
        <v>2</v>
      </c>
      <c r="G173" s="11" t="str">
        <f>IF(G148&lt;&gt;"",G148,"")</f>
        <v>Извещатели</v>
      </c>
      <c r="H173" s="11">
        <v>0</v>
      </c>
      <c r="I173" s="11"/>
      <c r="J173" s="11"/>
      <c r="K173" s="11"/>
      <c r="L173" s="11"/>
      <c r="M173" s="11"/>
      <c r="N173" s="11"/>
      <c r="O173" s="11">
        <f t="shared" ref="O173:T173" si="151">ROUND(AB173,2)</f>
        <v>34994.82</v>
      </c>
      <c r="P173" s="11">
        <f t="shared" si="151"/>
        <v>31236.29</v>
      </c>
      <c r="Q173" s="11">
        <f t="shared" si="151"/>
        <v>0</v>
      </c>
      <c r="R173" s="11">
        <f t="shared" si="151"/>
        <v>0</v>
      </c>
      <c r="S173" s="11">
        <f t="shared" si="151"/>
        <v>3758.53</v>
      </c>
      <c r="T173" s="11">
        <f t="shared" si="151"/>
        <v>0</v>
      </c>
      <c r="U173" s="11">
        <f>AH173</f>
        <v>298.570896</v>
      </c>
      <c r="V173" s="11">
        <f>AI173</f>
        <v>0</v>
      </c>
      <c r="W173" s="11">
        <f>ROUND(AJ173,2)</f>
        <v>0</v>
      </c>
      <c r="X173" s="11">
        <f>ROUND(AK173,2)</f>
        <v>3390.14</v>
      </c>
      <c r="Y173" s="11">
        <f>ROUND(AL173,2)</f>
        <v>1739.38</v>
      </c>
      <c r="Z173" s="11"/>
      <c r="AA173" s="11"/>
      <c r="AB173" s="11">
        <f>ROUND(SUMIF(AA152:AA171,"=55915256",O152:O171),2)</f>
        <v>34994.82</v>
      </c>
      <c r="AC173" s="11">
        <f>ROUND(SUMIF(AA152:AA171,"=55915256",P152:P171),2)</f>
        <v>31236.29</v>
      </c>
      <c r="AD173" s="11">
        <f>ROUND(SUMIF(AA152:AA171,"=55915256",Q152:Q171),2)</f>
        <v>0</v>
      </c>
      <c r="AE173" s="11">
        <f>ROUND(SUMIF(AA152:AA171,"=55915256",R152:R171),2)</f>
        <v>0</v>
      </c>
      <c r="AF173" s="11">
        <f>ROUND(SUMIF(AA152:AA171,"=55915256",S152:S171),2)</f>
        <v>3758.53</v>
      </c>
      <c r="AG173" s="11">
        <f>ROUND(SUMIF(AA152:AA171,"=55915256",T152:T171),2)</f>
        <v>0</v>
      </c>
      <c r="AH173" s="11">
        <f>SUMIF(AA152:AA171,"=55915256",U152:U171)</f>
        <v>298.570896</v>
      </c>
      <c r="AI173" s="11">
        <f>SUMIF(AA152:AA171,"=55915256",V152:V171)</f>
        <v>0</v>
      </c>
      <c r="AJ173" s="11">
        <f>ROUND(SUMIF(AA152:AA171,"=55915256",W152:W171),2)</f>
        <v>0</v>
      </c>
      <c r="AK173" s="11">
        <f>ROUND(SUMIF(AA152:AA171,"=55915256",X152:X171),2)</f>
        <v>3390.14</v>
      </c>
      <c r="AL173" s="11">
        <f>ROUND(SUMIF(AA152:AA171,"=55915256",Y152:Y171),2)</f>
        <v>1739.38</v>
      </c>
      <c r="AM173" s="11"/>
      <c r="AN173" s="11"/>
      <c r="AO173" s="11">
        <f t="shared" ref="AO173:BD173" si="152">ROUND(BX173,2)</f>
        <v>0</v>
      </c>
      <c r="AP173" s="11">
        <f t="shared" si="152"/>
        <v>30918.799999999999</v>
      </c>
      <c r="AQ173" s="11">
        <f t="shared" si="152"/>
        <v>0</v>
      </c>
      <c r="AR173" s="11">
        <f t="shared" si="152"/>
        <v>40124.339999999997</v>
      </c>
      <c r="AS173" s="11">
        <f t="shared" si="152"/>
        <v>0</v>
      </c>
      <c r="AT173" s="11">
        <f t="shared" si="152"/>
        <v>9205.5400000000009</v>
      </c>
      <c r="AU173" s="11">
        <f t="shared" si="152"/>
        <v>0</v>
      </c>
      <c r="AV173" s="11">
        <f t="shared" si="152"/>
        <v>31236.29</v>
      </c>
      <c r="AW173" s="11">
        <f t="shared" si="152"/>
        <v>317.49</v>
      </c>
      <c r="AX173" s="11">
        <f t="shared" si="152"/>
        <v>0</v>
      </c>
      <c r="AY173" s="11">
        <f t="shared" si="152"/>
        <v>317.49</v>
      </c>
      <c r="AZ173" s="11">
        <f t="shared" si="152"/>
        <v>30918.799999999999</v>
      </c>
      <c r="BA173" s="11">
        <f t="shared" si="152"/>
        <v>0</v>
      </c>
      <c r="BB173" s="11">
        <f t="shared" si="152"/>
        <v>0</v>
      </c>
      <c r="BC173" s="11">
        <f t="shared" si="152"/>
        <v>0</v>
      </c>
      <c r="BD173" s="11">
        <f t="shared" si="152"/>
        <v>0</v>
      </c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>
        <f>ROUND(SUMIF(AA152:AA171,"=55915256",FQ152:FQ171),2)</f>
        <v>0</v>
      </c>
      <c r="BY173" s="11">
        <f>ROUND(SUMIF(AA152:AA171,"=55915256",FR152:FR171),2)</f>
        <v>30918.799999999999</v>
      </c>
      <c r="BZ173" s="11">
        <f>ROUND(SUMIF(AA152:AA171,"=55915256",GL152:GL171),2)</f>
        <v>0</v>
      </c>
      <c r="CA173" s="11">
        <f>ROUND(SUMIF(AA152:AA171,"=55915256",GM152:GM171),2)</f>
        <v>40124.339999999997</v>
      </c>
      <c r="CB173" s="11">
        <f>ROUND(SUMIF(AA152:AA171,"=55915256",GN152:GN171),2)</f>
        <v>0</v>
      </c>
      <c r="CC173" s="11">
        <f>ROUND(SUMIF(AA152:AA171,"=55915256",GO152:GO171),2)</f>
        <v>9205.5400000000009</v>
      </c>
      <c r="CD173" s="11">
        <f>ROUND(SUMIF(AA152:AA171,"=55915256",GP152:GP171),2)</f>
        <v>0</v>
      </c>
      <c r="CE173" s="11">
        <f>AC173-BX173</f>
        <v>31236.29</v>
      </c>
      <c r="CF173" s="11">
        <f>AC173-BY173</f>
        <v>317.4900000000016</v>
      </c>
      <c r="CG173" s="11">
        <f>BX173-BZ173</f>
        <v>0</v>
      </c>
      <c r="CH173" s="11">
        <f>AC173-BX173-BY173+BZ173</f>
        <v>317.4900000000016</v>
      </c>
      <c r="CI173" s="11">
        <f>BY173-BZ173</f>
        <v>30918.799999999999</v>
      </c>
      <c r="CJ173" s="11">
        <f>ROUND(SUMIF(AA152:AA171,"=55915256",GX152:GX171),2)</f>
        <v>0</v>
      </c>
      <c r="CK173" s="11">
        <f>ROUND(SUMIF(AA152:AA171,"=55915256",GY152:GY171),2)</f>
        <v>0</v>
      </c>
      <c r="CL173" s="11">
        <f>ROUND(SUMIF(AA152:AA171,"=55915256",GZ152:GZ171),2)</f>
        <v>0</v>
      </c>
      <c r="CM173" s="11">
        <f>ROUND(SUMIF(AA152:AA171,"=55915256",HD152:HD171),2)</f>
        <v>0</v>
      </c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2">
        <f t="shared" ref="DG173:DL173" si="153">ROUND(DT173,2)</f>
        <v>507527.94</v>
      </c>
      <c r="DH173" s="12">
        <f t="shared" si="153"/>
        <v>295734.78000000003</v>
      </c>
      <c r="DI173" s="12">
        <f t="shared" si="153"/>
        <v>0</v>
      </c>
      <c r="DJ173" s="12">
        <f t="shared" si="153"/>
        <v>0</v>
      </c>
      <c r="DK173" s="12">
        <f t="shared" si="153"/>
        <v>211793.16</v>
      </c>
      <c r="DL173" s="12">
        <f t="shared" si="153"/>
        <v>0</v>
      </c>
      <c r="DM173" s="12">
        <f>DZ173</f>
        <v>298.570896</v>
      </c>
      <c r="DN173" s="12">
        <f>EA173</f>
        <v>0</v>
      </c>
      <c r="DO173" s="12">
        <f>ROUND(EB173,2)</f>
        <v>0</v>
      </c>
      <c r="DP173" s="12">
        <f>ROUND(EC173,2)</f>
        <v>191034.75</v>
      </c>
      <c r="DQ173" s="12">
        <f>ROUND(ED173,2)</f>
        <v>98014.12</v>
      </c>
      <c r="DR173" s="12"/>
      <c r="DS173" s="12"/>
      <c r="DT173" s="12">
        <f>ROUND(SUMIF(AA152:AA171,"=55915258",O152:O171),2)</f>
        <v>507527.94</v>
      </c>
      <c r="DU173" s="12">
        <f>ROUND(SUMIF(AA152:AA171,"=55915258",P152:P171),2)</f>
        <v>295734.78000000003</v>
      </c>
      <c r="DV173" s="12">
        <f>ROUND(SUMIF(AA152:AA171,"=55915258",Q152:Q171),2)</f>
        <v>0</v>
      </c>
      <c r="DW173" s="12">
        <f>ROUND(SUMIF(AA152:AA171,"=55915258",R152:R171),2)</f>
        <v>0</v>
      </c>
      <c r="DX173" s="12">
        <f>ROUND(SUMIF(AA152:AA171,"=55915258",S152:S171),2)</f>
        <v>211793.16</v>
      </c>
      <c r="DY173" s="12">
        <f>ROUND(SUMIF(AA152:AA171,"=55915258",T152:T171),2)</f>
        <v>0</v>
      </c>
      <c r="DZ173" s="12">
        <f>SUMIF(AA152:AA171,"=55915258",U152:U171)</f>
        <v>298.570896</v>
      </c>
      <c r="EA173" s="12">
        <f>SUMIF(AA152:AA171,"=55915258",V152:V171)</f>
        <v>0</v>
      </c>
      <c r="EB173" s="12">
        <f>ROUND(SUMIF(AA152:AA171,"=55915258",W152:W171),2)</f>
        <v>0</v>
      </c>
      <c r="EC173" s="12">
        <f>ROUND(SUMIF(AA152:AA171,"=55915258",X152:X171),2)</f>
        <v>191034.75</v>
      </c>
      <c r="ED173" s="12">
        <f>ROUND(SUMIF(AA152:AA171,"=55915258",Y152:Y171),2)</f>
        <v>98014.12</v>
      </c>
      <c r="EE173" s="12"/>
      <c r="EF173" s="12"/>
      <c r="EG173" s="12">
        <f t="shared" ref="EG173:EV173" si="154">ROUND(FP173,2)</f>
        <v>0</v>
      </c>
      <c r="EH173" s="12">
        <f t="shared" si="154"/>
        <v>292476.58</v>
      </c>
      <c r="EI173" s="12">
        <f t="shared" si="154"/>
        <v>0</v>
      </c>
      <c r="EJ173" s="12">
        <f t="shared" si="154"/>
        <v>796576.81</v>
      </c>
      <c r="EK173" s="12">
        <f t="shared" si="154"/>
        <v>0</v>
      </c>
      <c r="EL173" s="12">
        <f t="shared" si="154"/>
        <v>504100.23</v>
      </c>
      <c r="EM173" s="12">
        <f t="shared" si="154"/>
        <v>0</v>
      </c>
      <c r="EN173" s="12">
        <f t="shared" si="154"/>
        <v>295734.78000000003</v>
      </c>
      <c r="EO173" s="12">
        <f t="shared" si="154"/>
        <v>3258.2</v>
      </c>
      <c r="EP173" s="12">
        <f t="shared" si="154"/>
        <v>0</v>
      </c>
      <c r="EQ173" s="12">
        <f t="shared" si="154"/>
        <v>3258.2</v>
      </c>
      <c r="ER173" s="12">
        <f t="shared" si="154"/>
        <v>292476.58</v>
      </c>
      <c r="ES173" s="12">
        <f t="shared" si="154"/>
        <v>0</v>
      </c>
      <c r="ET173" s="12">
        <f t="shared" si="154"/>
        <v>0</v>
      </c>
      <c r="EU173" s="12">
        <f t="shared" si="154"/>
        <v>0</v>
      </c>
      <c r="EV173" s="12">
        <f t="shared" si="154"/>
        <v>0</v>
      </c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>
        <f>ROUND(SUMIF(AA152:AA171,"=55915258",FQ152:FQ171),2)</f>
        <v>0</v>
      </c>
      <c r="FQ173" s="12">
        <f>ROUND(SUMIF(AA152:AA171,"=55915258",FR152:FR171),2)</f>
        <v>292476.58</v>
      </c>
      <c r="FR173" s="12">
        <f>ROUND(SUMIF(AA152:AA171,"=55915258",GL152:GL171),2)</f>
        <v>0</v>
      </c>
      <c r="FS173" s="12">
        <f>ROUND(SUMIF(AA152:AA171,"=55915258",GM152:GM171),2)</f>
        <v>796576.81</v>
      </c>
      <c r="FT173" s="12">
        <f>ROUND(SUMIF(AA152:AA171,"=55915258",GN152:GN171),2)</f>
        <v>0</v>
      </c>
      <c r="FU173" s="12">
        <f>ROUND(SUMIF(AA152:AA171,"=55915258",GO152:GO171),2)</f>
        <v>504100.23</v>
      </c>
      <c r="FV173" s="12">
        <f>ROUND(SUMIF(AA152:AA171,"=55915258",GP152:GP171),2)</f>
        <v>0</v>
      </c>
      <c r="FW173" s="12">
        <f>DU173-FP173</f>
        <v>295734.78000000003</v>
      </c>
      <c r="FX173" s="12">
        <f>DU173-FQ173</f>
        <v>3258.2000000000116</v>
      </c>
      <c r="FY173" s="12">
        <f>FP173-FR173</f>
        <v>0</v>
      </c>
      <c r="FZ173" s="12">
        <f>DU173-FP173-FQ173+FR173</f>
        <v>3258.2000000000116</v>
      </c>
      <c r="GA173" s="12">
        <f>FQ173-FR173</f>
        <v>292476.58</v>
      </c>
      <c r="GB173" s="12">
        <f>ROUND(SUMIF(AA152:AA171,"=55915258",GX152:GX171),2)</f>
        <v>0</v>
      </c>
      <c r="GC173" s="12">
        <f>ROUND(SUMIF(AA152:AA171,"=55915258",GY152:GY171),2)</f>
        <v>0</v>
      </c>
      <c r="GD173" s="12">
        <f>ROUND(SUMIF(AA152:AA171,"=55915258",GZ152:GZ171),2)</f>
        <v>0</v>
      </c>
      <c r="GE173" s="12">
        <f>ROUND(SUMIF(AA152:AA171,"=55915258",HD152:HD171),2)</f>
        <v>0</v>
      </c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>
        <v>0</v>
      </c>
    </row>
    <row r="175" spans="1:255" x14ac:dyDescent="0.2">
      <c r="A175" s="13">
        <v>50</v>
      </c>
      <c r="B175" s="13">
        <v>0</v>
      </c>
      <c r="C175" s="13">
        <v>0</v>
      </c>
      <c r="D175" s="13">
        <v>1</v>
      </c>
      <c r="E175" s="13">
        <v>201</v>
      </c>
      <c r="F175" s="13">
        <f>ROUND(Source!O173,O175)</f>
        <v>34994.82</v>
      </c>
      <c r="G175" s="13" t="s">
        <v>93</v>
      </c>
      <c r="H175" s="13" t="s">
        <v>94</v>
      </c>
      <c r="I175" s="13"/>
      <c r="J175" s="13"/>
      <c r="K175" s="13">
        <v>201</v>
      </c>
      <c r="L175" s="13">
        <v>1</v>
      </c>
      <c r="M175" s="13">
        <v>3</v>
      </c>
      <c r="N175" s="13" t="s">
        <v>3</v>
      </c>
      <c r="O175" s="13">
        <v>2</v>
      </c>
      <c r="P175" s="13">
        <f>ROUND(Source!DG173,O175)</f>
        <v>507527.94</v>
      </c>
      <c r="Q175" s="13"/>
      <c r="R175" s="13"/>
      <c r="S175" s="13"/>
      <c r="T175" s="13"/>
      <c r="U175" s="13"/>
      <c r="V175" s="13"/>
      <c r="W175" s="13">
        <v>34994.82</v>
      </c>
      <c r="X175" s="13">
        <v>1</v>
      </c>
      <c r="Y175" s="13">
        <v>34994.82</v>
      </c>
      <c r="Z175" s="13">
        <v>507527.94</v>
      </c>
      <c r="AA175" s="13">
        <v>1</v>
      </c>
      <c r="AB175" s="13">
        <v>507527.94</v>
      </c>
    </row>
    <row r="176" spans="1:255" x14ac:dyDescent="0.2">
      <c r="A176" s="13">
        <v>50</v>
      </c>
      <c r="B176" s="13">
        <v>0</v>
      </c>
      <c r="C176" s="13">
        <v>0</v>
      </c>
      <c r="D176" s="13">
        <v>1</v>
      </c>
      <c r="E176" s="13">
        <v>202</v>
      </c>
      <c r="F176" s="13">
        <f>ROUND(Source!P173,O176)</f>
        <v>31236.29</v>
      </c>
      <c r="G176" s="13" t="s">
        <v>95</v>
      </c>
      <c r="H176" s="13" t="s">
        <v>96</v>
      </c>
      <c r="I176" s="13"/>
      <c r="J176" s="13"/>
      <c r="K176" s="13">
        <v>202</v>
      </c>
      <c r="L176" s="13">
        <v>2</v>
      </c>
      <c r="M176" s="13">
        <v>3</v>
      </c>
      <c r="N176" s="13" t="s">
        <v>3</v>
      </c>
      <c r="O176" s="13">
        <v>2</v>
      </c>
      <c r="P176" s="13">
        <f>ROUND(Source!DH173,O176)</f>
        <v>295734.78000000003</v>
      </c>
      <c r="Q176" s="13"/>
      <c r="R176" s="13"/>
      <c r="S176" s="13"/>
      <c r="T176" s="13"/>
      <c r="U176" s="13"/>
      <c r="V176" s="13"/>
      <c r="W176" s="13">
        <v>31236.29</v>
      </c>
      <c r="X176" s="13">
        <v>1</v>
      </c>
      <c r="Y176" s="13">
        <v>31236.29</v>
      </c>
      <c r="Z176" s="13">
        <v>295734.78000000003</v>
      </c>
      <c r="AA176" s="13">
        <v>1</v>
      </c>
      <c r="AB176" s="13">
        <v>295734.78000000003</v>
      </c>
    </row>
    <row r="177" spans="1:28" x14ac:dyDescent="0.2">
      <c r="A177" s="13">
        <v>50</v>
      </c>
      <c r="B177" s="13">
        <v>0</v>
      </c>
      <c r="C177" s="13">
        <v>0</v>
      </c>
      <c r="D177" s="13">
        <v>1</v>
      </c>
      <c r="E177" s="13">
        <v>222</v>
      </c>
      <c r="F177" s="13">
        <f>ROUND(Source!AO173,O177)</f>
        <v>0</v>
      </c>
      <c r="G177" s="13" t="s">
        <v>97</v>
      </c>
      <c r="H177" s="13" t="s">
        <v>98</v>
      </c>
      <c r="I177" s="13"/>
      <c r="J177" s="13"/>
      <c r="K177" s="13">
        <v>222</v>
      </c>
      <c r="L177" s="13">
        <v>3</v>
      </c>
      <c r="M177" s="13">
        <v>3</v>
      </c>
      <c r="N177" s="13" t="s">
        <v>3</v>
      </c>
      <c r="O177" s="13">
        <v>2</v>
      </c>
      <c r="P177" s="13">
        <f>ROUND(Source!EG173,O177)</f>
        <v>0</v>
      </c>
      <c r="Q177" s="13"/>
      <c r="R177" s="13"/>
      <c r="S177" s="13"/>
      <c r="T177" s="13"/>
      <c r="U177" s="13"/>
      <c r="V177" s="13"/>
      <c r="W177" s="13">
        <v>0</v>
      </c>
      <c r="X177" s="13">
        <v>1</v>
      </c>
      <c r="Y177" s="13">
        <v>0</v>
      </c>
      <c r="Z177" s="13">
        <v>0</v>
      </c>
      <c r="AA177" s="13">
        <v>1</v>
      </c>
      <c r="AB177" s="13">
        <v>0</v>
      </c>
    </row>
    <row r="178" spans="1:28" x14ac:dyDescent="0.2">
      <c r="A178" s="13">
        <v>50</v>
      </c>
      <c r="B178" s="13">
        <v>0</v>
      </c>
      <c r="C178" s="13">
        <v>0</v>
      </c>
      <c r="D178" s="13">
        <v>1</v>
      </c>
      <c r="E178" s="13">
        <v>225</v>
      </c>
      <c r="F178" s="13">
        <f>ROUND(Source!AV173,O178)</f>
        <v>31236.29</v>
      </c>
      <c r="G178" s="13" t="s">
        <v>99</v>
      </c>
      <c r="H178" s="13" t="s">
        <v>100</v>
      </c>
      <c r="I178" s="13"/>
      <c r="J178" s="13"/>
      <c r="K178" s="13">
        <v>225</v>
      </c>
      <c r="L178" s="13">
        <v>4</v>
      </c>
      <c r="M178" s="13">
        <v>3</v>
      </c>
      <c r="N178" s="13" t="s">
        <v>3</v>
      </c>
      <c r="O178" s="13">
        <v>2</v>
      </c>
      <c r="P178" s="13">
        <f>ROUND(Source!EN173,O178)</f>
        <v>295734.78000000003</v>
      </c>
      <c r="Q178" s="13"/>
      <c r="R178" s="13"/>
      <c r="S178" s="13"/>
      <c r="T178" s="13"/>
      <c r="U178" s="13"/>
      <c r="V178" s="13"/>
      <c r="W178" s="13">
        <v>31236.29</v>
      </c>
      <c r="X178" s="13">
        <v>1</v>
      </c>
      <c r="Y178" s="13">
        <v>31236.29</v>
      </c>
      <c r="Z178" s="13">
        <v>295734.78000000003</v>
      </c>
      <c r="AA178" s="13">
        <v>1</v>
      </c>
      <c r="AB178" s="13">
        <v>295734.78000000003</v>
      </c>
    </row>
    <row r="179" spans="1:28" x14ac:dyDescent="0.2">
      <c r="A179" s="13">
        <v>50</v>
      </c>
      <c r="B179" s="13">
        <v>0</v>
      </c>
      <c r="C179" s="13">
        <v>0</v>
      </c>
      <c r="D179" s="13">
        <v>1</v>
      </c>
      <c r="E179" s="13">
        <v>226</v>
      </c>
      <c r="F179" s="13">
        <f>ROUND(Source!AW173,O179)</f>
        <v>317.49</v>
      </c>
      <c r="G179" s="13" t="s">
        <v>101</v>
      </c>
      <c r="H179" s="13" t="s">
        <v>102</v>
      </c>
      <c r="I179" s="13"/>
      <c r="J179" s="13"/>
      <c r="K179" s="13">
        <v>226</v>
      </c>
      <c r="L179" s="13">
        <v>5</v>
      </c>
      <c r="M179" s="13">
        <v>3</v>
      </c>
      <c r="N179" s="13" t="s">
        <v>3</v>
      </c>
      <c r="O179" s="13">
        <v>2</v>
      </c>
      <c r="P179" s="13">
        <f>ROUND(Source!EO173,O179)</f>
        <v>3258.2</v>
      </c>
      <c r="Q179" s="13"/>
      <c r="R179" s="13"/>
      <c r="S179" s="13"/>
      <c r="T179" s="13"/>
      <c r="U179" s="13"/>
      <c r="V179" s="13"/>
      <c r="W179" s="13">
        <v>317.49</v>
      </c>
      <c r="X179" s="13">
        <v>1</v>
      </c>
      <c r="Y179" s="13">
        <v>317.49</v>
      </c>
      <c r="Z179" s="13">
        <v>3258.2</v>
      </c>
      <c r="AA179" s="13">
        <v>1</v>
      </c>
      <c r="AB179" s="13">
        <v>3258.2</v>
      </c>
    </row>
    <row r="180" spans="1:28" x14ac:dyDescent="0.2">
      <c r="A180" s="13">
        <v>50</v>
      </c>
      <c r="B180" s="13">
        <v>0</v>
      </c>
      <c r="C180" s="13">
        <v>0</v>
      </c>
      <c r="D180" s="13">
        <v>1</v>
      </c>
      <c r="E180" s="13">
        <v>227</v>
      </c>
      <c r="F180" s="13">
        <f>ROUND(Source!AX173,O180)</f>
        <v>0</v>
      </c>
      <c r="G180" s="13" t="s">
        <v>103</v>
      </c>
      <c r="H180" s="13" t="s">
        <v>104</v>
      </c>
      <c r="I180" s="13"/>
      <c r="J180" s="13"/>
      <c r="K180" s="13">
        <v>227</v>
      </c>
      <c r="L180" s="13">
        <v>6</v>
      </c>
      <c r="M180" s="13">
        <v>3</v>
      </c>
      <c r="N180" s="13" t="s">
        <v>3</v>
      </c>
      <c r="O180" s="13">
        <v>2</v>
      </c>
      <c r="P180" s="13">
        <f>ROUND(Source!EP173,O180)</f>
        <v>0</v>
      </c>
      <c r="Q180" s="13"/>
      <c r="R180" s="13"/>
      <c r="S180" s="13"/>
      <c r="T180" s="13"/>
      <c r="U180" s="13"/>
      <c r="V180" s="13"/>
      <c r="W180" s="13">
        <v>0</v>
      </c>
      <c r="X180" s="13">
        <v>1</v>
      </c>
      <c r="Y180" s="13">
        <v>0</v>
      </c>
      <c r="Z180" s="13">
        <v>0</v>
      </c>
      <c r="AA180" s="13">
        <v>1</v>
      </c>
      <c r="AB180" s="13">
        <v>0</v>
      </c>
    </row>
    <row r="181" spans="1:28" x14ac:dyDescent="0.2">
      <c r="A181" s="13">
        <v>50</v>
      </c>
      <c r="B181" s="13">
        <v>0</v>
      </c>
      <c r="C181" s="13">
        <v>0</v>
      </c>
      <c r="D181" s="13">
        <v>1</v>
      </c>
      <c r="E181" s="13">
        <v>228</v>
      </c>
      <c r="F181" s="13">
        <f>ROUND(Source!AY173,O181)</f>
        <v>317.49</v>
      </c>
      <c r="G181" s="13" t="s">
        <v>105</v>
      </c>
      <c r="H181" s="13" t="s">
        <v>106</v>
      </c>
      <c r="I181" s="13"/>
      <c r="J181" s="13"/>
      <c r="K181" s="13">
        <v>228</v>
      </c>
      <c r="L181" s="13">
        <v>7</v>
      </c>
      <c r="M181" s="13">
        <v>3</v>
      </c>
      <c r="N181" s="13" t="s">
        <v>3</v>
      </c>
      <c r="O181" s="13">
        <v>2</v>
      </c>
      <c r="P181" s="13">
        <f>ROUND(Source!EQ173,O181)</f>
        <v>3258.2</v>
      </c>
      <c r="Q181" s="13"/>
      <c r="R181" s="13"/>
      <c r="S181" s="13"/>
      <c r="T181" s="13"/>
      <c r="U181" s="13"/>
      <c r="V181" s="13"/>
      <c r="W181" s="13">
        <v>317.49</v>
      </c>
      <c r="X181" s="13">
        <v>1</v>
      </c>
      <c r="Y181" s="13">
        <v>317.49</v>
      </c>
      <c r="Z181" s="13">
        <v>3258.2</v>
      </c>
      <c r="AA181" s="13">
        <v>1</v>
      </c>
      <c r="AB181" s="13">
        <v>3258.2</v>
      </c>
    </row>
    <row r="182" spans="1:28" x14ac:dyDescent="0.2">
      <c r="A182" s="13">
        <v>50</v>
      </c>
      <c r="B182" s="13">
        <v>0</v>
      </c>
      <c r="C182" s="13">
        <v>0</v>
      </c>
      <c r="D182" s="13">
        <v>1</v>
      </c>
      <c r="E182" s="13">
        <v>216</v>
      </c>
      <c r="F182" s="13">
        <f>ROUND(Source!AP173,O182)</f>
        <v>30918.799999999999</v>
      </c>
      <c r="G182" s="13" t="s">
        <v>107</v>
      </c>
      <c r="H182" s="13" t="s">
        <v>108</v>
      </c>
      <c r="I182" s="13"/>
      <c r="J182" s="13"/>
      <c r="K182" s="13">
        <v>216</v>
      </c>
      <c r="L182" s="13">
        <v>8</v>
      </c>
      <c r="M182" s="13">
        <v>3</v>
      </c>
      <c r="N182" s="13" t="s">
        <v>3</v>
      </c>
      <c r="O182" s="13">
        <v>2</v>
      </c>
      <c r="P182" s="13">
        <f>ROUND(Source!EH173,O182)</f>
        <v>292476.58</v>
      </c>
      <c r="Q182" s="13"/>
      <c r="R182" s="13"/>
      <c r="S182" s="13"/>
      <c r="T182" s="13"/>
      <c r="U182" s="13"/>
      <c r="V182" s="13"/>
      <c r="W182" s="13">
        <v>30918.799999999999</v>
      </c>
      <c r="X182" s="13">
        <v>1</v>
      </c>
      <c r="Y182" s="13">
        <v>30918.799999999999</v>
      </c>
      <c r="Z182" s="13">
        <v>292476.58</v>
      </c>
      <c r="AA182" s="13">
        <v>1</v>
      </c>
      <c r="AB182" s="13">
        <v>292476.58</v>
      </c>
    </row>
    <row r="183" spans="1:28" x14ac:dyDescent="0.2">
      <c r="A183" s="13">
        <v>50</v>
      </c>
      <c r="B183" s="13">
        <v>0</v>
      </c>
      <c r="C183" s="13">
        <v>0</v>
      </c>
      <c r="D183" s="13">
        <v>1</v>
      </c>
      <c r="E183" s="13">
        <v>223</v>
      </c>
      <c r="F183" s="13">
        <f>ROUND(Source!AQ173,O183)</f>
        <v>0</v>
      </c>
      <c r="G183" s="13" t="s">
        <v>109</v>
      </c>
      <c r="H183" s="13" t="s">
        <v>110</v>
      </c>
      <c r="I183" s="13"/>
      <c r="J183" s="13"/>
      <c r="K183" s="13">
        <v>223</v>
      </c>
      <c r="L183" s="13">
        <v>9</v>
      </c>
      <c r="M183" s="13">
        <v>3</v>
      </c>
      <c r="N183" s="13" t="s">
        <v>3</v>
      </c>
      <c r="O183" s="13">
        <v>2</v>
      </c>
      <c r="P183" s="13">
        <f>ROUND(Source!EI173,O183)</f>
        <v>0</v>
      </c>
      <c r="Q183" s="13"/>
      <c r="R183" s="13"/>
      <c r="S183" s="13"/>
      <c r="T183" s="13"/>
      <c r="U183" s="13"/>
      <c r="V183" s="13"/>
      <c r="W183" s="13">
        <v>0</v>
      </c>
      <c r="X183" s="13">
        <v>1</v>
      </c>
      <c r="Y183" s="13">
        <v>0</v>
      </c>
      <c r="Z183" s="13">
        <v>0</v>
      </c>
      <c r="AA183" s="13">
        <v>1</v>
      </c>
      <c r="AB183" s="13">
        <v>0</v>
      </c>
    </row>
    <row r="184" spans="1:28" x14ac:dyDescent="0.2">
      <c r="A184" s="13">
        <v>50</v>
      </c>
      <c r="B184" s="13">
        <v>0</v>
      </c>
      <c r="C184" s="13">
        <v>0</v>
      </c>
      <c r="D184" s="13">
        <v>1</v>
      </c>
      <c r="E184" s="13">
        <v>229</v>
      </c>
      <c r="F184" s="13">
        <f>ROUND(Source!AZ173,O184)</f>
        <v>30918.799999999999</v>
      </c>
      <c r="G184" s="13" t="s">
        <v>111</v>
      </c>
      <c r="H184" s="13" t="s">
        <v>112</v>
      </c>
      <c r="I184" s="13"/>
      <c r="J184" s="13"/>
      <c r="K184" s="13">
        <v>229</v>
      </c>
      <c r="L184" s="13">
        <v>10</v>
      </c>
      <c r="M184" s="13">
        <v>3</v>
      </c>
      <c r="N184" s="13" t="s">
        <v>3</v>
      </c>
      <c r="O184" s="13">
        <v>2</v>
      </c>
      <c r="P184" s="13">
        <f>ROUND(Source!ER173,O184)</f>
        <v>292476.58</v>
      </c>
      <c r="Q184" s="13"/>
      <c r="R184" s="13"/>
      <c r="S184" s="13"/>
      <c r="T184" s="13"/>
      <c r="U184" s="13"/>
      <c r="V184" s="13"/>
      <c r="W184" s="13">
        <v>30918.799999999999</v>
      </c>
      <c r="X184" s="13">
        <v>1</v>
      </c>
      <c r="Y184" s="13">
        <v>30918.799999999999</v>
      </c>
      <c r="Z184" s="13">
        <v>292476.58</v>
      </c>
      <c r="AA184" s="13">
        <v>1</v>
      </c>
      <c r="AB184" s="13">
        <v>292476.58</v>
      </c>
    </row>
    <row r="185" spans="1:28" x14ac:dyDescent="0.2">
      <c r="A185" s="13">
        <v>50</v>
      </c>
      <c r="B185" s="13">
        <v>0</v>
      </c>
      <c r="C185" s="13">
        <v>0</v>
      </c>
      <c r="D185" s="13">
        <v>1</v>
      </c>
      <c r="E185" s="13">
        <v>203</v>
      </c>
      <c r="F185" s="13">
        <f>ROUND(Source!Q173,O185)</f>
        <v>0</v>
      </c>
      <c r="G185" s="13" t="s">
        <v>113</v>
      </c>
      <c r="H185" s="13" t="s">
        <v>114</v>
      </c>
      <c r="I185" s="13"/>
      <c r="J185" s="13"/>
      <c r="K185" s="13">
        <v>203</v>
      </c>
      <c r="L185" s="13">
        <v>11</v>
      </c>
      <c r="M185" s="13">
        <v>3</v>
      </c>
      <c r="N185" s="13" t="s">
        <v>3</v>
      </c>
      <c r="O185" s="13">
        <v>2</v>
      </c>
      <c r="P185" s="13">
        <f>ROUND(Source!DI173,O185)</f>
        <v>0</v>
      </c>
      <c r="Q185" s="13"/>
      <c r="R185" s="13"/>
      <c r="S185" s="13"/>
      <c r="T185" s="13"/>
      <c r="U185" s="13"/>
      <c r="V185" s="13"/>
      <c r="W185" s="13">
        <v>0</v>
      </c>
      <c r="X185" s="13">
        <v>1</v>
      </c>
      <c r="Y185" s="13">
        <v>0</v>
      </c>
      <c r="Z185" s="13">
        <v>0</v>
      </c>
      <c r="AA185" s="13">
        <v>1</v>
      </c>
      <c r="AB185" s="13">
        <v>0</v>
      </c>
    </row>
    <row r="186" spans="1:28" x14ac:dyDescent="0.2">
      <c r="A186" s="13">
        <v>50</v>
      </c>
      <c r="B186" s="13">
        <v>0</v>
      </c>
      <c r="C186" s="13">
        <v>0</v>
      </c>
      <c r="D186" s="13">
        <v>1</v>
      </c>
      <c r="E186" s="13">
        <v>231</v>
      </c>
      <c r="F186" s="13">
        <f>ROUND(Source!BB173,O186)</f>
        <v>0</v>
      </c>
      <c r="G186" s="13" t="s">
        <v>115</v>
      </c>
      <c r="H186" s="13" t="s">
        <v>116</v>
      </c>
      <c r="I186" s="13"/>
      <c r="J186" s="13"/>
      <c r="K186" s="13">
        <v>231</v>
      </c>
      <c r="L186" s="13">
        <v>12</v>
      </c>
      <c r="M186" s="13">
        <v>3</v>
      </c>
      <c r="N186" s="13" t="s">
        <v>3</v>
      </c>
      <c r="O186" s="13">
        <v>2</v>
      </c>
      <c r="P186" s="13">
        <f>ROUND(Source!ET173,O186)</f>
        <v>0</v>
      </c>
      <c r="Q186" s="13"/>
      <c r="R186" s="13"/>
      <c r="S186" s="13"/>
      <c r="T186" s="13"/>
      <c r="U186" s="13"/>
      <c r="V186" s="13"/>
      <c r="W186" s="13">
        <v>0</v>
      </c>
      <c r="X186" s="13">
        <v>1</v>
      </c>
      <c r="Y186" s="13">
        <v>0</v>
      </c>
      <c r="Z186" s="13">
        <v>0</v>
      </c>
      <c r="AA186" s="13">
        <v>1</v>
      </c>
      <c r="AB186" s="13">
        <v>0</v>
      </c>
    </row>
    <row r="187" spans="1:28" x14ac:dyDescent="0.2">
      <c r="A187" s="13">
        <v>50</v>
      </c>
      <c r="B187" s="13">
        <v>0</v>
      </c>
      <c r="C187" s="13">
        <v>0</v>
      </c>
      <c r="D187" s="13">
        <v>1</v>
      </c>
      <c r="E187" s="13">
        <v>204</v>
      </c>
      <c r="F187" s="13">
        <f>ROUND(Source!R173,O187)</f>
        <v>0</v>
      </c>
      <c r="G187" s="13" t="s">
        <v>117</v>
      </c>
      <c r="H187" s="13" t="s">
        <v>118</v>
      </c>
      <c r="I187" s="13"/>
      <c r="J187" s="13"/>
      <c r="K187" s="13">
        <v>204</v>
      </c>
      <c r="L187" s="13">
        <v>13</v>
      </c>
      <c r="M187" s="13">
        <v>3</v>
      </c>
      <c r="N187" s="13" t="s">
        <v>3</v>
      </c>
      <c r="O187" s="13">
        <v>2</v>
      </c>
      <c r="P187" s="13">
        <f>ROUND(Source!DJ173,O187)</f>
        <v>0</v>
      </c>
      <c r="Q187" s="13"/>
      <c r="R187" s="13"/>
      <c r="S187" s="13"/>
      <c r="T187" s="13"/>
      <c r="U187" s="13"/>
      <c r="V187" s="13"/>
      <c r="W187" s="13">
        <v>0</v>
      </c>
      <c r="X187" s="13">
        <v>1</v>
      </c>
      <c r="Y187" s="13">
        <v>0</v>
      </c>
      <c r="Z187" s="13">
        <v>0</v>
      </c>
      <c r="AA187" s="13">
        <v>1</v>
      </c>
      <c r="AB187" s="13">
        <v>0</v>
      </c>
    </row>
    <row r="188" spans="1:28" x14ac:dyDescent="0.2">
      <c r="A188" s="13">
        <v>50</v>
      </c>
      <c r="B188" s="13">
        <v>0</v>
      </c>
      <c r="C188" s="13">
        <v>0</v>
      </c>
      <c r="D188" s="13">
        <v>1</v>
      </c>
      <c r="E188" s="13">
        <v>205</v>
      </c>
      <c r="F188" s="13">
        <f>ROUND(Source!S173,O188)</f>
        <v>3758.53</v>
      </c>
      <c r="G188" s="13" t="s">
        <v>119</v>
      </c>
      <c r="H188" s="13" t="s">
        <v>120</v>
      </c>
      <c r="I188" s="13"/>
      <c r="J188" s="13"/>
      <c r="K188" s="13">
        <v>205</v>
      </c>
      <c r="L188" s="13">
        <v>14</v>
      </c>
      <c r="M188" s="13">
        <v>3</v>
      </c>
      <c r="N188" s="13" t="s">
        <v>3</v>
      </c>
      <c r="O188" s="13">
        <v>2</v>
      </c>
      <c r="P188" s="13">
        <f>ROUND(Source!DK173,O188)</f>
        <v>211793.16</v>
      </c>
      <c r="Q188" s="13"/>
      <c r="R188" s="13"/>
      <c r="S188" s="13"/>
      <c r="T188" s="13"/>
      <c r="U188" s="13"/>
      <c r="V188" s="13"/>
      <c r="W188" s="13">
        <v>3758.53</v>
      </c>
      <c r="X188" s="13">
        <v>1</v>
      </c>
      <c r="Y188" s="13">
        <v>3758.53</v>
      </c>
      <c r="Z188" s="13">
        <v>211793.16</v>
      </c>
      <c r="AA188" s="13">
        <v>1</v>
      </c>
      <c r="AB188" s="13">
        <v>211793.16</v>
      </c>
    </row>
    <row r="189" spans="1:28" x14ac:dyDescent="0.2">
      <c r="A189" s="13">
        <v>50</v>
      </c>
      <c r="B189" s="13">
        <v>0</v>
      </c>
      <c r="C189" s="13">
        <v>0</v>
      </c>
      <c r="D189" s="13">
        <v>1</v>
      </c>
      <c r="E189" s="13">
        <v>232</v>
      </c>
      <c r="F189" s="13">
        <f>ROUND(Source!BC173,O189)</f>
        <v>0</v>
      </c>
      <c r="G189" s="13" t="s">
        <v>121</v>
      </c>
      <c r="H189" s="13" t="s">
        <v>122</v>
      </c>
      <c r="I189" s="13"/>
      <c r="J189" s="13"/>
      <c r="K189" s="13">
        <v>232</v>
      </c>
      <c r="L189" s="13">
        <v>15</v>
      </c>
      <c r="M189" s="13">
        <v>3</v>
      </c>
      <c r="N189" s="13" t="s">
        <v>3</v>
      </c>
      <c r="O189" s="13">
        <v>2</v>
      </c>
      <c r="P189" s="13">
        <f>ROUND(Source!EU173,O189)</f>
        <v>0</v>
      </c>
      <c r="Q189" s="13"/>
      <c r="R189" s="13"/>
      <c r="S189" s="13"/>
      <c r="T189" s="13"/>
      <c r="U189" s="13"/>
      <c r="V189" s="13"/>
      <c r="W189" s="13">
        <v>0</v>
      </c>
      <c r="X189" s="13">
        <v>1</v>
      </c>
      <c r="Y189" s="13">
        <v>0</v>
      </c>
      <c r="Z189" s="13">
        <v>0</v>
      </c>
      <c r="AA189" s="13">
        <v>1</v>
      </c>
      <c r="AB189" s="13">
        <v>0</v>
      </c>
    </row>
    <row r="190" spans="1:28" x14ac:dyDescent="0.2">
      <c r="A190" s="13">
        <v>50</v>
      </c>
      <c r="B190" s="13">
        <v>0</v>
      </c>
      <c r="C190" s="13">
        <v>0</v>
      </c>
      <c r="D190" s="13">
        <v>1</v>
      </c>
      <c r="E190" s="13">
        <v>214</v>
      </c>
      <c r="F190" s="13">
        <f>ROUND(Source!AS173,O190)</f>
        <v>0</v>
      </c>
      <c r="G190" s="13" t="s">
        <v>123</v>
      </c>
      <c r="H190" s="13" t="s">
        <v>124</v>
      </c>
      <c r="I190" s="13"/>
      <c r="J190" s="13"/>
      <c r="K190" s="13">
        <v>214</v>
      </c>
      <c r="L190" s="13">
        <v>16</v>
      </c>
      <c r="M190" s="13">
        <v>3</v>
      </c>
      <c r="N190" s="13" t="s">
        <v>3</v>
      </c>
      <c r="O190" s="13">
        <v>2</v>
      </c>
      <c r="P190" s="13">
        <f>ROUND(Source!EK173,O190)</f>
        <v>0</v>
      </c>
      <c r="Q190" s="13"/>
      <c r="R190" s="13"/>
      <c r="S190" s="13"/>
      <c r="T190" s="13"/>
      <c r="U190" s="13"/>
      <c r="V190" s="13"/>
      <c r="W190" s="13">
        <v>0</v>
      </c>
      <c r="X190" s="13">
        <v>1</v>
      </c>
      <c r="Y190" s="13">
        <v>0</v>
      </c>
      <c r="Z190" s="13">
        <v>0</v>
      </c>
      <c r="AA190" s="13">
        <v>1</v>
      </c>
      <c r="AB190" s="13">
        <v>0</v>
      </c>
    </row>
    <row r="191" spans="1:28" x14ac:dyDescent="0.2">
      <c r="A191" s="13">
        <v>50</v>
      </c>
      <c r="B191" s="13">
        <v>0</v>
      </c>
      <c r="C191" s="13">
        <v>0</v>
      </c>
      <c r="D191" s="13">
        <v>1</v>
      </c>
      <c r="E191" s="13">
        <v>215</v>
      </c>
      <c r="F191" s="13">
        <f>ROUND(Source!AT173,O191)</f>
        <v>9205.5400000000009</v>
      </c>
      <c r="G191" s="13" t="s">
        <v>125</v>
      </c>
      <c r="H191" s="13" t="s">
        <v>126</v>
      </c>
      <c r="I191" s="13"/>
      <c r="J191" s="13"/>
      <c r="K191" s="13">
        <v>215</v>
      </c>
      <c r="L191" s="13">
        <v>17</v>
      </c>
      <c r="M191" s="13">
        <v>3</v>
      </c>
      <c r="N191" s="13" t="s">
        <v>3</v>
      </c>
      <c r="O191" s="13">
        <v>2</v>
      </c>
      <c r="P191" s="13">
        <f>ROUND(Source!EL173,O191)</f>
        <v>504100.23</v>
      </c>
      <c r="Q191" s="13"/>
      <c r="R191" s="13"/>
      <c r="S191" s="13"/>
      <c r="T191" s="13"/>
      <c r="U191" s="13"/>
      <c r="V191" s="13"/>
      <c r="W191" s="13">
        <v>9205.5400000000009</v>
      </c>
      <c r="X191" s="13">
        <v>1</v>
      </c>
      <c r="Y191" s="13">
        <v>9205.5400000000009</v>
      </c>
      <c r="Z191" s="13">
        <v>504100.23</v>
      </c>
      <c r="AA191" s="13">
        <v>1</v>
      </c>
      <c r="AB191" s="13">
        <v>504100.23</v>
      </c>
    </row>
    <row r="192" spans="1:28" x14ac:dyDescent="0.2">
      <c r="A192" s="13">
        <v>50</v>
      </c>
      <c r="B192" s="13">
        <v>0</v>
      </c>
      <c r="C192" s="13">
        <v>0</v>
      </c>
      <c r="D192" s="13">
        <v>1</v>
      </c>
      <c r="E192" s="13">
        <v>217</v>
      </c>
      <c r="F192" s="13">
        <f>ROUND(Source!AU173,O192)</f>
        <v>0</v>
      </c>
      <c r="G192" s="13" t="s">
        <v>127</v>
      </c>
      <c r="H192" s="13" t="s">
        <v>128</v>
      </c>
      <c r="I192" s="13"/>
      <c r="J192" s="13"/>
      <c r="K192" s="13">
        <v>217</v>
      </c>
      <c r="L192" s="13">
        <v>18</v>
      </c>
      <c r="M192" s="13">
        <v>3</v>
      </c>
      <c r="N192" s="13" t="s">
        <v>3</v>
      </c>
      <c r="O192" s="13">
        <v>2</v>
      </c>
      <c r="P192" s="13">
        <f>ROUND(Source!EM173,O192)</f>
        <v>0</v>
      </c>
      <c r="Q192" s="13"/>
      <c r="R192" s="13"/>
      <c r="S192" s="13"/>
      <c r="T192" s="13"/>
      <c r="U192" s="13"/>
      <c r="V192" s="13"/>
      <c r="W192" s="13">
        <v>0</v>
      </c>
      <c r="X192" s="13">
        <v>1</v>
      </c>
      <c r="Y192" s="13">
        <v>0</v>
      </c>
      <c r="Z192" s="13">
        <v>0</v>
      </c>
      <c r="AA192" s="13">
        <v>1</v>
      </c>
      <c r="AB192" s="13">
        <v>0</v>
      </c>
    </row>
    <row r="193" spans="1:255" x14ac:dyDescent="0.2">
      <c r="A193" s="13">
        <v>50</v>
      </c>
      <c r="B193" s="13">
        <v>0</v>
      </c>
      <c r="C193" s="13">
        <v>0</v>
      </c>
      <c r="D193" s="13">
        <v>1</v>
      </c>
      <c r="E193" s="13">
        <v>230</v>
      </c>
      <c r="F193" s="13">
        <f>ROUND(Source!BA173,O193)</f>
        <v>0</v>
      </c>
      <c r="G193" s="13" t="s">
        <v>129</v>
      </c>
      <c r="H193" s="13" t="s">
        <v>130</v>
      </c>
      <c r="I193" s="13"/>
      <c r="J193" s="13"/>
      <c r="K193" s="13">
        <v>230</v>
      </c>
      <c r="L193" s="13">
        <v>19</v>
      </c>
      <c r="M193" s="13">
        <v>3</v>
      </c>
      <c r="N193" s="13" t="s">
        <v>3</v>
      </c>
      <c r="O193" s="13">
        <v>2</v>
      </c>
      <c r="P193" s="13">
        <f>ROUND(Source!ES173,O193)</f>
        <v>0</v>
      </c>
      <c r="Q193" s="13"/>
      <c r="R193" s="13"/>
      <c r="S193" s="13"/>
      <c r="T193" s="13"/>
      <c r="U193" s="13"/>
      <c r="V193" s="13"/>
      <c r="W193" s="13">
        <v>0</v>
      </c>
      <c r="X193" s="13">
        <v>1</v>
      </c>
      <c r="Y193" s="13">
        <v>0</v>
      </c>
      <c r="Z193" s="13">
        <v>0</v>
      </c>
      <c r="AA193" s="13">
        <v>1</v>
      </c>
      <c r="AB193" s="13">
        <v>0</v>
      </c>
    </row>
    <row r="194" spans="1:255" x14ac:dyDescent="0.2">
      <c r="A194" s="13">
        <v>50</v>
      </c>
      <c r="B194" s="13">
        <v>0</v>
      </c>
      <c r="C194" s="13">
        <v>0</v>
      </c>
      <c r="D194" s="13">
        <v>1</v>
      </c>
      <c r="E194" s="13">
        <v>206</v>
      </c>
      <c r="F194" s="13">
        <f>ROUND(Source!T173,O194)</f>
        <v>0</v>
      </c>
      <c r="G194" s="13" t="s">
        <v>131</v>
      </c>
      <c r="H194" s="13" t="s">
        <v>132</v>
      </c>
      <c r="I194" s="13"/>
      <c r="J194" s="13"/>
      <c r="K194" s="13">
        <v>206</v>
      </c>
      <c r="L194" s="13">
        <v>20</v>
      </c>
      <c r="M194" s="13">
        <v>3</v>
      </c>
      <c r="N194" s="13" t="s">
        <v>3</v>
      </c>
      <c r="O194" s="13">
        <v>2</v>
      </c>
      <c r="P194" s="13">
        <f>ROUND(Source!DL173,O194)</f>
        <v>0</v>
      </c>
      <c r="Q194" s="13"/>
      <c r="R194" s="13"/>
      <c r="S194" s="13"/>
      <c r="T194" s="13"/>
      <c r="U194" s="13"/>
      <c r="V194" s="13"/>
      <c r="W194" s="13">
        <v>0</v>
      </c>
      <c r="X194" s="13">
        <v>1</v>
      </c>
      <c r="Y194" s="13">
        <v>0</v>
      </c>
      <c r="Z194" s="13">
        <v>0</v>
      </c>
      <c r="AA194" s="13">
        <v>1</v>
      </c>
      <c r="AB194" s="13">
        <v>0</v>
      </c>
    </row>
    <row r="195" spans="1:255" x14ac:dyDescent="0.2">
      <c r="A195" s="13">
        <v>50</v>
      </c>
      <c r="B195" s="13">
        <v>0</v>
      </c>
      <c r="C195" s="13">
        <v>0</v>
      </c>
      <c r="D195" s="13">
        <v>1</v>
      </c>
      <c r="E195" s="13">
        <v>207</v>
      </c>
      <c r="F195" s="13">
        <f>Source!U173</f>
        <v>298.570896</v>
      </c>
      <c r="G195" s="13" t="s">
        <v>133</v>
      </c>
      <c r="H195" s="13" t="s">
        <v>134</v>
      </c>
      <c r="I195" s="13"/>
      <c r="J195" s="13"/>
      <c r="K195" s="13">
        <v>207</v>
      </c>
      <c r="L195" s="13">
        <v>21</v>
      </c>
      <c r="M195" s="13">
        <v>3</v>
      </c>
      <c r="N195" s="13" t="s">
        <v>3</v>
      </c>
      <c r="O195" s="13">
        <v>-1</v>
      </c>
      <c r="P195" s="13">
        <f>Source!DM173</f>
        <v>298.570896</v>
      </c>
      <c r="Q195" s="13"/>
      <c r="R195" s="13"/>
      <c r="S195" s="13"/>
      <c r="T195" s="13"/>
      <c r="U195" s="13"/>
      <c r="V195" s="13"/>
      <c r="W195" s="13">
        <v>298.570896</v>
      </c>
      <c r="X195" s="13">
        <v>1</v>
      </c>
      <c r="Y195" s="13">
        <v>298.570896</v>
      </c>
      <c r="Z195" s="13">
        <v>298.570896</v>
      </c>
      <c r="AA195" s="13">
        <v>1</v>
      </c>
      <c r="AB195" s="13">
        <v>298.570896</v>
      </c>
    </row>
    <row r="196" spans="1:255" x14ac:dyDescent="0.2">
      <c r="A196" s="13">
        <v>50</v>
      </c>
      <c r="B196" s="13">
        <v>0</v>
      </c>
      <c r="C196" s="13">
        <v>0</v>
      </c>
      <c r="D196" s="13">
        <v>1</v>
      </c>
      <c r="E196" s="13">
        <v>208</v>
      </c>
      <c r="F196" s="13">
        <f>Source!V173</f>
        <v>0</v>
      </c>
      <c r="G196" s="13" t="s">
        <v>135</v>
      </c>
      <c r="H196" s="13" t="s">
        <v>136</v>
      </c>
      <c r="I196" s="13"/>
      <c r="J196" s="13"/>
      <c r="K196" s="13">
        <v>208</v>
      </c>
      <c r="L196" s="13">
        <v>22</v>
      </c>
      <c r="M196" s="13">
        <v>3</v>
      </c>
      <c r="N196" s="13" t="s">
        <v>3</v>
      </c>
      <c r="O196" s="13">
        <v>-1</v>
      </c>
      <c r="P196" s="13">
        <f>Source!DN173</f>
        <v>0</v>
      </c>
      <c r="Q196" s="13"/>
      <c r="R196" s="13"/>
      <c r="S196" s="13"/>
      <c r="T196" s="13"/>
      <c r="U196" s="13"/>
      <c r="V196" s="13"/>
      <c r="W196" s="13">
        <v>0</v>
      </c>
      <c r="X196" s="13">
        <v>1</v>
      </c>
      <c r="Y196" s="13">
        <v>0</v>
      </c>
      <c r="Z196" s="13">
        <v>0</v>
      </c>
      <c r="AA196" s="13">
        <v>1</v>
      </c>
      <c r="AB196" s="13">
        <v>0</v>
      </c>
    </row>
    <row r="197" spans="1:255" x14ac:dyDescent="0.2">
      <c r="A197" s="13">
        <v>50</v>
      </c>
      <c r="B197" s="13">
        <v>0</v>
      </c>
      <c r="C197" s="13">
        <v>0</v>
      </c>
      <c r="D197" s="13">
        <v>1</v>
      </c>
      <c r="E197" s="13">
        <v>209</v>
      </c>
      <c r="F197" s="13">
        <f>ROUND(Source!W173,O197)</f>
        <v>0</v>
      </c>
      <c r="G197" s="13" t="s">
        <v>137</v>
      </c>
      <c r="H197" s="13" t="s">
        <v>138</v>
      </c>
      <c r="I197" s="13"/>
      <c r="J197" s="13"/>
      <c r="K197" s="13">
        <v>209</v>
      </c>
      <c r="L197" s="13">
        <v>23</v>
      </c>
      <c r="M197" s="13">
        <v>3</v>
      </c>
      <c r="N197" s="13" t="s">
        <v>3</v>
      </c>
      <c r="O197" s="13">
        <v>2</v>
      </c>
      <c r="P197" s="13">
        <f>ROUND(Source!DO173,O197)</f>
        <v>0</v>
      </c>
      <c r="Q197" s="13"/>
      <c r="R197" s="13"/>
      <c r="S197" s="13"/>
      <c r="T197" s="13"/>
      <c r="U197" s="13"/>
      <c r="V197" s="13"/>
      <c r="W197" s="13">
        <v>0</v>
      </c>
      <c r="X197" s="13">
        <v>1</v>
      </c>
      <c r="Y197" s="13">
        <v>0</v>
      </c>
      <c r="Z197" s="13">
        <v>0</v>
      </c>
      <c r="AA197" s="13">
        <v>1</v>
      </c>
      <c r="AB197" s="13">
        <v>0</v>
      </c>
    </row>
    <row r="198" spans="1:255" x14ac:dyDescent="0.2">
      <c r="A198" s="13">
        <v>50</v>
      </c>
      <c r="B198" s="13">
        <v>0</v>
      </c>
      <c r="C198" s="13">
        <v>0</v>
      </c>
      <c r="D198" s="13">
        <v>1</v>
      </c>
      <c r="E198" s="13">
        <v>233</v>
      </c>
      <c r="F198" s="13">
        <f>ROUND(Source!BD173,O198)</f>
        <v>0</v>
      </c>
      <c r="G198" s="13" t="s">
        <v>139</v>
      </c>
      <c r="H198" s="13" t="s">
        <v>140</v>
      </c>
      <c r="I198" s="13"/>
      <c r="J198" s="13"/>
      <c r="K198" s="13">
        <v>233</v>
      </c>
      <c r="L198" s="13">
        <v>24</v>
      </c>
      <c r="M198" s="13">
        <v>3</v>
      </c>
      <c r="N198" s="13" t="s">
        <v>3</v>
      </c>
      <c r="O198" s="13">
        <v>2</v>
      </c>
      <c r="P198" s="13">
        <f>ROUND(Source!EV173,O198)</f>
        <v>0</v>
      </c>
      <c r="Q198" s="13"/>
      <c r="R198" s="13"/>
      <c r="S198" s="13"/>
      <c r="T198" s="13"/>
      <c r="U198" s="13"/>
      <c r="V198" s="13"/>
      <c r="W198" s="13">
        <v>0</v>
      </c>
      <c r="X198" s="13">
        <v>1</v>
      </c>
      <c r="Y198" s="13">
        <v>0</v>
      </c>
      <c r="Z198" s="13">
        <v>0</v>
      </c>
      <c r="AA198" s="13">
        <v>1</v>
      </c>
      <c r="AB198" s="13">
        <v>0</v>
      </c>
    </row>
    <row r="199" spans="1:255" x14ac:dyDescent="0.2">
      <c r="A199" s="13">
        <v>50</v>
      </c>
      <c r="B199" s="13">
        <v>0</v>
      </c>
      <c r="C199" s="13">
        <v>0</v>
      </c>
      <c r="D199" s="13">
        <v>1</v>
      </c>
      <c r="E199" s="13">
        <v>210</v>
      </c>
      <c r="F199" s="13">
        <f>ROUND(Source!X173,O199)</f>
        <v>3390.14</v>
      </c>
      <c r="G199" s="13" t="s">
        <v>141</v>
      </c>
      <c r="H199" s="13" t="s">
        <v>142</v>
      </c>
      <c r="I199" s="13"/>
      <c r="J199" s="13"/>
      <c r="K199" s="13">
        <v>210</v>
      </c>
      <c r="L199" s="13">
        <v>25</v>
      </c>
      <c r="M199" s="13">
        <v>3</v>
      </c>
      <c r="N199" s="13" t="s">
        <v>3</v>
      </c>
      <c r="O199" s="13">
        <v>2</v>
      </c>
      <c r="P199" s="13">
        <f>ROUND(Source!DP173,O199)</f>
        <v>191034.75</v>
      </c>
      <c r="Q199" s="13"/>
      <c r="R199" s="13"/>
      <c r="S199" s="13"/>
      <c r="T199" s="13"/>
      <c r="U199" s="13"/>
      <c r="V199" s="13"/>
      <c r="W199" s="13">
        <v>3390.14</v>
      </c>
      <c r="X199" s="13">
        <v>1</v>
      </c>
      <c r="Y199" s="13">
        <v>3390.14</v>
      </c>
      <c r="Z199" s="13">
        <v>191034.75</v>
      </c>
      <c r="AA199" s="13">
        <v>1</v>
      </c>
      <c r="AB199" s="13">
        <v>191034.75</v>
      </c>
    </row>
    <row r="200" spans="1:255" x14ac:dyDescent="0.2">
      <c r="A200" s="13">
        <v>50</v>
      </c>
      <c r="B200" s="13">
        <v>0</v>
      </c>
      <c r="C200" s="13">
        <v>0</v>
      </c>
      <c r="D200" s="13">
        <v>1</v>
      </c>
      <c r="E200" s="13">
        <v>211</v>
      </c>
      <c r="F200" s="13">
        <f>ROUND(Source!Y173,O200)</f>
        <v>1739.38</v>
      </c>
      <c r="G200" s="13" t="s">
        <v>143</v>
      </c>
      <c r="H200" s="13" t="s">
        <v>144</v>
      </c>
      <c r="I200" s="13"/>
      <c r="J200" s="13"/>
      <c r="K200" s="13">
        <v>211</v>
      </c>
      <c r="L200" s="13">
        <v>26</v>
      </c>
      <c r="M200" s="13">
        <v>3</v>
      </c>
      <c r="N200" s="13" t="s">
        <v>3</v>
      </c>
      <c r="O200" s="13">
        <v>2</v>
      </c>
      <c r="P200" s="13">
        <f>ROUND(Source!DQ173,O200)</f>
        <v>98014.12</v>
      </c>
      <c r="Q200" s="13"/>
      <c r="R200" s="13"/>
      <c r="S200" s="13"/>
      <c r="T200" s="13"/>
      <c r="U200" s="13"/>
      <c r="V200" s="13"/>
      <c r="W200" s="13">
        <v>1739.38</v>
      </c>
      <c r="X200" s="13">
        <v>1</v>
      </c>
      <c r="Y200" s="13">
        <v>1739.38</v>
      </c>
      <c r="Z200" s="13">
        <v>98014.12</v>
      </c>
      <c r="AA200" s="13">
        <v>1</v>
      </c>
      <c r="AB200" s="13">
        <v>98014.12</v>
      </c>
    </row>
    <row r="201" spans="1:255" x14ac:dyDescent="0.2">
      <c r="A201" s="13">
        <v>50</v>
      </c>
      <c r="B201" s="13">
        <v>0</v>
      </c>
      <c r="C201" s="13">
        <v>0</v>
      </c>
      <c r="D201" s="13">
        <v>1</v>
      </c>
      <c r="E201" s="13">
        <v>224</v>
      </c>
      <c r="F201" s="13">
        <f>ROUND(Source!AR173,O201)</f>
        <v>40124.339999999997</v>
      </c>
      <c r="G201" s="13" t="s">
        <v>145</v>
      </c>
      <c r="H201" s="13" t="s">
        <v>146</v>
      </c>
      <c r="I201" s="13"/>
      <c r="J201" s="13"/>
      <c r="K201" s="13">
        <v>224</v>
      </c>
      <c r="L201" s="13">
        <v>27</v>
      </c>
      <c r="M201" s="13">
        <v>3</v>
      </c>
      <c r="N201" s="13" t="s">
        <v>3</v>
      </c>
      <c r="O201" s="13">
        <v>2</v>
      </c>
      <c r="P201" s="13">
        <f>ROUND(Source!EJ173,O201)</f>
        <v>796576.81</v>
      </c>
      <c r="Q201" s="13"/>
      <c r="R201" s="13"/>
      <c r="S201" s="13"/>
      <c r="T201" s="13"/>
      <c r="U201" s="13"/>
      <c r="V201" s="13"/>
      <c r="W201" s="13">
        <v>40124.339999999997</v>
      </c>
      <c r="X201" s="13">
        <v>1</v>
      </c>
      <c r="Y201" s="13">
        <v>40124.339999999997</v>
      </c>
      <c r="Z201" s="13">
        <v>796576.81</v>
      </c>
      <c r="AA201" s="13">
        <v>1</v>
      </c>
      <c r="AB201" s="13">
        <v>796576.81</v>
      </c>
    </row>
    <row r="203" spans="1:255" x14ac:dyDescent="0.2">
      <c r="A203" s="10">
        <v>4</v>
      </c>
      <c r="B203" s="10">
        <v>1</v>
      </c>
      <c r="C203" s="10"/>
      <c r="D203" s="10">
        <f>ROW(A218)</f>
        <v>218</v>
      </c>
      <c r="E203" s="10"/>
      <c r="F203" s="10" t="s">
        <v>34</v>
      </c>
      <c r="G203" s="10" t="s">
        <v>224</v>
      </c>
      <c r="H203" s="10" t="s">
        <v>3</v>
      </c>
      <c r="I203" s="10">
        <v>0</v>
      </c>
      <c r="J203" s="10"/>
      <c r="K203" s="10">
        <v>-1</v>
      </c>
      <c r="L203" s="10"/>
      <c r="M203" s="10" t="s">
        <v>3</v>
      </c>
      <c r="N203" s="10"/>
      <c r="O203" s="10"/>
      <c r="P203" s="10"/>
      <c r="Q203" s="10"/>
      <c r="R203" s="10"/>
      <c r="S203" s="10">
        <v>0</v>
      </c>
      <c r="T203" s="10">
        <v>0</v>
      </c>
      <c r="U203" s="10" t="s">
        <v>3</v>
      </c>
      <c r="V203" s="10">
        <v>0</v>
      </c>
      <c r="W203" s="10"/>
      <c r="X203" s="10"/>
      <c r="Y203" s="10"/>
      <c r="Z203" s="10"/>
      <c r="AA203" s="10"/>
      <c r="AB203" s="10" t="s">
        <v>3</v>
      </c>
      <c r="AC203" s="10" t="s">
        <v>3</v>
      </c>
      <c r="AD203" s="10" t="s">
        <v>3</v>
      </c>
      <c r="AE203" s="10" t="s">
        <v>3</v>
      </c>
      <c r="AF203" s="10" t="s">
        <v>3</v>
      </c>
      <c r="AG203" s="10" t="s">
        <v>3</v>
      </c>
      <c r="AH203" s="10"/>
      <c r="AI203" s="10"/>
      <c r="AJ203" s="10"/>
      <c r="AK203" s="10"/>
      <c r="AL203" s="10"/>
      <c r="AM203" s="10"/>
      <c r="AN203" s="10"/>
      <c r="AO203" s="10"/>
      <c r="AP203" s="10" t="s">
        <v>3</v>
      </c>
      <c r="AQ203" s="10" t="s">
        <v>3</v>
      </c>
      <c r="AR203" s="10" t="s">
        <v>3</v>
      </c>
      <c r="AS203" s="10"/>
      <c r="AT203" s="10"/>
      <c r="AU203" s="10"/>
      <c r="AV203" s="10"/>
      <c r="AW203" s="10"/>
      <c r="AX203" s="10"/>
      <c r="AY203" s="10"/>
      <c r="AZ203" s="10" t="s">
        <v>3</v>
      </c>
      <c r="BA203" s="10"/>
      <c r="BB203" s="10" t="s">
        <v>3</v>
      </c>
      <c r="BC203" s="10" t="s">
        <v>3</v>
      </c>
      <c r="BD203" s="10" t="s">
        <v>3</v>
      </c>
      <c r="BE203" s="10" t="s">
        <v>3</v>
      </c>
      <c r="BF203" s="10" t="s">
        <v>3</v>
      </c>
      <c r="BG203" s="10" t="s">
        <v>3</v>
      </c>
      <c r="BH203" s="10" t="s">
        <v>3</v>
      </c>
      <c r="BI203" s="10" t="s">
        <v>3</v>
      </c>
      <c r="BJ203" s="10" t="s">
        <v>3</v>
      </c>
      <c r="BK203" s="10" t="s">
        <v>3</v>
      </c>
      <c r="BL203" s="10" t="s">
        <v>3</v>
      </c>
      <c r="BM203" s="10" t="s">
        <v>3</v>
      </c>
      <c r="BN203" s="10" t="s">
        <v>3</v>
      </c>
      <c r="BO203" s="10" t="s">
        <v>3</v>
      </c>
      <c r="BP203" s="10" t="s">
        <v>3</v>
      </c>
      <c r="BQ203" s="10"/>
      <c r="BR203" s="10"/>
      <c r="BS203" s="10"/>
      <c r="BT203" s="10"/>
      <c r="BU203" s="10"/>
      <c r="BV203" s="10"/>
      <c r="BW203" s="10"/>
      <c r="BX203" s="10">
        <v>0</v>
      </c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>
        <v>0</v>
      </c>
    </row>
    <row r="205" spans="1:255" x14ac:dyDescent="0.2">
      <c r="A205" s="11">
        <v>52</v>
      </c>
      <c r="B205" s="11">
        <f t="shared" ref="B205:G205" si="155">B218</f>
        <v>1</v>
      </c>
      <c r="C205" s="11">
        <f t="shared" si="155"/>
        <v>4</v>
      </c>
      <c r="D205" s="11">
        <f t="shared" si="155"/>
        <v>203</v>
      </c>
      <c r="E205" s="11">
        <f t="shared" si="155"/>
        <v>0</v>
      </c>
      <c r="F205" s="11" t="str">
        <f t="shared" si="155"/>
        <v>3</v>
      </c>
      <c r="G205" s="11" t="str">
        <f t="shared" si="155"/>
        <v>РИП и боксы</v>
      </c>
      <c r="H205" s="11"/>
      <c r="I205" s="11"/>
      <c r="J205" s="11"/>
      <c r="K205" s="11"/>
      <c r="L205" s="11"/>
      <c r="M205" s="11"/>
      <c r="N205" s="11"/>
      <c r="O205" s="11">
        <f t="shared" ref="O205:AT205" si="156">O218</f>
        <v>4162.97</v>
      </c>
      <c r="P205" s="11">
        <f t="shared" si="156"/>
        <v>3961.09</v>
      </c>
      <c r="Q205" s="11">
        <f t="shared" si="156"/>
        <v>0</v>
      </c>
      <c r="R205" s="11">
        <f t="shared" si="156"/>
        <v>0</v>
      </c>
      <c r="S205" s="11">
        <f t="shared" si="156"/>
        <v>201.88</v>
      </c>
      <c r="T205" s="11">
        <f t="shared" si="156"/>
        <v>0</v>
      </c>
      <c r="U205" s="11">
        <f t="shared" si="156"/>
        <v>15.981407999999998</v>
      </c>
      <c r="V205" s="11">
        <f t="shared" si="156"/>
        <v>0</v>
      </c>
      <c r="W205" s="11">
        <f t="shared" si="156"/>
        <v>0</v>
      </c>
      <c r="X205" s="11">
        <f t="shared" si="156"/>
        <v>181.69</v>
      </c>
      <c r="Y205" s="11">
        <f t="shared" si="156"/>
        <v>92.86</v>
      </c>
      <c r="Z205" s="11">
        <f t="shared" si="156"/>
        <v>0</v>
      </c>
      <c r="AA205" s="11">
        <f t="shared" si="156"/>
        <v>0</v>
      </c>
      <c r="AB205" s="11">
        <f t="shared" si="156"/>
        <v>4162.97</v>
      </c>
      <c r="AC205" s="11">
        <f t="shared" si="156"/>
        <v>3961.09</v>
      </c>
      <c r="AD205" s="11">
        <f t="shared" si="156"/>
        <v>0</v>
      </c>
      <c r="AE205" s="11">
        <f t="shared" si="156"/>
        <v>0</v>
      </c>
      <c r="AF205" s="11">
        <f t="shared" si="156"/>
        <v>201.88</v>
      </c>
      <c r="AG205" s="11">
        <f t="shared" si="156"/>
        <v>0</v>
      </c>
      <c r="AH205" s="11">
        <f t="shared" si="156"/>
        <v>15.981407999999998</v>
      </c>
      <c r="AI205" s="11">
        <f t="shared" si="156"/>
        <v>0</v>
      </c>
      <c r="AJ205" s="11">
        <f t="shared" si="156"/>
        <v>0</v>
      </c>
      <c r="AK205" s="11">
        <f t="shared" si="156"/>
        <v>181.69</v>
      </c>
      <c r="AL205" s="11">
        <f t="shared" si="156"/>
        <v>92.86</v>
      </c>
      <c r="AM205" s="11">
        <f t="shared" si="156"/>
        <v>0</v>
      </c>
      <c r="AN205" s="11">
        <f t="shared" si="156"/>
        <v>0</v>
      </c>
      <c r="AO205" s="11">
        <f t="shared" si="156"/>
        <v>0</v>
      </c>
      <c r="AP205" s="11">
        <f t="shared" si="156"/>
        <v>3951.73</v>
      </c>
      <c r="AQ205" s="11">
        <f t="shared" si="156"/>
        <v>0</v>
      </c>
      <c r="AR205" s="11">
        <f t="shared" si="156"/>
        <v>4437.5200000000004</v>
      </c>
      <c r="AS205" s="11">
        <f t="shared" si="156"/>
        <v>0</v>
      </c>
      <c r="AT205" s="11">
        <f t="shared" si="156"/>
        <v>485.79</v>
      </c>
      <c r="AU205" s="11">
        <f t="shared" ref="AU205:BZ205" si="157">AU218</f>
        <v>0</v>
      </c>
      <c r="AV205" s="11">
        <f t="shared" si="157"/>
        <v>3961.09</v>
      </c>
      <c r="AW205" s="11">
        <f t="shared" si="157"/>
        <v>9.36</v>
      </c>
      <c r="AX205" s="11">
        <f t="shared" si="157"/>
        <v>0</v>
      </c>
      <c r="AY205" s="11">
        <f t="shared" si="157"/>
        <v>9.36</v>
      </c>
      <c r="AZ205" s="11">
        <f t="shared" si="157"/>
        <v>3951.73</v>
      </c>
      <c r="BA205" s="11">
        <f t="shared" si="157"/>
        <v>0</v>
      </c>
      <c r="BB205" s="11">
        <f t="shared" si="157"/>
        <v>0</v>
      </c>
      <c r="BC205" s="11">
        <f t="shared" si="157"/>
        <v>0</v>
      </c>
      <c r="BD205" s="11">
        <f t="shared" si="157"/>
        <v>0</v>
      </c>
      <c r="BE205" s="11">
        <f t="shared" si="157"/>
        <v>0</v>
      </c>
      <c r="BF205" s="11">
        <f t="shared" si="157"/>
        <v>0</v>
      </c>
      <c r="BG205" s="11">
        <f t="shared" si="157"/>
        <v>0</v>
      </c>
      <c r="BH205" s="11">
        <f t="shared" si="157"/>
        <v>0</v>
      </c>
      <c r="BI205" s="11">
        <f t="shared" si="157"/>
        <v>0</v>
      </c>
      <c r="BJ205" s="11">
        <f t="shared" si="157"/>
        <v>0</v>
      </c>
      <c r="BK205" s="11">
        <f t="shared" si="157"/>
        <v>0</v>
      </c>
      <c r="BL205" s="11">
        <f t="shared" si="157"/>
        <v>0</v>
      </c>
      <c r="BM205" s="11">
        <f t="shared" si="157"/>
        <v>0</v>
      </c>
      <c r="BN205" s="11">
        <f t="shared" si="157"/>
        <v>0</v>
      </c>
      <c r="BO205" s="11">
        <f t="shared" si="157"/>
        <v>0</v>
      </c>
      <c r="BP205" s="11">
        <f t="shared" si="157"/>
        <v>0</v>
      </c>
      <c r="BQ205" s="11">
        <f t="shared" si="157"/>
        <v>0</v>
      </c>
      <c r="BR205" s="11">
        <f t="shared" si="157"/>
        <v>0</v>
      </c>
      <c r="BS205" s="11">
        <f t="shared" si="157"/>
        <v>0</v>
      </c>
      <c r="BT205" s="11">
        <f t="shared" si="157"/>
        <v>0</v>
      </c>
      <c r="BU205" s="11">
        <f t="shared" si="157"/>
        <v>0</v>
      </c>
      <c r="BV205" s="11">
        <f t="shared" si="157"/>
        <v>0</v>
      </c>
      <c r="BW205" s="11">
        <f t="shared" si="157"/>
        <v>0</v>
      </c>
      <c r="BX205" s="11">
        <f t="shared" si="157"/>
        <v>0</v>
      </c>
      <c r="BY205" s="11">
        <f t="shared" si="157"/>
        <v>3951.73</v>
      </c>
      <c r="BZ205" s="11">
        <f t="shared" si="157"/>
        <v>0</v>
      </c>
      <c r="CA205" s="11">
        <f t="shared" ref="CA205:DF205" si="158">CA218</f>
        <v>4437.5200000000004</v>
      </c>
      <c r="CB205" s="11">
        <f t="shared" si="158"/>
        <v>0</v>
      </c>
      <c r="CC205" s="11">
        <f t="shared" si="158"/>
        <v>485.79</v>
      </c>
      <c r="CD205" s="11">
        <f t="shared" si="158"/>
        <v>0</v>
      </c>
      <c r="CE205" s="11">
        <f t="shared" si="158"/>
        <v>3961.09</v>
      </c>
      <c r="CF205" s="11">
        <f t="shared" si="158"/>
        <v>9.3600000000001273</v>
      </c>
      <c r="CG205" s="11">
        <f t="shared" si="158"/>
        <v>0</v>
      </c>
      <c r="CH205" s="11">
        <f t="shared" si="158"/>
        <v>9.3600000000001273</v>
      </c>
      <c r="CI205" s="11">
        <f t="shared" si="158"/>
        <v>3951.73</v>
      </c>
      <c r="CJ205" s="11">
        <f t="shared" si="158"/>
        <v>0</v>
      </c>
      <c r="CK205" s="11">
        <f t="shared" si="158"/>
        <v>0</v>
      </c>
      <c r="CL205" s="11">
        <f t="shared" si="158"/>
        <v>0</v>
      </c>
      <c r="CM205" s="11">
        <f t="shared" si="158"/>
        <v>0</v>
      </c>
      <c r="CN205" s="11">
        <f t="shared" si="158"/>
        <v>0</v>
      </c>
      <c r="CO205" s="11">
        <f t="shared" si="158"/>
        <v>0</v>
      </c>
      <c r="CP205" s="11">
        <f t="shared" si="158"/>
        <v>0</v>
      </c>
      <c r="CQ205" s="11">
        <f t="shared" si="158"/>
        <v>0</v>
      </c>
      <c r="CR205" s="11">
        <f t="shared" si="158"/>
        <v>0</v>
      </c>
      <c r="CS205" s="11">
        <f t="shared" si="158"/>
        <v>0</v>
      </c>
      <c r="CT205" s="11">
        <f t="shared" si="158"/>
        <v>0</v>
      </c>
      <c r="CU205" s="11">
        <f t="shared" si="158"/>
        <v>0</v>
      </c>
      <c r="CV205" s="11">
        <f t="shared" si="158"/>
        <v>0</v>
      </c>
      <c r="CW205" s="11">
        <f t="shared" si="158"/>
        <v>0</v>
      </c>
      <c r="CX205" s="11">
        <f t="shared" si="158"/>
        <v>0</v>
      </c>
      <c r="CY205" s="11">
        <f t="shared" si="158"/>
        <v>0</v>
      </c>
      <c r="CZ205" s="11">
        <f t="shared" si="158"/>
        <v>0</v>
      </c>
      <c r="DA205" s="11">
        <f t="shared" si="158"/>
        <v>0</v>
      </c>
      <c r="DB205" s="11">
        <f t="shared" si="158"/>
        <v>0</v>
      </c>
      <c r="DC205" s="11">
        <f t="shared" si="158"/>
        <v>0</v>
      </c>
      <c r="DD205" s="11">
        <f t="shared" si="158"/>
        <v>0</v>
      </c>
      <c r="DE205" s="11">
        <f t="shared" si="158"/>
        <v>0</v>
      </c>
      <c r="DF205" s="11">
        <f t="shared" si="158"/>
        <v>0</v>
      </c>
      <c r="DG205" s="12">
        <f t="shared" ref="DG205:EL205" si="159">DG218</f>
        <v>50356.81</v>
      </c>
      <c r="DH205" s="12">
        <f t="shared" si="159"/>
        <v>38980.870000000003</v>
      </c>
      <c r="DI205" s="12">
        <f t="shared" si="159"/>
        <v>0</v>
      </c>
      <c r="DJ205" s="12">
        <f t="shared" si="159"/>
        <v>0</v>
      </c>
      <c r="DK205" s="12">
        <f t="shared" si="159"/>
        <v>11375.94</v>
      </c>
      <c r="DL205" s="12">
        <f t="shared" si="159"/>
        <v>0</v>
      </c>
      <c r="DM205" s="12">
        <f t="shared" si="159"/>
        <v>15.981407999999998</v>
      </c>
      <c r="DN205" s="12">
        <f t="shared" si="159"/>
        <v>0</v>
      </c>
      <c r="DO205" s="12">
        <f t="shared" si="159"/>
        <v>0</v>
      </c>
      <c r="DP205" s="12">
        <f t="shared" si="159"/>
        <v>10238.35</v>
      </c>
      <c r="DQ205" s="12">
        <f t="shared" si="159"/>
        <v>5232.93</v>
      </c>
      <c r="DR205" s="12">
        <f t="shared" si="159"/>
        <v>0</v>
      </c>
      <c r="DS205" s="12">
        <f t="shared" si="159"/>
        <v>0</v>
      </c>
      <c r="DT205" s="12">
        <f t="shared" si="159"/>
        <v>50356.81</v>
      </c>
      <c r="DU205" s="12">
        <f t="shared" si="159"/>
        <v>38980.870000000003</v>
      </c>
      <c r="DV205" s="12">
        <f t="shared" si="159"/>
        <v>0</v>
      </c>
      <c r="DW205" s="12">
        <f t="shared" si="159"/>
        <v>0</v>
      </c>
      <c r="DX205" s="12">
        <f t="shared" si="159"/>
        <v>11375.94</v>
      </c>
      <c r="DY205" s="12">
        <f t="shared" si="159"/>
        <v>0</v>
      </c>
      <c r="DZ205" s="12">
        <f t="shared" si="159"/>
        <v>15.981407999999998</v>
      </c>
      <c r="EA205" s="12">
        <f t="shared" si="159"/>
        <v>0</v>
      </c>
      <c r="EB205" s="12">
        <f t="shared" si="159"/>
        <v>0</v>
      </c>
      <c r="EC205" s="12">
        <f t="shared" si="159"/>
        <v>10238.35</v>
      </c>
      <c r="ED205" s="12">
        <f t="shared" si="159"/>
        <v>5232.93</v>
      </c>
      <c r="EE205" s="12">
        <f t="shared" si="159"/>
        <v>0</v>
      </c>
      <c r="EF205" s="12">
        <f t="shared" si="159"/>
        <v>0</v>
      </c>
      <c r="EG205" s="12">
        <f t="shared" si="159"/>
        <v>0</v>
      </c>
      <c r="EH205" s="12">
        <f t="shared" si="159"/>
        <v>38885.019999999997</v>
      </c>
      <c r="EI205" s="12">
        <f t="shared" si="159"/>
        <v>0</v>
      </c>
      <c r="EJ205" s="12">
        <f t="shared" si="159"/>
        <v>65828.09</v>
      </c>
      <c r="EK205" s="12">
        <f t="shared" si="159"/>
        <v>0</v>
      </c>
      <c r="EL205" s="12">
        <f t="shared" si="159"/>
        <v>26943.07</v>
      </c>
      <c r="EM205" s="12">
        <f t="shared" ref="EM205:FR205" si="160">EM218</f>
        <v>0</v>
      </c>
      <c r="EN205" s="12">
        <f t="shared" si="160"/>
        <v>38980.870000000003</v>
      </c>
      <c r="EO205" s="12">
        <f t="shared" si="160"/>
        <v>95.85</v>
      </c>
      <c r="EP205" s="12">
        <f t="shared" si="160"/>
        <v>0</v>
      </c>
      <c r="EQ205" s="12">
        <f t="shared" si="160"/>
        <v>95.85</v>
      </c>
      <c r="ER205" s="12">
        <f t="shared" si="160"/>
        <v>38885.019999999997</v>
      </c>
      <c r="ES205" s="12">
        <f t="shared" si="160"/>
        <v>0</v>
      </c>
      <c r="ET205" s="12">
        <f t="shared" si="160"/>
        <v>0</v>
      </c>
      <c r="EU205" s="12">
        <f t="shared" si="160"/>
        <v>0</v>
      </c>
      <c r="EV205" s="12">
        <f t="shared" si="160"/>
        <v>0</v>
      </c>
      <c r="EW205" s="12">
        <f t="shared" si="160"/>
        <v>0</v>
      </c>
      <c r="EX205" s="12">
        <f t="shared" si="160"/>
        <v>0</v>
      </c>
      <c r="EY205" s="12">
        <f t="shared" si="160"/>
        <v>0</v>
      </c>
      <c r="EZ205" s="12">
        <f t="shared" si="160"/>
        <v>0</v>
      </c>
      <c r="FA205" s="12">
        <f t="shared" si="160"/>
        <v>0</v>
      </c>
      <c r="FB205" s="12">
        <f t="shared" si="160"/>
        <v>0</v>
      </c>
      <c r="FC205" s="12">
        <f t="shared" si="160"/>
        <v>0</v>
      </c>
      <c r="FD205" s="12">
        <f t="shared" si="160"/>
        <v>0</v>
      </c>
      <c r="FE205" s="12">
        <f t="shared" si="160"/>
        <v>0</v>
      </c>
      <c r="FF205" s="12">
        <f t="shared" si="160"/>
        <v>0</v>
      </c>
      <c r="FG205" s="12">
        <f t="shared" si="160"/>
        <v>0</v>
      </c>
      <c r="FH205" s="12">
        <f t="shared" si="160"/>
        <v>0</v>
      </c>
      <c r="FI205" s="12">
        <f t="shared" si="160"/>
        <v>0</v>
      </c>
      <c r="FJ205" s="12">
        <f t="shared" si="160"/>
        <v>0</v>
      </c>
      <c r="FK205" s="12">
        <f t="shared" si="160"/>
        <v>0</v>
      </c>
      <c r="FL205" s="12">
        <f t="shared" si="160"/>
        <v>0</v>
      </c>
      <c r="FM205" s="12">
        <f t="shared" si="160"/>
        <v>0</v>
      </c>
      <c r="FN205" s="12">
        <f t="shared" si="160"/>
        <v>0</v>
      </c>
      <c r="FO205" s="12">
        <f t="shared" si="160"/>
        <v>0</v>
      </c>
      <c r="FP205" s="12">
        <f t="shared" si="160"/>
        <v>0</v>
      </c>
      <c r="FQ205" s="12">
        <f t="shared" si="160"/>
        <v>38885.019999999997</v>
      </c>
      <c r="FR205" s="12">
        <f t="shared" si="160"/>
        <v>0</v>
      </c>
      <c r="FS205" s="12">
        <f t="shared" ref="FS205:GX205" si="161">FS218</f>
        <v>65828.09</v>
      </c>
      <c r="FT205" s="12">
        <f t="shared" si="161"/>
        <v>0</v>
      </c>
      <c r="FU205" s="12">
        <f t="shared" si="161"/>
        <v>26943.07</v>
      </c>
      <c r="FV205" s="12">
        <f t="shared" si="161"/>
        <v>0</v>
      </c>
      <c r="FW205" s="12">
        <f t="shared" si="161"/>
        <v>38980.870000000003</v>
      </c>
      <c r="FX205" s="12">
        <f t="shared" si="161"/>
        <v>95.850000000005821</v>
      </c>
      <c r="FY205" s="12">
        <f t="shared" si="161"/>
        <v>0</v>
      </c>
      <c r="FZ205" s="12">
        <f t="shared" si="161"/>
        <v>95.850000000005821</v>
      </c>
      <c r="GA205" s="12">
        <f t="shared" si="161"/>
        <v>38885.019999999997</v>
      </c>
      <c r="GB205" s="12">
        <f t="shared" si="161"/>
        <v>0</v>
      </c>
      <c r="GC205" s="12">
        <f t="shared" si="161"/>
        <v>0</v>
      </c>
      <c r="GD205" s="12">
        <f t="shared" si="161"/>
        <v>0</v>
      </c>
      <c r="GE205" s="12">
        <f t="shared" si="161"/>
        <v>0</v>
      </c>
      <c r="GF205" s="12">
        <f t="shared" si="161"/>
        <v>0</v>
      </c>
      <c r="GG205" s="12">
        <f t="shared" si="161"/>
        <v>0</v>
      </c>
      <c r="GH205" s="12">
        <f t="shared" si="161"/>
        <v>0</v>
      </c>
      <c r="GI205" s="12">
        <f t="shared" si="161"/>
        <v>0</v>
      </c>
      <c r="GJ205" s="12">
        <f t="shared" si="161"/>
        <v>0</v>
      </c>
      <c r="GK205" s="12">
        <f t="shared" si="161"/>
        <v>0</v>
      </c>
      <c r="GL205" s="12">
        <f t="shared" si="161"/>
        <v>0</v>
      </c>
      <c r="GM205" s="12">
        <f t="shared" si="161"/>
        <v>0</v>
      </c>
      <c r="GN205" s="12">
        <f t="shared" si="161"/>
        <v>0</v>
      </c>
      <c r="GO205" s="12">
        <f t="shared" si="161"/>
        <v>0</v>
      </c>
      <c r="GP205" s="12">
        <f t="shared" si="161"/>
        <v>0</v>
      </c>
      <c r="GQ205" s="12">
        <f t="shared" si="161"/>
        <v>0</v>
      </c>
      <c r="GR205" s="12">
        <f t="shared" si="161"/>
        <v>0</v>
      </c>
      <c r="GS205" s="12">
        <f t="shared" si="161"/>
        <v>0</v>
      </c>
      <c r="GT205" s="12">
        <f t="shared" si="161"/>
        <v>0</v>
      </c>
      <c r="GU205" s="12">
        <f t="shared" si="161"/>
        <v>0</v>
      </c>
      <c r="GV205" s="12">
        <f t="shared" si="161"/>
        <v>0</v>
      </c>
      <c r="GW205" s="12">
        <f t="shared" si="161"/>
        <v>0</v>
      </c>
      <c r="GX205" s="12">
        <f t="shared" si="161"/>
        <v>0</v>
      </c>
    </row>
    <row r="207" spans="1:255" x14ac:dyDescent="0.2">
      <c r="A207" s="2">
        <v>17</v>
      </c>
      <c r="B207" s="2">
        <v>1</v>
      </c>
      <c r="C207" s="2">
        <f>ROW(SmtRes!A90)</f>
        <v>90</v>
      </c>
      <c r="D207" s="2">
        <f>ROW(EtalonRes!A107)</f>
        <v>107</v>
      </c>
      <c r="E207" s="2" t="s">
        <v>225</v>
      </c>
      <c r="F207" s="2" t="s">
        <v>67</v>
      </c>
      <c r="G207" s="2" t="s">
        <v>226</v>
      </c>
      <c r="H207" s="2" t="s">
        <v>22</v>
      </c>
      <c r="I207" s="2">
        <v>4</v>
      </c>
      <c r="J207" s="2">
        <v>0</v>
      </c>
      <c r="K207" s="2">
        <v>4</v>
      </c>
      <c r="L207" s="2"/>
      <c r="M207" s="2"/>
      <c r="N207" s="2"/>
      <c r="O207" s="2">
        <f t="shared" ref="O207:O216" si="162">ROUND(CP207,2)</f>
        <v>211.24</v>
      </c>
      <c r="P207" s="2">
        <f t="shared" ref="P207:P216" si="163">ROUND((ROUND((AC207*AW207*I207),2)*BC207),2)</f>
        <v>9.36</v>
      </c>
      <c r="Q207" s="2">
        <f>(ROUND((ROUND((((ET207*1.2))*AV207*I207),2)*BB207),2)+ROUND((ROUND(((AE207-((EU207*1.2)))*AV207*I207),2)*BS207),2))</f>
        <v>0</v>
      </c>
      <c r="R207" s="2">
        <f>(ROUND((ROUND((((EU207*1.2))*AV207*I207),2)*BS207),2)+ROUND((ROUND(((AE207-((EU207*1.2)))*AV207*I207),2)*BS207),2))</f>
        <v>0</v>
      </c>
      <c r="S207" s="2">
        <f t="shared" ref="S207:S216" si="164">ROUND((ROUND((AF207*AV207*I207),2)*BA207),2)</f>
        <v>201.88</v>
      </c>
      <c r="T207" s="2">
        <f t="shared" ref="T207:T216" si="165">ROUND(CU207*I207,2)</f>
        <v>0</v>
      </c>
      <c r="U207" s="2">
        <f t="shared" ref="U207:U216" si="166">CV207*I207</f>
        <v>15.981407999999998</v>
      </c>
      <c r="V207" s="2">
        <f t="shared" ref="V207:V216" si="167">CW207*I207</f>
        <v>0</v>
      </c>
      <c r="W207" s="2">
        <f t="shared" ref="W207:W216" si="168">ROUND(CX207*I207,2)</f>
        <v>0</v>
      </c>
      <c r="X207" s="2">
        <f>(ROUND((((S207+ROUND((ROUND((((EU207*1.2))*AV207*I207),2)*BS207),2))*AT207)/100),2)+ROUND(((ROUND((ROUND(((AE207-((EU207*1.2)))*AV207*I207),2)*BS207),2)*AT207)/100),2))</f>
        <v>181.69</v>
      </c>
      <c r="Y207" s="2">
        <f>(ROUND((((S207+ROUND((ROUND((((EU207*1.2))*AV207*I207),2)*BS207),2))*AU207)/100),2)+ROUND(((ROUND((ROUND(((AE207-((EU207*1.2)))*AV207*I207),2)*BS207),2)*AU207)/100),2))</f>
        <v>92.86</v>
      </c>
      <c r="Z207" s="2"/>
      <c r="AA207" s="2">
        <v>55915256</v>
      </c>
      <c r="AB207" s="2">
        <f t="shared" ref="AB207:AB216" si="169">ROUND((AC207+AD207+AF207),6)</f>
        <v>50.543999999999997</v>
      </c>
      <c r="AC207" s="2">
        <f>ROUND(((ES207*1)),6)</f>
        <v>2.34</v>
      </c>
      <c r="AD207" s="2">
        <f>ROUND(((((ET207*1.2))-((EU207*1.2)))+AE207),6)</f>
        <v>0</v>
      </c>
      <c r="AE207" s="2">
        <f>ROUND(((EU207*1.2)),6)</f>
        <v>0</v>
      </c>
      <c r="AF207" s="2">
        <f>ROUND(((EV207*1.2)),6)</f>
        <v>48.204000000000001</v>
      </c>
      <c r="AG207" s="2">
        <f t="shared" ref="AG207:AG216" si="170">ROUND((AP207),6)</f>
        <v>0</v>
      </c>
      <c r="AH207" s="2">
        <f>((EW207*1.2))</f>
        <v>3.8159999999999998</v>
      </c>
      <c r="AI207" s="2">
        <f>((EX207*1.2))</f>
        <v>0</v>
      </c>
      <c r="AJ207" s="2">
        <f t="shared" ref="AJ207:AJ216" si="171">(AS207)</f>
        <v>0</v>
      </c>
      <c r="AK207" s="2">
        <v>42.51</v>
      </c>
      <c r="AL207" s="2">
        <v>2.34</v>
      </c>
      <c r="AM207" s="2">
        <v>0</v>
      </c>
      <c r="AN207" s="2">
        <v>0</v>
      </c>
      <c r="AO207" s="2">
        <v>40.17</v>
      </c>
      <c r="AP207" s="2">
        <v>0</v>
      </c>
      <c r="AQ207" s="2">
        <v>3.18</v>
      </c>
      <c r="AR207" s="2">
        <v>0</v>
      </c>
      <c r="AS207" s="2">
        <v>0</v>
      </c>
      <c r="AT207" s="2">
        <v>90</v>
      </c>
      <c r="AU207" s="2">
        <v>46</v>
      </c>
      <c r="AV207" s="2">
        <v>1.0469999999999999</v>
      </c>
      <c r="AW207" s="2">
        <v>1</v>
      </c>
      <c r="AX207" s="2"/>
      <c r="AY207" s="2"/>
      <c r="AZ207" s="2">
        <v>1</v>
      </c>
      <c r="BA207" s="2">
        <v>1</v>
      </c>
      <c r="BB207" s="2">
        <v>1</v>
      </c>
      <c r="BC207" s="2">
        <v>1</v>
      </c>
      <c r="BD207" s="2" t="s">
        <v>3</v>
      </c>
      <c r="BE207" s="2" t="s">
        <v>3</v>
      </c>
      <c r="BF207" s="2" t="s">
        <v>3</v>
      </c>
      <c r="BG207" s="2" t="s">
        <v>3</v>
      </c>
      <c r="BH207" s="2">
        <v>0</v>
      </c>
      <c r="BI207" s="2">
        <v>2</v>
      </c>
      <c r="BJ207" s="2" t="s">
        <v>69</v>
      </c>
      <c r="BK207" s="2"/>
      <c r="BL207" s="2"/>
      <c r="BM207" s="2">
        <v>68</v>
      </c>
      <c r="BN207" s="2">
        <v>0</v>
      </c>
      <c r="BO207" s="2" t="s">
        <v>67</v>
      </c>
      <c r="BP207" s="2">
        <v>1</v>
      </c>
      <c r="BQ207" s="2">
        <v>40</v>
      </c>
      <c r="BR207" s="2">
        <v>0</v>
      </c>
      <c r="BS207" s="2">
        <v>1</v>
      </c>
      <c r="BT207" s="2">
        <v>1</v>
      </c>
      <c r="BU207" s="2">
        <v>1</v>
      </c>
      <c r="BV207" s="2">
        <v>1</v>
      </c>
      <c r="BW207" s="2">
        <v>1</v>
      </c>
      <c r="BX207" s="2">
        <v>1</v>
      </c>
      <c r="BY207" s="2" t="s">
        <v>3</v>
      </c>
      <c r="BZ207" s="2">
        <v>90</v>
      </c>
      <c r="CA207" s="2">
        <v>46</v>
      </c>
      <c r="CB207" s="2" t="s">
        <v>3</v>
      </c>
      <c r="CC207" s="2"/>
      <c r="CD207" s="2"/>
      <c r="CE207" s="2">
        <v>1566</v>
      </c>
      <c r="CF207" s="2">
        <v>0</v>
      </c>
      <c r="CG207" s="2">
        <v>0</v>
      </c>
      <c r="CH207" s="2"/>
      <c r="CI207" s="2"/>
      <c r="CJ207" s="2"/>
      <c r="CK207" s="2"/>
      <c r="CL207" s="2"/>
      <c r="CM207" s="2">
        <v>0</v>
      </c>
      <c r="CN207" s="2" t="s">
        <v>605</v>
      </c>
      <c r="CO207" s="2">
        <v>0</v>
      </c>
      <c r="CP207" s="2">
        <f t="shared" ref="CP207:CP216" si="172">(P207+Q207+S207)</f>
        <v>211.24</v>
      </c>
      <c r="CQ207" s="2">
        <f t="shared" ref="CQ207:CQ216" si="173">ROUND((ROUND((AC207*AW207*1),2)*BC207),2)</f>
        <v>2.34</v>
      </c>
      <c r="CR207" s="2">
        <f>(ROUND((ROUND((((ET207*1.2))*AV207*1),2)*BB207),2)+ROUND((ROUND(((AE207-((EU207*1.2)))*AV207*1),2)*BS207),2))</f>
        <v>0</v>
      </c>
      <c r="CS207" s="2">
        <f>(ROUND((ROUND((((EU207*1.2))*AV207*1),2)*BS207),2)+ROUND((ROUND(((AE207-((EU207*1.2)))*AV207*1),2)*BS207),2))</f>
        <v>0</v>
      </c>
      <c r="CT207" s="2">
        <f t="shared" ref="CT207:CT216" si="174">ROUND((ROUND((AF207*AV207*1),2)*BA207),2)</f>
        <v>50.47</v>
      </c>
      <c r="CU207" s="2">
        <f t="shared" ref="CU207:CU216" si="175">AG207</f>
        <v>0</v>
      </c>
      <c r="CV207" s="2">
        <f t="shared" ref="CV207:CV216" si="176">(AH207*AV207)</f>
        <v>3.9953519999999996</v>
      </c>
      <c r="CW207" s="2">
        <f t="shared" ref="CW207:CW216" si="177">AI207</f>
        <v>0</v>
      </c>
      <c r="CX207" s="2">
        <f t="shared" ref="CX207:CX216" si="178">AJ207</f>
        <v>0</v>
      </c>
      <c r="CY207" s="2">
        <f>(ROUND((((S207+ROUND((ROUND((((EU207*1.2))*AV207*1),2)*BS207),2))*AT207)/100),2)+ROUND(((ROUND((ROUND(((AE207-((EU207*1.2)))*AV207*1),2)*BS207),2)*AT207)/100),2))</f>
        <v>181.69</v>
      </c>
      <c r="CZ207" s="2">
        <f>(ROUND((((S207+ROUND((ROUND((((EU207*1.2))*AV207*1),2)*BS207),2))*AU207)/100),2)+ROUND(((ROUND((ROUND(((AE207-((EU207*1.2)))*AV207*1),2)*BS207),2)*AU207)/100),2))</f>
        <v>92.86</v>
      </c>
      <c r="DA207" s="2"/>
      <c r="DB207" s="2">
        <v>75</v>
      </c>
      <c r="DC207" s="2" t="s">
        <v>3</v>
      </c>
      <c r="DD207" s="2" t="s">
        <v>77</v>
      </c>
      <c r="DE207" s="2" t="s">
        <v>78</v>
      </c>
      <c r="DF207" s="2" t="s">
        <v>78</v>
      </c>
      <c r="DG207" s="2" t="s">
        <v>78</v>
      </c>
      <c r="DH207" s="2" t="s">
        <v>3</v>
      </c>
      <c r="DI207" s="2" t="s">
        <v>78</v>
      </c>
      <c r="DJ207" s="2" t="s">
        <v>78</v>
      </c>
      <c r="DK207" s="2" t="s">
        <v>3</v>
      </c>
      <c r="DL207" s="2" t="s">
        <v>3</v>
      </c>
      <c r="DM207" s="2" t="s">
        <v>3</v>
      </c>
      <c r="DN207" s="2">
        <v>0</v>
      </c>
      <c r="DO207" s="2">
        <v>0</v>
      </c>
      <c r="DP207" s="2">
        <v>1</v>
      </c>
      <c r="DQ207" s="2">
        <v>1</v>
      </c>
      <c r="DR207" s="2"/>
      <c r="DS207" s="2"/>
      <c r="DT207" s="2"/>
      <c r="DU207" s="2">
        <v>1013</v>
      </c>
      <c r="DV207" s="2" t="s">
        <v>22</v>
      </c>
      <c r="DW207" s="2" t="s">
        <v>22</v>
      </c>
      <c r="DX207" s="2">
        <v>1</v>
      </c>
      <c r="DY207" s="2"/>
      <c r="DZ207" s="2" t="s">
        <v>3</v>
      </c>
      <c r="EA207" s="2" t="s">
        <v>3</v>
      </c>
      <c r="EB207" s="2" t="s">
        <v>3</v>
      </c>
      <c r="EC207" s="2" t="s">
        <v>3</v>
      </c>
      <c r="ED207" s="2"/>
      <c r="EE207" s="2">
        <v>55393700</v>
      </c>
      <c r="EF207" s="2">
        <v>40</v>
      </c>
      <c r="EG207" s="2" t="s">
        <v>26</v>
      </c>
      <c r="EH207" s="2">
        <v>0</v>
      </c>
      <c r="EI207" s="2" t="s">
        <v>3</v>
      </c>
      <c r="EJ207" s="2">
        <v>2</v>
      </c>
      <c r="EK207" s="2">
        <v>68</v>
      </c>
      <c r="EL207" s="2" t="s">
        <v>27</v>
      </c>
      <c r="EM207" s="2" t="s">
        <v>28</v>
      </c>
      <c r="EN207" s="2"/>
      <c r="EO207" s="2" t="s">
        <v>82</v>
      </c>
      <c r="EP207" s="2"/>
      <c r="EQ207" s="2">
        <v>0</v>
      </c>
      <c r="ER207" s="2">
        <v>42.51</v>
      </c>
      <c r="ES207" s="2">
        <v>2.34</v>
      </c>
      <c r="ET207" s="2">
        <v>0</v>
      </c>
      <c r="EU207" s="2">
        <v>0</v>
      </c>
      <c r="EV207" s="2">
        <v>40.17</v>
      </c>
      <c r="EW207" s="2">
        <v>3.18</v>
      </c>
      <c r="EX207" s="2">
        <v>0</v>
      </c>
      <c r="EY207" s="2">
        <v>0</v>
      </c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>
        <v>0</v>
      </c>
      <c r="FR207" s="2">
        <v>0</v>
      </c>
      <c r="FS207" s="2">
        <v>0</v>
      </c>
      <c r="FT207" s="2"/>
      <c r="FU207" s="2"/>
      <c r="FV207" s="2"/>
      <c r="FW207" s="2"/>
      <c r="FX207" s="2">
        <v>90</v>
      </c>
      <c r="FY207" s="2">
        <v>46</v>
      </c>
      <c r="FZ207" s="2"/>
      <c r="GA207" s="2" t="s">
        <v>3</v>
      </c>
      <c r="GB207" s="2"/>
      <c r="GC207" s="2"/>
      <c r="GD207" s="2">
        <v>1</v>
      </c>
      <c r="GE207" s="2"/>
      <c r="GF207" s="2">
        <v>-1314481947</v>
      </c>
      <c r="GG207" s="2">
        <v>2</v>
      </c>
      <c r="GH207" s="2">
        <v>1</v>
      </c>
      <c r="GI207" s="2">
        <v>2</v>
      </c>
      <c r="GJ207" s="2">
        <v>0</v>
      </c>
      <c r="GK207" s="2">
        <v>0</v>
      </c>
      <c r="GL207" s="2">
        <f t="shared" ref="GL207:GL216" si="179">ROUND(IF(AND(BH207=3,BI207=3,FS207&lt;&gt;0),P207,0),2)</f>
        <v>0</v>
      </c>
      <c r="GM207" s="2">
        <f t="shared" ref="GM207:GM216" si="180">ROUND(O207+X207+Y207,2)+GX207</f>
        <v>485.79</v>
      </c>
      <c r="GN207" s="2">
        <f t="shared" ref="GN207:GN216" si="181">IF(OR(BI207=0,BI207=1),GM207-GX207,0)</f>
        <v>0</v>
      </c>
      <c r="GO207" s="2">
        <f t="shared" ref="GO207:GO216" si="182">IF(BI207=2,GM207-GX207,0)</f>
        <v>485.79</v>
      </c>
      <c r="GP207" s="2">
        <f t="shared" ref="GP207:GP216" si="183">IF(BI207=4,GM207-GX207,0)</f>
        <v>0</v>
      </c>
      <c r="GQ207" s="2"/>
      <c r="GR207" s="2">
        <v>0</v>
      </c>
      <c r="GS207" s="2">
        <v>3</v>
      </c>
      <c r="GT207" s="2">
        <v>0</v>
      </c>
      <c r="GU207" s="2" t="s">
        <v>3</v>
      </c>
      <c r="GV207" s="2">
        <f t="shared" ref="GV207:GV216" si="184">ROUND((GT207),6)</f>
        <v>0</v>
      </c>
      <c r="GW207" s="2">
        <v>1</v>
      </c>
      <c r="GX207" s="2">
        <f t="shared" ref="GX207:GX216" si="185">ROUND(HC207*I207,2)</f>
        <v>0</v>
      </c>
      <c r="GY207" s="2"/>
      <c r="GZ207" s="2"/>
      <c r="HA207" s="2">
        <v>0</v>
      </c>
      <c r="HB207" s="2">
        <v>0</v>
      </c>
      <c r="HC207" s="2">
        <f t="shared" ref="HC207:HC216" si="186">GV207*GW207</f>
        <v>0</v>
      </c>
      <c r="HD207" s="2"/>
      <c r="HE207" s="2" t="s">
        <v>3</v>
      </c>
      <c r="HF207" s="2" t="s">
        <v>3</v>
      </c>
      <c r="HG207" s="2"/>
      <c r="HH207" s="2"/>
      <c r="HI207" s="2"/>
      <c r="HJ207" s="2"/>
      <c r="HK207" s="2"/>
      <c r="HL207" s="2"/>
      <c r="HM207" s="2" t="s">
        <v>3</v>
      </c>
      <c r="HN207" s="2" t="s">
        <v>3</v>
      </c>
      <c r="HO207" s="2" t="s">
        <v>3</v>
      </c>
      <c r="HP207" s="2" t="s">
        <v>3</v>
      </c>
      <c r="HQ207" s="2" t="s">
        <v>3</v>
      </c>
      <c r="HR207" s="2"/>
      <c r="HS207" s="2">
        <v>0</v>
      </c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>
        <v>0</v>
      </c>
      <c r="IL207" s="2"/>
      <c r="IM207" s="2"/>
      <c r="IN207" s="2"/>
      <c r="IO207" s="2"/>
      <c r="IP207" s="2"/>
      <c r="IQ207" s="2"/>
      <c r="IR207" s="2"/>
      <c r="IS207" s="2"/>
      <c r="IT207" s="2"/>
      <c r="IU207" s="2"/>
    </row>
    <row r="208" spans="1:255" x14ac:dyDescent="0.2">
      <c r="A208" s="3">
        <v>17</v>
      </c>
      <c r="B208" s="3">
        <v>1</v>
      </c>
      <c r="C208" s="3">
        <f>ROW(SmtRes!A94)</f>
        <v>94</v>
      </c>
      <c r="D208" s="3">
        <f>ROW(EtalonRes!A112)</f>
        <v>112</v>
      </c>
      <c r="E208" s="3" t="s">
        <v>225</v>
      </c>
      <c r="F208" s="3" t="s">
        <v>67</v>
      </c>
      <c r="G208" s="3" t="s">
        <v>226</v>
      </c>
      <c r="H208" s="3" t="s">
        <v>22</v>
      </c>
      <c r="I208" s="3">
        <v>4</v>
      </c>
      <c r="J208" s="3">
        <v>0</v>
      </c>
      <c r="K208" s="3">
        <v>4</v>
      </c>
      <c r="O208" s="3">
        <f t="shared" si="162"/>
        <v>11471.79</v>
      </c>
      <c r="P208" s="3">
        <f t="shared" si="163"/>
        <v>95.85</v>
      </c>
      <c r="Q208" s="3">
        <f>(ROUND((ROUND((((ET208*1.2))*AV208*I208),2)*BB208),2)+ROUND((ROUND(((AE208-((EU208*1.2)))*AV208*I208),2)*BS208),2))</f>
        <v>0</v>
      </c>
      <c r="R208" s="3">
        <f>(ROUND((ROUND((((EU208*1.2))*AV208*I208),2)*BS208),2)+ROUND((ROUND(((AE208-((EU208*1.2)))*AV208*I208),2)*BS208),2))</f>
        <v>0</v>
      </c>
      <c r="S208" s="3">
        <f t="shared" si="164"/>
        <v>11375.94</v>
      </c>
      <c r="T208" s="3">
        <f t="shared" si="165"/>
        <v>0</v>
      </c>
      <c r="U208" s="3">
        <f t="shared" si="166"/>
        <v>15.981407999999998</v>
      </c>
      <c r="V208" s="3">
        <f t="shared" si="167"/>
        <v>0</v>
      </c>
      <c r="W208" s="3">
        <f t="shared" si="168"/>
        <v>0</v>
      </c>
      <c r="X208" s="3">
        <f>(ROUND((((S208+ROUND((ROUND((((EU208*1.2))*AV208*I208),2)*BS208),2))*AT208)/100),2)+ROUND(((ROUND((ROUND(((AE208-((EU208*1.2)))*AV208*I208),2)*BS208),2)*AT208)/100),2))</f>
        <v>10238.35</v>
      </c>
      <c r="Y208" s="3">
        <f>(ROUND((((S208+ROUND((ROUND((((EU208*1.2))*AV208*I208),2)*BS208),2))*AU208)/100),2)+ROUND(((ROUND((ROUND(((AE208-((EU208*1.2)))*AV208*I208),2)*BS208),2)*AU208)/100),2))</f>
        <v>5232.93</v>
      </c>
      <c r="AA208" s="3">
        <v>55915258</v>
      </c>
      <c r="AB208" s="3">
        <f t="shared" si="169"/>
        <v>50.543999999999997</v>
      </c>
      <c r="AC208" s="3">
        <f>ROUND(((ES208*1)),6)</f>
        <v>2.34</v>
      </c>
      <c r="AD208" s="3">
        <f>ROUND(((((ET208*1.2))-((EU208*1.2)))+AE208),6)</f>
        <v>0</v>
      </c>
      <c r="AE208" s="3">
        <f>ROUND(((EU208*1.2)),6)</f>
        <v>0</v>
      </c>
      <c r="AF208" s="3">
        <f>ROUND(((EV208*1.2)),6)</f>
        <v>48.204000000000001</v>
      </c>
      <c r="AG208" s="3">
        <f t="shared" si="170"/>
        <v>0</v>
      </c>
      <c r="AH208" s="3">
        <f>((EW208*1.2))</f>
        <v>3.8159999999999998</v>
      </c>
      <c r="AI208" s="3">
        <f>((EX208*1.2))</f>
        <v>0</v>
      </c>
      <c r="AJ208" s="3">
        <f t="shared" si="171"/>
        <v>0</v>
      </c>
      <c r="AK208" s="3">
        <v>42.51</v>
      </c>
      <c r="AL208" s="3">
        <v>2.34</v>
      </c>
      <c r="AM208" s="3">
        <v>0</v>
      </c>
      <c r="AN208" s="3">
        <v>0</v>
      </c>
      <c r="AO208" s="3">
        <v>40.17</v>
      </c>
      <c r="AP208" s="3">
        <v>0</v>
      </c>
      <c r="AQ208" s="3">
        <v>3.18</v>
      </c>
      <c r="AR208" s="3">
        <v>0</v>
      </c>
      <c r="AS208" s="3">
        <v>0</v>
      </c>
      <c r="AT208" s="3">
        <v>90</v>
      </c>
      <c r="AU208" s="3">
        <v>46</v>
      </c>
      <c r="AV208" s="3">
        <v>1.0469999999999999</v>
      </c>
      <c r="AW208" s="3">
        <v>1</v>
      </c>
      <c r="AZ208" s="3">
        <v>1</v>
      </c>
      <c r="BA208" s="3">
        <v>56.35</v>
      </c>
      <c r="BB208" s="3">
        <v>1</v>
      </c>
      <c r="BC208" s="3">
        <v>10.24</v>
      </c>
      <c r="BD208" s="3" t="s">
        <v>3</v>
      </c>
      <c r="BE208" s="3" t="s">
        <v>3</v>
      </c>
      <c r="BF208" s="3" t="s">
        <v>3</v>
      </c>
      <c r="BG208" s="3" t="s">
        <v>3</v>
      </c>
      <c r="BH208" s="3">
        <v>0</v>
      </c>
      <c r="BI208" s="3">
        <v>2</v>
      </c>
      <c r="BJ208" s="3" t="s">
        <v>69</v>
      </c>
      <c r="BM208" s="3">
        <v>68</v>
      </c>
      <c r="BN208" s="3">
        <v>0</v>
      </c>
      <c r="BO208" s="3" t="s">
        <v>67</v>
      </c>
      <c r="BP208" s="3">
        <v>1</v>
      </c>
      <c r="BQ208" s="3">
        <v>40</v>
      </c>
      <c r="BR208" s="3">
        <v>0</v>
      </c>
      <c r="BS208" s="3">
        <v>56.35</v>
      </c>
      <c r="BT208" s="3">
        <v>1</v>
      </c>
      <c r="BU208" s="3">
        <v>1</v>
      </c>
      <c r="BV208" s="3">
        <v>1</v>
      </c>
      <c r="BW208" s="3">
        <v>1</v>
      </c>
      <c r="BX208" s="3">
        <v>1</v>
      </c>
      <c r="BY208" s="3" t="s">
        <v>3</v>
      </c>
      <c r="BZ208" s="3">
        <v>90</v>
      </c>
      <c r="CA208" s="3">
        <v>46</v>
      </c>
      <c r="CB208" s="3" t="s">
        <v>3</v>
      </c>
      <c r="CE208" s="3">
        <v>1566</v>
      </c>
      <c r="CF208" s="3">
        <v>0</v>
      </c>
      <c r="CG208" s="3">
        <v>0</v>
      </c>
      <c r="CM208" s="3">
        <v>0</v>
      </c>
      <c r="CN208" s="3" t="s">
        <v>605</v>
      </c>
      <c r="CO208" s="3">
        <v>0</v>
      </c>
      <c r="CP208" s="3">
        <f t="shared" si="172"/>
        <v>11471.79</v>
      </c>
      <c r="CQ208" s="3">
        <f t="shared" si="173"/>
        <v>23.96</v>
      </c>
      <c r="CR208" s="3">
        <f>(ROUND((ROUND((((ET208*1.2))*AV208*1),2)*BB208),2)+ROUND((ROUND(((AE208-((EU208*1.2)))*AV208*1),2)*BS208),2))</f>
        <v>0</v>
      </c>
      <c r="CS208" s="3">
        <f>(ROUND((ROUND((((EU208*1.2))*AV208*1),2)*BS208),2)+ROUND((ROUND(((AE208-((EU208*1.2)))*AV208*1),2)*BS208),2))</f>
        <v>0</v>
      </c>
      <c r="CT208" s="3">
        <f t="shared" si="174"/>
        <v>2843.98</v>
      </c>
      <c r="CU208" s="3">
        <f t="shared" si="175"/>
        <v>0</v>
      </c>
      <c r="CV208" s="3">
        <f t="shared" si="176"/>
        <v>3.9953519999999996</v>
      </c>
      <c r="CW208" s="3">
        <f t="shared" si="177"/>
        <v>0</v>
      </c>
      <c r="CX208" s="3">
        <f t="shared" si="178"/>
        <v>0</v>
      </c>
      <c r="CY208" s="3">
        <f>(ROUND((((S208+ROUND((ROUND((((EU208*1.2))*AV208*1),2)*BS208),2))*AT208)/100),2)+ROUND(((ROUND((ROUND(((AE208-((EU208*1.2)))*AV208*1),2)*BS208),2)*AT208)/100),2))</f>
        <v>10238.35</v>
      </c>
      <c r="CZ208" s="3">
        <f>(ROUND((((S208+ROUND((ROUND((((EU208*1.2))*AV208*1),2)*BS208),2))*AU208)/100),2)+ROUND(((ROUND((ROUND(((AE208-((EU208*1.2)))*AV208*1),2)*BS208),2)*AU208)/100),2))</f>
        <v>5232.93</v>
      </c>
      <c r="DB208" s="3">
        <v>76</v>
      </c>
      <c r="DC208" s="3" t="s">
        <v>3</v>
      </c>
      <c r="DD208" s="3" t="s">
        <v>77</v>
      </c>
      <c r="DE208" s="3" t="s">
        <v>78</v>
      </c>
      <c r="DF208" s="3" t="s">
        <v>78</v>
      </c>
      <c r="DG208" s="3" t="s">
        <v>78</v>
      </c>
      <c r="DH208" s="3" t="s">
        <v>3</v>
      </c>
      <c r="DI208" s="3" t="s">
        <v>78</v>
      </c>
      <c r="DJ208" s="3" t="s">
        <v>78</v>
      </c>
      <c r="DK208" s="3" t="s">
        <v>3</v>
      </c>
      <c r="DL208" s="3" t="s">
        <v>3</v>
      </c>
      <c r="DM208" s="3" t="s">
        <v>3</v>
      </c>
      <c r="DN208" s="3">
        <v>0</v>
      </c>
      <c r="DO208" s="3">
        <v>0</v>
      </c>
      <c r="DP208" s="3">
        <v>1</v>
      </c>
      <c r="DQ208" s="3">
        <v>1</v>
      </c>
      <c r="DU208" s="3">
        <v>1013</v>
      </c>
      <c r="DV208" s="3" t="s">
        <v>22</v>
      </c>
      <c r="DW208" s="3" t="s">
        <v>22</v>
      </c>
      <c r="DX208" s="3">
        <v>1</v>
      </c>
      <c r="DZ208" s="3" t="s">
        <v>3</v>
      </c>
      <c r="EA208" s="3" t="s">
        <v>3</v>
      </c>
      <c r="EB208" s="3" t="s">
        <v>3</v>
      </c>
      <c r="EC208" s="3" t="s">
        <v>3</v>
      </c>
      <c r="EE208" s="3">
        <v>55393700</v>
      </c>
      <c r="EF208" s="3">
        <v>40</v>
      </c>
      <c r="EG208" s="3" t="s">
        <v>26</v>
      </c>
      <c r="EH208" s="3">
        <v>0</v>
      </c>
      <c r="EI208" s="3" t="s">
        <v>3</v>
      </c>
      <c r="EJ208" s="3">
        <v>2</v>
      </c>
      <c r="EK208" s="3">
        <v>68</v>
      </c>
      <c r="EL208" s="3" t="s">
        <v>27</v>
      </c>
      <c r="EM208" s="3" t="s">
        <v>28</v>
      </c>
      <c r="EO208" s="3" t="s">
        <v>82</v>
      </c>
      <c r="EQ208" s="3">
        <v>0</v>
      </c>
      <c r="ER208" s="3">
        <v>42.51</v>
      </c>
      <c r="ES208" s="3">
        <v>2.34</v>
      </c>
      <c r="ET208" s="3">
        <v>0</v>
      </c>
      <c r="EU208" s="3">
        <v>0</v>
      </c>
      <c r="EV208" s="3">
        <v>40.17</v>
      </c>
      <c r="EW208" s="3">
        <v>3.18</v>
      </c>
      <c r="EX208" s="3">
        <v>0</v>
      </c>
      <c r="EY208" s="3">
        <v>0</v>
      </c>
      <c r="FQ208" s="3">
        <v>0</v>
      </c>
      <c r="FR208" s="3">
        <v>0</v>
      </c>
      <c r="FS208" s="3">
        <v>0</v>
      </c>
      <c r="FX208" s="3">
        <v>90</v>
      </c>
      <c r="FY208" s="3">
        <v>46</v>
      </c>
      <c r="GA208" s="3" t="s">
        <v>3</v>
      </c>
      <c r="GD208" s="3">
        <v>1</v>
      </c>
      <c r="GF208" s="3">
        <v>-1314481947</v>
      </c>
      <c r="GG208" s="3">
        <v>2</v>
      </c>
      <c r="GH208" s="3">
        <v>1</v>
      </c>
      <c r="GI208" s="3">
        <v>2</v>
      </c>
      <c r="GJ208" s="3">
        <v>0</v>
      </c>
      <c r="GK208" s="3">
        <v>0</v>
      </c>
      <c r="GL208" s="3">
        <f t="shared" si="179"/>
        <v>0</v>
      </c>
      <c r="GM208" s="3">
        <f t="shared" si="180"/>
        <v>26943.07</v>
      </c>
      <c r="GN208" s="3">
        <f t="shared" si="181"/>
        <v>0</v>
      </c>
      <c r="GO208" s="3">
        <f t="shared" si="182"/>
        <v>26943.07</v>
      </c>
      <c r="GP208" s="3">
        <f t="shared" si="183"/>
        <v>0</v>
      </c>
      <c r="GR208" s="3">
        <v>0</v>
      </c>
      <c r="GS208" s="3">
        <v>3</v>
      </c>
      <c r="GT208" s="3">
        <v>0</v>
      </c>
      <c r="GU208" s="3" t="s">
        <v>3</v>
      </c>
      <c r="GV208" s="3">
        <f t="shared" si="184"/>
        <v>0</v>
      </c>
      <c r="GW208" s="3">
        <v>1</v>
      </c>
      <c r="GX208" s="3">
        <f t="shared" si="185"/>
        <v>0</v>
      </c>
      <c r="HA208" s="3">
        <v>0</v>
      </c>
      <c r="HB208" s="3">
        <v>0</v>
      </c>
      <c r="HC208" s="3">
        <f t="shared" si="186"/>
        <v>0</v>
      </c>
      <c r="HE208" s="3" t="s">
        <v>3</v>
      </c>
      <c r="HF208" s="3" t="s">
        <v>3</v>
      </c>
      <c r="HM208" s="3" t="s">
        <v>3</v>
      </c>
      <c r="HN208" s="3" t="s">
        <v>3</v>
      </c>
      <c r="HO208" s="3" t="s">
        <v>3</v>
      </c>
      <c r="HP208" s="3" t="s">
        <v>3</v>
      </c>
      <c r="HQ208" s="3" t="s">
        <v>3</v>
      </c>
      <c r="HS208" s="3">
        <v>0</v>
      </c>
      <c r="IK208" s="3">
        <v>0</v>
      </c>
    </row>
    <row r="209" spans="1:255" x14ac:dyDescent="0.2">
      <c r="A209" s="2">
        <v>17</v>
      </c>
      <c r="B209" s="2">
        <v>1</v>
      </c>
      <c r="C209" s="2"/>
      <c r="D209" s="2"/>
      <c r="E209" s="2" t="s">
        <v>227</v>
      </c>
      <c r="F209" s="2" t="s">
        <v>228</v>
      </c>
      <c r="G209" s="2" t="s">
        <v>229</v>
      </c>
      <c r="H209" s="2" t="s">
        <v>153</v>
      </c>
      <c r="I209" s="2">
        <v>1</v>
      </c>
      <c r="J209" s="2">
        <v>0</v>
      </c>
      <c r="K209" s="2">
        <v>1</v>
      </c>
      <c r="L209" s="2"/>
      <c r="M209" s="2"/>
      <c r="N209" s="2"/>
      <c r="O209" s="2">
        <f t="shared" si="162"/>
        <v>583.13</v>
      </c>
      <c r="P209" s="2">
        <f t="shared" si="163"/>
        <v>583.13</v>
      </c>
      <c r="Q209" s="2">
        <f t="shared" ref="Q209:Q216" si="187">(ROUND((ROUND(((ET209)*AV209*I209),2)*BB209),2)+ROUND((ROUND(((AE209-(EU209))*AV209*I209),2)*BS209),2))</f>
        <v>0</v>
      </c>
      <c r="R209" s="2">
        <f t="shared" ref="R209:R216" si="188">(ROUND((ROUND(((EU209)*AV209*I209),2)*BS209),2)+ROUND((ROUND(((AE209-(EU209))*AV209*I209),2)*BS209),2))</f>
        <v>0</v>
      </c>
      <c r="S209" s="2">
        <f t="shared" si="164"/>
        <v>0</v>
      </c>
      <c r="T209" s="2">
        <f t="shared" si="165"/>
        <v>0</v>
      </c>
      <c r="U209" s="2">
        <f t="shared" si="166"/>
        <v>0</v>
      </c>
      <c r="V209" s="2">
        <f t="shared" si="167"/>
        <v>0</v>
      </c>
      <c r="W209" s="2">
        <f t="shared" si="168"/>
        <v>0</v>
      </c>
      <c r="X209" s="2">
        <f t="shared" ref="X209:X216" si="189">(ROUND((((S209+ROUND((ROUND(((EU209)*AV209*I209),2)*BS209),2))*AT209)/100),2)+ROUND(((ROUND((ROUND(((AE209-(EU209))*AV209*I209),2)*BS209),2)*AT209)/100),2))</f>
        <v>0</v>
      </c>
      <c r="Y209" s="2">
        <f t="shared" ref="Y209:Y216" si="190">(ROUND((((S209+ROUND((ROUND(((EU209)*AV209*I209),2)*BS209),2))*AU209)/100),2)+ROUND(((ROUND((ROUND(((AE209-(EU209))*AV209*I209),2)*BS209),2)*AU209)/100),2))</f>
        <v>0</v>
      </c>
      <c r="Z209" s="2"/>
      <c r="AA209" s="2">
        <v>55915256</v>
      </c>
      <c r="AB209" s="2">
        <f t="shared" si="169"/>
        <v>583.13</v>
      </c>
      <c r="AC209" s="2">
        <f t="shared" ref="AC209:AC216" si="191">ROUND((ES209),6)</f>
        <v>583.13</v>
      </c>
      <c r="AD209" s="2">
        <f t="shared" ref="AD209:AD216" si="192">ROUND((((ET209)-(EU209))+AE209),6)</f>
        <v>0</v>
      </c>
      <c r="AE209" s="2">
        <f t="shared" ref="AE209:AF216" si="193">ROUND((EU209),6)</f>
        <v>0</v>
      </c>
      <c r="AF209" s="2">
        <f t="shared" si="193"/>
        <v>0</v>
      </c>
      <c r="AG209" s="2">
        <f t="shared" si="170"/>
        <v>0</v>
      </c>
      <c r="AH209" s="2">
        <f t="shared" ref="AH209:AI216" si="194">(EW209)</f>
        <v>0</v>
      </c>
      <c r="AI209" s="2">
        <f t="shared" si="194"/>
        <v>0</v>
      </c>
      <c r="AJ209" s="2">
        <f t="shared" si="171"/>
        <v>0</v>
      </c>
      <c r="AK209" s="2">
        <v>583.13</v>
      </c>
      <c r="AL209" s="2">
        <v>583.13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1</v>
      </c>
      <c r="AW209" s="2">
        <v>1</v>
      </c>
      <c r="AX209" s="2"/>
      <c r="AY209" s="2"/>
      <c r="AZ209" s="2">
        <v>1</v>
      </c>
      <c r="BA209" s="2">
        <v>1</v>
      </c>
      <c r="BB209" s="2">
        <v>1</v>
      </c>
      <c r="BC209" s="2">
        <v>1</v>
      </c>
      <c r="BD209" s="2" t="s">
        <v>3</v>
      </c>
      <c r="BE209" s="2" t="s">
        <v>3</v>
      </c>
      <c r="BF209" s="2" t="s">
        <v>3</v>
      </c>
      <c r="BG209" s="2" t="s">
        <v>3</v>
      </c>
      <c r="BH209" s="2">
        <v>3</v>
      </c>
      <c r="BI209" s="2">
        <v>3</v>
      </c>
      <c r="BJ209" s="2" t="s">
        <v>228</v>
      </c>
      <c r="BK209" s="2"/>
      <c r="BL209" s="2"/>
      <c r="BM209" s="2">
        <v>400007</v>
      </c>
      <c r="BN209" s="2">
        <v>0</v>
      </c>
      <c r="BO209" s="2" t="s">
        <v>3</v>
      </c>
      <c r="BP209" s="2">
        <v>0</v>
      </c>
      <c r="BQ209" s="2">
        <v>214</v>
      </c>
      <c r="BR209" s="2">
        <v>0</v>
      </c>
      <c r="BS209" s="2">
        <v>1</v>
      </c>
      <c r="BT209" s="2">
        <v>1</v>
      </c>
      <c r="BU209" s="2">
        <v>1</v>
      </c>
      <c r="BV209" s="2">
        <v>1</v>
      </c>
      <c r="BW209" s="2">
        <v>1</v>
      </c>
      <c r="BX209" s="2">
        <v>1</v>
      </c>
      <c r="BY209" s="2" t="s">
        <v>3</v>
      </c>
      <c r="BZ209" s="2">
        <v>0</v>
      </c>
      <c r="CA209" s="2">
        <v>0</v>
      </c>
      <c r="CB209" s="2" t="s">
        <v>3</v>
      </c>
      <c r="CC209" s="2"/>
      <c r="CD209" s="2"/>
      <c r="CE209" s="2">
        <v>1566</v>
      </c>
      <c r="CF209" s="2">
        <v>0</v>
      </c>
      <c r="CG209" s="2">
        <v>0</v>
      </c>
      <c r="CH209" s="2"/>
      <c r="CI209" s="2"/>
      <c r="CJ209" s="2"/>
      <c r="CK209" s="2"/>
      <c r="CL209" s="2"/>
      <c r="CM209" s="2">
        <v>0</v>
      </c>
      <c r="CN209" s="2" t="s">
        <v>3</v>
      </c>
      <c r="CO209" s="2">
        <v>0</v>
      </c>
      <c r="CP209" s="2">
        <f t="shared" si="172"/>
        <v>583.13</v>
      </c>
      <c r="CQ209" s="2">
        <f t="shared" si="173"/>
        <v>583.13</v>
      </c>
      <c r="CR209" s="2">
        <f t="shared" ref="CR209:CR216" si="195">(ROUND((ROUND(((ET209)*AV209*1),2)*BB209),2)+ROUND((ROUND(((AE209-(EU209))*AV209*1),2)*BS209),2))</f>
        <v>0</v>
      </c>
      <c r="CS209" s="2">
        <f t="shared" ref="CS209:CS216" si="196">(ROUND((ROUND(((EU209)*AV209*1),2)*BS209),2)+ROUND((ROUND(((AE209-(EU209))*AV209*1),2)*BS209),2))</f>
        <v>0</v>
      </c>
      <c r="CT209" s="2">
        <f t="shared" si="174"/>
        <v>0</v>
      </c>
      <c r="CU209" s="2">
        <f t="shared" si="175"/>
        <v>0</v>
      </c>
      <c r="CV209" s="2">
        <f t="shared" si="176"/>
        <v>0</v>
      </c>
      <c r="CW209" s="2">
        <f t="shared" si="177"/>
        <v>0</v>
      </c>
      <c r="CX209" s="2">
        <f t="shared" si="178"/>
        <v>0</v>
      </c>
      <c r="CY209" s="2">
        <f t="shared" ref="CY209:CY216" si="197">(ROUND((((S209+ROUND((ROUND(((EU209)*AV209*1),2)*BS209),2))*AT209)/100),2)+ROUND(((ROUND((ROUND(((AE209-(EU209))*AV209*1),2)*BS209),2)*AT209)/100),2))</f>
        <v>0</v>
      </c>
      <c r="CZ209" s="2">
        <f t="shared" ref="CZ209:CZ216" si="198">(ROUND((((S209+ROUND((ROUND(((EU209)*AV209*1),2)*BS209),2))*AU209)/100),2)+ROUND(((ROUND((ROUND(((AE209-(EU209))*AV209*1),2)*BS209),2)*AU209)/100),2))</f>
        <v>0</v>
      </c>
      <c r="DA209" s="2"/>
      <c r="DB209" s="2"/>
      <c r="DC209" s="2" t="s">
        <v>3</v>
      </c>
      <c r="DD209" s="2" t="s">
        <v>3</v>
      </c>
      <c r="DE209" s="2" t="s">
        <v>3</v>
      </c>
      <c r="DF209" s="2" t="s">
        <v>3</v>
      </c>
      <c r="DG209" s="2" t="s">
        <v>3</v>
      </c>
      <c r="DH209" s="2" t="s">
        <v>3</v>
      </c>
      <c r="DI209" s="2" t="s">
        <v>3</v>
      </c>
      <c r="DJ209" s="2" t="s">
        <v>3</v>
      </c>
      <c r="DK209" s="2" t="s">
        <v>3</v>
      </c>
      <c r="DL209" s="2" t="s">
        <v>3</v>
      </c>
      <c r="DM209" s="2" t="s">
        <v>3</v>
      </c>
      <c r="DN209" s="2">
        <v>0</v>
      </c>
      <c r="DO209" s="2">
        <v>0</v>
      </c>
      <c r="DP209" s="2">
        <v>1</v>
      </c>
      <c r="DQ209" s="2">
        <v>1</v>
      </c>
      <c r="DR209" s="2"/>
      <c r="DS209" s="2"/>
      <c r="DT209" s="2"/>
      <c r="DU209" s="2">
        <v>1013</v>
      </c>
      <c r="DV209" s="2" t="s">
        <v>153</v>
      </c>
      <c r="DW209" s="2" t="s">
        <v>153</v>
      </c>
      <c r="DX209" s="2">
        <v>1</v>
      </c>
      <c r="DY209" s="2"/>
      <c r="DZ209" s="2" t="s">
        <v>3</v>
      </c>
      <c r="EA209" s="2" t="s">
        <v>3</v>
      </c>
      <c r="EB209" s="2" t="s">
        <v>3</v>
      </c>
      <c r="EC209" s="2" t="s">
        <v>3</v>
      </c>
      <c r="ED209" s="2"/>
      <c r="EE209" s="2">
        <v>55393630</v>
      </c>
      <c r="EF209" s="2">
        <v>214</v>
      </c>
      <c r="EG209" s="2" t="s">
        <v>154</v>
      </c>
      <c r="EH209" s="2">
        <v>0</v>
      </c>
      <c r="EI209" s="2" t="s">
        <v>3</v>
      </c>
      <c r="EJ209" s="2">
        <v>3</v>
      </c>
      <c r="EK209" s="2">
        <v>400007</v>
      </c>
      <c r="EL209" s="2" t="s">
        <v>154</v>
      </c>
      <c r="EM209" s="2" t="s">
        <v>155</v>
      </c>
      <c r="EN209" s="2"/>
      <c r="EO209" s="2" t="s">
        <v>3</v>
      </c>
      <c r="EP209" s="2"/>
      <c r="EQ209" s="2">
        <v>16</v>
      </c>
      <c r="ER209" s="2">
        <v>0</v>
      </c>
      <c r="ES209" s="2">
        <v>583.13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>
        <v>0</v>
      </c>
      <c r="FR209" s="2">
        <f t="shared" ref="FR209:FR216" si="199">P209</f>
        <v>583.13</v>
      </c>
      <c r="FS209" s="2">
        <v>0</v>
      </c>
      <c r="FT209" s="2"/>
      <c r="FU209" s="2"/>
      <c r="FV209" s="2"/>
      <c r="FW209" s="2"/>
      <c r="FX209" s="2">
        <v>0</v>
      </c>
      <c r="FY209" s="2">
        <v>0</v>
      </c>
      <c r="FZ209" s="2"/>
      <c r="GA209" s="2" t="s">
        <v>230</v>
      </c>
      <c r="GB209" s="2"/>
      <c r="GC209" s="2"/>
      <c r="GD209" s="2">
        <v>1</v>
      </c>
      <c r="GE209" s="2"/>
      <c r="GF209" s="2">
        <v>-648859728</v>
      </c>
      <c r="GG209" s="2">
        <v>2</v>
      </c>
      <c r="GH209" s="2">
        <v>4</v>
      </c>
      <c r="GI209" s="2">
        <v>-2</v>
      </c>
      <c r="GJ209" s="2">
        <v>0</v>
      </c>
      <c r="GK209" s="2">
        <v>0</v>
      </c>
      <c r="GL209" s="2">
        <f t="shared" si="179"/>
        <v>0</v>
      </c>
      <c r="GM209" s="2">
        <f t="shared" si="180"/>
        <v>583.13</v>
      </c>
      <c r="GN209" s="2">
        <f t="shared" si="181"/>
        <v>0</v>
      </c>
      <c r="GO209" s="2">
        <f t="shared" si="182"/>
        <v>0</v>
      </c>
      <c r="GP209" s="2">
        <f t="shared" si="183"/>
        <v>0</v>
      </c>
      <c r="GQ209" s="2"/>
      <c r="GR209" s="2">
        <v>1</v>
      </c>
      <c r="GS209" s="2">
        <v>2</v>
      </c>
      <c r="GT209" s="2">
        <v>0</v>
      </c>
      <c r="GU209" s="2" t="s">
        <v>3</v>
      </c>
      <c r="GV209" s="2">
        <f t="shared" si="184"/>
        <v>0</v>
      </c>
      <c r="GW209" s="2">
        <v>1</v>
      </c>
      <c r="GX209" s="2">
        <f t="shared" si="185"/>
        <v>0</v>
      </c>
      <c r="GY209" s="2"/>
      <c r="GZ209" s="2"/>
      <c r="HA209" s="2">
        <v>0</v>
      </c>
      <c r="HB209" s="2">
        <v>0</v>
      </c>
      <c r="HC209" s="2">
        <f t="shared" si="186"/>
        <v>0</v>
      </c>
      <c r="HD209" s="2"/>
      <c r="HE209" s="2" t="s">
        <v>34</v>
      </c>
      <c r="HF209" s="2" t="s">
        <v>157</v>
      </c>
      <c r="HG209" s="2"/>
      <c r="HH209" s="2"/>
      <c r="HI209" s="2"/>
      <c r="HJ209" s="2"/>
      <c r="HK209" s="2"/>
      <c r="HL209" s="2"/>
      <c r="HM209" s="2" t="s">
        <v>3</v>
      </c>
      <c r="HN209" s="2" t="s">
        <v>3</v>
      </c>
      <c r="HO209" s="2" t="s">
        <v>3</v>
      </c>
      <c r="HP209" s="2" t="s">
        <v>3</v>
      </c>
      <c r="HQ209" s="2" t="s">
        <v>3</v>
      </c>
      <c r="HR209" s="2"/>
      <c r="HS209" s="2">
        <v>0</v>
      </c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>
        <v>0</v>
      </c>
      <c r="IL209" s="2"/>
      <c r="IM209" s="2"/>
      <c r="IN209" s="2"/>
      <c r="IO209" s="2"/>
      <c r="IP209" s="2"/>
      <c r="IQ209" s="2"/>
      <c r="IR209" s="2"/>
      <c r="IS209" s="2"/>
      <c r="IT209" s="2"/>
      <c r="IU209" s="2"/>
    </row>
    <row r="210" spans="1:255" x14ac:dyDescent="0.2">
      <c r="A210" s="3">
        <v>17</v>
      </c>
      <c r="B210" s="3">
        <v>1</v>
      </c>
      <c r="E210" s="3" t="s">
        <v>227</v>
      </c>
      <c r="F210" s="3" t="s">
        <v>228</v>
      </c>
      <c r="G210" s="3" t="s">
        <v>229</v>
      </c>
      <c r="H210" s="3" t="s">
        <v>153</v>
      </c>
      <c r="I210" s="3">
        <v>1</v>
      </c>
      <c r="J210" s="3">
        <v>0</v>
      </c>
      <c r="K210" s="3">
        <v>1</v>
      </c>
      <c r="O210" s="3">
        <f t="shared" si="162"/>
        <v>5738</v>
      </c>
      <c r="P210" s="3">
        <f t="shared" si="163"/>
        <v>5738</v>
      </c>
      <c r="Q210" s="3">
        <f t="shared" si="187"/>
        <v>0</v>
      </c>
      <c r="R210" s="3">
        <f t="shared" si="188"/>
        <v>0</v>
      </c>
      <c r="S210" s="3">
        <f t="shared" si="164"/>
        <v>0</v>
      </c>
      <c r="T210" s="3">
        <f t="shared" si="165"/>
        <v>0</v>
      </c>
      <c r="U210" s="3">
        <f t="shared" si="166"/>
        <v>0</v>
      </c>
      <c r="V210" s="3">
        <f t="shared" si="167"/>
        <v>0</v>
      </c>
      <c r="W210" s="3">
        <f t="shared" si="168"/>
        <v>0</v>
      </c>
      <c r="X210" s="3">
        <f t="shared" si="189"/>
        <v>0</v>
      </c>
      <c r="Y210" s="3">
        <f t="shared" si="190"/>
        <v>0</v>
      </c>
      <c r="AA210" s="3">
        <v>55915258</v>
      </c>
      <c r="AB210" s="3">
        <f t="shared" si="169"/>
        <v>583.13</v>
      </c>
      <c r="AC210" s="3">
        <f t="shared" si="191"/>
        <v>583.13</v>
      </c>
      <c r="AD210" s="3">
        <f t="shared" si="192"/>
        <v>0</v>
      </c>
      <c r="AE210" s="3">
        <f t="shared" si="193"/>
        <v>0</v>
      </c>
      <c r="AF210" s="3">
        <f t="shared" si="193"/>
        <v>0</v>
      </c>
      <c r="AG210" s="3">
        <f t="shared" si="170"/>
        <v>0</v>
      </c>
      <c r="AH210" s="3">
        <f t="shared" si="194"/>
        <v>0</v>
      </c>
      <c r="AI210" s="3">
        <f t="shared" si="194"/>
        <v>0</v>
      </c>
      <c r="AJ210" s="3">
        <f t="shared" si="171"/>
        <v>0</v>
      </c>
      <c r="AK210" s="3">
        <v>583.13</v>
      </c>
      <c r="AL210" s="3">
        <v>583.13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1</v>
      </c>
      <c r="AW210" s="3">
        <v>1</v>
      </c>
      <c r="AZ210" s="3">
        <v>1</v>
      </c>
      <c r="BA210" s="3">
        <v>1</v>
      </c>
      <c r="BB210" s="3">
        <v>1</v>
      </c>
      <c r="BC210" s="3">
        <v>9.84</v>
      </c>
      <c r="BD210" s="3" t="s">
        <v>3</v>
      </c>
      <c r="BE210" s="3" t="s">
        <v>3</v>
      </c>
      <c r="BF210" s="3" t="s">
        <v>3</v>
      </c>
      <c r="BG210" s="3" t="s">
        <v>3</v>
      </c>
      <c r="BH210" s="3">
        <v>3</v>
      </c>
      <c r="BI210" s="3">
        <v>3</v>
      </c>
      <c r="BJ210" s="3" t="s">
        <v>228</v>
      </c>
      <c r="BM210" s="3">
        <v>400007</v>
      </c>
      <c r="BN210" s="3">
        <v>0</v>
      </c>
      <c r="BO210" s="3" t="s">
        <v>3</v>
      </c>
      <c r="BP210" s="3">
        <v>0</v>
      </c>
      <c r="BQ210" s="3">
        <v>214</v>
      </c>
      <c r="BR210" s="3">
        <v>0</v>
      </c>
      <c r="BS210" s="3">
        <v>1</v>
      </c>
      <c r="BT210" s="3">
        <v>1</v>
      </c>
      <c r="BU210" s="3">
        <v>1</v>
      </c>
      <c r="BV210" s="3">
        <v>1</v>
      </c>
      <c r="BW210" s="3">
        <v>1</v>
      </c>
      <c r="BX210" s="3">
        <v>1</v>
      </c>
      <c r="BY210" s="3" t="s">
        <v>3</v>
      </c>
      <c r="BZ210" s="3">
        <v>0</v>
      </c>
      <c r="CA210" s="3">
        <v>0</v>
      </c>
      <c r="CB210" s="3" t="s">
        <v>3</v>
      </c>
      <c r="CE210" s="3">
        <v>1566</v>
      </c>
      <c r="CF210" s="3">
        <v>0</v>
      </c>
      <c r="CG210" s="3">
        <v>0</v>
      </c>
      <c r="CM210" s="3">
        <v>0</v>
      </c>
      <c r="CN210" s="3" t="s">
        <v>3</v>
      </c>
      <c r="CO210" s="3">
        <v>0</v>
      </c>
      <c r="CP210" s="3">
        <f t="shared" si="172"/>
        <v>5738</v>
      </c>
      <c r="CQ210" s="3">
        <f t="shared" si="173"/>
        <v>5738</v>
      </c>
      <c r="CR210" s="3">
        <f t="shared" si="195"/>
        <v>0</v>
      </c>
      <c r="CS210" s="3">
        <f t="shared" si="196"/>
        <v>0</v>
      </c>
      <c r="CT210" s="3">
        <f t="shared" si="174"/>
        <v>0</v>
      </c>
      <c r="CU210" s="3">
        <f t="shared" si="175"/>
        <v>0</v>
      </c>
      <c r="CV210" s="3">
        <f t="shared" si="176"/>
        <v>0</v>
      </c>
      <c r="CW210" s="3">
        <f t="shared" si="177"/>
        <v>0</v>
      </c>
      <c r="CX210" s="3">
        <f t="shared" si="178"/>
        <v>0</v>
      </c>
      <c r="CY210" s="3">
        <f t="shared" si="197"/>
        <v>0</v>
      </c>
      <c r="CZ210" s="3">
        <f t="shared" si="198"/>
        <v>0</v>
      </c>
      <c r="DC210" s="3" t="s">
        <v>3</v>
      </c>
      <c r="DD210" s="3" t="s">
        <v>3</v>
      </c>
      <c r="DE210" s="3" t="s">
        <v>3</v>
      </c>
      <c r="DF210" s="3" t="s">
        <v>3</v>
      </c>
      <c r="DG210" s="3" t="s">
        <v>3</v>
      </c>
      <c r="DH210" s="3" t="s">
        <v>3</v>
      </c>
      <c r="DI210" s="3" t="s">
        <v>3</v>
      </c>
      <c r="DJ210" s="3" t="s">
        <v>3</v>
      </c>
      <c r="DK210" s="3" t="s">
        <v>3</v>
      </c>
      <c r="DL210" s="3" t="s">
        <v>3</v>
      </c>
      <c r="DM210" s="3" t="s">
        <v>3</v>
      </c>
      <c r="DN210" s="3">
        <v>0</v>
      </c>
      <c r="DO210" s="3">
        <v>0</v>
      </c>
      <c r="DP210" s="3">
        <v>1</v>
      </c>
      <c r="DQ210" s="3">
        <v>1</v>
      </c>
      <c r="DU210" s="3">
        <v>1013</v>
      </c>
      <c r="DV210" s="3" t="s">
        <v>153</v>
      </c>
      <c r="DW210" s="3" t="s">
        <v>153</v>
      </c>
      <c r="DX210" s="3">
        <v>1</v>
      </c>
      <c r="DZ210" s="3" t="s">
        <v>3</v>
      </c>
      <c r="EA210" s="3" t="s">
        <v>3</v>
      </c>
      <c r="EB210" s="3" t="s">
        <v>3</v>
      </c>
      <c r="EC210" s="3" t="s">
        <v>3</v>
      </c>
      <c r="EE210" s="3">
        <v>55393630</v>
      </c>
      <c r="EF210" s="3">
        <v>214</v>
      </c>
      <c r="EG210" s="3" t="s">
        <v>154</v>
      </c>
      <c r="EH210" s="3">
        <v>0</v>
      </c>
      <c r="EI210" s="3" t="s">
        <v>3</v>
      </c>
      <c r="EJ210" s="3">
        <v>3</v>
      </c>
      <c r="EK210" s="3">
        <v>400007</v>
      </c>
      <c r="EL210" s="3" t="s">
        <v>154</v>
      </c>
      <c r="EM210" s="3" t="s">
        <v>155</v>
      </c>
      <c r="EO210" s="3" t="s">
        <v>3</v>
      </c>
      <c r="EQ210" s="3">
        <v>16</v>
      </c>
      <c r="ER210" s="3">
        <v>0</v>
      </c>
      <c r="ES210" s="3">
        <v>583.13</v>
      </c>
      <c r="ET210" s="3">
        <v>0</v>
      </c>
      <c r="EU210" s="3">
        <v>0</v>
      </c>
      <c r="EV210" s="3">
        <v>0</v>
      </c>
      <c r="EW210" s="3">
        <v>0</v>
      </c>
      <c r="EX210" s="3">
        <v>0</v>
      </c>
      <c r="EY210" s="3">
        <v>0</v>
      </c>
      <c r="EZ210" s="3">
        <v>5</v>
      </c>
      <c r="FC210" s="3">
        <v>1</v>
      </c>
      <c r="FD210" s="3">
        <v>18</v>
      </c>
      <c r="FF210" s="3">
        <v>6716</v>
      </c>
      <c r="FQ210" s="3">
        <v>0</v>
      </c>
      <c r="FR210" s="3">
        <f t="shared" si="199"/>
        <v>5738</v>
      </c>
      <c r="FS210" s="3">
        <v>0</v>
      </c>
      <c r="FX210" s="3">
        <v>0</v>
      </c>
      <c r="FY210" s="3">
        <v>0</v>
      </c>
      <c r="GA210" s="3" t="s">
        <v>230</v>
      </c>
      <c r="GD210" s="3">
        <v>1</v>
      </c>
      <c r="GF210" s="3">
        <v>-648859728</v>
      </c>
      <c r="GG210" s="3">
        <v>2</v>
      </c>
      <c r="GH210" s="3">
        <v>3</v>
      </c>
      <c r="GI210" s="3">
        <v>5</v>
      </c>
      <c r="GJ210" s="3">
        <v>0</v>
      </c>
      <c r="GK210" s="3">
        <v>0</v>
      </c>
      <c r="GL210" s="3">
        <f t="shared" si="179"/>
        <v>0</v>
      </c>
      <c r="GM210" s="3">
        <f t="shared" si="180"/>
        <v>5738</v>
      </c>
      <c r="GN210" s="3">
        <f t="shared" si="181"/>
        <v>0</v>
      </c>
      <c r="GO210" s="3">
        <f t="shared" si="182"/>
        <v>0</v>
      </c>
      <c r="GP210" s="3">
        <f t="shared" si="183"/>
        <v>0</v>
      </c>
      <c r="GR210" s="3">
        <v>1</v>
      </c>
      <c r="GS210" s="3">
        <v>1</v>
      </c>
      <c r="GT210" s="3">
        <v>0</v>
      </c>
      <c r="GU210" s="3" t="s">
        <v>3</v>
      </c>
      <c r="GV210" s="3">
        <f t="shared" si="184"/>
        <v>0</v>
      </c>
      <c r="GW210" s="3">
        <v>1</v>
      </c>
      <c r="GX210" s="3">
        <f t="shared" si="185"/>
        <v>0</v>
      </c>
      <c r="HA210" s="3">
        <v>0</v>
      </c>
      <c r="HB210" s="3">
        <v>0</v>
      </c>
      <c r="HC210" s="3">
        <f t="shared" si="186"/>
        <v>0</v>
      </c>
      <c r="HE210" s="3" t="s">
        <v>34</v>
      </c>
      <c r="HF210" s="3" t="s">
        <v>157</v>
      </c>
      <c r="HM210" s="3" t="s">
        <v>3</v>
      </c>
      <c r="HN210" s="3" t="s">
        <v>3</v>
      </c>
      <c r="HO210" s="3" t="s">
        <v>3</v>
      </c>
      <c r="HP210" s="3" t="s">
        <v>3</v>
      </c>
      <c r="HQ210" s="3" t="s">
        <v>3</v>
      </c>
      <c r="HS210" s="3">
        <v>0</v>
      </c>
      <c r="IK210" s="3">
        <v>0</v>
      </c>
    </row>
    <row r="211" spans="1:255" x14ac:dyDescent="0.2">
      <c r="A211" s="2">
        <v>17</v>
      </c>
      <c r="B211" s="2">
        <v>1</v>
      </c>
      <c r="C211" s="2"/>
      <c r="D211" s="2"/>
      <c r="E211" s="2" t="s">
        <v>231</v>
      </c>
      <c r="F211" s="2" t="s">
        <v>232</v>
      </c>
      <c r="G211" s="2" t="s">
        <v>233</v>
      </c>
      <c r="H211" s="2" t="s">
        <v>153</v>
      </c>
      <c r="I211" s="2">
        <v>1</v>
      </c>
      <c r="J211" s="2">
        <v>0</v>
      </c>
      <c r="K211" s="2">
        <v>1</v>
      </c>
      <c r="L211" s="2"/>
      <c r="M211" s="2"/>
      <c r="N211" s="2"/>
      <c r="O211" s="2">
        <f t="shared" si="162"/>
        <v>397.24</v>
      </c>
      <c r="P211" s="2">
        <f t="shared" si="163"/>
        <v>397.24</v>
      </c>
      <c r="Q211" s="2">
        <f t="shared" si="187"/>
        <v>0</v>
      </c>
      <c r="R211" s="2">
        <f t="shared" si="188"/>
        <v>0</v>
      </c>
      <c r="S211" s="2">
        <f t="shared" si="164"/>
        <v>0</v>
      </c>
      <c r="T211" s="2">
        <f t="shared" si="165"/>
        <v>0</v>
      </c>
      <c r="U211" s="2">
        <f t="shared" si="166"/>
        <v>0</v>
      </c>
      <c r="V211" s="2">
        <f t="shared" si="167"/>
        <v>0</v>
      </c>
      <c r="W211" s="2">
        <f t="shared" si="168"/>
        <v>0</v>
      </c>
      <c r="X211" s="2">
        <f t="shared" si="189"/>
        <v>0</v>
      </c>
      <c r="Y211" s="2">
        <f t="shared" si="190"/>
        <v>0</v>
      </c>
      <c r="Z211" s="2"/>
      <c r="AA211" s="2">
        <v>55915256</v>
      </c>
      <c r="AB211" s="2">
        <f t="shared" si="169"/>
        <v>397.24</v>
      </c>
      <c r="AC211" s="2">
        <f t="shared" si="191"/>
        <v>397.24</v>
      </c>
      <c r="AD211" s="2">
        <f t="shared" si="192"/>
        <v>0</v>
      </c>
      <c r="AE211" s="2">
        <f t="shared" si="193"/>
        <v>0</v>
      </c>
      <c r="AF211" s="2">
        <f t="shared" si="193"/>
        <v>0</v>
      </c>
      <c r="AG211" s="2">
        <f t="shared" si="170"/>
        <v>0</v>
      </c>
      <c r="AH211" s="2">
        <f t="shared" si="194"/>
        <v>0</v>
      </c>
      <c r="AI211" s="2">
        <f t="shared" si="194"/>
        <v>0</v>
      </c>
      <c r="AJ211" s="2">
        <f t="shared" si="171"/>
        <v>0</v>
      </c>
      <c r="AK211" s="2">
        <v>397.24</v>
      </c>
      <c r="AL211" s="2">
        <v>397.24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1</v>
      </c>
      <c r="AW211" s="2">
        <v>1</v>
      </c>
      <c r="AX211" s="2"/>
      <c r="AY211" s="2"/>
      <c r="AZ211" s="2">
        <v>1</v>
      </c>
      <c r="BA211" s="2">
        <v>1</v>
      </c>
      <c r="BB211" s="2">
        <v>1</v>
      </c>
      <c r="BC211" s="2">
        <v>1</v>
      </c>
      <c r="BD211" s="2" t="s">
        <v>3</v>
      </c>
      <c r="BE211" s="2" t="s">
        <v>3</v>
      </c>
      <c r="BF211" s="2" t="s">
        <v>3</v>
      </c>
      <c r="BG211" s="2" t="s">
        <v>3</v>
      </c>
      <c r="BH211" s="2">
        <v>3</v>
      </c>
      <c r="BI211" s="2">
        <v>3</v>
      </c>
      <c r="BJ211" s="2" t="s">
        <v>232</v>
      </c>
      <c r="BK211" s="2"/>
      <c r="BL211" s="2"/>
      <c r="BM211" s="2">
        <v>400007</v>
      </c>
      <c r="BN211" s="2">
        <v>0</v>
      </c>
      <c r="BO211" s="2" t="s">
        <v>3</v>
      </c>
      <c r="BP211" s="2">
        <v>0</v>
      </c>
      <c r="BQ211" s="2">
        <v>214</v>
      </c>
      <c r="BR211" s="2">
        <v>0</v>
      </c>
      <c r="BS211" s="2">
        <v>1</v>
      </c>
      <c r="BT211" s="2">
        <v>1</v>
      </c>
      <c r="BU211" s="2">
        <v>1</v>
      </c>
      <c r="BV211" s="2">
        <v>1</v>
      </c>
      <c r="BW211" s="2">
        <v>1</v>
      </c>
      <c r="BX211" s="2">
        <v>1</v>
      </c>
      <c r="BY211" s="2" t="s">
        <v>3</v>
      </c>
      <c r="BZ211" s="2">
        <v>0</v>
      </c>
      <c r="CA211" s="2">
        <v>0</v>
      </c>
      <c r="CB211" s="2" t="s">
        <v>3</v>
      </c>
      <c r="CC211" s="2"/>
      <c r="CD211" s="2"/>
      <c r="CE211" s="2">
        <v>1566</v>
      </c>
      <c r="CF211" s="2">
        <v>0</v>
      </c>
      <c r="CG211" s="2">
        <v>0</v>
      </c>
      <c r="CH211" s="2"/>
      <c r="CI211" s="2"/>
      <c r="CJ211" s="2"/>
      <c r="CK211" s="2"/>
      <c r="CL211" s="2"/>
      <c r="CM211" s="2">
        <v>0</v>
      </c>
      <c r="CN211" s="2" t="s">
        <v>3</v>
      </c>
      <c r="CO211" s="2">
        <v>0</v>
      </c>
      <c r="CP211" s="2">
        <f t="shared" si="172"/>
        <v>397.24</v>
      </c>
      <c r="CQ211" s="2">
        <f t="shared" si="173"/>
        <v>397.24</v>
      </c>
      <c r="CR211" s="2">
        <f t="shared" si="195"/>
        <v>0</v>
      </c>
      <c r="CS211" s="2">
        <f t="shared" si="196"/>
        <v>0</v>
      </c>
      <c r="CT211" s="2">
        <f t="shared" si="174"/>
        <v>0</v>
      </c>
      <c r="CU211" s="2">
        <f t="shared" si="175"/>
        <v>0</v>
      </c>
      <c r="CV211" s="2">
        <f t="shared" si="176"/>
        <v>0</v>
      </c>
      <c r="CW211" s="2">
        <f t="shared" si="177"/>
        <v>0</v>
      </c>
      <c r="CX211" s="2">
        <f t="shared" si="178"/>
        <v>0</v>
      </c>
      <c r="CY211" s="2">
        <f t="shared" si="197"/>
        <v>0</v>
      </c>
      <c r="CZ211" s="2">
        <f t="shared" si="198"/>
        <v>0</v>
      </c>
      <c r="DA211" s="2"/>
      <c r="DB211" s="2"/>
      <c r="DC211" s="2" t="s">
        <v>3</v>
      </c>
      <c r="DD211" s="2" t="s">
        <v>3</v>
      </c>
      <c r="DE211" s="2" t="s">
        <v>3</v>
      </c>
      <c r="DF211" s="2" t="s">
        <v>3</v>
      </c>
      <c r="DG211" s="2" t="s">
        <v>3</v>
      </c>
      <c r="DH211" s="2" t="s">
        <v>3</v>
      </c>
      <c r="DI211" s="2" t="s">
        <v>3</v>
      </c>
      <c r="DJ211" s="2" t="s">
        <v>3</v>
      </c>
      <c r="DK211" s="2" t="s">
        <v>3</v>
      </c>
      <c r="DL211" s="2" t="s">
        <v>3</v>
      </c>
      <c r="DM211" s="2" t="s">
        <v>3</v>
      </c>
      <c r="DN211" s="2">
        <v>0</v>
      </c>
      <c r="DO211" s="2">
        <v>0</v>
      </c>
      <c r="DP211" s="2">
        <v>1</v>
      </c>
      <c r="DQ211" s="2">
        <v>1</v>
      </c>
      <c r="DR211" s="2"/>
      <c r="DS211" s="2"/>
      <c r="DT211" s="2"/>
      <c r="DU211" s="2">
        <v>1013</v>
      </c>
      <c r="DV211" s="2" t="s">
        <v>153</v>
      </c>
      <c r="DW211" s="2" t="s">
        <v>153</v>
      </c>
      <c r="DX211" s="2">
        <v>1</v>
      </c>
      <c r="DY211" s="2"/>
      <c r="DZ211" s="2" t="s">
        <v>3</v>
      </c>
      <c r="EA211" s="2" t="s">
        <v>3</v>
      </c>
      <c r="EB211" s="2" t="s">
        <v>3</v>
      </c>
      <c r="EC211" s="2" t="s">
        <v>3</v>
      </c>
      <c r="ED211" s="2"/>
      <c r="EE211" s="2">
        <v>55393630</v>
      </c>
      <c r="EF211" s="2">
        <v>214</v>
      </c>
      <c r="EG211" s="2" t="s">
        <v>154</v>
      </c>
      <c r="EH211" s="2">
        <v>0</v>
      </c>
      <c r="EI211" s="2" t="s">
        <v>3</v>
      </c>
      <c r="EJ211" s="2">
        <v>3</v>
      </c>
      <c r="EK211" s="2">
        <v>400007</v>
      </c>
      <c r="EL211" s="2" t="s">
        <v>154</v>
      </c>
      <c r="EM211" s="2" t="s">
        <v>155</v>
      </c>
      <c r="EN211" s="2"/>
      <c r="EO211" s="2" t="s">
        <v>3</v>
      </c>
      <c r="EP211" s="2"/>
      <c r="EQ211" s="2">
        <v>16</v>
      </c>
      <c r="ER211" s="2">
        <v>0</v>
      </c>
      <c r="ES211" s="2">
        <v>397.24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>
        <v>0</v>
      </c>
      <c r="FR211" s="2">
        <f t="shared" si="199"/>
        <v>397.24</v>
      </c>
      <c r="FS211" s="2">
        <v>0</v>
      </c>
      <c r="FT211" s="2"/>
      <c r="FU211" s="2"/>
      <c r="FV211" s="2"/>
      <c r="FW211" s="2"/>
      <c r="FX211" s="2">
        <v>0</v>
      </c>
      <c r="FY211" s="2">
        <v>0</v>
      </c>
      <c r="FZ211" s="2"/>
      <c r="GA211" s="2" t="s">
        <v>234</v>
      </c>
      <c r="GB211" s="2"/>
      <c r="GC211" s="2"/>
      <c r="GD211" s="2">
        <v>1</v>
      </c>
      <c r="GE211" s="2"/>
      <c r="GF211" s="2">
        <v>-680626420</v>
      </c>
      <c r="GG211" s="2">
        <v>2</v>
      </c>
      <c r="GH211" s="2">
        <v>4</v>
      </c>
      <c r="GI211" s="2">
        <v>-2</v>
      </c>
      <c r="GJ211" s="2">
        <v>0</v>
      </c>
      <c r="GK211" s="2">
        <v>0</v>
      </c>
      <c r="GL211" s="2">
        <f t="shared" si="179"/>
        <v>0</v>
      </c>
      <c r="GM211" s="2">
        <f t="shared" si="180"/>
        <v>397.24</v>
      </c>
      <c r="GN211" s="2">
        <f t="shared" si="181"/>
        <v>0</v>
      </c>
      <c r="GO211" s="2">
        <f t="shared" si="182"/>
        <v>0</v>
      </c>
      <c r="GP211" s="2">
        <f t="shared" si="183"/>
        <v>0</v>
      </c>
      <c r="GQ211" s="2"/>
      <c r="GR211" s="2">
        <v>1</v>
      </c>
      <c r="GS211" s="2">
        <v>2</v>
      </c>
      <c r="GT211" s="2">
        <v>0</v>
      </c>
      <c r="GU211" s="2" t="s">
        <v>3</v>
      </c>
      <c r="GV211" s="2">
        <f t="shared" si="184"/>
        <v>0</v>
      </c>
      <c r="GW211" s="2">
        <v>1</v>
      </c>
      <c r="GX211" s="2">
        <f t="shared" si="185"/>
        <v>0</v>
      </c>
      <c r="GY211" s="2"/>
      <c r="GZ211" s="2"/>
      <c r="HA211" s="2">
        <v>0</v>
      </c>
      <c r="HB211" s="2">
        <v>0</v>
      </c>
      <c r="HC211" s="2">
        <f t="shared" si="186"/>
        <v>0</v>
      </c>
      <c r="HD211" s="2"/>
      <c r="HE211" s="2" t="s">
        <v>34</v>
      </c>
      <c r="HF211" s="2" t="s">
        <v>157</v>
      </c>
      <c r="HG211" s="2"/>
      <c r="HH211" s="2"/>
      <c r="HI211" s="2"/>
      <c r="HJ211" s="2"/>
      <c r="HK211" s="2"/>
      <c r="HL211" s="2"/>
      <c r="HM211" s="2" t="s">
        <v>3</v>
      </c>
      <c r="HN211" s="2" t="s">
        <v>3</v>
      </c>
      <c r="HO211" s="2" t="s">
        <v>3</v>
      </c>
      <c r="HP211" s="2" t="s">
        <v>3</v>
      </c>
      <c r="HQ211" s="2" t="s">
        <v>3</v>
      </c>
      <c r="HR211" s="2"/>
      <c r="HS211" s="2">
        <v>0</v>
      </c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>
        <v>0</v>
      </c>
      <c r="IL211" s="2"/>
      <c r="IM211" s="2"/>
      <c r="IN211" s="2"/>
      <c r="IO211" s="2"/>
      <c r="IP211" s="2"/>
      <c r="IQ211" s="2"/>
      <c r="IR211" s="2"/>
      <c r="IS211" s="2"/>
      <c r="IT211" s="2"/>
      <c r="IU211" s="2"/>
    </row>
    <row r="212" spans="1:255" x14ac:dyDescent="0.2">
      <c r="A212" s="3">
        <v>17</v>
      </c>
      <c r="B212" s="3">
        <v>1</v>
      </c>
      <c r="E212" s="3" t="s">
        <v>231</v>
      </c>
      <c r="F212" s="3" t="s">
        <v>232</v>
      </c>
      <c r="G212" s="3" t="s">
        <v>233</v>
      </c>
      <c r="H212" s="3" t="s">
        <v>153</v>
      </c>
      <c r="I212" s="3">
        <v>1</v>
      </c>
      <c r="J212" s="3">
        <v>0</v>
      </c>
      <c r="K212" s="3">
        <v>1</v>
      </c>
      <c r="O212" s="3">
        <f t="shared" si="162"/>
        <v>3908.84</v>
      </c>
      <c r="P212" s="3">
        <f t="shared" si="163"/>
        <v>3908.84</v>
      </c>
      <c r="Q212" s="3">
        <f t="shared" si="187"/>
        <v>0</v>
      </c>
      <c r="R212" s="3">
        <f t="shared" si="188"/>
        <v>0</v>
      </c>
      <c r="S212" s="3">
        <f t="shared" si="164"/>
        <v>0</v>
      </c>
      <c r="T212" s="3">
        <f t="shared" si="165"/>
        <v>0</v>
      </c>
      <c r="U212" s="3">
        <f t="shared" si="166"/>
        <v>0</v>
      </c>
      <c r="V212" s="3">
        <f t="shared" si="167"/>
        <v>0</v>
      </c>
      <c r="W212" s="3">
        <f t="shared" si="168"/>
        <v>0</v>
      </c>
      <c r="X212" s="3">
        <f t="shared" si="189"/>
        <v>0</v>
      </c>
      <c r="Y212" s="3">
        <f t="shared" si="190"/>
        <v>0</v>
      </c>
      <c r="AA212" s="3">
        <v>55915258</v>
      </c>
      <c r="AB212" s="3">
        <f t="shared" si="169"/>
        <v>397.24</v>
      </c>
      <c r="AC212" s="3">
        <f t="shared" si="191"/>
        <v>397.24</v>
      </c>
      <c r="AD212" s="3">
        <f t="shared" si="192"/>
        <v>0</v>
      </c>
      <c r="AE212" s="3">
        <f t="shared" si="193"/>
        <v>0</v>
      </c>
      <c r="AF212" s="3">
        <f t="shared" si="193"/>
        <v>0</v>
      </c>
      <c r="AG212" s="3">
        <f t="shared" si="170"/>
        <v>0</v>
      </c>
      <c r="AH212" s="3">
        <f t="shared" si="194"/>
        <v>0</v>
      </c>
      <c r="AI212" s="3">
        <f t="shared" si="194"/>
        <v>0</v>
      </c>
      <c r="AJ212" s="3">
        <f t="shared" si="171"/>
        <v>0</v>
      </c>
      <c r="AK212" s="3">
        <v>397.24</v>
      </c>
      <c r="AL212" s="3">
        <v>397.24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1</v>
      </c>
      <c r="AW212" s="3">
        <v>1</v>
      </c>
      <c r="AZ212" s="3">
        <v>1</v>
      </c>
      <c r="BA212" s="3">
        <v>1</v>
      </c>
      <c r="BB212" s="3">
        <v>1</v>
      </c>
      <c r="BC212" s="3">
        <v>9.84</v>
      </c>
      <c r="BD212" s="3" t="s">
        <v>3</v>
      </c>
      <c r="BE212" s="3" t="s">
        <v>3</v>
      </c>
      <c r="BF212" s="3" t="s">
        <v>3</v>
      </c>
      <c r="BG212" s="3" t="s">
        <v>3</v>
      </c>
      <c r="BH212" s="3">
        <v>3</v>
      </c>
      <c r="BI212" s="3">
        <v>3</v>
      </c>
      <c r="BJ212" s="3" t="s">
        <v>232</v>
      </c>
      <c r="BM212" s="3">
        <v>400007</v>
      </c>
      <c r="BN212" s="3">
        <v>0</v>
      </c>
      <c r="BO212" s="3" t="s">
        <v>3</v>
      </c>
      <c r="BP212" s="3">
        <v>0</v>
      </c>
      <c r="BQ212" s="3">
        <v>214</v>
      </c>
      <c r="BR212" s="3">
        <v>0</v>
      </c>
      <c r="BS212" s="3">
        <v>1</v>
      </c>
      <c r="BT212" s="3">
        <v>1</v>
      </c>
      <c r="BU212" s="3">
        <v>1</v>
      </c>
      <c r="BV212" s="3">
        <v>1</v>
      </c>
      <c r="BW212" s="3">
        <v>1</v>
      </c>
      <c r="BX212" s="3">
        <v>1</v>
      </c>
      <c r="BY212" s="3" t="s">
        <v>3</v>
      </c>
      <c r="BZ212" s="3">
        <v>0</v>
      </c>
      <c r="CA212" s="3">
        <v>0</v>
      </c>
      <c r="CB212" s="3" t="s">
        <v>3</v>
      </c>
      <c r="CE212" s="3">
        <v>1566</v>
      </c>
      <c r="CF212" s="3">
        <v>0</v>
      </c>
      <c r="CG212" s="3">
        <v>0</v>
      </c>
      <c r="CM212" s="3">
        <v>0</v>
      </c>
      <c r="CN212" s="3" t="s">
        <v>3</v>
      </c>
      <c r="CO212" s="3">
        <v>0</v>
      </c>
      <c r="CP212" s="3">
        <f t="shared" si="172"/>
        <v>3908.84</v>
      </c>
      <c r="CQ212" s="3">
        <f t="shared" si="173"/>
        <v>3908.84</v>
      </c>
      <c r="CR212" s="3">
        <f t="shared" si="195"/>
        <v>0</v>
      </c>
      <c r="CS212" s="3">
        <f t="shared" si="196"/>
        <v>0</v>
      </c>
      <c r="CT212" s="3">
        <f t="shared" si="174"/>
        <v>0</v>
      </c>
      <c r="CU212" s="3">
        <f t="shared" si="175"/>
        <v>0</v>
      </c>
      <c r="CV212" s="3">
        <f t="shared" si="176"/>
        <v>0</v>
      </c>
      <c r="CW212" s="3">
        <f t="shared" si="177"/>
        <v>0</v>
      </c>
      <c r="CX212" s="3">
        <f t="shared" si="178"/>
        <v>0</v>
      </c>
      <c r="CY212" s="3">
        <f t="shared" si="197"/>
        <v>0</v>
      </c>
      <c r="CZ212" s="3">
        <f t="shared" si="198"/>
        <v>0</v>
      </c>
      <c r="DC212" s="3" t="s">
        <v>3</v>
      </c>
      <c r="DD212" s="3" t="s">
        <v>3</v>
      </c>
      <c r="DE212" s="3" t="s">
        <v>3</v>
      </c>
      <c r="DF212" s="3" t="s">
        <v>3</v>
      </c>
      <c r="DG212" s="3" t="s">
        <v>3</v>
      </c>
      <c r="DH212" s="3" t="s">
        <v>3</v>
      </c>
      <c r="DI212" s="3" t="s">
        <v>3</v>
      </c>
      <c r="DJ212" s="3" t="s">
        <v>3</v>
      </c>
      <c r="DK212" s="3" t="s">
        <v>3</v>
      </c>
      <c r="DL212" s="3" t="s">
        <v>3</v>
      </c>
      <c r="DM212" s="3" t="s">
        <v>3</v>
      </c>
      <c r="DN212" s="3">
        <v>0</v>
      </c>
      <c r="DO212" s="3">
        <v>0</v>
      </c>
      <c r="DP212" s="3">
        <v>1</v>
      </c>
      <c r="DQ212" s="3">
        <v>1</v>
      </c>
      <c r="DU212" s="3">
        <v>1013</v>
      </c>
      <c r="DV212" s="3" t="s">
        <v>153</v>
      </c>
      <c r="DW212" s="3" t="s">
        <v>153</v>
      </c>
      <c r="DX212" s="3">
        <v>1</v>
      </c>
      <c r="DZ212" s="3" t="s">
        <v>3</v>
      </c>
      <c r="EA212" s="3" t="s">
        <v>3</v>
      </c>
      <c r="EB212" s="3" t="s">
        <v>3</v>
      </c>
      <c r="EC212" s="3" t="s">
        <v>3</v>
      </c>
      <c r="EE212" s="3">
        <v>55393630</v>
      </c>
      <c r="EF212" s="3">
        <v>214</v>
      </c>
      <c r="EG212" s="3" t="s">
        <v>154</v>
      </c>
      <c r="EH212" s="3">
        <v>0</v>
      </c>
      <c r="EI212" s="3" t="s">
        <v>3</v>
      </c>
      <c r="EJ212" s="3">
        <v>3</v>
      </c>
      <c r="EK212" s="3">
        <v>400007</v>
      </c>
      <c r="EL212" s="3" t="s">
        <v>154</v>
      </c>
      <c r="EM212" s="3" t="s">
        <v>155</v>
      </c>
      <c r="EO212" s="3" t="s">
        <v>3</v>
      </c>
      <c r="EQ212" s="3">
        <v>16</v>
      </c>
      <c r="ER212" s="3">
        <v>0</v>
      </c>
      <c r="ES212" s="3">
        <v>397.24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>
        <v>0</v>
      </c>
      <c r="EZ212" s="3">
        <v>5</v>
      </c>
      <c r="FC212" s="3">
        <v>1</v>
      </c>
      <c r="FD212" s="3">
        <v>18</v>
      </c>
      <c r="FF212" s="3">
        <v>4575</v>
      </c>
      <c r="FQ212" s="3">
        <v>0</v>
      </c>
      <c r="FR212" s="3">
        <f t="shared" si="199"/>
        <v>3908.84</v>
      </c>
      <c r="FS212" s="3">
        <v>0</v>
      </c>
      <c r="FX212" s="3">
        <v>0</v>
      </c>
      <c r="FY212" s="3">
        <v>0</v>
      </c>
      <c r="GA212" s="3" t="s">
        <v>234</v>
      </c>
      <c r="GD212" s="3">
        <v>1</v>
      </c>
      <c r="GF212" s="3">
        <v>-680626420</v>
      </c>
      <c r="GG212" s="3">
        <v>2</v>
      </c>
      <c r="GH212" s="3">
        <v>3</v>
      </c>
      <c r="GI212" s="3">
        <v>5</v>
      </c>
      <c r="GJ212" s="3">
        <v>0</v>
      </c>
      <c r="GK212" s="3">
        <v>0</v>
      </c>
      <c r="GL212" s="3">
        <f t="shared" si="179"/>
        <v>0</v>
      </c>
      <c r="GM212" s="3">
        <f t="shared" si="180"/>
        <v>3908.84</v>
      </c>
      <c r="GN212" s="3">
        <f t="shared" si="181"/>
        <v>0</v>
      </c>
      <c r="GO212" s="3">
        <f t="shared" si="182"/>
        <v>0</v>
      </c>
      <c r="GP212" s="3">
        <f t="shared" si="183"/>
        <v>0</v>
      </c>
      <c r="GR212" s="3">
        <v>1</v>
      </c>
      <c r="GS212" s="3">
        <v>1</v>
      </c>
      <c r="GT212" s="3">
        <v>0</v>
      </c>
      <c r="GU212" s="3" t="s">
        <v>3</v>
      </c>
      <c r="GV212" s="3">
        <f t="shared" si="184"/>
        <v>0</v>
      </c>
      <c r="GW212" s="3">
        <v>1</v>
      </c>
      <c r="GX212" s="3">
        <f t="shared" si="185"/>
        <v>0</v>
      </c>
      <c r="HA212" s="3">
        <v>0</v>
      </c>
      <c r="HB212" s="3">
        <v>0</v>
      </c>
      <c r="HC212" s="3">
        <f t="shared" si="186"/>
        <v>0</v>
      </c>
      <c r="HE212" s="3" t="s">
        <v>34</v>
      </c>
      <c r="HF212" s="3" t="s">
        <v>157</v>
      </c>
      <c r="HM212" s="3" t="s">
        <v>3</v>
      </c>
      <c r="HN212" s="3" t="s">
        <v>3</v>
      </c>
      <c r="HO212" s="3" t="s">
        <v>3</v>
      </c>
      <c r="HP212" s="3" t="s">
        <v>3</v>
      </c>
      <c r="HQ212" s="3" t="s">
        <v>3</v>
      </c>
      <c r="HS212" s="3">
        <v>0</v>
      </c>
      <c r="IK212" s="3">
        <v>0</v>
      </c>
    </row>
    <row r="213" spans="1:255" x14ac:dyDescent="0.2">
      <c r="A213" s="2">
        <v>17</v>
      </c>
      <c r="B213" s="2">
        <v>1</v>
      </c>
      <c r="C213" s="2"/>
      <c r="D213" s="2"/>
      <c r="E213" s="2" t="s">
        <v>235</v>
      </c>
      <c r="F213" s="2" t="s">
        <v>236</v>
      </c>
      <c r="G213" s="2" t="s">
        <v>237</v>
      </c>
      <c r="H213" s="2" t="s">
        <v>153</v>
      </c>
      <c r="I213" s="2">
        <v>1</v>
      </c>
      <c r="J213" s="2">
        <v>0</v>
      </c>
      <c r="K213" s="2">
        <v>1</v>
      </c>
      <c r="L213" s="2"/>
      <c r="M213" s="2"/>
      <c r="N213" s="2"/>
      <c r="O213" s="2">
        <f t="shared" si="162"/>
        <v>2491.98</v>
      </c>
      <c r="P213" s="2">
        <f t="shared" si="163"/>
        <v>2491.98</v>
      </c>
      <c r="Q213" s="2">
        <f t="shared" si="187"/>
        <v>0</v>
      </c>
      <c r="R213" s="2">
        <f t="shared" si="188"/>
        <v>0</v>
      </c>
      <c r="S213" s="2">
        <f t="shared" si="164"/>
        <v>0</v>
      </c>
      <c r="T213" s="2">
        <f t="shared" si="165"/>
        <v>0</v>
      </c>
      <c r="U213" s="2">
        <f t="shared" si="166"/>
        <v>0</v>
      </c>
      <c r="V213" s="2">
        <f t="shared" si="167"/>
        <v>0</v>
      </c>
      <c r="W213" s="2">
        <f t="shared" si="168"/>
        <v>0</v>
      </c>
      <c r="X213" s="2">
        <f t="shared" si="189"/>
        <v>0</v>
      </c>
      <c r="Y213" s="2">
        <f t="shared" si="190"/>
        <v>0</v>
      </c>
      <c r="Z213" s="2"/>
      <c r="AA213" s="2">
        <v>55915256</v>
      </c>
      <c r="AB213" s="2">
        <f t="shared" si="169"/>
        <v>2491.98</v>
      </c>
      <c r="AC213" s="2">
        <f t="shared" si="191"/>
        <v>2491.98</v>
      </c>
      <c r="AD213" s="2">
        <f t="shared" si="192"/>
        <v>0</v>
      </c>
      <c r="AE213" s="2">
        <f t="shared" si="193"/>
        <v>0</v>
      </c>
      <c r="AF213" s="2">
        <f t="shared" si="193"/>
        <v>0</v>
      </c>
      <c r="AG213" s="2">
        <f t="shared" si="170"/>
        <v>0</v>
      </c>
      <c r="AH213" s="2">
        <f t="shared" si="194"/>
        <v>0</v>
      </c>
      <c r="AI213" s="2">
        <f t="shared" si="194"/>
        <v>0</v>
      </c>
      <c r="AJ213" s="2">
        <f t="shared" si="171"/>
        <v>0</v>
      </c>
      <c r="AK213" s="2">
        <v>2491.98</v>
      </c>
      <c r="AL213" s="2">
        <v>2491.98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1</v>
      </c>
      <c r="AW213" s="2">
        <v>1</v>
      </c>
      <c r="AX213" s="2"/>
      <c r="AY213" s="2"/>
      <c r="AZ213" s="2">
        <v>1</v>
      </c>
      <c r="BA213" s="2">
        <v>1</v>
      </c>
      <c r="BB213" s="2">
        <v>1</v>
      </c>
      <c r="BC213" s="2">
        <v>1</v>
      </c>
      <c r="BD213" s="2" t="s">
        <v>3</v>
      </c>
      <c r="BE213" s="2" t="s">
        <v>3</v>
      </c>
      <c r="BF213" s="2" t="s">
        <v>3</v>
      </c>
      <c r="BG213" s="2" t="s">
        <v>3</v>
      </c>
      <c r="BH213" s="2">
        <v>3</v>
      </c>
      <c r="BI213" s="2">
        <v>3</v>
      </c>
      <c r="BJ213" s="2" t="s">
        <v>236</v>
      </c>
      <c r="BK213" s="2"/>
      <c r="BL213" s="2"/>
      <c r="BM213" s="2">
        <v>400007</v>
      </c>
      <c r="BN213" s="2">
        <v>0</v>
      </c>
      <c r="BO213" s="2" t="s">
        <v>3</v>
      </c>
      <c r="BP213" s="2">
        <v>0</v>
      </c>
      <c r="BQ213" s="2">
        <v>214</v>
      </c>
      <c r="BR213" s="2">
        <v>0</v>
      </c>
      <c r="BS213" s="2">
        <v>1</v>
      </c>
      <c r="BT213" s="2">
        <v>1</v>
      </c>
      <c r="BU213" s="2">
        <v>1</v>
      </c>
      <c r="BV213" s="2">
        <v>1</v>
      </c>
      <c r="BW213" s="2">
        <v>1</v>
      </c>
      <c r="BX213" s="2">
        <v>1</v>
      </c>
      <c r="BY213" s="2" t="s">
        <v>3</v>
      </c>
      <c r="BZ213" s="2">
        <v>0</v>
      </c>
      <c r="CA213" s="2">
        <v>0</v>
      </c>
      <c r="CB213" s="2" t="s">
        <v>3</v>
      </c>
      <c r="CC213" s="2"/>
      <c r="CD213" s="2"/>
      <c r="CE213" s="2">
        <v>1566</v>
      </c>
      <c r="CF213" s="2">
        <v>0</v>
      </c>
      <c r="CG213" s="2">
        <v>0</v>
      </c>
      <c r="CH213" s="2"/>
      <c r="CI213" s="2"/>
      <c r="CJ213" s="2"/>
      <c r="CK213" s="2"/>
      <c r="CL213" s="2"/>
      <c r="CM213" s="2">
        <v>0</v>
      </c>
      <c r="CN213" s="2" t="s">
        <v>3</v>
      </c>
      <c r="CO213" s="2">
        <v>0</v>
      </c>
      <c r="CP213" s="2">
        <f t="shared" si="172"/>
        <v>2491.98</v>
      </c>
      <c r="CQ213" s="2">
        <f t="shared" si="173"/>
        <v>2491.98</v>
      </c>
      <c r="CR213" s="2">
        <f t="shared" si="195"/>
        <v>0</v>
      </c>
      <c r="CS213" s="2">
        <f t="shared" si="196"/>
        <v>0</v>
      </c>
      <c r="CT213" s="2">
        <f t="shared" si="174"/>
        <v>0</v>
      </c>
      <c r="CU213" s="2">
        <f t="shared" si="175"/>
        <v>0</v>
      </c>
      <c r="CV213" s="2">
        <f t="shared" si="176"/>
        <v>0</v>
      </c>
      <c r="CW213" s="2">
        <f t="shared" si="177"/>
        <v>0</v>
      </c>
      <c r="CX213" s="2">
        <f t="shared" si="178"/>
        <v>0</v>
      </c>
      <c r="CY213" s="2">
        <f t="shared" si="197"/>
        <v>0</v>
      </c>
      <c r="CZ213" s="2">
        <f t="shared" si="198"/>
        <v>0</v>
      </c>
      <c r="DA213" s="2"/>
      <c r="DB213" s="2"/>
      <c r="DC213" s="2" t="s">
        <v>3</v>
      </c>
      <c r="DD213" s="2" t="s">
        <v>3</v>
      </c>
      <c r="DE213" s="2" t="s">
        <v>3</v>
      </c>
      <c r="DF213" s="2" t="s">
        <v>3</v>
      </c>
      <c r="DG213" s="2" t="s">
        <v>3</v>
      </c>
      <c r="DH213" s="2" t="s">
        <v>3</v>
      </c>
      <c r="DI213" s="2" t="s">
        <v>3</v>
      </c>
      <c r="DJ213" s="2" t="s">
        <v>3</v>
      </c>
      <c r="DK213" s="2" t="s">
        <v>3</v>
      </c>
      <c r="DL213" s="2" t="s">
        <v>3</v>
      </c>
      <c r="DM213" s="2" t="s">
        <v>3</v>
      </c>
      <c r="DN213" s="2">
        <v>0</v>
      </c>
      <c r="DO213" s="2">
        <v>0</v>
      </c>
      <c r="DP213" s="2">
        <v>1</v>
      </c>
      <c r="DQ213" s="2">
        <v>1</v>
      </c>
      <c r="DR213" s="2"/>
      <c r="DS213" s="2"/>
      <c r="DT213" s="2"/>
      <c r="DU213" s="2">
        <v>1013</v>
      </c>
      <c r="DV213" s="2" t="s">
        <v>153</v>
      </c>
      <c r="DW213" s="2" t="s">
        <v>153</v>
      </c>
      <c r="DX213" s="2">
        <v>1</v>
      </c>
      <c r="DY213" s="2"/>
      <c r="DZ213" s="2" t="s">
        <v>3</v>
      </c>
      <c r="EA213" s="2" t="s">
        <v>3</v>
      </c>
      <c r="EB213" s="2" t="s">
        <v>3</v>
      </c>
      <c r="EC213" s="2" t="s">
        <v>3</v>
      </c>
      <c r="ED213" s="2"/>
      <c r="EE213" s="2">
        <v>55393630</v>
      </c>
      <c r="EF213" s="2">
        <v>214</v>
      </c>
      <c r="EG213" s="2" t="s">
        <v>154</v>
      </c>
      <c r="EH213" s="2">
        <v>0</v>
      </c>
      <c r="EI213" s="2" t="s">
        <v>3</v>
      </c>
      <c r="EJ213" s="2">
        <v>3</v>
      </c>
      <c r="EK213" s="2">
        <v>400007</v>
      </c>
      <c r="EL213" s="2" t="s">
        <v>154</v>
      </c>
      <c r="EM213" s="2" t="s">
        <v>155</v>
      </c>
      <c r="EN213" s="2"/>
      <c r="EO213" s="2" t="s">
        <v>3</v>
      </c>
      <c r="EP213" s="2"/>
      <c r="EQ213" s="2">
        <v>16</v>
      </c>
      <c r="ER213" s="2">
        <v>0</v>
      </c>
      <c r="ES213" s="2">
        <v>2491.98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>
        <v>0</v>
      </c>
      <c r="FR213" s="2">
        <f t="shared" si="199"/>
        <v>2491.98</v>
      </c>
      <c r="FS213" s="2">
        <v>0</v>
      </c>
      <c r="FT213" s="2"/>
      <c r="FU213" s="2"/>
      <c r="FV213" s="2"/>
      <c r="FW213" s="2"/>
      <c r="FX213" s="2">
        <v>0</v>
      </c>
      <c r="FY213" s="2">
        <v>0</v>
      </c>
      <c r="FZ213" s="2"/>
      <c r="GA213" s="2" t="s">
        <v>238</v>
      </c>
      <c r="GB213" s="2"/>
      <c r="GC213" s="2"/>
      <c r="GD213" s="2">
        <v>1</v>
      </c>
      <c r="GE213" s="2"/>
      <c r="GF213" s="2">
        <v>575505328</v>
      </c>
      <c r="GG213" s="2">
        <v>2</v>
      </c>
      <c r="GH213" s="2">
        <v>4</v>
      </c>
      <c r="GI213" s="2">
        <v>-2</v>
      </c>
      <c r="GJ213" s="2">
        <v>0</v>
      </c>
      <c r="GK213" s="2">
        <v>0</v>
      </c>
      <c r="GL213" s="2">
        <f t="shared" si="179"/>
        <v>0</v>
      </c>
      <c r="GM213" s="2">
        <f t="shared" si="180"/>
        <v>2491.98</v>
      </c>
      <c r="GN213" s="2">
        <f t="shared" si="181"/>
        <v>0</v>
      </c>
      <c r="GO213" s="2">
        <f t="shared" si="182"/>
        <v>0</v>
      </c>
      <c r="GP213" s="2">
        <f t="shared" si="183"/>
        <v>0</v>
      </c>
      <c r="GQ213" s="2"/>
      <c r="GR213" s="2">
        <v>1</v>
      </c>
      <c r="GS213" s="2">
        <v>2</v>
      </c>
      <c r="GT213" s="2">
        <v>0</v>
      </c>
      <c r="GU213" s="2" t="s">
        <v>3</v>
      </c>
      <c r="GV213" s="2">
        <f t="shared" si="184"/>
        <v>0</v>
      </c>
      <c r="GW213" s="2">
        <v>1</v>
      </c>
      <c r="GX213" s="2">
        <f t="shared" si="185"/>
        <v>0</v>
      </c>
      <c r="GY213" s="2"/>
      <c r="GZ213" s="2"/>
      <c r="HA213" s="2">
        <v>0</v>
      </c>
      <c r="HB213" s="2">
        <v>0</v>
      </c>
      <c r="HC213" s="2">
        <f t="shared" si="186"/>
        <v>0</v>
      </c>
      <c r="HD213" s="2"/>
      <c r="HE213" s="2" t="s">
        <v>34</v>
      </c>
      <c r="HF213" s="2" t="s">
        <v>157</v>
      </c>
      <c r="HG213" s="2"/>
      <c r="HH213" s="2"/>
      <c r="HI213" s="2"/>
      <c r="HJ213" s="2"/>
      <c r="HK213" s="2"/>
      <c r="HL213" s="2"/>
      <c r="HM213" s="2" t="s">
        <v>3</v>
      </c>
      <c r="HN213" s="2" t="s">
        <v>3</v>
      </c>
      <c r="HO213" s="2" t="s">
        <v>3</v>
      </c>
      <c r="HP213" s="2" t="s">
        <v>3</v>
      </c>
      <c r="HQ213" s="2" t="s">
        <v>3</v>
      </c>
      <c r="HR213" s="2"/>
      <c r="HS213" s="2">
        <v>0</v>
      </c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>
        <v>0</v>
      </c>
      <c r="IL213" s="2"/>
      <c r="IM213" s="2"/>
      <c r="IN213" s="2"/>
      <c r="IO213" s="2"/>
      <c r="IP213" s="2"/>
      <c r="IQ213" s="2"/>
      <c r="IR213" s="2"/>
      <c r="IS213" s="2"/>
      <c r="IT213" s="2"/>
      <c r="IU213" s="2"/>
    </row>
    <row r="214" spans="1:255" x14ac:dyDescent="0.2">
      <c r="A214" s="3">
        <v>17</v>
      </c>
      <c r="B214" s="3">
        <v>1</v>
      </c>
      <c r="E214" s="3" t="s">
        <v>235</v>
      </c>
      <c r="F214" s="3" t="s">
        <v>236</v>
      </c>
      <c r="G214" s="3" t="s">
        <v>237</v>
      </c>
      <c r="H214" s="3" t="s">
        <v>153</v>
      </c>
      <c r="I214" s="3">
        <v>1</v>
      </c>
      <c r="J214" s="3">
        <v>0</v>
      </c>
      <c r="K214" s="3">
        <v>1</v>
      </c>
      <c r="O214" s="3">
        <f t="shared" si="162"/>
        <v>24521.08</v>
      </c>
      <c r="P214" s="3">
        <f t="shared" si="163"/>
        <v>24521.08</v>
      </c>
      <c r="Q214" s="3">
        <f t="shared" si="187"/>
        <v>0</v>
      </c>
      <c r="R214" s="3">
        <f t="shared" si="188"/>
        <v>0</v>
      </c>
      <c r="S214" s="3">
        <f t="shared" si="164"/>
        <v>0</v>
      </c>
      <c r="T214" s="3">
        <f t="shared" si="165"/>
        <v>0</v>
      </c>
      <c r="U214" s="3">
        <f t="shared" si="166"/>
        <v>0</v>
      </c>
      <c r="V214" s="3">
        <f t="shared" si="167"/>
        <v>0</v>
      </c>
      <c r="W214" s="3">
        <f t="shared" si="168"/>
        <v>0</v>
      </c>
      <c r="X214" s="3">
        <f t="shared" si="189"/>
        <v>0</v>
      </c>
      <c r="Y214" s="3">
        <f t="shared" si="190"/>
        <v>0</v>
      </c>
      <c r="AA214" s="3">
        <v>55915258</v>
      </c>
      <c r="AB214" s="3">
        <f t="shared" si="169"/>
        <v>2491.98</v>
      </c>
      <c r="AC214" s="3">
        <f t="shared" si="191"/>
        <v>2491.98</v>
      </c>
      <c r="AD214" s="3">
        <f t="shared" si="192"/>
        <v>0</v>
      </c>
      <c r="AE214" s="3">
        <f t="shared" si="193"/>
        <v>0</v>
      </c>
      <c r="AF214" s="3">
        <f t="shared" si="193"/>
        <v>0</v>
      </c>
      <c r="AG214" s="3">
        <f t="shared" si="170"/>
        <v>0</v>
      </c>
      <c r="AH214" s="3">
        <f t="shared" si="194"/>
        <v>0</v>
      </c>
      <c r="AI214" s="3">
        <f t="shared" si="194"/>
        <v>0</v>
      </c>
      <c r="AJ214" s="3">
        <f t="shared" si="171"/>
        <v>0</v>
      </c>
      <c r="AK214" s="3">
        <v>2491.98</v>
      </c>
      <c r="AL214" s="3">
        <v>2491.98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1</v>
      </c>
      <c r="AW214" s="3">
        <v>1</v>
      </c>
      <c r="AZ214" s="3">
        <v>1</v>
      </c>
      <c r="BA214" s="3">
        <v>1</v>
      </c>
      <c r="BB214" s="3">
        <v>1</v>
      </c>
      <c r="BC214" s="3">
        <v>9.84</v>
      </c>
      <c r="BD214" s="3" t="s">
        <v>3</v>
      </c>
      <c r="BE214" s="3" t="s">
        <v>3</v>
      </c>
      <c r="BF214" s="3" t="s">
        <v>3</v>
      </c>
      <c r="BG214" s="3" t="s">
        <v>3</v>
      </c>
      <c r="BH214" s="3">
        <v>3</v>
      </c>
      <c r="BI214" s="3">
        <v>3</v>
      </c>
      <c r="BJ214" s="3" t="s">
        <v>236</v>
      </c>
      <c r="BM214" s="3">
        <v>400007</v>
      </c>
      <c r="BN214" s="3">
        <v>0</v>
      </c>
      <c r="BO214" s="3" t="s">
        <v>3</v>
      </c>
      <c r="BP214" s="3">
        <v>0</v>
      </c>
      <c r="BQ214" s="3">
        <v>214</v>
      </c>
      <c r="BR214" s="3">
        <v>0</v>
      </c>
      <c r="BS214" s="3">
        <v>1</v>
      </c>
      <c r="BT214" s="3">
        <v>1</v>
      </c>
      <c r="BU214" s="3">
        <v>1</v>
      </c>
      <c r="BV214" s="3">
        <v>1</v>
      </c>
      <c r="BW214" s="3">
        <v>1</v>
      </c>
      <c r="BX214" s="3">
        <v>1</v>
      </c>
      <c r="BY214" s="3" t="s">
        <v>3</v>
      </c>
      <c r="BZ214" s="3">
        <v>0</v>
      </c>
      <c r="CA214" s="3">
        <v>0</v>
      </c>
      <c r="CB214" s="3" t="s">
        <v>3</v>
      </c>
      <c r="CE214" s="3">
        <v>1566</v>
      </c>
      <c r="CF214" s="3">
        <v>0</v>
      </c>
      <c r="CG214" s="3">
        <v>0</v>
      </c>
      <c r="CM214" s="3">
        <v>0</v>
      </c>
      <c r="CN214" s="3" t="s">
        <v>3</v>
      </c>
      <c r="CO214" s="3">
        <v>0</v>
      </c>
      <c r="CP214" s="3">
        <f t="shared" si="172"/>
        <v>24521.08</v>
      </c>
      <c r="CQ214" s="3">
        <f t="shared" si="173"/>
        <v>24521.08</v>
      </c>
      <c r="CR214" s="3">
        <f t="shared" si="195"/>
        <v>0</v>
      </c>
      <c r="CS214" s="3">
        <f t="shared" si="196"/>
        <v>0</v>
      </c>
      <c r="CT214" s="3">
        <f t="shared" si="174"/>
        <v>0</v>
      </c>
      <c r="CU214" s="3">
        <f t="shared" si="175"/>
        <v>0</v>
      </c>
      <c r="CV214" s="3">
        <f t="shared" si="176"/>
        <v>0</v>
      </c>
      <c r="CW214" s="3">
        <f t="shared" si="177"/>
        <v>0</v>
      </c>
      <c r="CX214" s="3">
        <f t="shared" si="178"/>
        <v>0</v>
      </c>
      <c r="CY214" s="3">
        <f t="shared" si="197"/>
        <v>0</v>
      </c>
      <c r="CZ214" s="3">
        <f t="shared" si="198"/>
        <v>0</v>
      </c>
      <c r="DC214" s="3" t="s">
        <v>3</v>
      </c>
      <c r="DD214" s="3" t="s">
        <v>3</v>
      </c>
      <c r="DE214" s="3" t="s">
        <v>3</v>
      </c>
      <c r="DF214" s="3" t="s">
        <v>3</v>
      </c>
      <c r="DG214" s="3" t="s">
        <v>3</v>
      </c>
      <c r="DH214" s="3" t="s">
        <v>3</v>
      </c>
      <c r="DI214" s="3" t="s">
        <v>3</v>
      </c>
      <c r="DJ214" s="3" t="s">
        <v>3</v>
      </c>
      <c r="DK214" s="3" t="s">
        <v>3</v>
      </c>
      <c r="DL214" s="3" t="s">
        <v>3</v>
      </c>
      <c r="DM214" s="3" t="s">
        <v>3</v>
      </c>
      <c r="DN214" s="3">
        <v>0</v>
      </c>
      <c r="DO214" s="3">
        <v>0</v>
      </c>
      <c r="DP214" s="3">
        <v>1</v>
      </c>
      <c r="DQ214" s="3">
        <v>1</v>
      </c>
      <c r="DU214" s="3">
        <v>1013</v>
      </c>
      <c r="DV214" s="3" t="s">
        <v>153</v>
      </c>
      <c r="DW214" s="3" t="s">
        <v>153</v>
      </c>
      <c r="DX214" s="3">
        <v>1</v>
      </c>
      <c r="DZ214" s="3" t="s">
        <v>3</v>
      </c>
      <c r="EA214" s="3" t="s">
        <v>3</v>
      </c>
      <c r="EB214" s="3" t="s">
        <v>3</v>
      </c>
      <c r="EC214" s="3" t="s">
        <v>3</v>
      </c>
      <c r="EE214" s="3">
        <v>55393630</v>
      </c>
      <c r="EF214" s="3">
        <v>214</v>
      </c>
      <c r="EG214" s="3" t="s">
        <v>154</v>
      </c>
      <c r="EH214" s="3">
        <v>0</v>
      </c>
      <c r="EI214" s="3" t="s">
        <v>3</v>
      </c>
      <c r="EJ214" s="3">
        <v>3</v>
      </c>
      <c r="EK214" s="3">
        <v>400007</v>
      </c>
      <c r="EL214" s="3" t="s">
        <v>154</v>
      </c>
      <c r="EM214" s="3" t="s">
        <v>155</v>
      </c>
      <c r="EO214" s="3" t="s">
        <v>3</v>
      </c>
      <c r="EQ214" s="3">
        <v>16</v>
      </c>
      <c r="ER214" s="3">
        <v>0</v>
      </c>
      <c r="ES214" s="3">
        <v>2491.98</v>
      </c>
      <c r="ET214" s="3">
        <v>0</v>
      </c>
      <c r="EU214" s="3">
        <v>0</v>
      </c>
      <c r="EV214" s="3">
        <v>0</v>
      </c>
      <c r="EW214" s="3">
        <v>0</v>
      </c>
      <c r="EX214" s="3">
        <v>0</v>
      </c>
      <c r="EY214" s="3">
        <v>0</v>
      </c>
      <c r="EZ214" s="3">
        <v>5</v>
      </c>
      <c r="FC214" s="3">
        <v>1</v>
      </c>
      <c r="FD214" s="3">
        <v>18</v>
      </c>
      <c r="FF214" s="3">
        <v>28700</v>
      </c>
      <c r="FQ214" s="3">
        <v>0</v>
      </c>
      <c r="FR214" s="3">
        <f t="shared" si="199"/>
        <v>24521.08</v>
      </c>
      <c r="FS214" s="3">
        <v>0</v>
      </c>
      <c r="FX214" s="3">
        <v>0</v>
      </c>
      <c r="FY214" s="3">
        <v>0</v>
      </c>
      <c r="GA214" s="3" t="s">
        <v>238</v>
      </c>
      <c r="GD214" s="3">
        <v>1</v>
      </c>
      <c r="GF214" s="3">
        <v>575505328</v>
      </c>
      <c r="GG214" s="3">
        <v>2</v>
      </c>
      <c r="GH214" s="3">
        <v>3</v>
      </c>
      <c r="GI214" s="3">
        <v>5</v>
      </c>
      <c r="GJ214" s="3">
        <v>0</v>
      </c>
      <c r="GK214" s="3">
        <v>0</v>
      </c>
      <c r="GL214" s="3">
        <f t="shared" si="179"/>
        <v>0</v>
      </c>
      <c r="GM214" s="3">
        <f t="shared" si="180"/>
        <v>24521.08</v>
      </c>
      <c r="GN214" s="3">
        <f t="shared" si="181"/>
        <v>0</v>
      </c>
      <c r="GO214" s="3">
        <f t="shared" si="182"/>
        <v>0</v>
      </c>
      <c r="GP214" s="3">
        <f t="shared" si="183"/>
        <v>0</v>
      </c>
      <c r="GR214" s="3">
        <v>1</v>
      </c>
      <c r="GS214" s="3">
        <v>1</v>
      </c>
      <c r="GT214" s="3">
        <v>0</v>
      </c>
      <c r="GU214" s="3" t="s">
        <v>3</v>
      </c>
      <c r="GV214" s="3">
        <f t="shared" si="184"/>
        <v>0</v>
      </c>
      <c r="GW214" s="3">
        <v>1</v>
      </c>
      <c r="GX214" s="3">
        <f t="shared" si="185"/>
        <v>0</v>
      </c>
      <c r="HA214" s="3">
        <v>0</v>
      </c>
      <c r="HB214" s="3">
        <v>0</v>
      </c>
      <c r="HC214" s="3">
        <f t="shared" si="186"/>
        <v>0</v>
      </c>
      <c r="HE214" s="3" t="s">
        <v>34</v>
      </c>
      <c r="HF214" s="3" t="s">
        <v>157</v>
      </c>
      <c r="HM214" s="3" t="s">
        <v>3</v>
      </c>
      <c r="HN214" s="3" t="s">
        <v>3</v>
      </c>
      <c r="HO214" s="3" t="s">
        <v>3</v>
      </c>
      <c r="HP214" s="3" t="s">
        <v>3</v>
      </c>
      <c r="HQ214" s="3" t="s">
        <v>3</v>
      </c>
      <c r="HS214" s="3">
        <v>0</v>
      </c>
      <c r="IK214" s="3">
        <v>0</v>
      </c>
    </row>
    <row r="215" spans="1:255" x14ac:dyDescent="0.2">
      <c r="A215" s="2">
        <v>17</v>
      </c>
      <c r="B215" s="2">
        <v>1</v>
      </c>
      <c r="C215" s="2"/>
      <c r="D215" s="2"/>
      <c r="E215" s="2" t="s">
        <v>239</v>
      </c>
      <c r="F215" s="2" t="s">
        <v>240</v>
      </c>
      <c r="G215" s="2" t="s">
        <v>241</v>
      </c>
      <c r="H215" s="2" t="s">
        <v>153</v>
      </c>
      <c r="I215" s="2">
        <v>1</v>
      </c>
      <c r="J215" s="2">
        <v>0</v>
      </c>
      <c r="K215" s="2">
        <v>1</v>
      </c>
      <c r="L215" s="2"/>
      <c r="M215" s="2"/>
      <c r="N215" s="2"/>
      <c r="O215" s="2">
        <f t="shared" si="162"/>
        <v>479.38</v>
      </c>
      <c r="P215" s="2">
        <f t="shared" si="163"/>
        <v>479.38</v>
      </c>
      <c r="Q215" s="2">
        <f t="shared" si="187"/>
        <v>0</v>
      </c>
      <c r="R215" s="2">
        <f t="shared" si="188"/>
        <v>0</v>
      </c>
      <c r="S215" s="2">
        <f t="shared" si="164"/>
        <v>0</v>
      </c>
      <c r="T215" s="2">
        <f t="shared" si="165"/>
        <v>0</v>
      </c>
      <c r="U215" s="2">
        <f t="shared" si="166"/>
        <v>0</v>
      </c>
      <c r="V215" s="2">
        <f t="shared" si="167"/>
        <v>0</v>
      </c>
      <c r="W215" s="2">
        <f t="shared" si="168"/>
        <v>0</v>
      </c>
      <c r="X215" s="2">
        <f t="shared" si="189"/>
        <v>0</v>
      </c>
      <c r="Y215" s="2">
        <f t="shared" si="190"/>
        <v>0</v>
      </c>
      <c r="Z215" s="2"/>
      <c r="AA215" s="2">
        <v>55915256</v>
      </c>
      <c r="AB215" s="2">
        <f t="shared" si="169"/>
        <v>479.38</v>
      </c>
      <c r="AC215" s="2">
        <f t="shared" si="191"/>
        <v>479.38</v>
      </c>
      <c r="AD215" s="2">
        <f t="shared" si="192"/>
        <v>0</v>
      </c>
      <c r="AE215" s="2">
        <f t="shared" si="193"/>
        <v>0</v>
      </c>
      <c r="AF215" s="2">
        <f t="shared" si="193"/>
        <v>0</v>
      </c>
      <c r="AG215" s="2">
        <f t="shared" si="170"/>
        <v>0</v>
      </c>
      <c r="AH215" s="2">
        <f t="shared" si="194"/>
        <v>0</v>
      </c>
      <c r="AI215" s="2">
        <f t="shared" si="194"/>
        <v>0</v>
      </c>
      <c r="AJ215" s="2">
        <f t="shared" si="171"/>
        <v>0</v>
      </c>
      <c r="AK215" s="2">
        <v>479.38</v>
      </c>
      <c r="AL215" s="2">
        <v>479.38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1</v>
      </c>
      <c r="AW215" s="2">
        <v>1</v>
      </c>
      <c r="AX215" s="2"/>
      <c r="AY215" s="2"/>
      <c r="AZ215" s="2">
        <v>1</v>
      </c>
      <c r="BA215" s="2">
        <v>1</v>
      </c>
      <c r="BB215" s="2">
        <v>1</v>
      </c>
      <c r="BC215" s="2">
        <v>1</v>
      </c>
      <c r="BD215" s="2" t="s">
        <v>3</v>
      </c>
      <c r="BE215" s="2" t="s">
        <v>3</v>
      </c>
      <c r="BF215" s="2" t="s">
        <v>3</v>
      </c>
      <c r="BG215" s="2" t="s">
        <v>3</v>
      </c>
      <c r="BH215" s="2">
        <v>3</v>
      </c>
      <c r="BI215" s="2">
        <v>3</v>
      </c>
      <c r="BJ215" s="2" t="s">
        <v>240</v>
      </c>
      <c r="BK215" s="2"/>
      <c r="BL215" s="2"/>
      <c r="BM215" s="2">
        <v>400007</v>
      </c>
      <c r="BN215" s="2">
        <v>0</v>
      </c>
      <c r="BO215" s="2" t="s">
        <v>3</v>
      </c>
      <c r="BP215" s="2">
        <v>0</v>
      </c>
      <c r="BQ215" s="2">
        <v>214</v>
      </c>
      <c r="BR215" s="2">
        <v>0</v>
      </c>
      <c r="BS215" s="2">
        <v>1</v>
      </c>
      <c r="BT215" s="2">
        <v>1</v>
      </c>
      <c r="BU215" s="2">
        <v>1</v>
      </c>
      <c r="BV215" s="2">
        <v>1</v>
      </c>
      <c r="BW215" s="2">
        <v>1</v>
      </c>
      <c r="BX215" s="2">
        <v>1</v>
      </c>
      <c r="BY215" s="2" t="s">
        <v>3</v>
      </c>
      <c r="BZ215" s="2">
        <v>0</v>
      </c>
      <c r="CA215" s="2">
        <v>0</v>
      </c>
      <c r="CB215" s="2" t="s">
        <v>3</v>
      </c>
      <c r="CC215" s="2"/>
      <c r="CD215" s="2"/>
      <c r="CE215" s="2">
        <v>1566</v>
      </c>
      <c r="CF215" s="2">
        <v>0</v>
      </c>
      <c r="CG215" s="2">
        <v>0</v>
      </c>
      <c r="CH215" s="2"/>
      <c r="CI215" s="2"/>
      <c r="CJ215" s="2"/>
      <c r="CK215" s="2"/>
      <c r="CL215" s="2"/>
      <c r="CM215" s="2">
        <v>0</v>
      </c>
      <c r="CN215" s="2" t="s">
        <v>3</v>
      </c>
      <c r="CO215" s="2">
        <v>0</v>
      </c>
      <c r="CP215" s="2">
        <f t="shared" si="172"/>
        <v>479.38</v>
      </c>
      <c r="CQ215" s="2">
        <f t="shared" si="173"/>
        <v>479.38</v>
      </c>
      <c r="CR215" s="2">
        <f t="shared" si="195"/>
        <v>0</v>
      </c>
      <c r="CS215" s="2">
        <f t="shared" si="196"/>
        <v>0</v>
      </c>
      <c r="CT215" s="2">
        <f t="shared" si="174"/>
        <v>0</v>
      </c>
      <c r="CU215" s="2">
        <f t="shared" si="175"/>
        <v>0</v>
      </c>
      <c r="CV215" s="2">
        <f t="shared" si="176"/>
        <v>0</v>
      </c>
      <c r="CW215" s="2">
        <f t="shared" si="177"/>
        <v>0</v>
      </c>
      <c r="CX215" s="2">
        <f t="shared" si="178"/>
        <v>0</v>
      </c>
      <c r="CY215" s="2">
        <f t="shared" si="197"/>
        <v>0</v>
      </c>
      <c r="CZ215" s="2">
        <f t="shared" si="198"/>
        <v>0</v>
      </c>
      <c r="DA215" s="2"/>
      <c r="DB215" s="2"/>
      <c r="DC215" s="2" t="s">
        <v>3</v>
      </c>
      <c r="DD215" s="2" t="s">
        <v>3</v>
      </c>
      <c r="DE215" s="2" t="s">
        <v>3</v>
      </c>
      <c r="DF215" s="2" t="s">
        <v>3</v>
      </c>
      <c r="DG215" s="2" t="s">
        <v>3</v>
      </c>
      <c r="DH215" s="2" t="s">
        <v>3</v>
      </c>
      <c r="DI215" s="2" t="s">
        <v>3</v>
      </c>
      <c r="DJ215" s="2" t="s">
        <v>3</v>
      </c>
      <c r="DK215" s="2" t="s">
        <v>3</v>
      </c>
      <c r="DL215" s="2" t="s">
        <v>3</v>
      </c>
      <c r="DM215" s="2" t="s">
        <v>3</v>
      </c>
      <c r="DN215" s="2">
        <v>0</v>
      </c>
      <c r="DO215" s="2">
        <v>0</v>
      </c>
      <c r="DP215" s="2">
        <v>1</v>
      </c>
      <c r="DQ215" s="2">
        <v>1</v>
      </c>
      <c r="DR215" s="2"/>
      <c r="DS215" s="2"/>
      <c r="DT215" s="2"/>
      <c r="DU215" s="2">
        <v>1013</v>
      </c>
      <c r="DV215" s="2" t="s">
        <v>153</v>
      </c>
      <c r="DW215" s="2" t="s">
        <v>153</v>
      </c>
      <c r="DX215" s="2">
        <v>1</v>
      </c>
      <c r="DY215" s="2"/>
      <c r="DZ215" s="2" t="s">
        <v>3</v>
      </c>
      <c r="EA215" s="2" t="s">
        <v>3</v>
      </c>
      <c r="EB215" s="2" t="s">
        <v>3</v>
      </c>
      <c r="EC215" s="2" t="s">
        <v>3</v>
      </c>
      <c r="ED215" s="2"/>
      <c r="EE215" s="2">
        <v>55393630</v>
      </c>
      <c r="EF215" s="2">
        <v>214</v>
      </c>
      <c r="EG215" s="2" t="s">
        <v>154</v>
      </c>
      <c r="EH215" s="2">
        <v>0</v>
      </c>
      <c r="EI215" s="2" t="s">
        <v>3</v>
      </c>
      <c r="EJ215" s="2">
        <v>3</v>
      </c>
      <c r="EK215" s="2">
        <v>400007</v>
      </c>
      <c r="EL215" s="2" t="s">
        <v>154</v>
      </c>
      <c r="EM215" s="2" t="s">
        <v>155</v>
      </c>
      <c r="EN215" s="2"/>
      <c r="EO215" s="2" t="s">
        <v>3</v>
      </c>
      <c r="EP215" s="2"/>
      <c r="EQ215" s="2">
        <v>16</v>
      </c>
      <c r="ER215" s="2">
        <v>0</v>
      </c>
      <c r="ES215" s="2">
        <v>479.38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>
        <v>0</v>
      </c>
      <c r="FR215" s="2">
        <f t="shared" si="199"/>
        <v>479.38</v>
      </c>
      <c r="FS215" s="2">
        <v>0</v>
      </c>
      <c r="FT215" s="2"/>
      <c r="FU215" s="2"/>
      <c r="FV215" s="2"/>
      <c r="FW215" s="2"/>
      <c r="FX215" s="2">
        <v>0</v>
      </c>
      <c r="FY215" s="2">
        <v>0</v>
      </c>
      <c r="FZ215" s="2"/>
      <c r="GA215" s="2" t="s">
        <v>242</v>
      </c>
      <c r="GB215" s="2"/>
      <c r="GC215" s="2"/>
      <c r="GD215" s="2">
        <v>1</v>
      </c>
      <c r="GE215" s="2"/>
      <c r="GF215" s="2">
        <v>-1006126662</v>
      </c>
      <c r="GG215" s="2">
        <v>2</v>
      </c>
      <c r="GH215" s="2">
        <v>4</v>
      </c>
      <c r="GI215" s="2">
        <v>-2</v>
      </c>
      <c r="GJ215" s="2">
        <v>0</v>
      </c>
      <c r="GK215" s="2">
        <v>0</v>
      </c>
      <c r="GL215" s="2">
        <f t="shared" si="179"/>
        <v>0</v>
      </c>
      <c r="GM215" s="2">
        <f t="shared" si="180"/>
        <v>479.38</v>
      </c>
      <c r="GN215" s="2">
        <f t="shared" si="181"/>
        <v>0</v>
      </c>
      <c r="GO215" s="2">
        <f t="shared" si="182"/>
        <v>0</v>
      </c>
      <c r="GP215" s="2">
        <f t="shared" si="183"/>
        <v>0</v>
      </c>
      <c r="GQ215" s="2"/>
      <c r="GR215" s="2">
        <v>1</v>
      </c>
      <c r="GS215" s="2">
        <v>2</v>
      </c>
      <c r="GT215" s="2">
        <v>0</v>
      </c>
      <c r="GU215" s="2" t="s">
        <v>3</v>
      </c>
      <c r="GV215" s="2">
        <f t="shared" si="184"/>
        <v>0</v>
      </c>
      <c r="GW215" s="2">
        <v>1</v>
      </c>
      <c r="GX215" s="2">
        <f t="shared" si="185"/>
        <v>0</v>
      </c>
      <c r="GY215" s="2"/>
      <c r="GZ215" s="2"/>
      <c r="HA215" s="2">
        <v>0</v>
      </c>
      <c r="HB215" s="2">
        <v>0</v>
      </c>
      <c r="HC215" s="2">
        <f t="shared" si="186"/>
        <v>0</v>
      </c>
      <c r="HD215" s="2"/>
      <c r="HE215" s="2" t="s">
        <v>34</v>
      </c>
      <c r="HF215" s="2" t="s">
        <v>157</v>
      </c>
      <c r="HG215" s="2"/>
      <c r="HH215" s="2"/>
      <c r="HI215" s="2"/>
      <c r="HJ215" s="2"/>
      <c r="HK215" s="2"/>
      <c r="HL215" s="2"/>
      <c r="HM215" s="2" t="s">
        <v>3</v>
      </c>
      <c r="HN215" s="2" t="s">
        <v>3</v>
      </c>
      <c r="HO215" s="2" t="s">
        <v>3</v>
      </c>
      <c r="HP215" s="2" t="s">
        <v>3</v>
      </c>
      <c r="HQ215" s="2" t="s">
        <v>3</v>
      </c>
      <c r="HR215" s="2"/>
      <c r="HS215" s="2">
        <v>0</v>
      </c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>
        <v>0</v>
      </c>
      <c r="IL215" s="2"/>
      <c r="IM215" s="2"/>
      <c r="IN215" s="2"/>
      <c r="IO215" s="2"/>
      <c r="IP215" s="2"/>
      <c r="IQ215" s="2"/>
      <c r="IR215" s="2"/>
      <c r="IS215" s="2"/>
      <c r="IT215" s="2"/>
      <c r="IU215" s="2"/>
    </row>
    <row r="216" spans="1:255" x14ac:dyDescent="0.2">
      <c r="A216" s="3">
        <v>17</v>
      </c>
      <c r="B216" s="3">
        <v>1</v>
      </c>
      <c r="E216" s="3" t="s">
        <v>239</v>
      </c>
      <c r="F216" s="3" t="s">
        <v>240</v>
      </c>
      <c r="G216" s="3" t="s">
        <v>241</v>
      </c>
      <c r="H216" s="3" t="s">
        <v>153</v>
      </c>
      <c r="I216" s="3">
        <v>1</v>
      </c>
      <c r="J216" s="3">
        <v>0</v>
      </c>
      <c r="K216" s="3">
        <v>1</v>
      </c>
      <c r="O216" s="3">
        <f t="shared" si="162"/>
        <v>4717.1000000000004</v>
      </c>
      <c r="P216" s="3">
        <f t="shared" si="163"/>
        <v>4717.1000000000004</v>
      </c>
      <c r="Q216" s="3">
        <f t="shared" si="187"/>
        <v>0</v>
      </c>
      <c r="R216" s="3">
        <f t="shared" si="188"/>
        <v>0</v>
      </c>
      <c r="S216" s="3">
        <f t="shared" si="164"/>
        <v>0</v>
      </c>
      <c r="T216" s="3">
        <f t="shared" si="165"/>
        <v>0</v>
      </c>
      <c r="U216" s="3">
        <f t="shared" si="166"/>
        <v>0</v>
      </c>
      <c r="V216" s="3">
        <f t="shared" si="167"/>
        <v>0</v>
      </c>
      <c r="W216" s="3">
        <f t="shared" si="168"/>
        <v>0</v>
      </c>
      <c r="X216" s="3">
        <f t="shared" si="189"/>
        <v>0</v>
      </c>
      <c r="Y216" s="3">
        <f t="shared" si="190"/>
        <v>0</v>
      </c>
      <c r="AA216" s="3">
        <v>55915258</v>
      </c>
      <c r="AB216" s="3">
        <f t="shared" si="169"/>
        <v>479.38</v>
      </c>
      <c r="AC216" s="3">
        <f t="shared" si="191"/>
        <v>479.38</v>
      </c>
      <c r="AD216" s="3">
        <f t="shared" si="192"/>
        <v>0</v>
      </c>
      <c r="AE216" s="3">
        <f t="shared" si="193"/>
        <v>0</v>
      </c>
      <c r="AF216" s="3">
        <f t="shared" si="193"/>
        <v>0</v>
      </c>
      <c r="AG216" s="3">
        <f t="shared" si="170"/>
        <v>0</v>
      </c>
      <c r="AH216" s="3">
        <f t="shared" si="194"/>
        <v>0</v>
      </c>
      <c r="AI216" s="3">
        <f t="shared" si="194"/>
        <v>0</v>
      </c>
      <c r="AJ216" s="3">
        <f t="shared" si="171"/>
        <v>0</v>
      </c>
      <c r="AK216" s="3">
        <v>479.38</v>
      </c>
      <c r="AL216" s="3">
        <v>479.38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1</v>
      </c>
      <c r="AW216" s="3">
        <v>1</v>
      </c>
      <c r="AZ216" s="3">
        <v>1</v>
      </c>
      <c r="BA216" s="3">
        <v>1</v>
      </c>
      <c r="BB216" s="3">
        <v>1</v>
      </c>
      <c r="BC216" s="3">
        <v>9.84</v>
      </c>
      <c r="BD216" s="3" t="s">
        <v>3</v>
      </c>
      <c r="BE216" s="3" t="s">
        <v>3</v>
      </c>
      <c r="BF216" s="3" t="s">
        <v>3</v>
      </c>
      <c r="BG216" s="3" t="s">
        <v>3</v>
      </c>
      <c r="BH216" s="3">
        <v>3</v>
      </c>
      <c r="BI216" s="3">
        <v>3</v>
      </c>
      <c r="BJ216" s="3" t="s">
        <v>240</v>
      </c>
      <c r="BM216" s="3">
        <v>400007</v>
      </c>
      <c r="BN216" s="3">
        <v>0</v>
      </c>
      <c r="BO216" s="3" t="s">
        <v>3</v>
      </c>
      <c r="BP216" s="3">
        <v>0</v>
      </c>
      <c r="BQ216" s="3">
        <v>214</v>
      </c>
      <c r="BR216" s="3">
        <v>0</v>
      </c>
      <c r="BS216" s="3">
        <v>1</v>
      </c>
      <c r="BT216" s="3">
        <v>1</v>
      </c>
      <c r="BU216" s="3">
        <v>1</v>
      </c>
      <c r="BV216" s="3">
        <v>1</v>
      </c>
      <c r="BW216" s="3">
        <v>1</v>
      </c>
      <c r="BX216" s="3">
        <v>1</v>
      </c>
      <c r="BY216" s="3" t="s">
        <v>3</v>
      </c>
      <c r="BZ216" s="3">
        <v>0</v>
      </c>
      <c r="CA216" s="3">
        <v>0</v>
      </c>
      <c r="CB216" s="3" t="s">
        <v>3</v>
      </c>
      <c r="CE216" s="3">
        <v>1566</v>
      </c>
      <c r="CF216" s="3">
        <v>0</v>
      </c>
      <c r="CG216" s="3">
        <v>0</v>
      </c>
      <c r="CM216" s="3">
        <v>0</v>
      </c>
      <c r="CN216" s="3" t="s">
        <v>3</v>
      </c>
      <c r="CO216" s="3">
        <v>0</v>
      </c>
      <c r="CP216" s="3">
        <f t="shared" si="172"/>
        <v>4717.1000000000004</v>
      </c>
      <c r="CQ216" s="3">
        <f t="shared" si="173"/>
        <v>4717.1000000000004</v>
      </c>
      <c r="CR216" s="3">
        <f t="shared" si="195"/>
        <v>0</v>
      </c>
      <c r="CS216" s="3">
        <f t="shared" si="196"/>
        <v>0</v>
      </c>
      <c r="CT216" s="3">
        <f t="shared" si="174"/>
        <v>0</v>
      </c>
      <c r="CU216" s="3">
        <f t="shared" si="175"/>
        <v>0</v>
      </c>
      <c r="CV216" s="3">
        <f t="shared" si="176"/>
        <v>0</v>
      </c>
      <c r="CW216" s="3">
        <f t="shared" si="177"/>
        <v>0</v>
      </c>
      <c r="CX216" s="3">
        <f t="shared" si="178"/>
        <v>0</v>
      </c>
      <c r="CY216" s="3">
        <f t="shared" si="197"/>
        <v>0</v>
      </c>
      <c r="CZ216" s="3">
        <f t="shared" si="198"/>
        <v>0</v>
      </c>
      <c r="DC216" s="3" t="s">
        <v>3</v>
      </c>
      <c r="DD216" s="3" t="s">
        <v>3</v>
      </c>
      <c r="DE216" s="3" t="s">
        <v>3</v>
      </c>
      <c r="DF216" s="3" t="s">
        <v>3</v>
      </c>
      <c r="DG216" s="3" t="s">
        <v>3</v>
      </c>
      <c r="DH216" s="3" t="s">
        <v>3</v>
      </c>
      <c r="DI216" s="3" t="s">
        <v>3</v>
      </c>
      <c r="DJ216" s="3" t="s">
        <v>3</v>
      </c>
      <c r="DK216" s="3" t="s">
        <v>3</v>
      </c>
      <c r="DL216" s="3" t="s">
        <v>3</v>
      </c>
      <c r="DM216" s="3" t="s">
        <v>3</v>
      </c>
      <c r="DN216" s="3">
        <v>0</v>
      </c>
      <c r="DO216" s="3">
        <v>0</v>
      </c>
      <c r="DP216" s="3">
        <v>1</v>
      </c>
      <c r="DQ216" s="3">
        <v>1</v>
      </c>
      <c r="DU216" s="3">
        <v>1013</v>
      </c>
      <c r="DV216" s="3" t="s">
        <v>153</v>
      </c>
      <c r="DW216" s="3" t="s">
        <v>153</v>
      </c>
      <c r="DX216" s="3">
        <v>1</v>
      </c>
      <c r="DZ216" s="3" t="s">
        <v>3</v>
      </c>
      <c r="EA216" s="3" t="s">
        <v>3</v>
      </c>
      <c r="EB216" s="3" t="s">
        <v>3</v>
      </c>
      <c r="EC216" s="3" t="s">
        <v>3</v>
      </c>
      <c r="EE216" s="3">
        <v>55393630</v>
      </c>
      <c r="EF216" s="3">
        <v>214</v>
      </c>
      <c r="EG216" s="3" t="s">
        <v>154</v>
      </c>
      <c r="EH216" s="3">
        <v>0</v>
      </c>
      <c r="EI216" s="3" t="s">
        <v>3</v>
      </c>
      <c r="EJ216" s="3">
        <v>3</v>
      </c>
      <c r="EK216" s="3">
        <v>400007</v>
      </c>
      <c r="EL216" s="3" t="s">
        <v>154</v>
      </c>
      <c r="EM216" s="3" t="s">
        <v>155</v>
      </c>
      <c r="EO216" s="3" t="s">
        <v>3</v>
      </c>
      <c r="EQ216" s="3">
        <v>16</v>
      </c>
      <c r="ER216" s="3">
        <v>0</v>
      </c>
      <c r="ES216" s="3">
        <v>479.38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EY216" s="3">
        <v>0</v>
      </c>
      <c r="EZ216" s="3">
        <v>5</v>
      </c>
      <c r="FC216" s="3">
        <v>1</v>
      </c>
      <c r="FD216" s="3">
        <v>18</v>
      </c>
      <c r="FF216" s="3">
        <v>5521</v>
      </c>
      <c r="FQ216" s="3">
        <v>0</v>
      </c>
      <c r="FR216" s="3">
        <f t="shared" si="199"/>
        <v>4717.1000000000004</v>
      </c>
      <c r="FS216" s="3">
        <v>0</v>
      </c>
      <c r="FX216" s="3">
        <v>0</v>
      </c>
      <c r="FY216" s="3">
        <v>0</v>
      </c>
      <c r="GA216" s="3" t="s">
        <v>242</v>
      </c>
      <c r="GD216" s="3">
        <v>1</v>
      </c>
      <c r="GF216" s="3">
        <v>-1006126662</v>
      </c>
      <c r="GG216" s="3">
        <v>2</v>
      </c>
      <c r="GH216" s="3">
        <v>3</v>
      </c>
      <c r="GI216" s="3">
        <v>5</v>
      </c>
      <c r="GJ216" s="3">
        <v>0</v>
      </c>
      <c r="GK216" s="3">
        <v>0</v>
      </c>
      <c r="GL216" s="3">
        <f t="shared" si="179"/>
        <v>0</v>
      </c>
      <c r="GM216" s="3">
        <f t="shared" si="180"/>
        <v>4717.1000000000004</v>
      </c>
      <c r="GN216" s="3">
        <f t="shared" si="181"/>
        <v>0</v>
      </c>
      <c r="GO216" s="3">
        <f t="shared" si="182"/>
        <v>0</v>
      </c>
      <c r="GP216" s="3">
        <f t="shared" si="183"/>
        <v>0</v>
      </c>
      <c r="GR216" s="3">
        <v>1</v>
      </c>
      <c r="GS216" s="3">
        <v>1</v>
      </c>
      <c r="GT216" s="3">
        <v>0</v>
      </c>
      <c r="GU216" s="3" t="s">
        <v>3</v>
      </c>
      <c r="GV216" s="3">
        <f t="shared" si="184"/>
        <v>0</v>
      </c>
      <c r="GW216" s="3">
        <v>1</v>
      </c>
      <c r="GX216" s="3">
        <f t="shared" si="185"/>
        <v>0</v>
      </c>
      <c r="HA216" s="3">
        <v>0</v>
      </c>
      <c r="HB216" s="3">
        <v>0</v>
      </c>
      <c r="HC216" s="3">
        <f t="shared" si="186"/>
        <v>0</v>
      </c>
      <c r="HE216" s="3" t="s">
        <v>34</v>
      </c>
      <c r="HF216" s="3" t="s">
        <v>157</v>
      </c>
      <c r="HM216" s="3" t="s">
        <v>3</v>
      </c>
      <c r="HN216" s="3" t="s">
        <v>3</v>
      </c>
      <c r="HO216" s="3" t="s">
        <v>3</v>
      </c>
      <c r="HP216" s="3" t="s">
        <v>3</v>
      </c>
      <c r="HQ216" s="3" t="s">
        <v>3</v>
      </c>
      <c r="HS216" s="3">
        <v>0</v>
      </c>
      <c r="IK216" s="3">
        <v>0</v>
      </c>
    </row>
    <row r="218" spans="1:255" x14ac:dyDescent="0.2">
      <c r="A218" s="11">
        <v>51</v>
      </c>
      <c r="B218" s="11">
        <f>B203</f>
        <v>1</v>
      </c>
      <c r="C218" s="11">
        <f>A203</f>
        <v>4</v>
      </c>
      <c r="D218" s="11">
        <f>ROW(A203)</f>
        <v>203</v>
      </c>
      <c r="E218" s="11"/>
      <c r="F218" s="11" t="str">
        <f>IF(F203&lt;&gt;"",F203,"")</f>
        <v>3</v>
      </c>
      <c r="G218" s="11" t="str">
        <f>IF(G203&lt;&gt;"",G203,"")</f>
        <v>РИП и боксы</v>
      </c>
      <c r="H218" s="11">
        <v>0</v>
      </c>
      <c r="I218" s="11"/>
      <c r="J218" s="11"/>
      <c r="K218" s="11"/>
      <c r="L218" s="11"/>
      <c r="M218" s="11"/>
      <c r="N218" s="11"/>
      <c r="O218" s="11">
        <f t="shared" ref="O218:T218" si="200">ROUND(AB218,2)</f>
        <v>4162.97</v>
      </c>
      <c r="P218" s="11">
        <f t="shared" si="200"/>
        <v>3961.09</v>
      </c>
      <c r="Q218" s="11">
        <f t="shared" si="200"/>
        <v>0</v>
      </c>
      <c r="R218" s="11">
        <f t="shared" si="200"/>
        <v>0</v>
      </c>
      <c r="S218" s="11">
        <f t="shared" si="200"/>
        <v>201.88</v>
      </c>
      <c r="T218" s="11">
        <f t="shared" si="200"/>
        <v>0</v>
      </c>
      <c r="U218" s="11">
        <f>AH218</f>
        <v>15.981407999999998</v>
      </c>
      <c r="V218" s="11">
        <f>AI218</f>
        <v>0</v>
      </c>
      <c r="W218" s="11">
        <f>ROUND(AJ218,2)</f>
        <v>0</v>
      </c>
      <c r="X218" s="11">
        <f>ROUND(AK218,2)</f>
        <v>181.69</v>
      </c>
      <c r="Y218" s="11">
        <f>ROUND(AL218,2)</f>
        <v>92.86</v>
      </c>
      <c r="Z218" s="11"/>
      <c r="AA218" s="11"/>
      <c r="AB218" s="11">
        <f>ROUND(SUMIF(AA207:AA216,"=55915256",O207:O216),2)</f>
        <v>4162.97</v>
      </c>
      <c r="AC218" s="11">
        <f>ROUND(SUMIF(AA207:AA216,"=55915256",P207:P216),2)</f>
        <v>3961.09</v>
      </c>
      <c r="AD218" s="11">
        <f>ROUND(SUMIF(AA207:AA216,"=55915256",Q207:Q216),2)</f>
        <v>0</v>
      </c>
      <c r="AE218" s="11">
        <f>ROUND(SUMIF(AA207:AA216,"=55915256",R207:R216),2)</f>
        <v>0</v>
      </c>
      <c r="AF218" s="11">
        <f>ROUND(SUMIF(AA207:AA216,"=55915256",S207:S216),2)</f>
        <v>201.88</v>
      </c>
      <c r="AG218" s="11">
        <f>ROUND(SUMIF(AA207:AA216,"=55915256",T207:T216),2)</f>
        <v>0</v>
      </c>
      <c r="AH218" s="11">
        <f>SUMIF(AA207:AA216,"=55915256",U207:U216)</f>
        <v>15.981407999999998</v>
      </c>
      <c r="AI218" s="11">
        <f>SUMIF(AA207:AA216,"=55915256",V207:V216)</f>
        <v>0</v>
      </c>
      <c r="AJ218" s="11">
        <f>ROUND(SUMIF(AA207:AA216,"=55915256",W207:W216),2)</f>
        <v>0</v>
      </c>
      <c r="AK218" s="11">
        <f>ROUND(SUMIF(AA207:AA216,"=55915256",X207:X216),2)</f>
        <v>181.69</v>
      </c>
      <c r="AL218" s="11">
        <f>ROUND(SUMIF(AA207:AA216,"=55915256",Y207:Y216),2)</f>
        <v>92.86</v>
      </c>
      <c r="AM218" s="11"/>
      <c r="AN218" s="11"/>
      <c r="AO218" s="11">
        <f t="shared" ref="AO218:BD218" si="201">ROUND(BX218,2)</f>
        <v>0</v>
      </c>
      <c r="AP218" s="11">
        <f t="shared" si="201"/>
        <v>3951.73</v>
      </c>
      <c r="AQ218" s="11">
        <f t="shared" si="201"/>
        <v>0</v>
      </c>
      <c r="AR218" s="11">
        <f t="shared" si="201"/>
        <v>4437.5200000000004</v>
      </c>
      <c r="AS218" s="11">
        <f t="shared" si="201"/>
        <v>0</v>
      </c>
      <c r="AT218" s="11">
        <f t="shared" si="201"/>
        <v>485.79</v>
      </c>
      <c r="AU218" s="11">
        <f t="shared" si="201"/>
        <v>0</v>
      </c>
      <c r="AV218" s="11">
        <f t="shared" si="201"/>
        <v>3961.09</v>
      </c>
      <c r="AW218" s="11">
        <f t="shared" si="201"/>
        <v>9.36</v>
      </c>
      <c r="AX218" s="11">
        <f t="shared" si="201"/>
        <v>0</v>
      </c>
      <c r="AY218" s="11">
        <f t="shared" si="201"/>
        <v>9.36</v>
      </c>
      <c r="AZ218" s="11">
        <f t="shared" si="201"/>
        <v>3951.73</v>
      </c>
      <c r="BA218" s="11">
        <f t="shared" si="201"/>
        <v>0</v>
      </c>
      <c r="BB218" s="11">
        <f t="shared" si="201"/>
        <v>0</v>
      </c>
      <c r="BC218" s="11">
        <f t="shared" si="201"/>
        <v>0</v>
      </c>
      <c r="BD218" s="11">
        <f t="shared" si="201"/>
        <v>0</v>
      </c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>
        <f>ROUND(SUMIF(AA207:AA216,"=55915256",FQ207:FQ216),2)</f>
        <v>0</v>
      </c>
      <c r="BY218" s="11">
        <f>ROUND(SUMIF(AA207:AA216,"=55915256",FR207:FR216),2)</f>
        <v>3951.73</v>
      </c>
      <c r="BZ218" s="11">
        <f>ROUND(SUMIF(AA207:AA216,"=55915256",GL207:GL216),2)</f>
        <v>0</v>
      </c>
      <c r="CA218" s="11">
        <f>ROUND(SUMIF(AA207:AA216,"=55915256",GM207:GM216),2)</f>
        <v>4437.5200000000004</v>
      </c>
      <c r="CB218" s="11">
        <f>ROUND(SUMIF(AA207:AA216,"=55915256",GN207:GN216),2)</f>
        <v>0</v>
      </c>
      <c r="CC218" s="11">
        <f>ROUND(SUMIF(AA207:AA216,"=55915256",GO207:GO216),2)</f>
        <v>485.79</v>
      </c>
      <c r="CD218" s="11">
        <f>ROUND(SUMIF(AA207:AA216,"=55915256",GP207:GP216),2)</f>
        <v>0</v>
      </c>
      <c r="CE218" s="11">
        <f>AC218-BX218</f>
        <v>3961.09</v>
      </c>
      <c r="CF218" s="11">
        <f>AC218-BY218</f>
        <v>9.3600000000001273</v>
      </c>
      <c r="CG218" s="11">
        <f>BX218-BZ218</f>
        <v>0</v>
      </c>
      <c r="CH218" s="11">
        <f>AC218-BX218-BY218+BZ218</f>
        <v>9.3600000000001273</v>
      </c>
      <c r="CI218" s="11">
        <f>BY218-BZ218</f>
        <v>3951.73</v>
      </c>
      <c r="CJ218" s="11">
        <f>ROUND(SUMIF(AA207:AA216,"=55915256",GX207:GX216),2)</f>
        <v>0</v>
      </c>
      <c r="CK218" s="11">
        <f>ROUND(SUMIF(AA207:AA216,"=55915256",GY207:GY216),2)</f>
        <v>0</v>
      </c>
      <c r="CL218" s="11">
        <f>ROUND(SUMIF(AA207:AA216,"=55915256",GZ207:GZ216),2)</f>
        <v>0</v>
      </c>
      <c r="CM218" s="11">
        <f>ROUND(SUMIF(AA207:AA216,"=55915256",HD207:HD216),2)</f>
        <v>0</v>
      </c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2">
        <f t="shared" ref="DG218:DL218" si="202">ROUND(DT218,2)</f>
        <v>50356.81</v>
      </c>
      <c r="DH218" s="12">
        <f t="shared" si="202"/>
        <v>38980.870000000003</v>
      </c>
      <c r="DI218" s="12">
        <f t="shared" si="202"/>
        <v>0</v>
      </c>
      <c r="DJ218" s="12">
        <f t="shared" si="202"/>
        <v>0</v>
      </c>
      <c r="DK218" s="12">
        <f t="shared" si="202"/>
        <v>11375.94</v>
      </c>
      <c r="DL218" s="12">
        <f t="shared" si="202"/>
        <v>0</v>
      </c>
      <c r="DM218" s="12">
        <f>DZ218</f>
        <v>15.981407999999998</v>
      </c>
      <c r="DN218" s="12">
        <f>EA218</f>
        <v>0</v>
      </c>
      <c r="DO218" s="12">
        <f>ROUND(EB218,2)</f>
        <v>0</v>
      </c>
      <c r="DP218" s="12">
        <f>ROUND(EC218,2)</f>
        <v>10238.35</v>
      </c>
      <c r="DQ218" s="12">
        <f>ROUND(ED218,2)</f>
        <v>5232.93</v>
      </c>
      <c r="DR218" s="12"/>
      <c r="DS218" s="12"/>
      <c r="DT218" s="12">
        <f>ROUND(SUMIF(AA207:AA216,"=55915258",O207:O216),2)</f>
        <v>50356.81</v>
      </c>
      <c r="DU218" s="12">
        <f>ROUND(SUMIF(AA207:AA216,"=55915258",P207:P216),2)</f>
        <v>38980.870000000003</v>
      </c>
      <c r="DV218" s="12">
        <f>ROUND(SUMIF(AA207:AA216,"=55915258",Q207:Q216),2)</f>
        <v>0</v>
      </c>
      <c r="DW218" s="12">
        <f>ROUND(SUMIF(AA207:AA216,"=55915258",R207:R216),2)</f>
        <v>0</v>
      </c>
      <c r="DX218" s="12">
        <f>ROUND(SUMIF(AA207:AA216,"=55915258",S207:S216),2)</f>
        <v>11375.94</v>
      </c>
      <c r="DY218" s="12">
        <f>ROUND(SUMIF(AA207:AA216,"=55915258",T207:T216),2)</f>
        <v>0</v>
      </c>
      <c r="DZ218" s="12">
        <f>SUMIF(AA207:AA216,"=55915258",U207:U216)</f>
        <v>15.981407999999998</v>
      </c>
      <c r="EA218" s="12">
        <f>SUMIF(AA207:AA216,"=55915258",V207:V216)</f>
        <v>0</v>
      </c>
      <c r="EB218" s="12">
        <f>ROUND(SUMIF(AA207:AA216,"=55915258",W207:W216),2)</f>
        <v>0</v>
      </c>
      <c r="EC218" s="12">
        <f>ROUND(SUMIF(AA207:AA216,"=55915258",X207:X216),2)</f>
        <v>10238.35</v>
      </c>
      <c r="ED218" s="12">
        <f>ROUND(SUMIF(AA207:AA216,"=55915258",Y207:Y216),2)</f>
        <v>5232.93</v>
      </c>
      <c r="EE218" s="12"/>
      <c r="EF218" s="12"/>
      <c r="EG218" s="12">
        <f t="shared" ref="EG218:EV218" si="203">ROUND(FP218,2)</f>
        <v>0</v>
      </c>
      <c r="EH218" s="12">
        <f t="shared" si="203"/>
        <v>38885.019999999997</v>
      </c>
      <c r="EI218" s="12">
        <f t="shared" si="203"/>
        <v>0</v>
      </c>
      <c r="EJ218" s="12">
        <f t="shared" si="203"/>
        <v>65828.09</v>
      </c>
      <c r="EK218" s="12">
        <f t="shared" si="203"/>
        <v>0</v>
      </c>
      <c r="EL218" s="12">
        <f t="shared" si="203"/>
        <v>26943.07</v>
      </c>
      <c r="EM218" s="12">
        <f t="shared" si="203"/>
        <v>0</v>
      </c>
      <c r="EN218" s="12">
        <f t="shared" si="203"/>
        <v>38980.870000000003</v>
      </c>
      <c r="EO218" s="12">
        <f t="shared" si="203"/>
        <v>95.85</v>
      </c>
      <c r="EP218" s="12">
        <f t="shared" si="203"/>
        <v>0</v>
      </c>
      <c r="EQ218" s="12">
        <f t="shared" si="203"/>
        <v>95.85</v>
      </c>
      <c r="ER218" s="12">
        <f t="shared" si="203"/>
        <v>38885.019999999997</v>
      </c>
      <c r="ES218" s="12">
        <f t="shared" si="203"/>
        <v>0</v>
      </c>
      <c r="ET218" s="12">
        <f t="shared" si="203"/>
        <v>0</v>
      </c>
      <c r="EU218" s="12">
        <f t="shared" si="203"/>
        <v>0</v>
      </c>
      <c r="EV218" s="12">
        <f t="shared" si="203"/>
        <v>0</v>
      </c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>
        <f>ROUND(SUMIF(AA207:AA216,"=55915258",FQ207:FQ216),2)</f>
        <v>0</v>
      </c>
      <c r="FQ218" s="12">
        <f>ROUND(SUMIF(AA207:AA216,"=55915258",FR207:FR216),2)</f>
        <v>38885.019999999997</v>
      </c>
      <c r="FR218" s="12">
        <f>ROUND(SUMIF(AA207:AA216,"=55915258",GL207:GL216),2)</f>
        <v>0</v>
      </c>
      <c r="FS218" s="12">
        <f>ROUND(SUMIF(AA207:AA216,"=55915258",GM207:GM216),2)</f>
        <v>65828.09</v>
      </c>
      <c r="FT218" s="12">
        <f>ROUND(SUMIF(AA207:AA216,"=55915258",GN207:GN216),2)</f>
        <v>0</v>
      </c>
      <c r="FU218" s="12">
        <f>ROUND(SUMIF(AA207:AA216,"=55915258",GO207:GO216),2)</f>
        <v>26943.07</v>
      </c>
      <c r="FV218" s="12">
        <f>ROUND(SUMIF(AA207:AA216,"=55915258",GP207:GP216),2)</f>
        <v>0</v>
      </c>
      <c r="FW218" s="12">
        <f>DU218-FP218</f>
        <v>38980.870000000003</v>
      </c>
      <c r="FX218" s="12">
        <f>DU218-FQ218</f>
        <v>95.850000000005821</v>
      </c>
      <c r="FY218" s="12">
        <f>FP218-FR218</f>
        <v>0</v>
      </c>
      <c r="FZ218" s="12">
        <f>DU218-FP218-FQ218+FR218</f>
        <v>95.850000000005821</v>
      </c>
      <c r="GA218" s="12">
        <f>FQ218-FR218</f>
        <v>38885.019999999997</v>
      </c>
      <c r="GB218" s="12">
        <f>ROUND(SUMIF(AA207:AA216,"=55915258",GX207:GX216),2)</f>
        <v>0</v>
      </c>
      <c r="GC218" s="12">
        <f>ROUND(SUMIF(AA207:AA216,"=55915258",GY207:GY216),2)</f>
        <v>0</v>
      </c>
      <c r="GD218" s="12">
        <f>ROUND(SUMIF(AA207:AA216,"=55915258",GZ207:GZ216),2)</f>
        <v>0</v>
      </c>
      <c r="GE218" s="12">
        <f>ROUND(SUMIF(AA207:AA216,"=55915258",HD207:HD216),2)</f>
        <v>0</v>
      </c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  <c r="GX218" s="12">
        <v>0</v>
      </c>
    </row>
    <row r="220" spans="1:255" x14ac:dyDescent="0.2">
      <c r="A220" s="13">
        <v>50</v>
      </c>
      <c r="B220" s="13">
        <v>0</v>
      </c>
      <c r="C220" s="13">
        <v>0</v>
      </c>
      <c r="D220" s="13">
        <v>1</v>
      </c>
      <c r="E220" s="13">
        <v>201</v>
      </c>
      <c r="F220" s="13">
        <f>ROUND(Source!O218,O220)</f>
        <v>4162.97</v>
      </c>
      <c r="G220" s="13" t="s">
        <v>93</v>
      </c>
      <c r="H220" s="13" t="s">
        <v>94</v>
      </c>
      <c r="I220" s="13"/>
      <c r="J220" s="13"/>
      <c r="K220" s="13">
        <v>201</v>
      </c>
      <c r="L220" s="13">
        <v>1</v>
      </c>
      <c r="M220" s="13">
        <v>3</v>
      </c>
      <c r="N220" s="13" t="s">
        <v>3</v>
      </c>
      <c r="O220" s="13">
        <v>2</v>
      </c>
      <c r="P220" s="13">
        <f>ROUND(Source!DG218,O220)</f>
        <v>50356.81</v>
      </c>
      <c r="Q220" s="13"/>
      <c r="R220" s="13"/>
      <c r="S220" s="13"/>
      <c r="T220" s="13"/>
      <c r="U220" s="13"/>
      <c r="V220" s="13"/>
      <c r="W220" s="13">
        <v>4162.97</v>
      </c>
      <c r="X220" s="13">
        <v>1</v>
      </c>
      <c r="Y220" s="13">
        <v>4162.97</v>
      </c>
      <c r="Z220" s="13">
        <v>50356.81</v>
      </c>
      <c r="AA220" s="13">
        <v>1</v>
      </c>
      <c r="AB220" s="13">
        <v>50356.81</v>
      </c>
    </row>
    <row r="221" spans="1:255" x14ac:dyDescent="0.2">
      <c r="A221" s="13">
        <v>50</v>
      </c>
      <c r="B221" s="13">
        <v>0</v>
      </c>
      <c r="C221" s="13">
        <v>0</v>
      </c>
      <c r="D221" s="13">
        <v>1</v>
      </c>
      <c r="E221" s="13">
        <v>202</v>
      </c>
      <c r="F221" s="13">
        <f>ROUND(Source!P218,O221)</f>
        <v>3961.09</v>
      </c>
      <c r="G221" s="13" t="s">
        <v>95</v>
      </c>
      <c r="H221" s="13" t="s">
        <v>96</v>
      </c>
      <c r="I221" s="13"/>
      <c r="J221" s="13"/>
      <c r="K221" s="13">
        <v>202</v>
      </c>
      <c r="L221" s="13">
        <v>2</v>
      </c>
      <c r="M221" s="13">
        <v>3</v>
      </c>
      <c r="N221" s="13" t="s">
        <v>3</v>
      </c>
      <c r="O221" s="13">
        <v>2</v>
      </c>
      <c r="P221" s="13">
        <f>ROUND(Source!DH218,O221)</f>
        <v>38980.870000000003</v>
      </c>
      <c r="Q221" s="13"/>
      <c r="R221" s="13"/>
      <c r="S221" s="13"/>
      <c r="T221" s="13"/>
      <c r="U221" s="13"/>
      <c r="V221" s="13"/>
      <c r="W221" s="13">
        <v>3961.09</v>
      </c>
      <c r="X221" s="13">
        <v>1</v>
      </c>
      <c r="Y221" s="13">
        <v>3961.09</v>
      </c>
      <c r="Z221" s="13">
        <v>38980.870000000003</v>
      </c>
      <c r="AA221" s="13">
        <v>1</v>
      </c>
      <c r="AB221" s="13">
        <v>38980.870000000003</v>
      </c>
    </row>
    <row r="222" spans="1:255" x14ac:dyDescent="0.2">
      <c r="A222" s="13">
        <v>50</v>
      </c>
      <c r="B222" s="13">
        <v>0</v>
      </c>
      <c r="C222" s="13">
        <v>0</v>
      </c>
      <c r="D222" s="13">
        <v>1</v>
      </c>
      <c r="E222" s="13">
        <v>222</v>
      </c>
      <c r="F222" s="13">
        <f>ROUND(Source!AO218,O222)</f>
        <v>0</v>
      </c>
      <c r="G222" s="13" t="s">
        <v>97</v>
      </c>
      <c r="H222" s="13" t="s">
        <v>98</v>
      </c>
      <c r="I222" s="13"/>
      <c r="J222" s="13"/>
      <c r="K222" s="13">
        <v>222</v>
      </c>
      <c r="L222" s="13">
        <v>3</v>
      </c>
      <c r="M222" s="13">
        <v>3</v>
      </c>
      <c r="N222" s="13" t="s">
        <v>3</v>
      </c>
      <c r="O222" s="13">
        <v>2</v>
      </c>
      <c r="P222" s="13">
        <f>ROUND(Source!EG218,O222)</f>
        <v>0</v>
      </c>
      <c r="Q222" s="13"/>
      <c r="R222" s="13"/>
      <c r="S222" s="13"/>
      <c r="T222" s="13"/>
      <c r="U222" s="13"/>
      <c r="V222" s="13"/>
      <c r="W222" s="13">
        <v>0</v>
      </c>
      <c r="X222" s="13">
        <v>1</v>
      </c>
      <c r="Y222" s="13">
        <v>0</v>
      </c>
      <c r="Z222" s="13">
        <v>0</v>
      </c>
      <c r="AA222" s="13">
        <v>1</v>
      </c>
      <c r="AB222" s="13">
        <v>0</v>
      </c>
    </row>
    <row r="223" spans="1:255" x14ac:dyDescent="0.2">
      <c r="A223" s="13">
        <v>50</v>
      </c>
      <c r="B223" s="13">
        <v>0</v>
      </c>
      <c r="C223" s="13">
        <v>0</v>
      </c>
      <c r="D223" s="13">
        <v>1</v>
      </c>
      <c r="E223" s="13">
        <v>225</v>
      </c>
      <c r="F223" s="13">
        <f>ROUND(Source!AV218,O223)</f>
        <v>3961.09</v>
      </c>
      <c r="G223" s="13" t="s">
        <v>99</v>
      </c>
      <c r="H223" s="13" t="s">
        <v>100</v>
      </c>
      <c r="I223" s="13"/>
      <c r="J223" s="13"/>
      <c r="K223" s="13">
        <v>225</v>
      </c>
      <c r="L223" s="13">
        <v>4</v>
      </c>
      <c r="M223" s="13">
        <v>3</v>
      </c>
      <c r="N223" s="13" t="s">
        <v>3</v>
      </c>
      <c r="O223" s="13">
        <v>2</v>
      </c>
      <c r="P223" s="13">
        <f>ROUND(Source!EN218,O223)</f>
        <v>38980.870000000003</v>
      </c>
      <c r="Q223" s="13"/>
      <c r="R223" s="13"/>
      <c r="S223" s="13"/>
      <c r="T223" s="13"/>
      <c r="U223" s="13"/>
      <c r="V223" s="13"/>
      <c r="W223" s="13">
        <v>3961.09</v>
      </c>
      <c r="X223" s="13">
        <v>1</v>
      </c>
      <c r="Y223" s="13">
        <v>3961.09</v>
      </c>
      <c r="Z223" s="13">
        <v>38980.870000000003</v>
      </c>
      <c r="AA223" s="13">
        <v>1</v>
      </c>
      <c r="AB223" s="13">
        <v>38980.870000000003</v>
      </c>
    </row>
    <row r="224" spans="1:255" x14ac:dyDescent="0.2">
      <c r="A224" s="13">
        <v>50</v>
      </c>
      <c r="B224" s="13">
        <v>0</v>
      </c>
      <c r="C224" s="13">
        <v>0</v>
      </c>
      <c r="D224" s="13">
        <v>1</v>
      </c>
      <c r="E224" s="13">
        <v>226</v>
      </c>
      <c r="F224" s="13">
        <f>ROUND(Source!AW218,O224)</f>
        <v>9.36</v>
      </c>
      <c r="G224" s="13" t="s">
        <v>101</v>
      </c>
      <c r="H224" s="13" t="s">
        <v>102</v>
      </c>
      <c r="I224" s="13"/>
      <c r="J224" s="13"/>
      <c r="K224" s="13">
        <v>226</v>
      </c>
      <c r="L224" s="13">
        <v>5</v>
      </c>
      <c r="M224" s="13">
        <v>3</v>
      </c>
      <c r="N224" s="13" t="s">
        <v>3</v>
      </c>
      <c r="O224" s="13">
        <v>2</v>
      </c>
      <c r="P224" s="13">
        <f>ROUND(Source!EO218,O224)</f>
        <v>95.85</v>
      </c>
      <c r="Q224" s="13"/>
      <c r="R224" s="13"/>
      <c r="S224" s="13"/>
      <c r="T224" s="13"/>
      <c r="U224" s="13"/>
      <c r="V224" s="13"/>
      <c r="W224" s="13">
        <v>9.36</v>
      </c>
      <c r="X224" s="13">
        <v>1</v>
      </c>
      <c r="Y224" s="13">
        <v>9.36</v>
      </c>
      <c r="Z224" s="13">
        <v>95.85</v>
      </c>
      <c r="AA224" s="13">
        <v>1</v>
      </c>
      <c r="AB224" s="13">
        <v>95.85</v>
      </c>
    </row>
    <row r="225" spans="1:28" x14ac:dyDescent="0.2">
      <c r="A225" s="13">
        <v>50</v>
      </c>
      <c r="B225" s="13">
        <v>0</v>
      </c>
      <c r="C225" s="13">
        <v>0</v>
      </c>
      <c r="D225" s="13">
        <v>1</v>
      </c>
      <c r="E225" s="13">
        <v>227</v>
      </c>
      <c r="F225" s="13">
        <f>ROUND(Source!AX218,O225)</f>
        <v>0</v>
      </c>
      <c r="G225" s="13" t="s">
        <v>103</v>
      </c>
      <c r="H225" s="13" t="s">
        <v>104</v>
      </c>
      <c r="I225" s="13"/>
      <c r="J225" s="13"/>
      <c r="K225" s="13">
        <v>227</v>
      </c>
      <c r="L225" s="13">
        <v>6</v>
      </c>
      <c r="M225" s="13">
        <v>3</v>
      </c>
      <c r="N225" s="13" t="s">
        <v>3</v>
      </c>
      <c r="O225" s="13">
        <v>2</v>
      </c>
      <c r="P225" s="13">
        <f>ROUND(Source!EP218,O225)</f>
        <v>0</v>
      </c>
      <c r="Q225" s="13"/>
      <c r="R225" s="13"/>
      <c r="S225" s="13"/>
      <c r="T225" s="13"/>
      <c r="U225" s="13"/>
      <c r="V225" s="13"/>
      <c r="W225" s="13">
        <v>0</v>
      </c>
      <c r="X225" s="13">
        <v>1</v>
      </c>
      <c r="Y225" s="13">
        <v>0</v>
      </c>
      <c r="Z225" s="13">
        <v>0</v>
      </c>
      <c r="AA225" s="13">
        <v>1</v>
      </c>
      <c r="AB225" s="13">
        <v>0</v>
      </c>
    </row>
    <row r="226" spans="1:28" x14ac:dyDescent="0.2">
      <c r="A226" s="13">
        <v>50</v>
      </c>
      <c r="B226" s="13">
        <v>0</v>
      </c>
      <c r="C226" s="13">
        <v>0</v>
      </c>
      <c r="D226" s="13">
        <v>1</v>
      </c>
      <c r="E226" s="13">
        <v>228</v>
      </c>
      <c r="F226" s="13">
        <f>ROUND(Source!AY218,O226)</f>
        <v>9.36</v>
      </c>
      <c r="G226" s="13" t="s">
        <v>105</v>
      </c>
      <c r="H226" s="13" t="s">
        <v>106</v>
      </c>
      <c r="I226" s="13"/>
      <c r="J226" s="13"/>
      <c r="K226" s="13">
        <v>228</v>
      </c>
      <c r="L226" s="13">
        <v>7</v>
      </c>
      <c r="M226" s="13">
        <v>3</v>
      </c>
      <c r="N226" s="13" t="s">
        <v>3</v>
      </c>
      <c r="O226" s="13">
        <v>2</v>
      </c>
      <c r="P226" s="13">
        <f>ROUND(Source!EQ218,O226)</f>
        <v>95.85</v>
      </c>
      <c r="Q226" s="13"/>
      <c r="R226" s="13"/>
      <c r="S226" s="13"/>
      <c r="T226" s="13"/>
      <c r="U226" s="13"/>
      <c r="V226" s="13"/>
      <c r="W226" s="13">
        <v>9.36</v>
      </c>
      <c r="X226" s="13">
        <v>1</v>
      </c>
      <c r="Y226" s="13">
        <v>9.36</v>
      </c>
      <c r="Z226" s="13">
        <v>95.85</v>
      </c>
      <c r="AA226" s="13">
        <v>1</v>
      </c>
      <c r="AB226" s="13">
        <v>95.85</v>
      </c>
    </row>
    <row r="227" spans="1:28" x14ac:dyDescent="0.2">
      <c r="A227" s="13">
        <v>50</v>
      </c>
      <c r="B227" s="13">
        <v>0</v>
      </c>
      <c r="C227" s="13">
        <v>0</v>
      </c>
      <c r="D227" s="13">
        <v>1</v>
      </c>
      <c r="E227" s="13">
        <v>216</v>
      </c>
      <c r="F227" s="13">
        <f>ROUND(Source!AP218,O227)</f>
        <v>3951.73</v>
      </c>
      <c r="G227" s="13" t="s">
        <v>107</v>
      </c>
      <c r="H227" s="13" t="s">
        <v>108</v>
      </c>
      <c r="I227" s="13"/>
      <c r="J227" s="13"/>
      <c r="K227" s="13">
        <v>216</v>
      </c>
      <c r="L227" s="13">
        <v>8</v>
      </c>
      <c r="M227" s="13">
        <v>3</v>
      </c>
      <c r="N227" s="13" t="s">
        <v>3</v>
      </c>
      <c r="O227" s="13">
        <v>2</v>
      </c>
      <c r="P227" s="13">
        <f>ROUND(Source!EH218,O227)</f>
        <v>38885.019999999997</v>
      </c>
      <c r="Q227" s="13"/>
      <c r="R227" s="13"/>
      <c r="S227" s="13"/>
      <c r="T227" s="13"/>
      <c r="U227" s="13"/>
      <c r="V227" s="13"/>
      <c r="W227" s="13">
        <v>3951.73</v>
      </c>
      <c r="X227" s="13">
        <v>1</v>
      </c>
      <c r="Y227" s="13">
        <v>3951.73</v>
      </c>
      <c r="Z227" s="13">
        <v>38885.019999999997</v>
      </c>
      <c r="AA227" s="13">
        <v>1</v>
      </c>
      <c r="AB227" s="13">
        <v>38885.019999999997</v>
      </c>
    </row>
    <row r="228" spans="1:28" x14ac:dyDescent="0.2">
      <c r="A228" s="13">
        <v>50</v>
      </c>
      <c r="B228" s="13">
        <v>0</v>
      </c>
      <c r="C228" s="13">
        <v>0</v>
      </c>
      <c r="D228" s="13">
        <v>1</v>
      </c>
      <c r="E228" s="13">
        <v>223</v>
      </c>
      <c r="F228" s="13">
        <f>ROUND(Source!AQ218,O228)</f>
        <v>0</v>
      </c>
      <c r="G228" s="13" t="s">
        <v>109</v>
      </c>
      <c r="H228" s="13" t="s">
        <v>110</v>
      </c>
      <c r="I228" s="13"/>
      <c r="J228" s="13"/>
      <c r="K228" s="13">
        <v>223</v>
      </c>
      <c r="L228" s="13">
        <v>9</v>
      </c>
      <c r="M228" s="13">
        <v>3</v>
      </c>
      <c r="N228" s="13" t="s">
        <v>3</v>
      </c>
      <c r="O228" s="13">
        <v>2</v>
      </c>
      <c r="P228" s="13">
        <f>ROUND(Source!EI218,O228)</f>
        <v>0</v>
      </c>
      <c r="Q228" s="13"/>
      <c r="R228" s="13"/>
      <c r="S228" s="13"/>
      <c r="T228" s="13"/>
      <c r="U228" s="13"/>
      <c r="V228" s="13"/>
      <c r="W228" s="13">
        <v>0</v>
      </c>
      <c r="X228" s="13">
        <v>1</v>
      </c>
      <c r="Y228" s="13">
        <v>0</v>
      </c>
      <c r="Z228" s="13">
        <v>0</v>
      </c>
      <c r="AA228" s="13">
        <v>1</v>
      </c>
      <c r="AB228" s="13">
        <v>0</v>
      </c>
    </row>
    <row r="229" spans="1:28" x14ac:dyDescent="0.2">
      <c r="A229" s="13">
        <v>50</v>
      </c>
      <c r="B229" s="13">
        <v>0</v>
      </c>
      <c r="C229" s="13">
        <v>0</v>
      </c>
      <c r="D229" s="13">
        <v>1</v>
      </c>
      <c r="E229" s="13">
        <v>229</v>
      </c>
      <c r="F229" s="13">
        <f>ROUND(Source!AZ218,O229)</f>
        <v>3951.73</v>
      </c>
      <c r="G229" s="13" t="s">
        <v>111</v>
      </c>
      <c r="H229" s="13" t="s">
        <v>112</v>
      </c>
      <c r="I229" s="13"/>
      <c r="J229" s="13"/>
      <c r="K229" s="13">
        <v>229</v>
      </c>
      <c r="L229" s="13">
        <v>10</v>
      </c>
      <c r="M229" s="13">
        <v>3</v>
      </c>
      <c r="N229" s="13" t="s">
        <v>3</v>
      </c>
      <c r="O229" s="13">
        <v>2</v>
      </c>
      <c r="P229" s="13">
        <f>ROUND(Source!ER218,O229)</f>
        <v>38885.019999999997</v>
      </c>
      <c r="Q229" s="13"/>
      <c r="R229" s="13"/>
      <c r="S229" s="13"/>
      <c r="T229" s="13"/>
      <c r="U229" s="13"/>
      <c r="V229" s="13"/>
      <c r="W229" s="13">
        <v>3951.73</v>
      </c>
      <c r="X229" s="13">
        <v>1</v>
      </c>
      <c r="Y229" s="13">
        <v>3951.73</v>
      </c>
      <c r="Z229" s="13">
        <v>38885.019999999997</v>
      </c>
      <c r="AA229" s="13">
        <v>1</v>
      </c>
      <c r="AB229" s="13">
        <v>38885.019999999997</v>
      </c>
    </row>
    <row r="230" spans="1:28" x14ac:dyDescent="0.2">
      <c r="A230" s="13">
        <v>50</v>
      </c>
      <c r="B230" s="13">
        <v>0</v>
      </c>
      <c r="C230" s="13">
        <v>0</v>
      </c>
      <c r="D230" s="13">
        <v>1</v>
      </c>
      <c r="E230" s="13">
        <v>203</v>
      </c>
      <c r="F230" s="13">
        <f>ROUND(Source!Q218,O230)</f>
        <v>0</v>
      </c>
      <c r="G230" s="13" t="s">
        <v>113</v>
      </c>
      <c r="H230" s="13" t="s">
        <v>114</v>
      </c>
      <c r="I230" s="13"/>
      <c r="J230" s="13"/>
      <c r="K230" s="13">
        <v>203</v>
      </c>
      <c r="L230" s="13">
        <v>11</v>
      </c>
      <c r="M230" s="13">
        <v>3</v>
      </c>
      <c r="N230" s="13" t="s">
        <v>3</v>
      </c>
      <c r="O230" s="13">
        <v>2</v>
      </c>
      <c r="P230" s="13">
        <f>ROUND(Source!DI218,O230)</f>
        <v>0</v>
      </c>
      <c r="Q230" s="13"/>
      <c r="R230" s="13"/>
      <c r="S230" s="13"/>
      <c r="T230" s="13"/>
      <c r="U230" s="13"/>
      <c r="V230" s="13"/>
      <c r="W230" s="13">
        <v>0</v>
      </c>
      <c r="X230" s="13">
        <v>1</v>
      </c>
      <c r="Y230" s="13">
        <v>0</v>
      </c>
      <c r="Z230" s="13">
        <v>0</v>
      </c>
      <c r="AA230" s="13">
        <v>1</v>
      </c>
      <c r="AB230" s="13">
        <v>0</v>
      </c>
    </row>
    <row r="231" spans="1:28" x14ac:dyDescent="0.2">
      <c r="A231" s="13">
        <v>50</v>
      </c>
      <c r="B231" s="13">
        <v>0</v>
      </c>
      <c r="C231" s="13">
        <v>0</v>
      </c>
      <c r="D231" s="13">
        <v>1</v>
      </c>
      <c r="E231" s="13">
        <v>231</v>
      </c>
      <c r="F231" s="13">
        <f>ROUND(Source!BB218,O231)</f>
        <v>0</v>
      </c>
      <c r="G231" s="13" t="s">
        <v>115</v>
      </c>
      <c r="H231" s="13" t="s">
        <v>116</v>
      </c>
      <c r="I231" s="13"/>
      <c r="J231" s="13"/>
      <c r="K231" s="13">
        <v>231</v>
      </c>
      <c r="L231" s="13">
        <v>12</v>
      </c>
      <c r="M231" s="13">
        <v>3</v>
      </c>
      <c r="N231" s="13" t="s">
        <v>3</v>
      </c>
      <c r="O231" s="13">
        <v>2</v>
      </c>
      <c r="P231" s="13">
        <f>ROUND(Source!ET218,O231)</f>
        <v>0</v>
      </c>
      <c r="Q231" s="13"/>
      <c r="R231" s="13"/>
      <c r="S231" s="13"/>
      <c r="T231" s="13"/>
      <c r="U231" s="13"/>
      <c r="V231" s="13"/>
      <c r="W231" s="13">
        <v>0</v>
      </c>
      <c r="X231" s="13">
        <v>1</v>
      </c>
      <c r="Y231" s="13">
        <v>0</v>
      </c>
      <c r="Z231" s="13">
        <v>0</v>
      </c>
      <c r="AA231" s="13">
        <v>1</v>
      </c>
      <c r="AB231" s="13">
        <v>0</v>
      </c>
    </row>
    <row r="232" spans="1:28" x14ac:dyDescent="0.2">
      <c r="A232" s="13">
        <v>50</v>
      </c>
      <c r="B232" s="13">
        <v>0</v>
      </c>
      <c r="C232" s="13">
        <v>0</v>
      </c>
      <c r="D232" s="13">
        <v>1</v>
      </c>
      <c r="E232" s="13">
        <v>204</v>
      </c>
      <c r="F232" s="13">
        <f>ROUND(Source!R218,O232)</f>
        <v>0</v>
      </c>
      <c r="G232" s="13" t="s">
        <v>117</v>
      </c>
      <c r="H232" s="13" t="s">
        <v>118</v>
      </c>
      <c r="I232" s="13"/>
      <c r="J232" s="13"/>
      <c r="K232" s="13">
        <v>204</v>
      </c>
      <c r="L232" s="13">
        <v>13</v>
      </c>
      <c r="M232" s="13">
        <v>3</v>
      </c>
      <c r="N232" s="13" t="s">
        <v>3</v>
      </c>
      <c r="O232" s="13">
        <v>2</v>
      </c>
      <c r="P232" s="13">
        <f>ROUND(Source!DJ218,O232)</f>
        <v>0</v>
      </c>
      <c r="Q232" s="13"/>
      <c r="R232" s="13"/>
      <c r="S232" s="13"/>
      <c r="T232" s="13"/>
      <c r="U232" s="13"/>
      <c r="V232" s="13"/>
      <c r="W232" s="13">
        <v>0</v>
      </c>
      <c r="X232" s="13">
        <v>1</v>
      </c>
      <c r="Y232" s="13">
        <v>0</v>
      </c>
      <c r="Z232" s="13">
        <v>0</v>
      </c>
      <c r="AA232" s="13">
        <v>1</v>
      </c>
      <c r="AB232" s="13">
        <v>0</v>
      </c>
    </row>
    <row r="233" spans="1:28" x14ac:dyDescent="0.2">
      <c r="A233" s="13">
        <v>50</v>
      </c>
      <c r="B233" s="13">
        <v>0</v>
      </c>
      <c r="C233" s="13">
        <v>0</v>
      </c>
      <c r="D233" s="13">
        <v>1</v>
      </c>
      <c r="E233" s="13">
        <v>205</v>
      </c>
      <c r="F233" s="13">
        <f>ROUND(Source!S218,O233)</f>
        <v>201.88</v>
      </c>
      <c r="G233" s="13" t="s">
        <v>119</v>
      </c>
      <c r="H233" s="13" t="s">
        <v>120</v>
      </c>
      <c r="I233" s="13"/>
      <c r="J233" s="13"/>
      <c r="K233" s="13">
        <v>205</v>
      </c>
      <c r="L233" s="13">
        <v>14</v>
      </c>
      <c r="M233" s="13">
        <v>3</v>
      </c>
      <c r="N233" s="13" t="s">
        <v>3</v>
      </c>
      <c r="O233" s="13">
        <v>2</v>
      </c>
      <c r="P233" s="13">
        <f>ROUND(Source!DK218,O233)</f>
        <v>11375.94</v>
      </c>
      <c r="Q233" s="13"/>
      <c r="R233" s="13"/>
      <c r="S233" s="13"/>
      <c r="T233" s="13"/>
      <c r="U233" s="13"/>
      <c r="V233" s="13"/>
      <c r="W233" s="13">
        <v>201.88</v>
      </c>
      <c r="X233" s="13">
        <v>1</v>
      </c>
      <c r="Y233" s="13">
        <v>201.88</v>
      </c>
      <c r="Z233" s="13">
        <v>11375.94</v>
      </c>
      <c r="AA233" s="13">
        <v>1</v>
      </c>
      <c r="AB233" s="13">
        <v>11375.94</v>
      </c>
    </row>
    <row r="234" spans="1:28" x14ac:dyDescent="0.2">
      <c r="A234" s="13">
        <v>50</v>
      </c>
      <c r="B234" s="13">
        <v>0</v>
      </c>
      <c r="C234" s="13">
        <v>0</v>
      </c>
      <c r="D234" s="13">
        <v>1</v>
      </c>
      <c r="E234" s="13">
        <v>232</v>
      </c>
      <c r="F234" s="13">
        <f>ROUND(Source!BC218,O234)</f>
        <v>0</v>
      </c>
      <c r="G234" s="13" t="s">
        <v>121</v>
      </c>
      <c r="H234" s="13" t="s">
        <v>122</v>
      </c>
      <c r="I234" s="13"/>
      <c r="J234" s="13"/>
      <c r="K234" s="13">
        <v>232</v>
      </c>
      <c r="L234" s="13">
        <v>15</v>
      </c>
      <c r="M234" s="13">
        <v>3</v>
      </c>
      <c r="N234" s="13" t="s">
        <v>3</v>
      </c>
      <c r="O234" s="13">
        <v>2</v>
      </c>
      <c r="P234" s="13">
        <f>ROUND(Source!EU218,O234)</f>
        <v>0</v>
      </c>
      <c r="Q234" s="13"/>
      <c r="R234" s="13"/>
      <c r="S234" s="13"/>
      <c r="T234" s="13"/>
      <c r="U234" s="13"/>
      <c r="V234" s="13"/>
      <c r="W234" s="13">
        <v>0</v>
      </c>
      <c r="X234" s="13">
        <v>1</v>
      </c>
      <c r="Y234" s="13">
        <v>0</v>
      </c>
      <c r="Z234" s="13">
        <v>0</v>
      </c>
      <c r="AA234" s="13">
        <v>1</v>
      </c>
      <c r="AB234" s="13">
        <v>0</v>
      </c>
    </row>
    <row r="235" spans="1:28" x14ac:dyDescent="0.2">
      <c r="A235" s="13">
        <v>50</v>
      </c>
      <c r="B235" s="13">
        <v>0</v>
      </c>
      <c r="C235" s="13">
        <v>0</v>
      </c>
      <c r="D235" s="13">
        <v>1</v>
      </c>
      <c r="E235" s="13">
        <v>214</v>
      </c>
      <c r="F235" s="13">
        <f>ROUND(Source!AS218,O235)</f>
        <v>0</v>
      </c>
      <c r="G235" s="13" t="s">
        <v>123</v>
      </c>
      <c r="H235" s="13" t="s">
        <v>124</v>
      </c>
      <c r="I235" s="13"/>
      <c r="J235" s="13"/>
      <c r="K235" s="13">
        <v>214</v>
      </c>
      <c r="L235" s="13">
        <v>16</v>
      </c>
      <c r="M235" s="13">
        <v>3</v>
      </c>
      <c r="N235" s="13" t="s">
        <v>3</v>
      </c>
      <c r="O235" s="13">
        <v>2</v>
      </c>
      <c r="P235" s="13">
        <f>ROUND(Source!EK218,O235)</f>
        <v>0</v>
      </c>
      <c r="Q235" s="13"/>
      <c r="R235" s="13"/>
      <c r="S235" s="13"/>
      <c r="T235" s="13"/>
      <c r="U235" s="13"/>
      <c r="V235" s="13"/>
      <c r="W235" s="13">
        <v>0</v>
      </c>
      <c r="X235" s="13">
        <v>1</v>
      </c>
      <c r="Y235" s="13">
        <v>0</v>
      </c>
      <c r="Z235" s="13">
        <v>0</v>
      </c>
      <c r="AA235" s="13">
        <v>1</v>
      </c>
      <c r="AB235" s="13">
        <v>0</v>
      </c>
    </row>
    <row r="236" spans="1:28" x14ac:dyDescent="0.2">
      <c r="A236" s="13">
        <v>50</v>
      </c>
      <c r="B236" s="13">
        <v>0</v>
      </c>
      <c r="C236" s="13">
        <v>0</v>
      </c>
      <c r="D236" s="13">
        <v>1</v>
      </c>
      <c r="E236" s="13">
        <v>215</v>
      </c>
      <c r="F236" s="13">
        <f>ROUND(Source!AT218,O236)</f>
        <v>485.79</v>
      </c>
      <c r="G236" s="13" t="s">
        <v>125</v>
      </c>
      <c r="H236" s="13" t="s">
        <v>126</v>
      </c>
      <c r="I236" s="13"/>
      <c r="J236" s="13"/>
      <c r="K236" s="13">
        <v>215</v>
      </c>
      <c r="L236" s="13">
        <v>17</v>
      </c>
      <c r="M236" s="13">
        <v>3</v>
      </c>
      <c r="N236" s="13" t="s">
        <v>3</v>
      </c>
      <c r="O236" s="13">
        <v>2</v>
      </c>
      <c r="P236" s="13">
        <f>ROUND(Source!EL218,O236)</f>
        <v>26943.07</v>
      </c>
      <c r="Q236" s="13"/>
      <c r="R236" s="13"/>
      <c r="S236" s="13"/>
      <c r="T236" s="13"/>
      <c r="U236" s="13"/>
      <c r="V236" s="13"/>
      <c r="W236" s="13">
        <v>485.79</v>
      </c>
      <c r="X236" s="13">
        <v>1</v>
      </c>
      <c r="Y236" s="13">
        <v>485.79</v>
      </c>
      <c r="Z236" s="13">
        <v>26943.07</v>
      </c>
      <c r="AA236" s="13">
        <v>1</v>
      </c>
      <c r="AB236" s="13">
        <v>26943.07</v>
      </c>
    </row>
    <row r="237" spans="1:28" x14ac:dyDescent="0.2">
      <c r="A237" s="13">
        <v>50</v>
      </c>
      <c r="B237" s="13">
        <v>0</v>
      </c>
      <c r="C237" s="13">
        <v>0</v>
      </c>
      <c r="D237" s="13">
        <v>1</v>
      </c>
      <c r="E237" s="13">
        <v>217</v>
      </c>
      <c r="F237" s="13">
        <f>ROUND(Source!AU218,O237)</f>
        <v>0</v>
      </c>
      <c r="G237" s="13" t="s">
        <v>127</v>
      </c>
      <c r="H237" s="13" t="s">
        <v>128</v>
      </c>
      <c r="I237" s="13"/>
      <c r="J237" s="13"/>
      <c r="K237" s="13">
        <v>217</v>
      </c>
      <c r="L237" s="13">
        <v>18</v>
      </c>
      <c r="M237" s="13">
        <v>3</v>
      </c>
      <c r="N237" s="13" t="s">
        <v>3</v>
      </c>
      <c r="O237" s="13">
        <v>2</v>
      </c>
      <c r="P237" s="13">
        <f>ROUND(Source!EM218,O237)</f>
        <v>0</v>
      </c>
      <c r="Q237" s="13"/>
      <c r="R237" s="13"/>
      <c r="S237" s="13"/>
      <c r="T237" s="13"/>
      <c r="U237" s="13"/>
      <c r="V237" s="13"/>
      <c r="W237" s="13">
        <v>0</v>
      </c>
      <c r="X237" s="13">
        <v>1</v>
      </c>
      <c r="Y237" s="13">
        <v>0</v>
      </c>
      <c r="Z237" s="13">
        <v>0</v>
      </c>
      <c r="AA237" s="13">
        <v>1</v>
      </c>
      <c r="AB237" s="13">
        <v>0</v>
      </c>
    </row>
    <row r="238" spans="1:28" x14ac:dyDescent="0.2">
      <c r="A238" s="13">
        <v>50</v>
      </c>
      <c r="B238" s="13">
        <v>0</v>
      </c>
      <c r="C238" s="13">
        <v>0</v>
      </c>
      <c r="D238" s="13">
        <v>1</v>
      </c>
      <c r="E238" s="13">
        <v>230</v>
      </c>
      <c r="F238" s="13">
        <f>ROUND(Source!BA218,O238)</f>
        <v>0</v>
      </c>
      <c r="G238" s="13" t="s">
        <v>129</v>
      </c>
      <c r="H238" s="13" t="s">
        <v>130</v>
      </c>
      <c r="I238" s="13"/>
      <c r="J238" s="13"/>
      <c r="K238" s="13">
        <v>230</v>
      </c>
      <c r="L238" s="13">
        <v>19</v>
      </c>
      <c r="M238" s="13">
        <v>3</v>
      </c>
      <c r="N238" s="13" t="s">
        <v>3</v>
      </c>
      <c r="O238" s="13">
        <v>2</v>
      </c>
      <c r="P238" s="13">
        <f>ROUND(Source!ES218,O238)</f>
        <v>0</v>
      </c>
      <c r="Q238" s="13"/>
      <c r="R238" s="13"/>
      <c r="S238" s="13"/>
      <c r="T238" s="13"/>
      <c r="U238" s="13"/>
      <c r="V238" s="13"/>
      <c r="W238" s="13">
        <v>0</v>
      </c>
      <c r="X238" s="13">
        <v>1</v>
      </c>
      <c r="Y238" s="13">
        <v>0</v>
      </c>
      <c r="Z238" s="13">
        <v>0</v>
      </c>
      <c r="AA238" s="13">
        <v>1</v>
      </c>
      <c r="AB238" s="13">
        <v>0</v>
      </c>
    </row>
    <row r="239" spans="1:28" x14ac:dyDescent="0.2">
      <c r="A239" s="13">
        <v>50</v>
      </c>
      <c r="B239" s="13">
        <v>0</v>
      </c>
      <c r="C239" s="13">
        <v>0</v>
      </c>
      <c r="D239" s="13">
        <v>1</v>
      </c>
      <c r="E239" s="13">
        <v>206</v>
      </c>
      <c r="F239" s="13">
        <f>ROUND(Source!T218,O239)</f>
        <v>0</v>
      </c>
      <c r="G239" s="13" t="s">
        <v>131</v>
      </c>
      <c r="H239" s="13" t="s">
        <v>132</v>
      </c>
      <c r="I239" s="13"/>
      <c r="J239" s="13"/>
      <c r="K239" s="13">
        <v>206</v>
      </c>
      <c r="L239" s="13">
        <v>20</v>
      </c>
      <c r="M239" s="13">
        <v>3</v>
      </c>
      <c r="N239" s="13" t="s">
        <v>3</v>
      </c>
      <c r="O239" s="13">
        <v>2</v>
      </c>
      <c r="P239" s="13">
        <f>ROUND(Source!DL218,O239)</f>
        <v>0</v>
      </c>
      <c r="Q239" s="13"/>
      <c r="R239" s="13"/>
      <c r="S239" s="13"/>
      <c r="T239" s="13"/>
      <c r="U239" s="13"/>
      <c r="V239" s="13"/>
      <c r="W239" s="13">
        <v>0</v>
      </c>
      <c r="X239" s="13">
        <v>1</v>
      </c>
      <c r="Y239" s="13">
        <v>0</v>
      </c>
      <c r="Z239" s="13">
        <v>0</v>
      </c>
      <c r="AA239" s="13">
        <v>1</v>
      </c>
      <c r="AB239" s="13">
        <v>0</v>
      </c>
    </row>
    <row r="240" spans="1:28" x14ac:dyDescent="0.2">
      <c r="A240" s="13">
        <v>50</v>
      </c>
      <c r="B240" s="13">
        <v>0</v>
      </c>
      <c r="C240" s="13">
        <v>0</v>
      </c>
      <c r="D240" s="13">
        <v>1</v>
      </c>
      <c r="E240" s="13">
        <v>207</v>
      </c>
      <c r="F240" s="13">
        <f>Source!U218</f>
        <v>15.981407999999998</v>
      </c>
      <c r="G240" s="13" t="s">
        <v>133</v>
      </c>
      <c r="H240" s="13" t="s">
        <v>134</v>
      </c>
      <c r="I240" s="13"/>
      <c r="J240" s="13"/>
      <c r="K240" s="13">
        <v>207</v>
      </c>
      <c r="L240" s="13">
        <v>21</v>
      </c>
      <c r="M240" s="13">
        <v>3</v>
      </c>
      <c r="N240" s="13" t="s">
        <v>3</v>
      </c>
      <c r="O240" s="13">
        <v>-1</v>
      </c>
      <c r="P240" s="13">
        <f>Source!DM218</f>
        <v>15.981407999999998</v>
      </c>
      <c r="Q240" s="13"/>
      <c r="R240" s="13"/>
      <c r="S240" s="13"/>
      <c r="T240" s="13"/>
      <c r="U240" s="13"/>
      <c r="V240" s="13"/>
      <c r="W240" s="13">
        <v>15.981408</v>
      </c>
      <c r="X240" s="13">
        <v>1</v>
      </c>
      <c r="Y240" s="13">
        <v>15.981408</v>
      </c>
      <c r="Z240" s="13">
        <v>15.981408</v>
      </c>
      <c r="AA240" s="13">
        <v>1</v>
      </c>
      <c r="AB240" s="13">
        <v>15.981408</v>
      </c>
    </row>
    <row r="241" spans="1:255" x14ac:dyDescent="0.2">
      <c r="A241" s="13">
        <v>50</v>
      </c>
      <c r="B241" s="13">
        <v>0</v>
      </c>
      <c r="C241" s="13">
        <v>0</v>
      </c>
      <c r="D241" s="13">
        <v>1</v>
      </c>
      <c r="E241" s="13">
        <v>208</v>
      </c>
      <c r="F241" s="13">
        <f>Source!V218</f>
        <v>0</v>
      </c>
      <c r="G241" s="13" t="s">
        <v>135</v>
      </c>
      <c r="H241" s="13" t="s">
        <v>136</v>
      </c>
      <c r="I241" s="13"/>
      <c r="J241" s="13"/>
      <c r="K241" s="13">
        <v>208</v>
      </c>
      <c r="L241" s="13">
        <v>22</v>
      </c>
      <c r="M241" s="13">
        <v>3</v>
      </c>
      <c r="N241" s="13" t="s">
        <v>3</v>
      </c>
      <c r="O241" s="13">
        <v>-1</v>
      </c>
      <c r="P241" s="13">
        <f>Source!DN218</f>
        <v>0</v>
      </c>
      <c r="Q241" s="13"/>
      <c r="R241" s="13"/>
      <c r="S241" s="13"/>
      <c r="T241" s="13"/>
      <c r="U241" s="13"/>
      <c r="V241" s="13"/>
      <c r="W241" s="13">
        <v>0</v>
      </c>
      <c r="X241" s="13">
        <v>1</v>
      </c>
      <c r="Y241" s="13">
        <v>0</v>
      </c>
      <c r="Z241" s="13">
        <v>0</v>
      </c>
      <c r="AA241" s="13">
        <v>1</v>
      </c>
      <c r="AB241" s="13">
        <v>0</v>
      </c>
    </row>
    <row r="242" spans="1:255" x14ac:dyDescent="0.2">
      <c r="A242" s="13">
        <v>50</v>
      </c>
      <c r="B242" s="13">
        <v>0</v>
      </c>
      <c r="C242" s="13">
        <v>0</v>
      </c>
      <c r="D242" s="13">
        <v>1</v>
      </c>
      <c r="E242" s="13">
        <v>209</v>
      </c>
      <c r="F242" s="13">
        <f>ROUND(Source!W218,O242)</f>
        <v>0</v>
      </c>
      <c r="G242" s="13" t="s">
        <v>137</v>
      </c>
      <c r="H242" s="13" t="s">
        <v>138</v>
      </c>
      <c r="I242" s="13"/>
      <c r="J242" s="13"/>
      <c r="K242" s="13">
        <v>209</v>
      </c>
      <c r="L242" s="13">
        <v>23</v>
      </c>
      <c r="M242" s="13">
        <v>3</v>
      </c>
      <c r="N242" s="13" t="s">
        <v>3</v>
      </c>
      <c r="O242" s="13">
        <v>2</v>
      </c>
      <c r="P242" s="13">
        <f>ROUND(Source!DO218,O242)</f>
        <v>0</v>
      </c>
      <c r="Q242" s="13"/>
      <c r="R242" s="13"/>
      <c r="S242" s="13"/>
      <c r="T242" s="13"/>
      <c r="U242" s="13"/>
      <c r="V242" s="13"/>
      <c r="W242" s="13">
        <v>0</v>
      </c>
      <c r="X242" s="13">
        <v>1</v>
      </c>
      <c r="Y242" s="13">
        <v>0</v>
      </c>
      <c r="Z242" s="13">
        <v>0</v>
      </c>
      <c r="AA242" s="13">
        <v>1</v>
      </c>
      <c r="AB242" s="13">
        <v>0</v>
      </c>
    </row>
    <row r="243" spans="1:255" x14ac:dyDescent="0.2">
      <c r="A243" s="13">
        <v>50</v>
      </c>
      <c r="B243" s="13">
        <v>0</v>
      </c>
      <c r="C243" s="13">
        <v>0</v>
      </c>
      <c r="D243" s="13">
        <v>1</v>
      </c>
      <c r="E243" s="13">
        <v>233</v>
      </c>
      <c r="F243" s="13">
        <f>ROUND(Source!BD218,O243)</f>
        <v>0</v>
      </c>
      <c r="G243" s="13" t="s">
        <v>139</v>
      </c>
      <c r="H243" s="13" t="s">
        <v>140</v>
      </c>
      <c r="I243" s="13"/>
      <c r="J243" s="13"/>
      <c r="K243" s="13">
        <v>233</v>
      </c>
      <c r="L243" s="13">
        <v>24</v>
      </c>
      <c r="M243" s="13">
        <v>3</v>
      </c>
      <c r="N243" s="13" t="s">
        <v>3</v>
      </c>
      <c r="O243" s="13">
        <v>2</v>
      </c>
      <c r="P243" s="13">
        <f>ROUND(Source!EV218,O243)</f>
        <v>0</v>
      </c>
      <c r="Q243" s="13"/>
      <c r="R243" s="13"/>
      <c r="S243" s="13"/>
      <c r="T243" s="13"/>
      <c r="U243" s="13"/>
      <c r="V243" s="13"/>
      <c r="W243" s="13">
        <v>0</v>
      </c>
      <c r="X243" s="13">
        <v>1</v>
      </c>
      <c r="Y243" s="13">
        <v>0</v>
      </c>
      <c r="Z243" s="13">
        <v>0</v>
      </c>
      <c r="AA243" s="13">
        <v>1</v>
      </c>
      <c r="AB243" s="13">
        <v>0</v>
      </c>
    </row>
    <row r="244" spans="1:255" x14ac:dyDescent="0.2">
      <c r="A244" s="13">
        <v>50</v>
      </c>
      <c r="B244" s="13">
        <v>0</v>
      </c>
      <c r="C244" s="13">
        <v>0</v>
      </c>
      <c r="D244" s="13">
        <v>1</v>
      </c>
      <c r="E244" s="13">
        <v>210</v>
      </c>
      <c r="F244" s="13">
        <f>ROUND(Source!X218,O244)</f>
        <v>181.69</v>
      </c>
      <c r="G244" s="13" t="s">
        <v>141</v>
      </c>
      <c r="H244" s="13" t="s">
        <v>142</v>
      </c>
      <c r="I244" s="13"/>
      <c r="J244" s="13"/>
      <c r="K244" s="13">
        <v>210</v>
      </c>
      <c r="L244" s="13">
        <v>25</v>
      </c>
      <c r="M244" s="13">
        <v>3</v>
      </c>
      <c r="N244" s="13" t="s">
        <v>3</v>
      </c>
      <c r="O244" s="13">
        <v>2</v>
      </c>
      <c r="P244" s="13">
        <f>ROUND(Source!DP218,O244)</f>
        <v>10238.35</v>
      </c>
      <c r="Q244" s="13"/>
      <c r="R244" s="13"/>
      <c r="S244" s="13"/>
      <c r="T244" s="13"/>
      <c r="U244" s="13"/>
      <c r="V244" s="13"/>
      <c r="W244" s="13">
        <v>181.69</v>
      </c>
      <c r="X244" s="13">
        <v>1</v>
      </c>
      <c r="Y244" s="13">
        <v>181.69</v>
      </c>
      <c r="Z244" s="13">
        <v>10238.35</v>
      </c>
      <c r="AA244" s="13">
        <v>1</v>
      </c>
      <c r="AB244" s="13">
        <v>10238.35</v>
      </c>
    </row>
    <row r="245" spans="1:255" x14ac:dyDescent="0.2">
      <c r="A245" s="13">
        <v>50</v>
      </c>
      <c r="B245" s="13">
        <v>0</v>
      </c>
      <c r="C245" s="13">
        <v>0</v>
      </c>
      <c r="D245" s="13">
        <v>1</v>
      </c>
      <c r="E245" s="13">
        <v>211</v>
      </c>
      <c r="F245" s="13">
        <f>ROUND(Source!Y218,O245)</f>
        <v>92.86</v>
      </c>
      <c r="G245" s="13" t="s">
        <v>143</v>
      </c>
      <c r="H245" s="13" t="s">
        <v>144</v>
      </c>
      <c r="I245" s="13"/>
      <c r="J245" s="13"/>
      <c r="K245" s="13">
        <v>211</v>
      </c>
      <c r="L245" s="13">
        <v>26</v>
      </c>
      <c r="M245" s="13">
        <v>3</v>
      </c>
      <c r="N245" s="13" t="s">
        <v>3</v>
      </c>
      <c r="O245" s="13">
        <v>2</v>
      </c>
      <c r="P245" s="13">
        <f>ROUND(Source!DQ218,O245)</f>
        <v>5232.93</v>
      </c>
      <c r="Q245" s="13"/>
      <c r="R245" s="13"/>
      <c r="S245" s="13"/>
      <c r="T245" s="13"/>
      <c r="U245" s="13"/>
      <c r="V245" s="13"/>
      <c r="W245" s="13">
        <v>92.86</v>
      </c>
      <c r="X245" s="13">
        <v>1</v>
      </c>
      <c r="Y245" s="13">
        <v>92.86</v>
      </c>
      <c r="Z245" s="13">
        <v>5232.93</v>
      </c>
      <c r="AA245" s="13">
        <v>1</v>
      </c>
      <c r="AB245" s="13">
        <v>5232.93</v>
      </c>
    </row>
    <row r="246" spans="1:255" x14ac:dyDescent="0.2">
      <c r="A246" s="13">
        <v>50</v>
      </c>
      <c r="B246" s="13">
        <v>0</v>
      </c>
      <c r="C246" s="13">
        <v>0</v>
      </c>
      <c r="D246" s="13">
        <v>1</v>
      </c>
      <c r="E246" s="13">
        <v>224</v>
      </c>
      <c r="F246" s="13">
        <f>ROUND(Source!AR218,O246)</f>
        <v>4437.5200000000004</v>
      </c>
      <c r="G246" s="13" t="s">
        <v>145</v>
      </c>
      <c r="H246" s="13" t="s">
        <v>146</v>
      </c>
      <c r="I246" s="13"/>
      <c r="J246" s="13"/>
      <c r="K246" s="13">
        <v>224</v>
      </c>
      <c r="L246" s="13">
        <v>27</v>
      </c>
      <c r="M246" s="13">
        <v>3</v>
      </c>
      <c r="N246" s="13" t="s">
        <v>3</v>
      </c>
      <c r="O246" s="13">
        <v>2</v>
      </c>
      <c r="P246" s="13">
        <f>ROUND(Source!EJ218,O246)</f>
        <v>65828.09</v>
      </c>
      <c r="Q246" s="13"/>
      <c r="R246" s="13"/>
      <c r="S246" s="13"/>
      <c r="T246" s="13"/>
      <c r="U246" s="13"/>
      <c r="V246" s="13"/>
      <c r="W246" s="13">
        <v>4437.5200000000004</v>
      </c>
      <c r="X246" s="13">
        <v>1</v>
      </c>
      <c r="Y246" s="13">
        <v>4437.5200000000004</v>
      </c>
      <c r="Z246" s="13">
        <v>65828.09</v>
      </c>
      <c r="AA246" s="13">
        <v>1</v>
      </c>
      <c r="AB246" s="13">
        <v>65828.09</v>
      </c>
    </row>
    <row r="248" spans="1:255" x14ac:dyDescent="0.2">
      <c r="A248" s="10">
        <v>4</v>
      </c>
      <c r="B248" s="10">
        <v>1</v>
      </c>
      <c r="C248" s="10"/>
      <c r="D248" s="10">
        <f>ROW(A259)</f>
        <v>259</v>
      </c>
      <c r="E248" s="10"/>
      <c r="F248" s="10" t="s">
        <v>38</v>
      </c>
      <c r="G248" s="10" t="s">
        <v>243</v>
      </c>
      <c r="H248" s="10" t="s">
        <v>3</v>
      </c>
      <c r="I248" s="10">
        <v>0</v>
      </c>
      <c r="J248" s="10"/>
      <c r="K248" s="10">
        <v>-1</v>
      </c>
      <c r="L248" s="10"/>
      <c r="M248" s="10" t="s">
        <v>3</v>
      </c>
      <c r="N248" s="10"/>
      <c r="O248" s="10"/>
      <c r="P248" s="10"/>
      <c r="Q248" s="10"/>
      <c r="R248" s="10"/>
      <c r="S248" s="10">
        <v>0</v>
      </c>
      <c r="T248" s="10">
        <v>0</v>
      </c>
      <c r="U248" s="10" t="s">
        <v>3</v>
      </c>
      <c r="V248" s="10">
        <v>0</v>
      </c>
      <c r="W248" s="10"/>
      <c r="X248" s="10"/>
      <c r="Y248" s="10"/>
      <c r="Z248" s="10"/>
      <c r="AA248" s="10"/>
      <c r="AB248" s="10" t="s">
        <v>3</v>
      </c>
      <c r="AC248" s="10" t="s">
        <v>3</v>
      </c>
      <c r="AD248" s="10" t="s">
        <v>3</v>
      </c>
      <c r="AE248" s="10" t="s">
        <v>3</v>
      </c>
      <c r="AF248" s="10" t="s">
        <v>3</v>
      </c>
      <c r="AG248" s="10" t="s">
        <v>3</v>
      </c>
      <c r="AH248" s="10"/>
      <c r="AI248" s="10"/>
      <c r="AJ248" s="10"/>
      <c r="AK248" s="10"/>
      <c r="AL248" s="10"/>
      <c r="AM248" s="10"/>
      <c r="AN248" s="10"/>
      <c r="AO248" s="10"/>
      <c r="AP248" s="10" t="s">
        <v>3</v>
      </c>
      <c r="AQ248" s="10" t="s">
        <v>3</v>
      </c>
      <c r="AR248" s="10" t="s">
        <v>3</v>
      </c>
      <c r="AS248" s="10"/>
      <c r="AT248" s="10"/>
      <c r="AU248" s="10"/>
      <c r="AV248" s="10"/>
      <c r="AW248" s="10"/>
      <c r="AX248" s="10"/>
      <c r="AY248" s="10"/>
      <c r="AZ248" s="10" t="s">
        <v>3</v>
      </c>
      <c r="BA248" s="10"/>
      <c r="BB248" s="10" t="s">
        <v>3</v>
      </c>
      <c r="BC248" s="10" t="s">
        <v>3</v>
      </c>
      <c r="BD248" s="10" t="s">
        <v>3</v>
      </c>
      <c r="BE248" s="10" t="s">
        <v>3</v>
      </c>
      <c r="BF248" s="10" t="s">
        <v>3</v>
      </c>
      <c r="BG248" s="10" t="s">
        <v>3</v>
      </c>
      <c r="BH248" s="10" t="s">
        <v>3</v>
      </c>
      <c r="BI248" s="10" t="s">
        <v>3</v>
      </c>
      <c r="BJ248" s="10" t="s">
        <v>3</v>
      </c>
      <c r="BK248" s="10" t="s">
        <v>3</v>
      </c>
      <c r="BL248" s="10" t="s">
        <v>3</v>
      </c>
      <c r="BM248" s="10" t="s">
        <v>3</v>
      </c>
      <c r="BN248" s="10" t="s">
        <v>3</v>
      </c>
      <c r="BO248" s="10" t="s">
        <v>3</v>
      </c>
      <c r="BP248" s="10" t="s">
        <v>3</v>
      </c>
      <c r="BQ248" s="10"/>
      <c r="BR248" s="10"/>
      <c r="BS248" s="10"/>
      <c r="BT248" s="10"/>
      <c r="BU248" s="10"/>
      <c r="BV248" s="10"/>
      <c r="BW248" s="10"/>
      <c r="BX248" s="10">
        <v>0</v>
      </c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>
        <v>0</v>
      </c>
    </row>
    <row r="250" spans="1:255" x14ac:dyDescent="0.2">
      <c r="A250" s="11">
        <v>52</v>
      </c>
      <c r="B250" s="11">
        <f t="shared" ref="B250:G250" si="204">B259</f>
        <v>1</v>
      </c>
      <c r="C250" s="11">
        <f t="shared" si="204"/>
        <v>4</v>
      </c>
      <c r="D250" s="11">
        <f t="shared" si="204"/>
        <v>248</v>
      </c>
      <c r="E250" s="11">
        <f t="shared" si="204"/>
        <v>0</v>
      </c>
      <c r="F250" s="11" t="str">
        <f t="shared" si="204"/>
        <v>4</v>
      </c>
      <c r="G250" s="11" t="str">
        <f t="shared" si="204"/>
        <v>АКБ</v>
      </c>
      <c r="H250" s="11"/>
      <c r="I250" s="11"/>
      <c r="J250" s="11"/>
      <c r="K250" s="11"/>
      <c r="L250" s="11"/>
      <c r="M250" s="11"/>
      <c r="N250" s="11"/>
      <c r="O250" s="11">
        <f t="shared" ref="O250:AT250" si="205">O259</f>
        <v>1665.39</v>
      </c>
      <c r="P250" s="11">
        <f t="shared" si="205"/>
        <v>1413.04</v>
      </c>
      <c r="Q250" s="11">
        <f t="shared" si="205"/>
        <v>0</v>
      </c>
      <c r="R250" s="11">
        <f t="shared" si="205"/>
        <v>0</v>
      </c>
      <c r="S250" s="11">
        <f t="shared" si="205"/>
        <v>252.35</v>
      </c>
      <c r="T250" s="11">
        <f t="shared" si="205"/>
        <v>0</v>
      </c>
      <c r="U250" s="11">
        <f t="shared" si="205"/>
        <v>19.976759999999999</v>
      </c>
      <c r="V250" s="11">
        <f t="shared" si="205"/>
        <v>0</v>
      </c>
      <c r="W250" s="11">
        <f t="shared" si="205"/>
        <v>0</v>
      </c>
      <c r="X250" s="11">
        <f t="shared" si="205"/>
        <v>227.12</v>
      </c>
      <c r="Y250" s="11">
        <f t="shared" si="205"/>
        <v>116.08</v>
      </c>
      <c r="Z250" s="11">
        <f t="shared" si="205"/>
        <v>0</v>
      </c>
      <c r="AA250" s="11">
        <f t="shared" si="205"/>
        <v>0</v>
      </c>
      <c r="AB250" s="11">
        <f t="shared" si="205"/>
        <v>1665.39</v>
      </c>
      <c r="AC250" s="11">
        <f t="shared" si="205"/>
        <v>1413.04</v>
      </c>
      <c r="AD250" s="11">
        <f t="shared" si="205"/>
        <v>0</v>
      </c>
      <c r="AE250" s="11">
        <f t="shared" si="205"/>
        <v>0</v>
      </c>
      <c r="AF250" s="11">
        <f t="shared" si="205"/>
        <v>252.35</v>
      </c>
      <c r="AG250" s="11">
        <f t="shared" si="205"/>
        <v>0</v>
      </c>
      <c r="AH250" s="11">
        <f t="shared" si="205"/>
        <v>19.976759999999999</v>
      </c>
      <c r="AI250" s="11">
        <f t="shared" si="205"/>
        <v>0</v>
      </c>
      <c r="AJ250" s="11">
        <f t="shared" si="205"/>
        <v>0</v>
      </c>
      <c r="AK250" s="11">
        <f t="shared" si="205"/>
        <v>227.12</v>
      </c>
      <c r="AL250" s="11">
        <f t="shared" si="205"/>
        <v>116.08</v>
      </c>
      <c r="AM250" s="11">
        <f t="shared" si="205"/>
        <v>0</v>
      </c>
      <c r="AN250" s="11">
        <f t="shared" si="205"/>
        <v>0</v>
      </c>
      <c r="AO250" s="11">
        <f t="shared" si="205"/>
        <v>0</v>
      </c>
      <c r="AP250" s="11">
        <f t="shared" si="205"/>
        <v>1401.34</v>
      </c>
      <c r="AQ250" s="11">
        <f t="shared" si="205"/>
        <v>0</v>
      </c>
      <c r="AR250" s="11">
        <f t="shared" si="205"/>
        <v>2008.59</v>
      </c>
      <c r="AS250" s="11">
        <f t="shared" si="205"/>
        <v>0</v>
      </c>
      <c r="AT250" s="11">
        <f t="shared" si="205"/>
        <v>607.25</v>
      </c>
      <c r="AU250" s="11">
        <f t="shared" ref="AU250:BZ250" si="206">AU259</f>
        <v>0</v>
      </c>
      <c r="AV250" s="11">
        <f t="shared" si="206"/>
        <v>1413.04</v>
      </c>
      <c r="AW250" s="11">
        <f t="shared" si="206"/>
        <v>11.7</v>
      </c>
      <c r="AX250" s="11">
        <f t="shared" si="206"/>
        <v>0</v>
      </c>
      <c r="AY250" s="11">
        <f t="shared" si="206"/>
        <v>11.7</v>
      </c>
      <c r="AZ250" s="11">
        <f t="shared" si="206"/>
        <v>1401.34</v>
      </c>
      <c r="BA250" s="11">
        <f t="shared" si="206"/>
        <v>0</v>
      </c>
      <c r="BB250" s="11">
        <f t="shared" si="206"/>
        <v>0</v>
      </c>
      <c r="BC250" s="11">
        <f t="shared" si="206"/>
        <v>0</v>
      </c>
      <c r="BD250" s="11">
        <f t="shared" si="206"/>
        <v>0</v>
      </c>
      <c r="BE250" s="11">
        <f t="shared" si="206"/>
        <v>0</v>
      </c>
      <c r="BF250" s="11">
        <f t="shared" si="206"/>
        <v>0</v>
      </c>
      <c r="BG250" s="11">
        <f t="shared" si="206"/>
        <v>0</v>
      </c>
      <c r="BH250" s="11">
        <f t="shared" si="206"/>
        <v>0</v>
      </c>
      <c r="BI250" s="11">
        <f t="shared" si="206"/>
        <v>0</v>
      </c>
      <c r="BJ250" s="11">
        <f t="shared" si="206"/>
        <v>0</v>
      </c>
      <c r="BK250" s="11">
        <f t="shared" si="206"/>
        <v>0</v>
      </c>
      <c r="BL250" s="11">
        <f t="shared" si="206"/>
        <v>0</v>
      </c>
      <c r="BM250" s="11">
        <f t="shared" si="206"/>
        <v>0</v>
      </c>
      <c r="BN250" s="11">
        <f t="shared" si="206"/>
        <v>0</v>
      </c>
      <c r="BO250" s="11">
        <f t="shared" si="206"/>
        <v>0</v>
      </c>
      <c r="BP250" s="11">
        <f t="shared" si="206"/>
        <v>0</v>
      </c>
      <c r="BQ250" s="11">
        <f t="shared" si="206"/>
        <v>0</v>
      </c>
      <c r="BR250" s="11">
        <f t="shared" si="206"/>
        <v>0</v>
      </c>
      <c r="BS250" s="11">
        <f t="shared" si="206"/>
        <v>0</v>
      </c>
      <c r="BT250" s="11">
        <f t="shared" si="206"/>
        <v>0</v>
      </c>
      <c r="BU250" s="11">
        <f t="shared" si="206"/>
        <v>0</v>
      </c>
      <c r="BV250" s="11">
        <f t="shared" si="206"/>
        <v>0</v>
      </c>
      <c r="BW250" s="11">
        <f t="shared" si="206"/>
        <v>0</v>
      </c>
      <c r="BX250" s="11">
        <f t="shared" si="206"/>
        <v>0</v>
      </c>
      <c r="BY250" s="11">
        <f t="shared" si="206"/>
        <v>1401.34</v>
      </c>
      <c r="BZ250" s="11">
        <f t="shared" si="206"/>
        <v>0</v>
      </c>
      <c r="CA250" s="11">
        <f t="shared" ref="CA250:DF250" si="207">CA259</f>
        <v>2008.59</v>
      </c>
      <c r="CB250" s="11">
        <f t="shared" si="207"/>
        <v>0</v>
      </c>
      <c r="CC250" s="11">
        <f t="shared" si="207"/>
        <v>607.25</v>
      </c>
      <c r="CD250" s="11">
        <f t="shared" si="207"/>
        <v>0</v>
      </c>
      <c r="CE250" s="11">
        <f t="shared" si="207"/>
        <v>1413.04</v>
      </c>
      <c r="CF250" s="11">
        <f t="shared" si="207"/>
        <v>11.700000000000045</v>
      </c>
      <c r="CG250" s="11">
        <f t="shared" si="207"/>
        <v>0</v>
      </c>
      <c r="CH250" s="11">
        <f t="shared" si="207"/>
        <v>11.700000000000045</v>
      </c>
      <c r="CI250" s="11">
        <f t="shared" si="207"/>
        <v>1401.34</v>
      </c>
      <c r="CJ250" s="11">
        <f t="shared" si="207"/>
        <v>0</v>
      </c>
      <c r="CK250" s="11">
        <f t="shared" si="207"/>
        <v>0</v>
      </c>
      <c r="CL250" s="11">
        <f t="shared" si="207"/>
        <v>0</v>
      </c>
      <c r="CM250" s="11">
        <f t="shared" si="207"/>
        <v>0</v>
      </c>
      <c r="CN250" s="11">
        <f t="shared" si="207"/>
        <v>0</v>
      </c>
      <c r="CO250" s="11">
        <f t="shared" si="207"/>
        <v>0</v>
      </c>
      <c r="CP250" s="11">
        <f t="shared" si="207"/>
        <v>0</v>
      </c>
      <c r="CQ250" s="11">
        <f t="shared" si="207"/>
        <v>0</v>
      </c>
      <c r="CR250" s="11">
        <f t="shared" si="207"/>
        <v>0</v>
      </c>
      <c r="CS250" s="11">
        <f t="shared" si="207"/>
        <v>0</v>
      </c>
      <c r="CT250" s="11">
        <f t="shared" si="207"/>
        <v>0</v>
      </c>
      <c r="CU250" s="11">
        <f t="shared" si="207"/>
        <v>0</v>
      </c>
      <c r="CV250" s="11">
        <f t="shared" si="207"/>
        <v>0</v>
      </c>
      <c r="CW250" s="11">
        <f t="shared" si="207"/>
        <v>0</v>
      </c>
      <c r="CX250" s="11">
        <f t="shared" si="207"/>
        <v>0</v>
      </c>
      <c r="CY250" s="11">
        <f t="shared" si="207"/>
        <v>0</v>
      </c>
      <c r="CZ250" s="11">
        <f t="shared" si="207"/>
        <v>0</v>
      </c>
      <c r="DA250" s="11">
        <f t="shared" si="207"/>
        <v>0</v>
      </c>
      <c r="DB250" s="11">
        <f t="shared" si="207"/>
        <v>0</v>
      </c>
      <c r="DC250" s="11">
        <f t="shared" si="207"/>
        <v>0</v>
      </c>
      <c r="DD250" s="11">
        <f t="shared" si="207"/>
        <v>0</v>
      </c>
      <c r="DE250" s="11">
        <f t="shared" si="207"/>
        <v>0</v>
      </c>
      <c r="DF250" s="11">
        <f t="shared" si="207"/>
        <v>0</v>
      </c>
      <c r="DG250" s="12">
        <f t="shared" ref="DG250:EL250" si="208">DG259</f>
        <v>27578.27</v>
      </c>
      <c r="DH250" s="12">
        <f t="shared" si="208"/>
        <v>13358.35</v>
      </c>
      <c r="DI250" s="12">
        <f t="shared" si="208"/>
        <v>0</v>
      </c>
      <c r="DJ250" s="12">
        <f t="shared" si="208"/>
        <v>0</v>
      </c>
      <c r="DK250" s="12">
        <f t="shared" si="208"/>
        <v>14219.92</v>
      </c>
      <c r="DL250" s="12">
        <f t="shared" si="208"/>
        <v>0</v>
      </c>
      <c r="DM250" s="12">
        <f t="shared" si="208"/>
        <v>19.976759999999999</v>
      </c>
      <c r="DN250" s="12">
        <f t="shared" si="208"/>
        <v>0</v>
      </c>
      <c r="DO250" s="12">
        <f t="shared" si="208"/>
        <v>0</v>
      </c>
      <c r="DP250" s="12">
        <f t="shared" si="208"/>
        <v>12797.93</v>
      </c>
      <c r="DQ250" s="12">
        <f t="shared" si="208"/>
        <v>6541.16</v>
      </c>
      <c r="DR250" s="12">
        <f t="shared" si="208"/>
        <v>0</v>
      </c>
      <c r="DS250" s="12">
        <f t="shared" si="208"/>
        <v>0</v>
      </c>
      <c r="DT250" s="12">
        <f t="shared" si="208"/>
        <v>27578.27</v>
      </c>
      <c r="DU250" s="12">
        <f t="shared" si="208"/>
        <v>13358.35</v>
      </c>
      <c r="DV250" s="12">
        <f t="shared" si="208"/>
        <v>0</v>
      </c>
      <c r="DW250" s="12">
        <f t="shared" si="208"/>
        <v>0</v>
      </c>
      <c r="DX250" s="12">
        <f t="shared" si="208"/>
        <v>14219.92</v>
      </c>
      <c r="DY250" s="12">
        <f t="shared" si="208"/>
        <v>0</v>
      </c>
      <c r="DZ250" s="12">
        <f t="shared" si="208"/>
        <v>19.976759999999999</v>
      </c>
      <c r="EA250" s="12">
        <f t="shared" si="208"/>
        <v>0</v>
      </c>
      <c r="EB250" s="12">
        <f t="shared" si="208"/>
        <v>0</v>
      </c>
      <c r="EC250" s="12">
        <f t="shared" si="208"/>
        <v>12797.93</v>
      </c>
      <c r="ED250" s="12">
        <f t="shared" si="208"/>
        <v>6541.16</v>
      </c>
      <c r="EE250" s="12">
        <f t="shared" si="208"/>
        <v>0</v>
      </c>
      <c r="EF250" s="12">
        <f t="shared" si="208"/>
        <v>0</v>
      </c>
      <c r="EG250" s="12">
        <f t="shared" si="208"/>
        <v>0</v>
      </c>
      <c r="EH250" s="12">
        <f t="shared" si="208"/>
        <v>13238.54</v>
      </c>
      <c r="EI250" s="12">
        <f t="shared" si="208"/>
        <v>0</v>
      </c>
      <c r="EJ250" s="12">
        <f t="shared" si="208"/>
        <v>46917.36</v>
      </c>
      <c r="EK250" s="12">
        <f t="shared" si="208"/>
        <v>0</v>
      </c>
      <c r="EL250" s="12">
        <f t="shared" si="208"/>
        <v>33678.82</v>
      </c>
      <c r="EM250" s="12">
        <f t="shared" ref="EM250:FR250" si="209">EM259</f>
        <v>0</v>
      </c>
      <c r="EN250" s="12">
        <f t="shared" si="209"/>
        <v>13358.35</v>
      </c>
      <c r="EO250" s="12">
        <f t="shared" si="209"/>
        <v>119.81</v>
      </c>
      <c r="EP250" s="12">
        <f t="shared" si="209"/>
        <v>0</v>
      </c>
      <c r="EQ250" s="12">
        <f t="shared" si="209"/>
        <v>119.81</v>
      </c>
      <c r="ER250" s="12">
        <f t="shared" si="209"/>
        <v>13238.54</v>
      </c>
      <c r="ES250" s="12">
        <f t="shared" si="209"/>
        <v>0</v>
      </c>
      <c r="ET250" s="12">
        <f t="shared" si="209"/>
        <v>0</v>
      </c>
      <c r="EU250" s="12">
        <f t="shared" si="209"/>
        <v>0</v>
      </c>
      <c r="EV250" s="12">
        <f t="shared" si="209"/>
        <v>0</v>
      </c>
      <c r="EW250" s="12">
        <f t="shared" si="209"/>
        <v>0</v>
      </c>
      <c r="EX250" s="12">
        <f t="shared" si="209"/>
        <v>0</v>
      </c>
      <c r="EY250" s="12">
        <f t="shared" si="209"/>
        <v>0</v>
      </c>
      <c r="EZ250" s="12">
        <f t="shared" si="209"/>
        <v>0</v>
      </c>
      <c r="FA250" s="12">
        <f t="shared" si="209"/>
        <v>0</v>
      </c>
      <c r="FB250" s="12">
        <f t="shared" si="209"/>
        <v>0</v>
      </c>
      <c r="FC250" s="12">
        <f t="shared" si="209"/>
        <v>0</v>
      </c>
      <c r="FD250" s="12">
        <f t="shared" si="209"/>
        <v>0</v>
      </c>
      <c r="FE250" s="12">
        <f t="shared" si="209"/>
        <v>0</v>
      </c>
      <c r="FF250" s="12">
        <f t="shared" si="209"/>
        <v>0</v>
      </c>
      <c r="FG250" s="12">
        <f t="shared" si="209"/>
        <v>0</v>
      </c>
      <c r="FH250" s="12">
        <f t="shared" si="209"/>
        <v>0</v>
      </c>
      <c r="FI250" s="12">
        <f t="shared" si="209"/>
        <v>0</v>
      </c>
      <c r="FJ250" s="12">
        <f t="shared" si="209"/>
        <v>0</v>
      </c>
      <c r="FK250" s="12">
        <f t="shared" si="209"/>
        <v>0</v>
      </c>
      <c r="FL250" s="12">
        <f t="shared" si="209"/>
        <v>0</v>
      </c>
      <c r="FM250" s="12">
        <f t="shared" si="209"/>
        <v>0</v>
      </c>
      <c r="FN250" s="12">
        <f t="shared" si="209"/>
        <v>0</v>
      </c>
      <c r="FO250" s="12">
        <f t="shared" si="209"/>
        <v>0</v>
      </c>
      <c r="FP250" s="12">
        <f t="shared" si="209"/>
        <v>0</v>
      </c>
      <c r="FQ250" s="12">
        <f t="shared" si="209"/>
        <v>13238.54</v>
      </c>
      <c r="FR250" s="12">
        <f t="shared" si="209"/>
        <v>0</v>
      </c>
      <c r="FS250" s="12">
        <f t="shared" ref="FS250:GX250" si="210">FS259</f>
        <v>46917.36</v>
      </c>
      <c r="FT250" s="12">
        <f t="shared" si="210"/>
        <v>0</v>
      </c>
      <c r="FU250" s="12">
        <f t="shared" si="210"/>
        <v>33678.82</v>
      </c>
      <c r="FV250" s="12">
        <f t="shared" si="210"/>
        <v>0</v>
      </c>
      <c r="FW250" s="12">
        <f t="shared" si="210"/>
        <v>13358.35</v>
      </c>
      <c r="FX250" s="12">
        <f t="shared" si="210"/>
        <v>119.80999999999949</v>
      </c>
      <c r="FY250" s="12">
        <f t="shared" si="210"/>
        <v>0</v>
      </c>
      <c r="FZ250" s="12">
        <f t="shared" si="210"/>
        <v>119.80999999999949</v>
      </c>
      <c r="GA250" s="12">
        <f t="shared" si="210"/>
        <v>13238.54</v>
      </c>
      <c r="GB250" s="12">
        <f t="shared" si="210"/>
        <v>0</v>
      </c>
      <c r="GC250" s="12">
        <f t="shared" si="210"/>
        <v>0</v>
      </c>
      <c r="GD250" s="12">
        <f t="shared" si="210"/>
        <v>0</v>
      </c>
      <c r="GE250" s="12">
        <f t="shared" si="210"/>
        <v>0</v>
      </c>
      <c r="GF250" s="12">
        <f t="shared" si="210"/>
        <v>0</v>
      </c>
      <c r="GG250" s="12">
        <f t="shared" si="210"/>
        <v>0</v>
      </c>
      <c r="GH250" s="12">
        <f t="shared" si="210"/>
        <v>0</v>
      </c>
      <c r="GI250" s="12">
        <f t="shared" si="210"/>
        <v>0</v>
      </c>
      <c r="GJ250" s="12">
        <f t="shared" si="210"/>
        <v>0</v>
      </c>
      <c r="GK250" s="12">
        <f t="shared" si="210"/>
        <v>0</v>
      </c>
      <c r="GL250" s="12">
        <f t="shared" si="210"/>
        <v>0</v>
      </c>
      <c r="GM250" s="12">
        <f t="shared" si="210"/>
        <v>0</v>
      </c>
      <c r="GN250" s="12">
        <f t="shared" si="210"/>
        <v>0</v>
      </c>
      <c r="GO250" s="12">
        <f t="shared" si="210"/>
        <v>0</v>
      </c>
      <c r="GP250" s="12">
        <f t="shared" si="210"/>
        <v>0</v>
      </c>
      <c r="GQ250" s="12">
        <f t="shared" si="210"/>
        <v>0</v>
      </c>
      <c r="GR250" s="12">
        <f t="shared" si="210"/>
        <v>0</v>
      </c>
      <c r="GS250" s="12">
        <f t="shared" si="210"/>
        <v>0</v>
      </c>
      <c r="GT250" s="12">
        <f t="shared" si="210"/>
        <v>0</v>
      </c>
      <c r="GU250" s="12">
        <f t="shared" si="210"/>
        <v>0</v>
      </c>
      <c r="GV250" s="12">
        <f t="shared" si="210"/>
        <v>0</v>
      </c>
      <c r="GW250" s="12">
        <f t="shared" si="210"/>
        <v>0</v>
      </c>
      <c r="GX250" s="12">
        <f t="shared" si="210"/>
        <v>0</v>
      </c>
    </row>
    <row r="252" spans="1:255" x14ac:dyDescent="0.2">
      <c r="A252" s="2">
        <v>17</v>
      </c>
      <c r="B252" s="2">
        <v>1</v>
      </c>
      <c r="C252" s="2">
        <f>ROW(SmtRes!A98)</f>
        <v>98</v>
      </c>
      <c r="D252" s="2">
        <f>ROW(EtalonRes!A117)</f>
        <v>117</v>
      </c>
      <c r="E252" s="2" t="s">
        <v>244</v>
      </c>
      <c r="F252" s="2" t="s">
        <v>67</v>
      </c>
      <c r="G252" s="2" t="s">
        <v>226</v>
      </c>
      <c r="H252" s="2" t="s">
        <v>22</v>
      </c>
      <c r="I252" s="2">
        <f>ROUND(3+2,9)</f>
        <v>5</v>
      </c>
      <c r="J252" s="2">
        <v>0</v>
      </c>
      <c r="K252" s="2">
        <f>ROUND(3+2,9)</f>
        <v>5</v>
      </c>
      <c r="L252" s="2"/>
      <c r="M252" s="2"/>
      <c r="N252" s="2"/>
      <c r="O252" s="2">
        <f t="shared" ref="O252:O257" si="211">ROUND(CP252,2)</f>
        <v>264.05</v>
      </c>
      <c r="P252" s="2">
        <f>ROUND((ROUND((AC252*AW252*I252),2)*BC252),2)</f>
        <v>11.7</v>
      </c>
      <c r="Q252" s="2">
        <f>(ROUND((ROUND((((ET252*1.2))*AV252*I252),2)*BB252),2)+ROUND((ROUND(((AE252-((EU252*1.2)))*AV252*I252),2)*BS252),2))</f>
        <v>0</v>
      </c>
      <c r="R252" s="2">
        <f>(ROUND((ROUND((((EU252*1.2))*AV252*I252),2)*BS252),2)+ROUND((ROUND(((AE252-((EU252*1.2)))*AV252*I252),2)*BS252),2))</f>
        <v>0</v>
      </c>
      <c r="S252" s="2">
        <f t="shared" ref="S252:S257" si="212">ROUND((ROUND((AF252*AV252*I252),2)*BA252),2)</f>
        <v>252.35</v>
      </c>
      <c r="T252" s="2">
        <f t="shared" ref="T252:T257" si="213">ROUND(CU252*I252,2)</f>
        <v>0</v>
      </c>
      <c r="U252" s="2">
        <f t="shared" ref="U252:U257" si="214">CV252*I252</f>
        <v>19.976759999999999</v>
      </c>
      <c r="V252" s="2">
        <f t="shared" ref="V252:V257" si="215">CW252*I252</f>
        <v>0</v>
      </c>
      <c r="W252" s="2">
        <f t="shared" ref="W252:W257" si="216">ROUND(CX252*I252,2)</f>
        <v>0</v>
      </c>
      <c r="X252" s="2">
        <f>(ROUND((((S252+ROUND((ROUND((((EU252*1.2))*AV252*I252),2)*BS252),2))*AT252)/100),2)+ROUND(((ROUND((ROUND(((AE252-((EU252*1.2)))*AV252*I252),2)*BS252),2)*AT252)/100),2))</f>
        <v>227.12</v>
      </c>
      <c r="Y252" s="2">
        <f>(ROUND((((S252+ROUND((ROUND((((EU252*1.2))*AV252*I252),2)*BS252),2))*AU252)/100),2)+ROUND(((ROUND((ROUND(((AE252-((EU252*1.2)))*AV252*I252),2)*BS252),2)*AU252)/100),2))</f>
        <v>116.08</v>
      </c>
      <c r="Z252" s="2"/>
      <c r="AA252" s="2">
        <v>55915256</v>
      </c>
      <c r="AB252" s="2">
        <f t="shared" ref="AB252:AB257" si="217">ROUND((AC252+AD252+AF252),6)</f>
        <v>50.543999999999997</v>
      </c>
      <c r="AC252" s="2">
        <f>ROUND(((ES252*1)),6)</f>
        <v>2.34</v>
      </c>
      <c r="AD252" s="2">
        <f>ROUND(((((ET252*1.2))-((EU252*1.2)))+AE252),6)</f>
        <v>0</v>
      </c>
      <c r="AE252" s="2">
        <f>ROUND(((EU252*1.2)),6)</f>
        <v>0</v>
      </c>
      <c r="AF252" s="2">
        <f>ROUND(((EV252*1.2)),6)</f>
        <v>48.204000000000001</v>
      </c>
      <c r="AG252" s="2">
        <f t="shared" ref="AG252:AG257" si="218">ROUND((AP252),6)</f>
        <v>0</v>
      </c>
      <c r="AH252" s="2">
        <f>((EW252*1.2))</f>
        <v>3.8159999999999998</v>
      </c>
      <c r="AI252" s="2">
        <f>((EX252*1.2))</f>
        <v>0</v>
      </c>
      <c r="AJ252" s="2">
        <f t="shared" ref="AJ252:AJ257" si="219">(AS252)</f>
        <v>0</v>
      </c>
      <c r="AK252" s="2">
        <v>42.51</v>
      </c>
      <c r="AL252" s="2">
        <v>2.34</v>
      </c>
      <c r="AM252" s="2">
        <v>0</v>
      </c>
      <c r="AN252" s="2">
        <v>0</v>
      </c>
      <c r="AO252" s="2">
        <v>40.17</v>
      </c>
      <c r="AP252" s="2">
        <v>0</v>
      </c>
      <c r="AQ252" s="2">
        <v>3.18</v>
      </c>
      <c r="AR252" s="2">
        <v>0</v>
      </c>
      <c r="AS252" s="2">
        <v>0</v>
      </c>
      <c r="AT252" s="2">
        <v>90</v>
      </c>
      <c r="AU252" s="2">
        <v>46</v>
      </c>
      <c r="AV252" s="2">
        <v>1.0469999999999999</v>
      </c>
      <c r="AW252" s="2">
        <v>1</v>
      </c>
      <c r="AX252" s="2"/>
      <c r="AY252" s="2"/>
      <c r="AZ252" s="2">
        <v>1</v>
      </c>
      <c r="BA252" s="2">
        <v>1</v>
      </c>
      <c r="BB252" s="2">
        <v>1</v>
      </c>
      <c r="BC252" s="2">
        <v>1</v>
      </c>
      <c r="BD252" s="2" t="s">
        <v>3</v>
      </c>
      <c r="BE252" s="2" t="s">
        <v>3</v>
      </c>
      <c r="BF252" s="2" t="s">
        <v>3</v>
      </c>
      <c r="BG252" s="2" t="s">
        <v>3</v>
      </c>
      <c r="BH252" s="2">
        <v>0</v>
      </c>
      <c r="BI252" s="2">
        <v>2</v>
      </c>
      <c r="BJ252" s="2" t="s">
        <v>69</v>
      </c>
      <c r="BK252" s="2"/>
      <c r="BL252" s="2"/>
      <c r="BM252" s="2">
        <v>68</v>
      </c>
      <c r="BN252" s="2">
        <v>0</v>
      </c>
      <c r="BO252" s="2" t="s">
        <v>67</v>
      </c>
      <c r="BP252" s="2">
        <v>1</v>
      </c>
      <c r="BQ252" s="2">
        <v>40</v>
      </c>
      <c r="BR252" s="2">
        <v>0</v>
      </c>
      <c r="BS252" s="2">
        <v>1</v>
      </c>
      <c r="BT252" s="2">
        <v>1</v>
      </c>
      <c r="BU252" s="2">
        <v>1</v>
      </c>
      <c r="BV252" s="2">
        <v>1</v>
      </c>
      <c r="BW252" s="2">
        <v>1</v>
      </c>
      <c r="BX252" s="2">
        <v>1</v>
      </c>
      <c r="BY252" s="2" t="s">
        <v>3</v>
      </c>
      <c r="BZ252" s="2">
        <v>90</v>
      </c>
      <c r="CA252" s="2">
        <v>46</v>
      </c>
      <c r="CB252" s="2" t="s">
        <v>3</v>
      </c>
      <c r="CC252" s="2"/>
      <c r="CD252" s="2"/>
      <c r="CE252" s="2">
        <v>1566</v>
      </c>
      <c r="CF252" s="2">
        <v>0</v>
      </c>
      <c r="CG252" s="2">
        <v>0</v>
      </c>
      <c r="CH252" s="2"/>
      <c r="CI252" s="2"/>
      <c r="CJ252" s="2"/>
      <c r="CK252" s="2"/>
      <c r="CL252" s="2"/>
      <c r="CM252" s="2">
        <v>0</v>
      </c>
      <c r="CN252" s="2" t="s">
        <v>605</v>
      </c>
      <c r="CO252" s="2">
        <v>0</v>
      </c>
      <c r="CP252" s="2">
        <f t="shared" ref="CP252:CP257" si="220">(P252+Q252+S252)</f>
        <v>264.05</v>
      </c>
      <c r="CQ252" s="2">
        <f>ROUND((ROUND((AC252*AW252*1),2)*BC252),2)</f>
        <v>2.34</v>
      </c>
      <c r="CR252" s="2">
        <f>(ROUND((ROUND((((ET252*1.2))*AV252*1),2)*BB252),2)+ROUND((ROUND(((AE252-((EU252*1.2)))*AV252*1),2)*BS252),2))</f>
        <v>0</v>
      </c>
      <c r="CS252" s="2">
        <f>(ROUND((ROUND((((EU252*1.2))*AV252*1),2)*BS252),2)+ROUND((ROUND(((AE252-((EU252*1.2)))*AV252*1),2)*BS252),2))</f>
        <v>0</v>
      </c>
      <c r="CT252" s="2">
        <f t="shared" ref="CT252:CT257" si="221">ROUND((ROUND((AF252*AV252*1),2)*BA252),2)</f>
        <v>50.47</v>
      </c>
      <c r="CU252" s="2">
        <f t="shared" ref="CU252:CU257" si="222">AG252</f>
        <v>0</v>
      </c>
      <c r="CV252" s="2">
        <f t="shared" ref="CV252:CV257" si="223">(AH252*AV252)</f>
        <v>3.9953519999999996</v>
      </c>
      <c r="CW252" s="2">
        <f t="shared" ref="CW252:CX257" si="224">AI252</f>
        <v>0</v>
      </c>
      <c r="CX252" s="2">
        <f t="shared" si="224"/>
        <v>0</v>
      </c>
      <c r="CY252" s="2">
        <f>(ROUND((((S252+ROUND((ROUND((((EU252*1.2))*AV252*1),2)*BS252),2))*AT252)/100),2)+ROUND(((ROUND((ROUND(((AE252-((EU252*1.2)))*AV252*1),2)*BS252),2)*AT252)/100),2))</f>
        <v>227.12</v>
      </c>
      <c r="CZ252" s="2">
        <f>(ROUND((((S252+ROUND((ROUND((((EU252*1.2))*AV252*1),2)*BS252),2))*AU252)/100),2)+ROUND(((ROUND((ROUND(((AE252-((EU252*1.2)))*AV252*1),2)*BS252),2)*AU252)/100),2))</f>
        <v>116.08</v>
      </c>
      <c r="DA252" s="2"/>
      <c r="DB252" s="2">
        <v>77</v>
      </c>
      <c r="DC252" s="2" t="s">
        <v>3</v>
      </c>
      <c r="DD252" s="2" t="s">
        <v>77</v>
      </c>
      <c r="DE252" s="2" t="s">
        <v>78</v>
      </c>
      <c r="DF252" s="2" t="s">
        <v>78</v>
      </c>
      <c r="DG252" s="2" t="s">
        <v>78</v>
      </c>
      <c r="DH252" s="2" t="s">
        <v>3</v>
      </c>
      <c r="DI252" s="2" t="s">
        <v>78</v>
      </c>
      <c r="DJ252" s="2" t="s">
        <v>78</v>
      </c>
      <c r="DK252" s="2" t="s">
        <v>3</v>
      </c>
      <c r="DL252" s="2" t="s">
        <v>3</v>
      </c>
      <c r="DM252" s="2" t="s">
        <v>3</v>
      </c>
      <c r="DN252" s="2">
        <v>0</v>
      </c>
      <c r="DO252" s="2">
        <v>0</v>
      </c>
      <c r="DP252" s="2">
        <v>1</v>
      </c>
      <c r="DQ252" s="2">
        <v>1</v>
      </c>
      <c r="DR252" s="2"/>
      <c r="DS252" s="2"/>
      <c r="DT252" s="2"/>
      <c r="DU252" s="2">
        <v>1013</v>
      </c>
      <c r="DV252" s="2" t="s">
        <v>22</v>
      </c>
      <c r="DW252" s="2" t="s">
        <v>22</v>
      </c>
      <c r="DX252" s="2">
        <v>1</v>
      </c>
      <c r="DY252" s="2"/>
      <c r="DZ252" s="2" t="s">
        <v>3</v>
      </c>
      <c r="EA252" s="2" t="s">
        <v>3</v>
      </c>
      <c r="EB252" s="2" t="s">
        <v>3</v>
      </c>
      <c r="EC252" s="2" t="s">
        <v>3</v>
      </c>
      <c r="ED252" s="2"/>
      <c r="EE252" s="2">
        <v>55393700</v>
      </c>
      <c r="EF252" s="2">
        <v>40</v>
      </c>
      <c r="EG252" s="2" t="s">
        <v>26</v>
      </c>
      <c r="EH252" s="2">
        <v>0</v>
      </c>
      <c r="EI252" s="2" t="s">
        <v>3</v>
      </c>
      <c r="EJ252" s="2">
        <v>2</v>
      </c>
      <c r="EK252" s="2">
        <v>68</v>
      </c>
      <c r="EL252" s="2" t="s">
        <v>27</v>
      </c>
      <c r="EM252" s="2" t="s">
        <v>28</v>
      </c>
      <c r="EN252" s="2"/>
      <c r="EO252" s="2" t="s">
        <v>82</v>
      </c>
      <c r="EP252" s="2"/>
      <c r="EQ252" s="2">
        <v>0</v>
      </c>
      <c r="ER252" s="2">
        <v>42.51</v>
      </c>
      <c r="ES252" s="2">
        <v>2.34</v>
      </c>
      <c r="ET252" s="2">
        <v>0</v>
      </c>
      <c r="EU252" s="2">
        <v>0</v>
      </c>
      <c r="EV252" s="2">
        <v>40.17</v>
      </c>
      <c r="EW252" s="2">
        <v>3.18</v>
      </c>
      <c r="EX252" s="2">
        <v>0</v>
      </c>
      <c r="EY252" s="2">
        <v>0</v>
      </c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>
        <v>0</v>
      </c>
      <c r="FR252" s="2">
        <v>0</v>
      </c>
      <c r="FS252" s="2">
        <v>0</v>
      </c>
      <c r="FT252" s="2"/>
      <c r="FU252" s="2"/>
      <c r="FV252" s="2"/>
      <c r="FW252" s="2"/>
      <c r="FX252" s="2">
        <v>90</v>
      </c>
      <c r="FY252" s="2">
        <v>46</v>
      </c>
      <c r="FZ252" s="2"/>
      <c r="GA252" s="2" t="s">
        <v>3</v>
      </c>
      <c r="GB252" s="2"/>
      <c r="GC252" s="2"/>
      <c r="GD252" s="2">
        <v>1</v>
      </c>
      <c r="GE252" s="2"/>
      <c r="GF252" s="2">
        <v>-1314481947</v>
      </c>
      <c r="GG252" s="2">
        <v>2</v>
      </c>
      <c r="GH252" s="2">
        <v>1</v>
      </c>
      <c r="GI252" s="2">
        <v>2</v>
      </c>
      <c r="GJ252" s="2">
        <v>0</v>
      </c>
      <c r="GK252" s="2">
        <v>0</v>
      </c>
      <c r="GL252" s="2">
        <f t="shared" ref="GL252:GL257" si="225">ROUND(IF(AND(BH252=3,BI252=3,FS252&lt;&gt;0),P252,0),2)</f>
        <v>0</v>
      </c>
      <c r="GM252" s="2">
        <f t="shared" ref="GM252:GM257" si="226">ROUND(O252+X252+Y252,2)+GX252</f>
        <v>607.25</v>
      </c>
      <c r="GN252" s="2">
        <f t="shared" ref="GN252:GN257" si="227">IF(OR(BI252=0,BI252=1),GM252-GX252,0)</f>
        <v>0</v>
      </c>
      <c r="GO252" s="2">
        <f t="shared" ref="GO252:GO257" si="228">IF(BI252=2,GM252-GX252,0)</f>
        <v>607.25</v>
      </c>
      <c r="GP252" s="2">
        <f t="shared" ref="GP252:GP257" si="229">IF(BI252=4,GM252-GX252,0)</f>
        <v>0</v>
      </c>
      <c r="GQ252" s="2"/>
      <c r="GR252" s="2">
        <v>0</v>
      </c>
      <c r="GS252" s="2">
        <v>3</v>
      </c>
      <c r="GT252" s="2">
        <v>0</v>
      </c>
      <c r="GU252" s="2" t="s">
        <v>3</v>
      </c>
      <c r="GV252" s="2">
        <f t="shared" ref="GV252:GV257" si="230">ROUND((GT252),6)</f>
        <v>0</v>
      </c>
      <c r="GW252" s="2">
        <v>1</v>
      </c>
      <c r="GX252" s="2">
        <f t="shared" ref="GX252:GX257" si="231">ROUND(HC252*I252,2)</f>
        <v>0</v>
      </c>
      <c r="GY252" s="2"/>
      <c r="GZ252" s="2"/>
      <c r="HA252" s="2">
        <v>0</v>
      </c>
      <c r="HB252" s="2">
        <v>0</v>
      </c>
      <c r="HC252" s="2">
        <f t="shared" ref="HC252:HC257" si="232">GV252*GW252</f>
        <v>0</v>
      </c>
      <c r="HD252" s="2"/>
      <c r="HE252" s="2" t="s">
        <v>3</v>
      </c>
      <c r="HF252" s="2" t="s">
        <v>3</v>
      </c>
      <c r="HG252" s="2"/>
      <c r="HH252" s="2"/>
      <c r="HI252" s="2"/>
      <c r="HJ252" s="2"/>
      <c r="HK252" s="2"/>
      <c r="HL252" s="2"/>
      <c r="HM252" s="2" t="s">
        <v>3</v>
      </c>
      <c r="HN252" s="2" t="s">
        <v>3</v>
      </c>
      <c r="HO252" s="2" t="s">
        <v>3</v>
      </c>
      <c r="HP252" s="2" t="s">
        <v>3</v>
      </c>
      <c r="HQ252" s="2" t="s">
        <v>3</v>
      </c>
      <c r="HR252" s="2"/>
      <c r="HS252" s="2">
        <v>0</v>
      </c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>
        <v>0</v>
      </c>
      <c r="IL252" s="2"/>
      <c r="IM252" s="2"/>
      <c r="IN252" s="2"/>
      <c r="IO252" s="2"/>
      <c r="IP252" s="2"/>
      <c r="IQ252" s="2"/>
      <c r="IR252" s="2"/>
      <c r="IS252" s="2"/>
      <c r="IT252" s="2"/>
      <c r="IU252" s="2"/>
    </row>
    <row r="253" spans="1:255" x14ac:dyDescent="0.2">
      <c r="A253" s="3">
        <v>17</v>
      </c>
      <c r="B253" s="3">
        <v>1</v>
      </c>
      <c r="C253" s="3">
        <f>ROW(SmtRes!A102)</f>
        <v>102</v>
      </c>
      <c r="D253" s="3">
        <f>ROW(EtalonRes!A122)</f>
        <v>122</v>
      </c>
      <c r="E253" s="3" t="s">
        <v>244</v>
      </c>
      <c r="F253" s="3" t="s">
        <v>67</v>
      </c>
      <c r="G253" s="3" t="s">
        <v>226</v>
      </c>
      <c r="H253" s="3" t="s">
        <v>22</v>
      </c>
      <c r="I253" s="3">
        <f>ROUND(3+2,9)</f>
        <v>5</v>
      </c>
      <c r="J253" s="3">
        <v>0</v>
      </c>
      <c r="K253" s="3">
        <f>ROUND(3+2,9)</f>
        <v>5</v>
      </c>
      <c r="O253" s="3">
        <f t="shared" si="211"/>
        <v>14339.73</v>
      </c>
      <c r="P253" s="3">
        <f>ROUND((ROUND((AC253*AW253*I253),2)*BC253),2)</f>
        <v>119.81</v>
      </c>
      <c r="Q253" s="3">
        <f>(ROUND((ROUND((((ET253*1.2))*AV253*I253),2)*BB253),2)+ROUND((ROUND(((AE253-((EU253*1.2)))*AV253*I253),2)*BS253),2))</f>
        <v>0</v>
      </c>
      <c r="R253" s="3">
        <f>(ROUND((ROUND((((EU253*1.2))*AV253*I253),2)*BS253),2)+ROUND((ROUND(((AE253-((EU253*1.2)))*AV253*I253),2)*BS253),2))</f>
        <v>0</v>
      </c>
      <c r="S253" s="3">
        <f t="shared" si="212"/>
        <v>14219.92</v>
      </c>
      <c r="T253" s="3">
        <f t="shared" si="213"/>
        <v>0</v>
      </c>
      <c r="U253" s="3">
        <f t="shared" si="214"/>
        <v>19.976759999999999</v>
      </c>
      <c r="V253" s="3">
        <f t="shared" si="215"/>
        <v>0</v>
      </c>
      <c r="W253" s="3">
        <f t="shared" si="216"/>
        <v>0</v>
      </c>
      <c r="X253" s="3">
        <f>(ROUND((((S253+ROUND((ROUND((((EU253*1.2))*AV253*I253),2)*BS253),2))*AT253)/100),2)+ROUND(((ROUND((ROUND(((AE253-((EU253*1.2)))*AV253*I253),2)*BS253),2)*AT253)/100),2))</f>
        <v>12797.93</v>
      </c>
      <c r="Y253" s="3">
        <f>(ROUND((((S253+ROUND((ROUND((((EU253*1.2))*AV253*I253),2)*BS253),2))*AU253)/100),2)+ROUND(((ROUND((ROUND(((AE253-((EU253*1.2)))*AV253*I253),2)*BS253),2)*AU253)/100),2))</f>
        <v>6541.16</v>
      </c>
      <c r="AA253" s="3">
        <v>55915258</v>
      </c>
      <c r="AB253" s="3">
        <f t="shared" si="217"/>
        <v>50.543999999999997</v>
      </c>
      <c r="AC253" s="3">
        <f>ROUND(((ES253*1)),6)</f>
        <v>2.34</v>
      </c>
      <c r="AD253" s="3">
        <f>ROUND(((((ET253*1.2))-((EU253*1.2)))+AE253),6)</f>
        <v>0</v>
      </c>
      <c r="AE253" s="3">
        <f>ROUND(((EU253*1.2)),6)</f>
        <v>0</v>
      </c>
      <c r="AF253" s="3">
        <f>ROUND(((EV253*1.2)),6)</f>
        <v>48.204000000000001</v>
      </c>
      <c r="AG253" s="3">
        <f t="shared" si="218"/>
        <v>0</v>
      </c>
      <c r="AH253" s="3">
        <f>((EW253*1.2))</f>
        <v>3.8159999999999998</v>
      </c>
      <c r="AI253" s="3">
        <f>((EX253*1.2))</f>
        <v>0</v>
      </c>
      <c r="AJ253" s="3">
        <f t="shared" si="219"/>
        <v>0</v>
      </c>
      <c r="AK253" s="3">
        <v>42.51</v>
      </c>
      <c r="AL253" s="3">
        <v>2.34</v>
      </c>
      <c r="AM253" s="3">
        <v>0</v>
      </c>
      <c r="AN253" s="3">
        <v>0</v>
      </c>
      <c r="AO253" s="3">
        <v>40.17</v>
      </c>
      <c r="AP253" s="3">
        <v>0</v>
      </c>
      <c r="AQ253" s="3">
        <v>3.18</v>
      </c>
      <c r="AR253" s="3">
        <v>0</v>
      </c>
      <c r="AS253" s="3">
        <v>0</v>
      </c>
      <c r="AT253" s="3">
        <v>90</v>
      </c>
      <c r="AU253" s="3">
        <v>46</v>
      </c>
      <c r="AV253" s="3">
        <v>1.0469999999999999</v>
      </c>
      <c r="AW253" s="3">
        <v>1</v>
      </c>
      <c r="AZ253" s="3">
        <v>1</v>
      </c>
      <c r="BA253" s="3">
        <v>56.35</v>
      </c>
      <c r="BB253" s="3">
        <v>1</v>
      </c>
      <c r="BC253" s="3">
        <v>10.24</v>
      </c>
      <c r="BD253" s="3" t="s">
        <v>3</v>
      </c>
      <c r="BE253" s="3" t="s">
        <v>3</v>
      </c>
      <c r="BF253" s="3" t="s">
        <v>3</v>
      </c>
      <c r="BG253" s="3" t="s">
        <v>3</v>
      </c>
      <c r="BH253" s="3">
        <v>0</v>
      </c>
      <c r="BI253" s="3">
        <v>2</v>
      </c>
      <c r="BJ253" s="3" t="s">
        <v>69</v>
      </c>
      <c r="BM253" s="3">
        <v>68</v>
      </c>
      <c r="BN253" s="3">
        <v>0</v>
      </c>
      <c r="BO253" s="3" t="s">
        <v>67</v>
      </c>
      <c r="BP253" s="3">
        <v>1</v>
      </c>
      <c r="BQ253" s="3">
        <v>40</v>
      </c>
      <c r="BR253" s="3">
        <v>0</v>
      </c>
      <c r="BS253" s="3">
        <v>56.35</v>
      </c>
      <c r="BT253" s="3">
        <v>1</v>
      </c>
      <c r="BU253" s="3">
        <v>1</v>
      </c>
      <c r="BV253" s="3">
        <v>1</v>
      </c>
      <c r="BW253" s="3">
        <v>1</v>
      </c>
      <c r="BX253" s="3">
        <v>1</v>
      </c>
      <c r="BY253" s="3" t="s">
        <v>3</v>
      </c>
      <c r="BZ253" s="3">
        <v>90</v>
      </c>
      <c r="CA253" s="3">
        <v>46</v>
      </c>
      <c r="CB253" s="3" t="s">
        <v>3</v>
      </c>
      <c r="CE253" s="3">
        <v>1566</v>
      </c>
      <c r="CF253" s="3">
        <v>0</v>
      </c>
      <c r="CG253" s="3">
        <v>0</v>
      </c>
      <c r="CM253" s="3">
        <v>0</v>
      </c>
      <c r="CN253" s="3" t="s">
        <v>605</v>
      </c>
      <c r="CO253" s="3">
        <v>0</v>
      </c>
      <c r="CP253" s="3">
        <f t="shared" si="220"/>
        <v>14339.73</v>
      </c>
      <c r="CQ253" s="3">
        <f>ROUND((ROUND((AC253*AW253*1),2)*BC253),2)</f>
        <v>23.96</v>
      </c>
      <c r="CR253" s="3">
        <f>(ROUND((ROUND((((ET253*1.2))*AV253*1),2)*BB253),2)+ROUND((ROUND(((AE253-((EU253*1.2)))*AV253*1),2)*BS253),2))</f>
        <v>0</v>
      </c>
      <c r="CS253" s="3">
        <f>(ROUND((ROUND((((EU253*1.2))*AV253*1),2)*BS253),2)+ROUND((ROUND(((AE253-((EU253*1.2)))*AV253*1),2)*BS253),2))</f>
        <v>0</v>
      </c>
      <c r="CT253" s="3">
        <f t="shared" si="221"/>
        <v>2843.98</v>
      </c>
      <c r="CU253" s="3">
        <f t="shared" si="222"/>
        <v>0</v>
      </c>
      <c r="CV253" s="3">
        <f t="shared" si="223"/>
        <v>3.9953519999999996</v>
      </c>
      <c r="CW253" s="3">
        <f t="shared" si="224"/>
        <v>0</v>
      </c>
      <c r="CX253" s="3">
        <f t="shared" si="224"/>
        <v>0</v>
      </c>
      <c r="CY253" s="3">
        <f>(ROUND((((S253+ROUND((ROUND((((EU253*1.2))*AV253*1),2)*BS253),2))*AT253)/100),2)+ROUND(((ROUND((ROUND(((AE253-((EU253*1.2)))*AV253*1),2)*BS253),2)*AT253)/100),2))</f>
        <v>12797.93</v>
      </c>
      <c r="CZ253" s="3">
        <f>(ROUND((((S253+ROUND((ROUND((((EU253*1.2))*AV253*1),2)*BS253),2))*AU253)/100),2)+ROUND(((ROUND((ROUND(((AE253-((EU253*1.2)))*AV253*1),2)*BS253),2)*AU253)/100),2))</f>
        <v>6541.16</v>
      </c>
      <c r="DB253" s="3">
        <v>78</v>
      </c>
      <c r="DC253" s="3" t="s">
        <v>3</v>
      </c>
      <c r="DD253" s="3" t="s">
        <v>77</v>
      </c>
      <c r="DE253" s="3" t="s">
        <v>78</v>
      </c>
      <c r="DF253" s="3" t="s">
        <v>78</v>
      </c>
      <c r="DG253" s="3" t="s">
        <v>78</v>
      </c>
      <c r="DH253" s="3" t="s">
        <v>3</v>
      </c>
      <c r="DI253" s="3" t="s">
        <v>78</v>
      </c>
      <c r="DJ253" s="3" t="s">
        <v>78</v>
      </c>
      <c r="DK253" s="3" t="s">
        <v>3</v>
      </c>
      <c r="DL253" s="3" t="s">
        <v>3</v>
      </c>
      <c r="DM253" s="3" t="s">
        <v>3</v>
      </c>
      <c r="DN253" s="3">
        <v>0</v>
      </c>
      <c r="DO253" s="3">
        <v>0</v>
      </c>
      <c r="DP253" s="3">
        <v>1</v>
      </c>
      <c r="DQ253" s="3">
        <v>1</v>
      </c>
      <c r="DU253" s="3">
        <v>1013</v>
      </c>
      <c r="DV253" s="3" t="s">
        <v>22</v>
      </c>
      <c r="DW253" s="3" t="s">
        <v>22</v>
      </c>
      <c r="DX253" s="3">
        <v>1</v>
      </c>
      <c r="DZ253" s="3" t="s">
        <v>3</v>
      </c>
      <c r="EA253" s="3" t="s">
        <v>3</v>
      </c>
      <c r="EB253" s="3" t="s">
        <v>3</v>
      </c>
      <c r="EC253" s="3" t="s">
        <v>3</v>
      </c>
      <c r="EE253" s="3">
        <v>55393700</v>
      </c>
      <c r="EF253" s="3">
        <v>40</v>
      </c>
      <c r="EG253" s="3" t="s">
        <v>26</v>
      </c>
      <c r="EH253" s="3">
        <v>0</v>
      </c>
      <c r="EI253" s="3" t="s">
        <v>3</v>
      </c>
      <c r="EJ253" s="3">
        <v>2</v>
      </c>
      <c r="EK253" s="3">
        <v>68</v>
      </c>
      <c r="EL253" s="3" t="s">
        <v>27</v>
      </c>
      <c r="EM253" s="3" t="s">
        <v>28</v>
      </c>
      <c r="EO253" s="3" t="s">
        <v>82</v>
      </c>
      <c r="EQ253" s="3">
        <v>0</v>
      </c>
      <c r="ER253" s="3">
        <v>42.51</v>
      </c>
      <c r="ES253" s="3">
        <v>2.34</v>
      </c>
      <c r="ET253" s="3">
        <v>0</v>
      </c>
      <c r="EU253" s="3">
        <v>0</v>
      </c>
      <c r="EV253" s="3">
        <v>40.17</v>
      </c>
      <c r="EW253" s="3">
        <v>3.18</v>
      </c>
      <c r="EX253" s="3">
        <v>0</v>
      </c>
      <c r="EY253" s="3">
        <v>0</v>
      </c>
      <c r="FQ253" s="3">
        <v>0</v>
      </c>
      <c r="FR253" s="3">
        <v>0</v>
      </c>
      <c r="FS253" s="3">
        <v>0</v>
      </c>
      <c r="FX253" s="3">
        <v>90</v>
      </c>
      <c r="FY253" s="3">
        <v>46</v>
      </c>
      <c r="GA253" s="3" t="s">
        <v>3</v>
      </c>
      <c r="GD253" s="3">
        <v>1</v>
      </c>
      <c r="GF253" s="3">
        <v>-1314481947</v>
      </c>
      <c r="GG253" s="3">
        <v>2</v>
      </c>
      <c r="GH253" s="3">
        <v>1</v>
      </c>
      <c r="GI253" s="3">
        <v>2</v>
      </c>
      <c r="GJ253" s="3">
        <v>0</v>
      </c>
      <c r="GK253" s="3">
        <v>0</v>
      </c>
      <c r="GL253" s="3">
        <f t="shared" si="225"/>
        <v>0</v>
      </c>
      <c r="GM253" s="3">
        <f t="shared" si="226"/>
        <v>33678.82</v>
      </c>
      <c r="GN253" s="3">
        <f t="shared" si="227"/>
        <v>0</v>
      </c>
      <c r="GO253" s="3">
        <f t="shared" si="228"/>
        <v>33678.82</v>
      </c>
      <c r="GP253" s="3">
        <f t="shared" si="229"/>
        <v>0</v>
      </c>
      <c r="GR253" s="3">
        <v>0</v>
      </c>
      <c r="GS253" s="3">
        <v>3</v>
      </c>
      <c r="GT253" s="3">
        <v>0</v>
      </c>
      <c r="GU253" s="3" t="s">
        <v>3</v>
      </c>
      <c r="GV253" s="3">
        <f t="shared" si="230"/>
        <v>0</v>
      </c>
      <c r="GW253" s="3">
        <v>1</v>
      </c>
      <c r="GX253" s="3">
        <f t="shared" si="231"/>
        <v>0</v>
      </c>
      <c r="HA253" s="3">
        <v>0</v>
      </c>
      <c r="HB253" s="3">
        <v>0</v>
      </c>
      <c r="HC253" s="3">
        <f t="shared" si="232"/>
        <v>0</v>
      </c>
      <c r="HE253" s="3" t="s">
        <v>3</v>
      </c>
      <c r="HF253" s="3" t="s">
        <v>3</v>
      </c>
      <c r="HM253" s="3" t="s">
        <v>3</v>
      </c>
      <c r="HN253" s="3" t="s">
        <v>3</v>
      </c>
      <c r="HO253" s="3" t="s">
        <v>3</v>
      </c>
      <c r="HP253" s="3" t="s">
        <v>3</v>
      </c>
      <c r="HQ253" s="3" t="s">
        <v>3</v>
      </c>
      <c r="HS253" s="3">
        <v>0</v>
      </c>
      <c r="IK253" s="3">
        <v>0</v>
      </c>
    </row>
    <row r="254" spans="1:255" x14ac:dyDescent="0.2">
      <c r="A254" s="2">
        <v>17</v>
      </c>
      <c r="B254" s="2">
        <v>1</v>
      </c>
      <c r="C254" s="2"/>
      <c r="D254" s="2"/>
      <c r="E254" s="2" t="s">
        <v>245</v>
      </c>
      <c r="F254" s="2" t="s">
        <v>246</v>
      </c>
      <c r="G254" s="2" t="s">
        <v>247</v>
      </c>
      <c r="H254" s="2" t="s">
        <v>153</v>
      </c>
      <c r="I254" s="2">
        <v>3</v>
      </c>
      <c r="J254" s="2">
        <v>0</v>
      </c>
      <c r="K254" s="2">
        <v>3</v>
      </c>
      <c r="L254" s="2"/>
      <c r="M254" s="2"/>
      <c r="N254" s="2"/>
      <c r="O254" s="2">
        <f t="shared" si="211"/>
        <v>1222.56</v>
      </c>
      <c r="P254" s="2">
        <f>ROUND((ROUND((AC254*AW254*I254),2)*BC254),2)</f>
        <v>1222.56</v>
      </c>
      <c r="Q254" s="2">
        <f>(ROUND((ROUND(((ET254)*AV254*I254),2)*BB254),2)+ROUND((ROUND(((AE254-(EU254))*AV254*I254),2)*BS254),2))</f>
        <v>0</v>
      </c>
      <c r="R254" s="2">
        <f>(ROUND((ROUND(((EU254)*AV254*I254),2)*BS254),2)+ROUND((ROUND(((AE254-(EU254))*AV254*I254),2)*BS254),2))</f>
        <v>0</v>
      </c>
      <c r="S254" s="2">
        <f t="shared" si="212"/>
        <v>0</v>
      </c>
      <c r="T254" s="2">
        <f t="shared" si="213"/>
        <v>0</v>
      </c>
      <c r="U254" s="2">
        <f t="shared" si="214"/>
        <v>0</v>
      </c>
      <c r="V254" s="2">
        <f t="shared" si="215"/>
        <v>0</v>
      </c>
      <c r="W254" s="2">
        <f t="shared" si="216"/>
        <v>0</v>
      </c>
      <c r="X254" s="2">
        <f>(ROUND((((S254+ROUND((ROUND(((EU254)*AV254*I254),2)*BS254),2))*AT254)/100),2)+ROUND(((ROUND((ROUND(((AE254-(EU254))*AV254*I254),2)*BS254),2)*AT254)/100),2))</f>
        <v>0</v>
      </c>
      <c r="Y254" s="2">
        <f>(ROUND((((S254+ROUND((ROUND(((EU254)*AV254*I254),2)*BS254),2))*AU254)/100),2)+ROUND(((ROUND((ROUND(((AE254-(EU254))*AV254*I254),2)*BS254),2)*AU254)/100),2))</f>
        <v>0</v>
      </c>
      <c r="Z254" s="2"/>
      <c r="AA254" s="2">
        <v>55915256</v>
      </c>
      <c r="AB254" s="2">
        <f t="shared" si="217"/>
        <v>407.52</v>
      </c>
      <c r="AC254" s="2">
        <f>ROUND((ES254),6)</f>
        <v>407.52</v>
      </c>
      <c r="AD254" s="2">
        <f>ROUND((((ET254)-(EU254))+AE254),6)</f>
        <v>0</v>
      </c>
      <c r="AE254" s="2">
        <f t="shared" ref="AE254:AF257" si="233">ROUND((EU254),6)</f>
        <v>0</v>
      </c>
      <c r="AF254" s="2">
        <f t="shared" si="233"/>
        <v>0</v>
      </c>
      <c r="AG254" s="2">
        <f t="shared" si="218"/>
        <v>0</v>
      </c>
      <c r="AH254" s="2">
        <f t="shared" ref="AH254:AI257" si="234">(EW254)</f>
        <v>0</v>
      </c>
      <c r="AI254" s="2">
        <f t="shared" si="234"/>
        <v>0</v>
      </c>
      <c r="AJ254" s="2">
        <f t="shared" si="219"/>
        <v>0</v>
      </c>
      <c r="AK254" s="2">
        <v>407.52</v>
      </c>
      <c r="AL254" s="2">
        <v>407.52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1</v>
      </c>
      <c r="AW254" s="2">
        <v>1</v>
      </c>
      <c r="AX254" s="2"/>
      <c r="AY254" s="2"/>
      <c r="AZ254" s="2">
        <v>1</v>
      </c>
      <c r="BA254" s="2">
        <v>1</v>
      </c>
      <c r="BB254" s="2">
        <v>1</v>
      </c>
      <c r="BC254" s="2">
        <v>1</v>
      </c>
      <c r="BD254" s="2" t="s">
        <v>3</v>
      </c>
      <c r="BE254" s="2" t="s">
        <v>3</v>
      </c>
      <c r="BF254" s="2" t="s">
        <v>3</v>
      </c>
      <c r="BG254" s="2" t="s">
        <v>3</v>
      </c>
      <c r="BH254" s="2">
        <v>3</v>
      </c>
      <c r="BI254" s="2">
        <v>3</v>
      </c>
      <c r="BJ254" s="2" t="s">
        <v>246</v>
      </c>
      <c r="BK254" s="2"/>
      <c r="BL254" s="2"/>
      <c r="BM254" s="2">
        <v>400007</v>
      </c>
      <c r="BN254" s="2">
        <v>0</v>
      </c>
      <c r="BO254" s="2" t="s">
        <v>3</v>
      </c>
      <c r="BP254" s="2">
        <v>0</v>
      </c>
      <c r="BQ254" s="2">
        <v>214</v>
      </c>
      <c r="BR254" s="2">
        <v>0</v>
      </c>
      <c r="BS254" s="2">
        <v>1</v>
      </c>
      <c r="BT254" s="2">
        <v>1</v>
      </c>
      <c r="BU254" s="2">
        <v>1</v>
      </c>
      <c r="BV254" s="2">
        <v>1</v>
      </c>
      <c r="BW254" s="2">
        <v>1</v>
      </c>
      <c r="BX254" s="2">
        <v>1</v>
      </c>
      <c r="BY254" s="2" t="s">
        <v>3</v>
      </c>
      <c r="BZ254" s="2">
        <v>0</v>
      </c>
      <c r="CA254" s="2">
        <v>0</v>
      </c>
      <c r="CB254" s="2" t="s">
        <v>3</v>
      </c>
      <c r="CC254" s="2"/>
      <c r="CD254" s="2"/>
      <c r="CE254" s="2">
        <v>1566</v>
      </c>
      <c r="CF254" s="2">
        <v>0</v>
      </c>
      <c r="CG254" s="2">
        <v>0</v>
      </c>
      <c r="CH254" s="2"/>
      <c r="CI254" s="2"/>
      <c r="CJ254" s="2"/>
      <c r="CK254" s="2"/>
      <c r="CL254" s="2"/>
      <c r="CM254" s="2">
        <v>0</v>
      </c>
      <c r="CN254" s="2" t="s">
        <v>3</v>
      </c>
      <c r="CO254" s="2">
        <v>0</v>
      </c>
      <c r="CP254" s="2">
        <f t="shared" si="220"/>
        <v>1222.56</v>
      </c>
      <c r="CQ254" s="2">
        <f>ROUND((ROUND((AC254*AW254*1),2)*BC254),2)</f>
        <v>407.52</v>
      </c>
      <c r="CR254" s="2">
        <f>(ROUND((ROUND(((ET254)*AV254*1),2)*BB254),2)+ROUND((ROUND(((AE254-(EU254))*AV254*1),2)*BS254),2))</f>
        <v>0</v>
      </c>
      <c r="CS254" s="2">
        <f>(ROUND((ROUND(((EU254)*AV254*1),2)*BS254),2)+ROUND((ROUND(((AE254-(EU254))*AV254*1),2)*BS254),2))</f>
        <v>0</v>
      </c>
      <c r="CT254" s="2">
        <f t="shared" si="221"/>
        <v>0</v>
      </c>
      <c r="CU254" s="2">
        <f t="shared" si="222"/>
        <v>0</v>
      </c>
      <c r="CV254" s="2">
        <f t="shared" si="223"/>
        <v>0</v>
      </c>
      <c r="CW254" s="2">
        <f t="shared" si="224"/>
        <v>0</v>
      </c>
      <c r="CX254" s="2">
        <f t="shared" si="224"/>
        <v>0</v>
      </c>
      <c r="CY254" s="2">
        <f>(ROUND((((S254+ROUND((ROUND(((EU254)*AV254*1),2)*BS254),2))*AT254)/100),2)+ROUND(((ROUND((ROUND(((AE254-(EU254))*AV254*1),2)*BS254),2)*AT254)/100),2))</f>
        <v>0</v>
      </c>
      <c r="CZ254" s="2">
        <f>(ROUND((((S254+ROUND((ROUND(((EU254)*AV254*1),2)*BS254),2))*AU254)/100),2)+ROUND(((ROUND((ROUND(((AE254-(EU254))*AV254*1),2)*BS254),2)*AU254)/100),2))</f>
        <v>0</v>
      </c>
      <c r="DA254" s="2"/>
      <c r="DB254" s="2"/>
      <c r="DC254" s="2" t="s">
        <v>3</v>
      </c>
      <c r="DD254" s="2" t="s">
        <v>3</v>
      </c>
      <c r="DE254" s="2" t="s">
        <v>3</v>
      </c>
      <c r="DF254" s="2" t="s">
        <v>3</v>
      </c>
      <c r="DG254" s="2" t="s">
        <v>3</v>
      </c>
      <c r="DH254" s="2" t="s">
        <v>3</v>
      </c>
      <c r="DI254" s="2" t="s">
        <v>3</v>
      </c>
      <c r="DJ254" s="2" t="s">
        <v>3</v>
      </c>
      <c r="DK254" s="2" t="s">
        <v>3</v>
      </c>
      <c r="DL254" s="2" t="s">
        <v>3</v>
      </c>
      <c r="DM254" s="2" t="s">
        <v>3</v>
      </c>
      <c r="DN254" s="2">
        <v>0</v>
      </c>
      <c r="DO254" s="2">
        <v>0</v>
      </c>
      <c r="DP254" s="2">
        <v>1</v>
      </c>
      <c r="DQ254" s="2">
        <v>1</v>
      </c>
      <c r="DR254" s="2"/>
      <c r="DS254" s="2"/>
      <c r="DT254" s="2"/>
      <c r="DU254" s="2">
        <v>1013</v>
      </c>
      <c r="DV254" s="2" t="s">
        <v>153</v>
      </c>
      <c r="DW254" s="2" t="s">
        <v>153</v>
      </c>
      <c r="DX254" s="2">
        <v>1</v>
      </c>
      <c r="DY254" s="2"/>
      <c r="DZ254" s="2" t="s">
        <v>3</v>
      </c>
      <c r="EA254" s="2" t="s">
        <v>3</v>
      </c>
      <c r="EB254" s="2" t="s">
        <v>3</v>
      </c>
      <c r="EC254" s="2" t="s">
        <v>3</v>
      </c>
      <c r="ED254" s="2"/>
      <c r="EE254" s="2">
        <v>55393630</v>
      </c>
      <c r="EF254" s="2">
        <v>214</v>
      </c>
      <c r="EG254" s="2" t="s">
        <v>154</v>
      </c>
      <c r="EH254" s="2">
        <v>0</v>
      </c>
      <c r="EI254" s="2" t="s">
        <v>3</v>
      </c>
      <c r="EJ254" s="2">
        <v>3</v>
      </c>
      <c r="EK254" s="2">
        <v>400007</v>
      </c>
      <c r="EL254" s="2" t="s">
        <v>154</v>
      </c>
      <c r="EM254" s="2" t="s">
        <v>155</v>
      </c>
      <c r="EN254" s="2"/>
      <c r="EO254" s="2" t="s">
        <v>3</v>
      </c>
      <c r="EP254" s="2"/>
      <c r="EQ254" s="2">
        <v>16</v>
      </c>
      <c r="ER254" s="2">
        <v>0</v>
      </c>
      <c r="ES254" s="2">
        <v>407.52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>
        <v>0</v>
      </c>
      <c r="FR254" s="2">
        <f>P254</f>
        <v>1222.56</v>
      </c>
      <c r="FS254" s="2">
        <v>0</v>
      </c>
      <c r="FT254" s="2"/>
      <c r="FU254" s="2"/>
      <c r="FV254" s="2"/>
      <c r="FW254" s="2"/>
      <c r="FX254" s="2">
        <v>0</v>
      </c>
      <c r="FY254" s="2">
        <v>0</v>
      </c>
      <c r="FZ254" s="2"/>
      <c r="GA254" s="2" t="s">
        <v>248</v>
      </c>
      <c r="GB254" s="2"/>
      <c r="GC254" s="2"/>
      <c r="GD254" s="2">
        <v>1</v>
      </c>
      <c r="GE254" s="2"/>
      <c r="GF254" s="2">
        <v>1398911481</v>
      </c>
      <c r="GG254" s="2">
        <v>2</v>
      </c>
      <c r="GH254" s="2">
        <v>4</v>
      </c>
      <c r="GI254" s="2">
        <v>-2</v>
      </c>
      <c r="GJ254" s="2">
        <v>0</v>
      </c>
      <c r="GK254" s="2">
        <v>0</v>
      </c>
      <c r="GL254" s="2">
        <f t="shared" si="225"/>
        <v>0</v>
      </c>
      <c r="GM254" s="2">
        <f t="shared" si="226"/>
        <v>1222.56</v>
      </c>
      <c r="GN254" s="2">
        <f t="shared" si="227"/>
        <v>0</v>
      </c>
      <c r="GO254" s="2">
        <f t="shared" si="228"/>
        <v>0</v>
      </c>
      <c r="GP254" s="2">
        <f t="shared" si="229"/>
        <v>0</v>
      </c>
      <c r="GQ254" s="2"/>
      <c r="GR254" s="2">
        <v>1</v>
      </c>
      <c r="GS254" s="2">
        <v>2</v>
      </c>
      <c r="GT254" s="2">
        <v>0</v>
      </c>
      <c r="GU254" s="2" t="s">
        <v>3</v>
      </c>
      <c r="GV254" s="2">
        <f t="shared" si="230"/>
        <v>0</v>
      </c>
      <c r="GW254" s="2">
        <v>1</v>
      </c>
      <c r="GX254" s="2">
        <f t="shared" si="231"/>
        <v>0</v>
      </c>
      <c r="GY254" s="2"/>
      <c r="GZ254" s="2"/>
      <c r="HA254" s="2">
        <v>0</v>
      </c>
      <c r="HB254" s="2">
        <v>0</v>
      </c>
      <c r="HC254" s="2">
        <f t="shared" si="232"/>
        <v>0</v>
      </c>
      <c r="HD254" s="2"/>
      <c r="HE254" s="2" t="s">
        <v>34</v>
      </c>
      <c r="HF254" s="2" t="s">
        <v>157</v>
      </c>
      <c r="HG254" s="2"/>
      <c r="HH254" s="2"/>
      <c r="HI254" s="2"/>
      <c r="HJ254" s="2"/>
      <c r="HK254" s="2"/>
      <c r="HL254" s="2"/>
      <c r="HM254" s="2" t="s">
        <v>3</v>
      </c>
      <c r="HN254" s="2" t="s">
        <v>3</v>
      </c>
      <c r="HO254" s="2" t="s">
        <v>3</v>
      </c>
      <c r="HP254" s="2" t="s">
        <v>3</v>
      </c>
      <c r="HQ254" s="2" t="s">
        <v>3</v>
      </c>
      <c r="HR254" s="2"/>
      <c r="HS254" s="2">
        <v>0</v>
      </c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>
        <v>0</v>
      </c>
      <c r="IL254" s="2"/>
      <c r="IM254" s="2"/>
      <c r="IN254" s="2"/>
      <c r="IO254" s="2"/>
      <c r="IP254" s="2"/>
      <c r="IQ254" s="2"/>
      <c r="IR254" s="2"/>
      <c r="IS254" s="2"/>
      <c r="IT254" s="2"/>
      <c r="IU254" s="2"/>
    </row>
    <row r="255" spans="1:255" x14ac:dyDescent="0.2">
      <c r="A255" s="3">
        <v>17</v>
      </c>
      <c r="B255" s="3">
        <v>1</v>
      </c>
      <c r="E255" s="3" t="s">
        <v>245</v>
      </c>
      <c r="F255" s="3" t="s">
        <v>246</v>
      </c>
      <c r="G255" s="3" t="s">
        <v>247</v>
      </c>
      <c r="H255" s="3" t="s">
        <v>153</v>
      </c>
      <c r="I255" s="3">
        <v>3</v>
      </c>
      <c r="J255" s="3">
        <v>0</v>
      </c>
      <c r="K255" s="3">
        <v>3</v>
      </c>
      <c r="O255" s="3">
        <f t="shared" si="211"/>
        <v>12029.99</v>
      </c>
      <c r="P255" s="3">
        <f>ROUND((ROUND((AC255*AW255*I255),2)*BC255),2)</f>
        <v>12029.99</v>
      </c>
      <c r="Q255" s="3">
        <f>(ROUND((ROUND(((ET255)*AV255*I255),2)*BB255),2)+ROUND((ROUND(((AE255-(EU255))*AV255*I255),2)*BS255),2))</f>
        <v>0</v>
      </c>
      <c r="R255" s="3">
        <f>(ROUND((ROUND(((EU255)*AV255*I255),2)*BS255),2)+ROUND((ROUND(((AE255-(EU255))*AV255*I255),2)*BS255),2))</f>
        <v>0</v>
      </c>
      <c r="S255" s="3">
        <f t="shared" si="212"/>
        <v>0</v>
      </c>
      <c r="T255" s="3">
        <f t="shared" si="213"/>
        <v>0</v>
      </c>
      <c r="U255" s="3">
        <f t="shared" si="214"/>
        <v>0</v>
      </c>
      <c r="V255" s="3">
        <f t="shared" si="215"/>
        <v>0</v>
      </c>
      <c r="W255" s="3">
        <f t="shared" si="216"/>
        <v>0</v>
      </c>
      <c r="X255" s="3">
        <f>(ROUND((((S255+ROUND((ROUND(((EU255)*AV255*I255),2)*BS255),2))*AT255)/100),2)+ROUND(((ROUND((ROUND(((AE255-(EU255))*AV255*I255),2)*BS255),2)*AT255)/100),2))</f>
        <v>0</v>
      </c>
      <c r="Y255" s="3">
        <f>(ROUND((((S255+ROUND((ROUND(((EU255)*AV255*I255),2)*BS255),2))*AU255)/100),2)+ROUND(((ROUND((ROUND(((AE255-(EU255))*AV255*I255),2)*BS255),2)*AU255)/100),2))</f>
        <v>0</v>
      </c>
      <c r="AA255" s="3">
        <v>55915258</v>
      </c>
      <c r="AB255" s="3">
        <f t="shared" si="217"/>
        <v>407.52</v>
      </c>
      <c r="AC255" s="3">
        <f>ROUND((ES255),6)</f>
        <v>407.52</v>
      </c>
      <c r="AD255" s="3">
        <f>ROUND((((ET255)-(EU255))+AE255),6)</f>
        <v>0</v>
      </c>
      <c r="AE255" s="3">
        <f t="shared" si="233"/>
        <v>0</v>
      </c>
      <c r="AF255" s="3">
        <f t="shared" si="233"/>
        <v>0</v>
      </c>
      <c r="AG255" s="3">
        <f t="shared" si="218"/>
        <v>0</v>
      </c>
      <c r="AH255" s="3">
        <f t="shared" si="234"/>
        <v>0</v>
      </c>
      <c r="AI255" s="3">
        <f t="shared" si="234"/>
        <v>0</v>
      </c>
      <c r="AJ255" s="3">
        <f t="shared" si="219"/>
        <v>0</v>
      </c>
      <c r="AK255" s="3">
        <v>407.52</v>
      </c>
      <c r="AL255" s="3">
        <v>407.52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1</v>
      </c>
      <c r="AW255" s="3">
        <v>1</v>
      </c>
      <c r="AZ255" s="3">
        <v>1</v>
      </c>
      <c r="BA255" s="3">
        <v>1</v>
      </c>
      <c r="BB255" s="3">
        <v>1</v>
      </c>
      <c r="BC255" s="3">
        <v>9.84</v>
      </c>
      <c r="BD255" s="3" t="s">
        <v>3</v>
      </c>
      <c r="BE255" s="3" t="s">
        <v>3</v>
      </c>
      <c r="BF255" s="3" t="s">
        <v>3</v>
      </c>
      <c r="BG255" s="3" t="s">
        <v>3</v>
      </c>
      <c r="BH255" s="3">
        <v>3</v>
      </c>
      <c r="BI255" s="3">
        <v>3</v>
      </c>
      <c r="BJ255" s="3" t="s">
        <v>246</v>
      </c>
      <c r="BM255" s="3">
        <v>400007</v>
      </c>
      <c r="BN255" s="3">
        <v>0</v>
      </c>
      <c r="BO255" s="3" t="s">
        <v>3</v>
      </c>
      <c r="BP255" s="3">
        <v>0</v>
      </c>
      <c r="BQ255" s="3">
        <v>214</v>
      </c>
      <c r="BR255" s="3">
        <v>0</v>
      </c>
      <c r="BS255" s="3">
        <v>1</v>
      </c>
      <c r="BT255" s="3">
        <v>1</v>
      </c>
      <c r="BU255" s="3">
        <v>1</v>
      </c>
      <c r="BV255" s="3">
        <v>1</v>
      </c>
      <c r="BW255" s="3">
        <v>1</v>
      </c>
      <c r="BX255" s="3">
        <v>1</v>
      </c>
      <c r="BY255" s="3" t="s">
        <v>3</v>
      </c>
      <c r="BZ255" s="3">
        <v>0</v>
      </c>
      <c r="CA255" s="3">
        <v>0</v>
      </c>
      <c r="CB255" s="3" t="s">
        <v>3</v>
      </c>
      <c r="CE255" s="3">
        <v>1566</v>
      </c>
      <c r="CF255" s="3">
        <v>0</v>
      </c>
      <c r="CG255" s="3">
        <v>0</v>
      </c>
      <c r="CM255" s="3">
        <v>0</v>
      </c>
      <c r="CN255" s="3" t="s">
        <v>3</v>
      </c>
      <c r="CO255" s="3">
        <v>0</v>
      </c>
      <c r="CP255" s="3">
        <f t="shared" si="220"/>
        <v>12029.99</v>
      </c>
      <c r="CQ255" s="3">
        <f>ROUND((ROUND((AC255*AW255*1),2)*BC255),2)</f>
        <v>4010</v>
      </c>
      <c r="CR255" s="3">
        <f>(ROUND((ROUND(((ET255)*AV255*1),2)*BB255),2)+ROUND((ROUND(((AE255-(EU255))*AV255*1),2)*BS255),2))</f>
        <v>0</v>
      </c>
      <c r="CS255" s="3">
        <f>(ROUND((ROUND(((EU255)*AV255*1),2)*BS255),2)+ROUND((ROUND(((AE255-(EU255))*AV255*1),2)*BS255),2))</f>
        <v>0</v>
      </c>
      <c r="CT255" s="3">
        <f t="shared" si="221"/>
        <v>0</v>
      </c>
      <c r="CU255" s="3">
        <f t="shared" si="222"/>
        <v>0</v>
      </c>
      <c r="CV255" s="3">
        <f t="shared" si="223"/>
        <v>0</v>
      </c>
      <c r="CW255" s="3">
        <f t="shared" si="224"/>
        <v>0</v>
      </c>
      <c r="CX255" s="3">
        <f t="shared" si="224"/>
        <v>0</v>
      </c>
      <c r="CY255" s="3">
        <f>(ROUND((((S255+ROUND((ROUND(((EU255)*AV255*1),2)*BS255),2))*AT255)/100),2)+ROUND(((ROUND((ROUND(((AE255-(EU255))*AV255*1),2)*BS255),2)*AT255)/100),2))</f>
        <v>0</v>
      </c>
      <c r="CZ255" s="3">
        <f>(ROUND((((S255+ROUND((ROUND(((EU255)*AV255*1),2)*BS255),2))*AU255)/100),2)+ROUND(((ROUND((ROUND(((AE255-(EU255))*AV255*1),2)*BS255),2)*AU255)/100),2))</f>
        <v>0</v>
      </c>
      <c r="DC255" s="3" t="s">
        <v>3</v>
      </c>
      <c r="DD255" s="3" t="s">
        <v>3</v>
      </c>
      <c r="DE255" s="3" t="s">
        <v>3</v>
      </c>
      <c r="DF255" s="3" t="s">
        <v>3</v>
      </c>
      <c r="DG255" s="3" t="s">
        <v>3</v>
      </c>
      <c r="DH255" s="3" t="s">
        <v>3</v>
      </c>
      <c r="DI255" s="3" t="s">
        <v>3</v>
      </c>
      <c r="DJ255" s="3" t="s">
        <v>3</v>
      </c>
      <c r="DK255" s="3" t="s">
        <v>3</v>
      </c>
      <c r="DL255" s="3" t="s">
        <v>3</v>
      </c>
      <c r="DM255" s="3" t="s">
        <v>3</v>
      </c>
      <c r="DN255" s="3">
        <v>0</v>
      </c>
      <c r="DO255" s="3">
        <v>0</v>
      </c>
      <c r="DP255" s="3">
        <v>1</v>
      </c>
      <c r="DQ255" s="3">
        <v>1</v>
      </c>
      <c r="DU255" s="3">
        <v>1013</v>
      </c>
      <c r="DV255" s="3" t="s">
        <v>153</v>
      </c>
      <c r="DW255" s="3" t="s">
        <v>153</v>
      </c>
      <c r="DX255" s="3">
        <v>1</v>
      </c>
      <c r="DZ255" s="3" t="s">
        <v>3</v>
      </c>
      <c r="EA255" s="3" t="s">
        <v>3</v>
      </c>
      <c r="EB255" s="3" t="s">
        <v>3</v>
      </c>
      <c r="EC255" s="3" t="s">
        <v>3</v>
      </c>
      <c r="EE255" s="3">
        <v>55393630</v>
      </c>
      <c r="EF255" s="3">
        <v>214</v>
      </c>
      <c r="EG255" s="3" t="s">
        <v>154</v>
      </c>
      <c r="EH255" s="3">
        <v>0</v>
      </c>
      <c r="EI255" s="3" t="s">
        <v>3</v>
      </c>
      <c r="EJ255" s="3">
        <v>3</v>
      </c>
      <c r="EK255" s="3">
        <v>400007</v>
      </c>
      <c r="EL255" s="3" t="s">
        <v>154</v>
      </c>
      <c r="EM255" s="3" t="s">
        <v>155</v>
      </c>
      <c r="EO255" s="3" t="s">
        <v>3</v>
      </c>
      <c r="EQ255" s="3">
        <v>16</v>
      </c>
      <c r="ER255" s="3">
        <v>0</v>
      </c>
      <c r="ES255" s="3">
        <v>407.52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EY255" s="3">
        <v>0</v>
      </c>
      <c r="EZ255" s="3">
        <v>5</v>
      </c>
      <c r="FC255" s="3">
        <v>1</v>
      </c>
      <c r="FD255" s="3">
        <v>18</v>
      </c>
      <c r="FF255" s="3">
        <v>4693.43</v>
      </c>
      <c r="FQ255" s="3">
        <v>0</v>
      </c>
      <c r="FR255" s="3">
        <f>P255</f>
        <v>12029.99</v>
      </c>
      <c r="FS255" s="3">
        <v>0</v>
      </c>
      <c r="FX255" s="3">
        <v>0</v>
      </c>
      <c r="FY255" s="3">
        <v>0</v>
      </c>
      <c r="GA255" s="3" t="s">
        <v>248</v>
      </c>
      <c r="GD255" s="3">
        <v>1</v>
      </c>
      <c r="GF255" s="3">
        <v>1398911481</v>
      </c>
      <c r="GG255" s="3">
        <v>2</v>
      </c>
      <c r="GH255" s="3">
        <v>3</v>
      </c>
      <c r="GI255" s="3">
        <v>5</v>
      </c>
      <c r="GJ255" s="3">
        <v>0</v>
      </c>
      <c r="GK255" s="3">
        <v>0</v>
      </c>
      <c r="GL255" s="3">
        <f t="shared" si="225"/>
        <v>0</v>
      </c>
      <c r="GM255" s="3">
        <f t="shared" si="226"/>
        <v>12029.99</v>
      </c>
      <c r="GN255" s="3">
        <f t="shared" si="227"/>
        <v>0</v>
      </c>
      <c r="GO255" s="3">
        <f t="shared" si="228"/>
        <v>0</v>
      </c>
      <c r="GP255" s="3">
        <f t="shared" si="229"/>
        <v>0</v>
      </c>
      <c r="GR255" s="3">
        <v>1</v>
      </c>
      <c r="GS255" s="3">
        <v>1</v>
      </c>
      <c r="GT255" s="3">
        <v>0</v>
      </c>
      <c r="GU255" s="3" t="s">
        <v>3</v>
      </c>
      <c r="GV255" s="3">
        <f t="shared" si="230"/>
        <v>0</v>
      </c>
      <c r="GW255" s="3">
        <v>1</v>
      </c>
      <c r="GX255" s="3">
        <f t="shared" si="231"/>
        <v>0</v>
      </c>
      <c r="HA255" s="3">
        <v>0</v>
      </c>
      <c r="HB255" s="3">
        <v>0</v>
      </c>
      <c r="HC255" s="3">
        <f t="shared" si="232"/>
        <v>0</v>
      </c>
      <c r="HE255" s="3" t="s">
        <v>34</v>
      </c>
      <c r="HF255" s="3" t="s">
        <v>157</v>
      </c>
      <c r="HM255" s="3" t="s">
        <v>3</v>
      </c>
      <c r="HN255" s="3" t="s">
        <v>3</v>
      </c>
      <c r="HO255" s="3" t="s">
        <v>3</v>
      </c>
      <c r="HP255" s="3" t="s">
        <v>3</v>
      </c>
      <c r="HQ255" s="3" t="s">
        <v>3</v>
      </c>
      <c r="HS255" s="3">
        <v>0</v>
      </c>
      <c r="IK255" s="3">
        <v>0</v>
      </c>
    </row>
    <row r="256" spans="1:255" x14ac:dyDescent="0.2">
      <c r="A256" s="2">
        <v>17</v>
      </c>
      <c r="B256" s="2">
        <v>1</v>
      </c>
      <c r="C256" s="2"/>
      <c r="D256" s="2"/>
      <c r="E256" s="2" t="s">
        <v>249</v>
      </c>
      <c r="F256" s="2" t="s">
        <v>250</v>
      </c>
      <c r="G256" s="2" t="s">
        <v>251</v>
      </c>
      <c r="H256" s="2" t="s">
        <v>191</v>
      </c>
      <c r="I256" s="2">
        <v>2</v>
      </c>
      <c r="J256" s="2">
        <v>0</v>
      </c>
      <c r="K256" s="2">
        <v>2</v>
      </c>
      <c r="L256" s="2"/>
      <c r="M256" s="2"/>
      <c r="N256" s="2"/>
      <c r="O256" s="2">
        <f t="shared" si="211"/>
        <v>178.78</v>
      </c>
      <c r="P256" s="2">
        <f>ROUND((ROUND((AC256*I256),2)*BC256),2)</f>
        <v>178.78</v>
      </c>
      <c r="Q256" s="2">
        <f>(ROUND((ROUND(((ET256)*AV256*I256),2)*BB256),2)+ROUND((ROUND(((AE256-(EU256))*AV256*I256),2)*BS256),2))</f>
        <v>0</v>
      </c>
      <c r="R256" s="2">
        <f>(ROUND((ROUND(((EU256)*AV256*I256),2)*BS256),2)+ROUND((ROUND(((AE256-(EU256))*AV256*I256),2)*BS256),2))</f>
        <v>0</v>
      </c>
      <c r="S256" s="2">
        <f t="shared" si="212"/>
        <v>0</v>
      </c>
      <c r="T256" s="2">
        <f t="shared" si="213"/>
        <v>0</v>
      </c>
      <c r="U256" s="2">
        <f t="shared" si="214"/>
        <v>0</v>
      </c>
      <c r="V256" s="2">
        <f t="shared" si="215"/>
        <v>0</v>
      </c>
      <c r="W256" s="2">
        <f t="shared" si="216"/>
        <v>0</v>
      </c>
      <c r="X256" s="2">
        <f>(ROUND((((S256+ROUND((ROUND(((EU256)*AV256*I256),2)*BS256),2))*AT256)/100),2)+ROUND(((ROUND((ROUND(((AE256-(EU256))*AV256*I256),2)*BS256),2)*AT256)/100),2))</f>
        <v>0</v>
      </c>
      <c r="Y256" s="2">
        <f>(ROUND((((S256+ROUND((ROUND(((EU256)*AV256*I256),2)*BS256),2))*AU256)/100),2)+ROUND(((ROUND((ROUND(((AE256-(EU256))*AV256*I256),2)*BS256),2)*AU256)/100),2))</f>
        <v>0</v>
      </c>
      <c r="Z256" s="2"/>
      <c r="AA256" s="2">
        <v>55915256</v>
      </c>
      <c r="AB256" s="2">
        <f t="shared" si="217"/>
        <v>89.39</v>
      </c>
      <c r="AC256" s="2">
        <f>ROUND((ES256),6)</f>
        <v>89.39</v>
      </c>
      <c r="AD256" s="2">
        <f>ROUND((((ET256)-(EU256))+AE256),6)</f>
        <v>0</v>
      </c>
      <c r="AE256" s="2">
        <f t="shared" si="233"/>
        <v>0</v>
      </c>
      <c r="AF256" s="2">
        <f t="shared" si="233"/>
        <v>0</v>
      </c>
      <c r="AG256" s="2">
        <f t="shared" si="218"/>
        <v>0</v>
      </c>
      <c r="AH256" s="2">
        <f t="shared" si="234"/>
        <v>0</v>
      </c>
      <c r="AI256" s="2">
        <f t="shared" si="234"/>
        <v>0</v>
      </c>
      <c r="AJ256" s="2">
        <f t="shared" si="219"/>
        <v>0</v>
      </c>
      <c r="AK256" s="2">
        <v>89.39</v>
      </c>
      <c r="AL256" s="2">
        <v>89.39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1</v>
      </c>
      <c r="AW256" s="2">
        <v>1</v>
      </c>
      <c r="AX256" s="2"/>
      <c r="AY256" s="2"/>
      <c r="AZ256" s="2">
        <v>1</v>
      </c>
      <c r="BA256" s="2">
        <v>1</v>
      </c>
      <c r="BB256" s="2">
        <v>1</v>
      </c>
      <c r="BC256" s="2">
        <v>1</v>
      </c>
      <c r="BD256" s="2" t="s">
        <v>3</v>
      </c>
      <c r="BE256" s="2" t="s">
        <v>3</v>
      </c>
      <c r="BF256" s="2" t="s">
        <v>3</v>
      </c>
      <c r="BG256" s="2" t="s">
        <v>3</v>
      </c>
      <c r="BH256" s="2">
        <v>3</v>
      </c>
      <c r="BI256" s="2">
        <v>3</v>
      </c>
      <c r="BJ256" s="2" t="s">
        <v>252</v>
      </c>
      <c r="BK256" s="2"/>
      <c r="BL256" s="2"/>
      <c r="BM256" s="2">
        <v>746</v>
      </c>
      <c r="BN256" s="2">
        <v>0</v>
      </c>
      <c r="BO256" s="2" t="s">
        <v>3</v>
      </c>
      <c r="BP256" s="2">
        <v>0</v>
      </c>
      <c r="BQ256" s="2">
        <v>130</v>
      </c>
      <c r="BR256" s="2">
        <v>0</v>
      </c>
      <c r="BS256" s="2">
        <v>1</v>
      </c>
      <c r="BT256" s="2">
        <v>1</v>
      </c>
      <c r="BU256" s="2">
        <v>1</v>
      </c>
      <c r="BV256" s="2">
        <v>1</v>
      </c>
      <c r="BW256" s="2">
        <v>1</v>
      </c>
      <c r="BX256" s="2">
        <v>1</v>
      </c>
      <c r="BY256" s="2" t="s">
        <v>3</v>
      </c>
      <c r="BZ256" s="2">
        <v>0</v>
      </c>
      <c r="CA256" s="2">
        <v>0</v>
      </c>
      <c r="CB256" s="2" t="s">
        <v>3</v>
      </c>
      <c r="CC256" s="2"/>
      <c r="CD256" s="2"/>
      <c r="CE256" s="2">
        <v>1566</v>
      </c>
      <c r="CF256" s="2">
        <v>0</v>
      </c>
      <c r="CG256" s="2">
        <v>0</v>
      </c>
      <c r="CH256" s="2"/>
      <c r="CI256" s="2"/>
      <c r="CJ256" s="2"/>
      <c r="CK256" s="2"/>
      <c r="CL256" s="2"/>
      <c r="CM256" s="2">
        <v>0</v>
      </c>
      <c r="CN256" s="2" t="s">
        <v>3</v>
      </c>
      <c r="CO256" s="2">
        <v>0</v>
      </c>
      <c r="CP256" s="2">
        <f t="shared" si="220"/>
        <v>178.78</v>
      </c>
      <c r="CQ256" s="2">
        <f>ROUND((ROUND((AC256*1),2)*BC256),2)</f>
        <v>89.39</v>
      </c>
      <c r="CR256" s="2">
        <f>(ROUND((ROUND(((ET256)*AV256*1),2)*BB256),2)+ROUND((ROUND(((AE256-(EU256))*AV256*1),2)*BS256),2))</f>
        <v>0</v>
      </c>
      <c r="CS256" s="2">
        <f>(ROUND((ROUND(((EU256)*AV256*1),2)*BS256),2)+ROUND((ROUND(((AE256-(EU256))*AV256*1),2)*BS256),2))</f>
        <v>0</v>
      </c>
      <c r="CT256" s="2">
        <f t="shared" si="221"/>
        <v>0</v>
      </c>
      <c r="CU256" s="2">
        <f t="shared" si="222"/>
        <v>0</v>
      </c>
      <c r="CV256" s="2">
        <f t="shared" si="223"/>
        <v>0</v>
      </c>
      <c r="CW256" s="2">
        <f t="shared" si="224"/>
        <v>0</v>
      </c>
      <c r="CX256" s="2">
        <f t="shared" si="224"/>
        <v>0</v>
      </c>
      <c r="CY256" s="2">
        <f>(ROUND((((S256+ROUND((ROUND(((EU256)*AV256*1),2)*BS256),2))*AT256)/100),2)+ROUND(((ROUND((ROUND(((AE256-(EU256))*AV256*1),2)*BS256),2)*AT256)/100),2))</f>
        <v>0</v>
      </c>
      <c r="CZ256" s="2">
        <f>(ROUND((((S256+ROUND((ROUND(((EU256)*AV256*1),2)*BS256),2))*AU256)/100),2)+ROUND(((ROUND((ROUND(((AE256-(EU256))*AV256*1),2)*BS256),2)*AU256)/100),2))</f>
        <v>0</v>
      </c>
      <c r="DA256" s="2"/>
      <c r="DB256" s="2"/>
      <c r="DC256" s="2" t="s">
        <v>3</v>
      </c>
      <c r="DD256" s="2" t="s">
        <v>3</v>
      </c>
      <c r="DE256" s="2" t="s">
        <v>3</v>
      </c>
      <c r="DF256" s="2" t="s">
        <v>3</v>
      </c>
      <c r="DG256" s="2" t="s">
        <v>3</v>
      </c>
      <c r="DH256" s="2" t="s">
        <v>3</v>
      </c>
      <c r="DI256" s="2" t="s">
        <v>3</v>
      </c>
      <c r="DJ256" s="2" t="s">
        <v>3</v>
      </c>
      <c r="DK256" s="2" t="s">
        <v>3</v>
      </c>
      <c r="DL256" s="2" t="s">
        <v>3</v>
      </c>
      <c r="DM256" s="2" t="s">
        <v>3</v>
      </c>
      <c r="DN256" s="2">
        <v>0</v>
      </c>
      <c r="DO256" s="2">
        <v>0</v>
      </c>
      <c r="DP256" s="2">
        <v>1</v>
      </c>
      <c r="DQ256" s="2">
        <v>1</v>
      </c>
      <c r="DR256" s="2"/>
      <c r="DS256" s="2"/>
      <c r="DT256" s="2"/>
      <c r="DU256" s="2">
        <v>1010</v>
      </c>
      <c r="DV256" s="2" t="s">
        <v>191</v>
      </c>
      <c r="DW256" s="2" t="s">
        <v>191</v>
      </c>
      <c r="DX256" s="2">
        <v>1</v>
      </c>
      <c r="DY256" s="2"/>
      <c r="DZ256" s="2" t="s">
        <v>3</v>
      </c>
      <c r="EA256" s="2" t="s">
        <v>3</v>
      </c>
      <c r="EB256" s="2" t="s">
        <v>3</v>
      </c>
      <c r="EC256" s="2" t="s">
        <v>3</v>
      </c>
      <c r="ED256" s="2"/>
      <c r="EE256" s="2">
        <v>55393806</v>
      </c>
      <c r="EF256" s="2">
        <v>130</v>
      </c>
      <c r="EG256" s="2" t="s">
        <v>193</v>
      </c>
      <c r="EH256" s="2">
        <v>0</v>
      </c>
      <c r="EI256" s="2" t="s">
        <v>3</v>
      </c>
      <c r="EJ256" s="2">
        <v>3</v>
      </c>
      <c r="EK256" s="2">
        <v>746</v>
      </c>
      <c r="EL256" s="2" t="s">
        <v>194</v>
      </c>
      <c r="EM256" s="2" t="s">
        <v>195</v>
      </c>
      <c r="EN256" s="2"/>
      <c r="EO256" s="2" t="s">
        <v>3</v>
      </c>
      <c r="EP256" s="2"/>
      <c r="EQ256" s="2">
        <v>0</v>
      </c>
      <c r="ER256" s="2">
        <v>89.39</v>
      </c>
      <c r="ES256" s="2">
        <v>89.39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>
        <v>0</v>
      </c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>
        <v>0</v>
      </c>
      <c r="FR256" s="2">
        <f>P256</f>
        <v>178.78</v>
      </c>
      <c r="FS256" s="2">
        <v>0</v>
      </c>
      <c r="FT256" s="2"/>
      <c r="FU256" s="2"/>
      <c r="FV256" s="2"/>
      <c r="FW256" s="2"/>
      <c r="FX256" s="2">
        <v>0</v>
      </c>
      <c r="FY256" s="2">
        <v>0</v>
      </c>
      <c r="FZ256" s="2"/>
      <c r="GA256" s="2" t="s">
        <v>3</v>
      </c>
      <c r="GB256" s="2"/>
      <c r="GC256" s="2"/>
      <c r="GD256" s="2">
        <v>1</v>
      </c>
      <c r="GE256" s="2"/>
      <c r="GF256" s="2">
        <v>-1920167778</v>
      </c>
      <c r="GG256" s="2">
        <v>2</v>
      </c>
      <c r="GH256" s="2">
        <v>1</v>
      </c>
      <c r="GI256" s="2">
        <v>-2</v>
      </c>
      <c r="GJ256" s="2">
        <v>0</v>
      </c>
      <c r="GK256" s="2">
        <v>0</v>
      </c>
      <c r="GL256" s="2">
        <f t="shared" si="225"/>
        <v>0</v>
      </c>
      <c r="GM256" s="2">
        <f t="shared" si="226"/>
        <v>178.78</v>
      </c>
      <c r="GN256" s="2">
        <f t="shared" si="227"/>
        <v>0</v>
      </c>
      <c r="GO256" s="2">
        <f t="shared" si="228"/>
        <v>0</v>
      </c>
      <c r="GP256" s="2">
        <f t="shared" si="229"/>
        <v>0</v>
      </c>
      <c r="GQ256" s="2"/>
      <c r="GR256" s="2">
        <v>0</v>
      </c>
      <c r="GS256" s="2">
        <v>3</v>
      </c>
      <c r="GT256" s="2">
        <v>0</v>
      </c>
      <c r="GU256" s="2" t="s">
        <v>3</v>
      </c>
      <c r="GV256" s="2">
        <f t="shared" si="230"/>
        <v>0</v>
      </c>
      <c r="GW256" s="2">
        <v>1</v>
      </c>
      <c r="GX256" s="2">
        <f t="shared" si="231"/>
        <v>0</v>
      </c>
      <c r="GY256" s="2"/>
      <c r="GZ256" s="2"/>
      <c r="HA256" s="2">
        <v>0</v>
      </c>
      <c r="HB256" s="2">
        <v>0</v>
      </c>
      <c r="HC256" s="2">
        <f t="shared" si="232"/>
        <v>0</v>
      </c>
      <c r="HD256" s="2"/>
      <c r="HE256" s="2" t="s">
        <v>3</v>
      </c>
      <c r="HF256" s="2" t="s">
        <v>3</v>
      </c>
      <c r="HG256" s="2"/>
      <c r="HH256" s="2"/>
      <c r="HI256" s="2"/>
      <c r="HJ256" s="2"/>
      <c r="HK256" s="2"/>
      <c r="HL256" s="2"/>
      <c r="HM256" s="2" t="s">
        <v>3</v>
      </c>
      <c r="HN256" s="2" t="s">
        <v>3</v>
      </c>
      <c r="HO256" s="2" t="s">
        <v>3</v>
      </c>
      <c r="HP256" s="2" t="s">
        <v>3</v>
      </c>
      <c r="HQ256" s="2" t="s">
        <v>3</v>
      </c>
      <c r="HR256" s="2"/>
      <c r="HS256" s="2">
        <v>0</v>
      </c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>
        <v>0</v>
      </c>
      <c r="IL256" s="2"/>
      <c r="IM256" s="2"/>
      <c r="IN256" s="2"/>
      <c r="IO256" s="2"/>
      <c r="IP256" s="2"/>
      <c r="IQ256" s="2"/>
      <c r="IR256" s="2"/>
      <c r="IS256" s="2"/>
      <c r="IT256" s="2"/>
      <c r="IU256" s="2"/>
    </row>
    <row r="257" spans="1:245" x14ac:dyDescent="0.2">
      <c r="A257" s="3">
        <v>17</v>
      </c>
      <c r="B257" s="3">
        <v>1</v>
      </c>
      <c r="E257" s="3" t="s">
        <v>249</v>
      </c>
      <c r="F257" s="3" t="s">
        <v>250</v>
      </c>
      <c r="G257" s="3" t="s">
        <v>251</v>
      </c>
      <c r="H257" s="3" t="s">
        <v>191</v>
      </c>
      <c r="I257" s="3">
        <v>2</v>
      </c>
      <c r="J257" s="3">
        <v>0</v>
      </c>
      <c r="K257" s="3">
        <v>2</v>
      </c>
      <c r="O257" s="3">
        <f t="shared" si="211"/>
        <v>1208.55</v>
      </c>
      <c r="P257" s="3">
        <f>ROUND((ROUND((AC257*I257),2)*BC257),2)</f>
        <v>1208.55</v>
      </c>
      <c r="Q257" s="3">
        <f>(ROUND((ROUND(((ET257)*AV257*I257),2)*BB257),2)+ROUND((ROUND(((AE257-(EU257))*AV257*I257),2)*BS257),2))</f>
        <v>0</v>
      </c>
      <c r="R257" s="3">
        <f>(ROUND((ROUND(((EU257)*AV257*I257),2)*BS257),2)+ROUND((ROUND(((AE257-(EU257))*AV257*I257),2)*BS257),2))</f>
        <v>0</v>
      </c>
      <c r="S257" s="3">
        <f t="shared" si="212"/>
        <v>0</v>
      </c>
      <c r="T257" s="3">
        <f t="shared" si="213"/>
        <v>0</v>
      </c>
      <c r="U257" s="3">
        <f t="shared" si="214"/>
        <v>0</v>
      </c>
      <c r="V257" s="3">
        <f t="shared" si="215"/>
        <v>0</v>
      </c>
      <c r="W257" s="3">
        <f t="shared" si="216"/>
        <v>0</v>
      </c>
      <c r="X257" s="3">
        <f>(ROUND((((S257+ROUND((ROUND(((EU257)*AV257*I257),2)*BS257),2))*AT257)/100),2)+ROUND(((ROUND((ROUND(((AE257-(EU257))*AV257*I257),2)*BS257),2)*AT257)/100),2))</f>
        <v>0</v>
      </c>
      <c r="Y257" s="3">
        <f>(ROUND((((S257+ROUND((ROUND(((EU257)*AV257*I257),2)*BS257),2))*AU257)/100),2)+ROUND(((ROUND((ROUND(((AE257-(EU257))*AV257*I257),2)*BS257),2)*AU257)/100),2))</f>
        <v>0</v>
      </c>
      <c r="AA257" s="3">
        <v>55915258</v>
      </c>
      <c r="AB257" s="3">
        <f t="shared" si="217"/>
        <v>89.39</v>
      </c>
      <c r="AC257" s="3">
        <f>ROUND((ES257),6)</f>
        <v>89.39</v>
      </c>
      <c r="AD257" s="3">
        <f>ROUND((((ET257)-(EU257))+AE257),6)</f>
        <v>0</v>
      </c>
      <c r="AE257" s="3">
        <f t="shared" si="233"/>
        <v>0</v>
      </c>
      <c r="AF257" s="3">
        <f t="shared" si="233"/>
        <v>0</v>
      </c>
      <c r="AG257" s="3">
        <f t="shared" si="218"/>
        <v>0</v>
      </c>
      <c r="AH257" s="3">
        <f t="shared" si="234"/>
        <v>0</v>
      </c>
      <c r="AI257" s="3">
        <f t="shared" si="234"/>
        <v>0</v>
      </c>
      <c r="AJ257" s="3">
        <f t="shared" si="219"/>
        <v>0</v>
      </c>
      <c r="AK257" s="3">
        <v>89.39</v>
      </c>
      <c r="AL257" s="3">
        <v>89.39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1</v>
      </c>
      <c r="AW257" s="3">
        <v>1</v>
      </c>
      <c r="AZ257" s="3">
        <v>1</v>
      </c>
      <c r="BA257" s="3">
        <v>1</v>
      </c>
      <c r="BB257" s="3">
        <v>1</v>
      </c>
      <c r="BC257" s="3">
        <v>6.76</v>
      </c>
      <c r="BD257" s="3" t="s">
        <v>3</v>
      </c>
      <c r="BE257" s="3" t="s">
        <v>3</v>
      </c>
      <c r="BF257" s="3" t="s">
        <v>3</v>
      </c>
      <c r="BG257" s="3" t="s">
        <v>3</v>
      </c>
      <c r="BH257" s="3">
        <v>3</v>
      </c>
      <c r="BI257" s="3">
        <v>3</v>
      </c>
      <c r="BJ257" s="3" t="s">
        <v>252</v>
      </c>
      <c r="BM257" s="3">
        <v>746</v>
      </c>
      <c r="BN257" s="3">
        <v>0</v>
      </c>
      <c r="BO257" s="3" t="s">
        <v>3</v>
      </c>
      <c r="BP257" s="3">
        <v>0</v>
      </c>
      <c r="BQ257" s="3">
        <v>130</v>
      </c>
      <c r="BR257" s="3">
        <v>0</v>
      </c>
      <c r="BS257" s="3">
        <v>1</v>
      </c>
      <c r="BT257" s="3">
        <v>1</v>
      </c>
      <c r="BU257" s="3">
        <v>1</v>
      </c>
      <c r="BV257" s="3">
        <v>1</v>
      </c>
      <c r="BW257" s="3">
        <v>1</v>
      </c>
      <c r="BX257" s="3">
        <v>1</v>
      </c>
      <c r="BY257" s="3" t="s">
        <v>3</v>
      </c>
      <c r="BZ257" s="3">
        <v>0</v>
      </c>
      <c r="CA257" s="3">
        <v>0</v>
      </c>
      <c r="CB257" s="3" t="s">
        <v>3</v>
      </c>
      <c r="CE257" s="3">
        <v>1566</v>
      </c>
      <c r="CF257" s="3">
        <v>0</v>
      </c>
      <c r="CG257" s="3">
        <v>0</v>
      </c>
      <c r="CM257" s="3">
        <v>0</v>
      </c>
      <c r="CN257" s="3" t="s">
        <v>3</v>
      </c>
      <c r="CO257" s="3">
        <v>0</v>
      </c>
      <c r="CP257" s="3">
        <f t="shared" si="220"/>
        <v>1208.55</v>
      </c>
      <c r="CQ257" s="3">
        <f>ROUND((ROUND((AC257*1),2)*BC257),2)</f>
        <v>604.28</v>
      </c>
      <c r="CR257" s="3">
        <f>(ROUND((ROUND(((ET257)*AV257*1),2)*BB257),2)+ROUND((ROUND(((AE257-(EU257))*AV257*1),2)*BS257),2))</f>
        <v>0</v>
      </c>
      <c r="CS257" s="3">
        <f>(ROUND((ROUND(((EU257)*AV257*1),2)*BS257),2)+ROUND((ROUND(((AE257-(EU257))*AV257*1),2)*BS257),2))</f>
        <v>0</v>
      </c>
      <c r="CT257" s="3">
        <f t="shared" si="221"/>
        <v>0</v>
      </c>
      <c r="CU257" s="3">
        <f t="shared" si="222"/>
        <v>0</v>
      </c>
      <c r="CV257" s="3">
        <f t="shared" si="223"/>
        <v>0</v>
      </c>
      <c r="CW257" s="3">
        <f t="shared" si="224"/>
        <v>0</v>
      </c>
      <c r="CX257" s="3">
        <f t="shared" si="224"/>
        <v>0</v>
      </c>
      <c r="CY257" s="3">
        <f>(ROUND((((S257+ROUND((ROUND(((EU257)*AV257*1),2)*BS257),2))*AT257)/100),2)+ROUND(((ROUND((ROUND(((AE257-(EU257))*AV257*1),2)*BS257),2)*AT257)/100),2))</f>
        <v>0</v>
      </c>
      <c r="CZ257" s="3">
        <f>(ROUND((((S257+ROUND((ROUND(((EU257)*AV257*1),2)*BS257),2))*AU257)/100),2)+ROUND(((ROUND((ROUND(((AE257-(EU257))*AV257*1),2)*BS257),2)*AU257)/100),2))</f>
        <v>0</v>
      </c>
      <c r="DC257" s="3" t="s">
        <v>3</v>
      </c>
      <c r="DD257" s="3" t="s">
        <v>3</v>
      </c>
      <c r="DE257" s="3" t="s">
        <v>3</v>
      </c>
      <c r="DF257" s="3" t="s">
        <v>3</v>
      </c>
      <c r="DG257" s="3" t="s">
        <v>3</v>
      </c>
      <c r="DH257" s="3" t="s">
        <v>3</v>
      </c>
      <c r="DI257" s="3" t="s">
        <v>3</v>
      </c>
      <c r="DJ257" s="3" t="s">
        <v>3</v>
      </c>
      <c r="DK257" s="3" t="s">
        <v>3</v>
      </c>
      <c r="DL257" s="3" t="s">
        <v>3</v>
      </c>
      <c r="DM257" s="3" t="s">
        <v>3</v>
      </c>
      <c r="DN257" s="3">
        <v>0</v>
      </c>
      <c r="DO257" s="3">
        <v>0</v>
      </c>
      <c r="DP257" s="3">
        <v>1</v>
      </c>
      <c r="DQ257" s="3">
        <v>1</v>
      </c>
      <c r="DU257" s="3">
        <v>1010</v>
      </c>
      <c r="DV257" s="3" t="s">
        <v>191</v>
      </c>
      <c r="DW257" s="3" t="s">
        <v>191</v>
      </c>
      <c r="DX257" s="3">
        <v>1</v>
      </c>
      <c r="DZ257" s="3" t="s">
        <v>3</v>
      </c>
      <c r="EA257" s="3" t="s">
        <v>3</v>
      </c>
      <c r="EB257" s="3" t="s">
        <v>3</v>
      </c>
      <c r="EC257" s="3" t="s">
        <v>3</v>
      </c>
      <c r="EE257" s="3">
        <v>55393806</v>
      </c>
      <c r="EF257" s="3">
        <v>130</v>
      </c>
      <c r="EG257" s="3" t="s">
        <v>193</v>
      </c>
      <c r="EH257" s="3">
        <v>0</v>
      </c>
      <c r="EI257" s="3" t="s">
        <v>3</v>
      </c>
      <c r="EJ257" s="3">
        <v>3</v>
      </c>
      <c r="EK257" s="3">
        <v>746</v>
      </c>
      <c r="EL257" s="3" t="s">
        <v>194</v>
      </c>
      <c r="EM257" s="3" t="s">
        <v>195</v>
      </c>
      <c r="EO257" s="3" t="s">
        <v>3</v>
      </c>
      <c r="EQ257" s="3">
        <v>0</v>
      </c>
      <c r="ER257" s="3">
        <v>89.39</v>
      </c>
      <c r="ES257" s="3">
        <v>89.39</v>
      </c>
      <c r="ET257" s="3">
        <v>0</v>
      </c>
      <c r="EU257" s="3">
        <v>0</v>
      </c>
      <c r="EV257" s="3">
        <v>0</v>
      </c>
      <c r="EW257" s="3">
        <v>0</v>
      </c>
      <c r="EX257" s="3">
        <v>0</v>
      </c>
      <c r="EY257" s="3">
        <v>0</v>
      </c>
      <c r="FQ257" s="3">
        <v>0</v>
      </c>
      <c r="FR257" s="3">
        <f>P257</f>
        <v>1208.55</v>
      </c>
      <c r="FS257" s="3">
        <v>0</v>
      </c>
      <c r="FX257" s="3">
        <v>0</v>
      </c>
      <c r="FY257" s="3">
        <v>0</v>
      </c>
      <c r="GA257" s="3" t="s">
        <v>3</v>
      </c>
      <c r="GD257" s="3">
        <v>1</v>
      </c>
      <c r="GF257" s="3">
        <v>-1920167778</v>
      </c>
      <c r="GG257" s="3">
        <v>2</v>
      </c>
      <c r="GH257" s="3">
        <v>1</v>
      </c>
      <c r="GI257" s="3">
        <v>2</v>
      </c>
      <c r="GJ257" s="3">
        <v>0</v>
      </c>
      <c r="GK257" s="3">
        <v>0</v>
      </c>
      <c r="GL257" s="3">
        <f t="shared" si="225"/>
        <v>0</v>
      </c>
      <c r="GM257" s="3">
        <f t="shared" si="226"/>
        <v>1208.55</v>
      </c>
      <c r="GN257" s="3">
        <f t="shared" si="227"/>
        <v>0</v>
      </c>
      <c r="GO257" s="3">
        <f t="shared" si="228"/>
        <v>0</v>
      </c>
      <c r="GP257" s="3">
        <f t="shared" si="229"/>
        <v>0</v>
      </c>
      <c r="GR257" s="3">
        <v>0</v>
      </c>
      <c r="GS257" s="3">
        <v>3</v>
      </c>
      <c r="GT257" s="3">
        <v>0</v>
      </c>
      <c r="GU257" s="3" t="s">
        <v>3</v>
      </c>
      <c r="GV257" s="3">
        <f t="shared" si="230"/>
        <v>0</v>
      </c>
      <c r="GW257" s="3">
        <v>1</v>
      </c>
      <c r="GX257" s="3">
        <f t="shared" si="231"/>
        <v>0</v>
      </c>
      <c r="HA257" s="3">
        <v>0</v>
      </c>
      <c r="HB257" s="3">
        <v>0</v>
      </c>
      <c r="HC257" s="3">
        <f t="shared" si="232"/>
        <v>0</v>
      </c>
      <c r="HE257" s="3" t="s">
        <v>3</v>
      </c>
      <c r="HF257" s="3" t="s">
        <v>3</v>
      </c>
      <c r="HM257" s="3" t="s">
        <v>3</v>
      </c>
      <c r="HN257" s="3" t="s">
        <v>3</v>
      </c>
      <c r="HO257" s="3" t="s">
        <v>3</v>
      </c>
      <c r="HP257" s="3" t="s">
        <v>3</v>
      </c>
      <c r="HQ257" s="3" t="s">
        <v>3</v>
      </c>
      <c r="HS257" s="3">
        <v>0</v>
      </c>
      <c r="IK257" s="3">
        <v>0</v>
      </c>
    </row>
    <row r="259" spans="1:245" x14ac:dyDescent="0.2">
      <c r="A259" s="11">
        <v>51</v>
      </c>
      <c r="B259" s="11">
        <f>B248</f>
        <v>1</v>
      </c>
      <c r="C259" s="11">
        <f>A248</f>
        <v>4</v>
      </c>
      <c r="D259" s="11">
        <f>ROW(A248)</f>
        <v>248</v>
      </c>
      <c r="E259" s="11"/>
      <c r="F259" s="11" t="str">
        <f>IF(F248&lt;&gt;"",F248,"")</f>
        <v>4</v>
      </c>
      <c r="G259" s="11" t="str">
        <f>IF(G248&lt;&gt;"",G248,"")</f>
        <v>АКБ</v>
      </c>
      <c r="H259" s="11">
        <v>0</v>
      </c>
      <c r="I259" s="11"/>
      <c r="J259" s="11"/>
      <c r="K259" s="11"/>
      <c r="L259" s="11"/>
      <c r="M259" s="11"/>
      <c r="N259" s="11"/>
      <c r="O259" s="11">
        <f t="shared" ref="O259:T259" si="235">ROUND(AB259,2)</f>
        <v>1665.39</v>
      </c>
      <c r="P259" s="11">
        <f t="shared" si="235"/>
        <v>1413.04</v>
      </c>
      <c r="Q259" s="11">
        <f t="shared" si="235"/>
        <v>0</v>
      </c>
      <c r="R259" s="11">
        <f t="shared" si="235"/>
        <v>0</v>
      </c>
      <c r="S259" s="11">
        <f t="shared" si="235"/>
        <v>252.35</v>
      </c>
      <c r="T259" s="11">
        <f t="shared" si="235"/>
        <v>0</v>
      </c>
      <c r="U259" s="11">
        <f>AH259</f>
        <v>19.976759999999999</v>
      </c>
      <c r="V259" s="11">
        <f>AI259</f>
        <v>0</v>
      </c>
      <c r="W259" s="11">
        <f>ROUND(AJ259,2)</f>
        <v>0</v>
      </c>
      <c r="X259" s="11">
        <f>ROUND(AK259,2)</f>
        <v>227.12</v>
      </c>
      <c r="Y259" s="11">
        <f>ROUND(AL259,2)</f>
        <v>116.08</v>
      </c>
      <c r="Z259" s="11"/>
      <c r="AA259" s="11"/>
      <c r="AB259" s="11">
        <f>ROUND(SUMIF(AA252:AA257,"=55915256",O252:O257),2)</f>
        <v>1665.39</v>
      </c>
      <c r="AC259" s="11">
        <f>ROUND(SUMIF(AA252:AA257,"=55915256",P252:P257),2)</f>
        <v>1413.04</v>
      </c>
      <c r="AD259" s="11">
        <f>ROUND(SUMIF(AA252:AA257,"=55915256",Q252:Q257),2)</f>
        <v>0</v>
      </c>
      <c r="AE259" s="11">
        <f>ROUND(SUMIF(AA252:AA257,"=55915256",R252:R257),2)</f>
        <v>0</v>
      </c>
      <c r="AF259" s="11">
        <f>ROUND(SUMIF(AA252:AA257,"=55915256",S252:S257),2)</f>
        <v>252.35</v>
      </c>
      <c r="AG259" s="11">
        <f>ROUND(SUMIF(AA252:AA257,"=55915256",T252:T257),2)</f>
        <v>0</v>
      </c>
      <c r="AH259" s="11">
        <f>SUMIF(AA252:AA257,"=55915256",U252:U257)</f>
        <v>19.976759999999999</v>
      </c>
      <c r="AI259" s="11">
        <f>SUMIF(AA252:AA257,"=55915256",V252:V257)</f>
        <v>0</v>
      </c>
      <c r="AJ259" s="11">
        <f>ROUND(SUMIF(AA252:AA257,"=55915256",W252:W257),2)</f>
        <v>0</v>
      </c>
      <c r="AK259" s="11">
        <f>ROUND(SUMIF(AA252:AA257,"=55915256",X252:X257),2)</f>
        <v>227.12</v>
      </c>
      <c r="AL259" s="11">
        <f>ROUND(SUMIF(AA252:AA257,"=55915256",Y252:Y257),2)</f>
        <v>116.08</v>
      </c>
      <c r="AM259" s="11"/>
      <c r="AN259" s="11"/>
      <c r="AO259" s="11">
        <f t="shared" ref="AO259:BD259" si="236">ROUND(BX259,2)</f>
        <v>0</v>
      </c>
      <c r="AP259" s="11">
        <f t="shared" si="236"/>
        <v>1401.34</v>
      </c>
      <c r="AQ259" s="11">
        <f t="shared" si="236"/>
        <v>0</v>
      </c>
      <c r="AR259" s="11">
        <f t="shared" si="236"/>
        <v>2008.59</v>
      </c>
      <c r="AS259" s="11">
        <f t="shared" si="236"/>
        <v>0</v>
      </c>
      <c r="AT259" s="11">
        <f t="shared" si="236"/>
        <v>607.25</v>
      </c>
      <c r="AU259" s="11">
        <f t="shared" si="236"/>
        <v>0</v>
      </c>
      <c r="AV259" s="11">
        <f t="shared" si="236"/>
        <v>1413.04</v>
      </c>
      <c r="AW259" s="11">
        <f t="shared" si="236"/>
        <v>11.7</v>
      </c>
      <c r="AX259" s="11">
        <f t="shared" si="236"/>
        <v>0</v>
      </c>
      <c r="AY259" s="11">
        <f t="shared" si="236"/>
        <v>11.7</v>
      </c>
      <c r="AZ259" s="11">
        <f t="shared" si="236"/>
        <v>1401.34</v>
      </c>
      <c r="BA259" s="11">
        <f t="shared" si="236"/>
        <v>0</v>
      </c>
      <c r="BB259" s="11">
        <f t="shared" si="236"/>
        <v>0</v>
      </c>
      <c r="BC259" s="11">
        <f t="shared" si="236"/>
        <v>0</v>
      </c>
      <c r="BD259" s="11">
        <f t="shared" si="236"/>
        <v>0</v>
      </c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>
        <f>ROUND(SUMIF(AA252:AA257,"=55915256",FQ252:FQ257),2)</f>
        <v>0</v>
      </c>
      <c r="BY259" s="11">
        <f>ROUND(SUMIF(AA252:AA257,"=55915256",FR252:FR257),2)</f>
        <v>1401.34</v>
      </c>
      <c r="BZ259" s="11">
        <f>ROUND(SUMIF(AA252:AA257,"=55915256",GL252:GL257),2)</f>
        <v>0</v>
      </c>
      <c r="CA259" s="11">
        <f>ROUND(SUMIF(AA252:AA257,"=55915256",GM252:GM257),2)</f>
        <v>2008.59</v>
      </c>
      <c r="CB259" s="11">
        <f>ROUND(SUMIF(AA252:AA257,"=55915256",GN252:GN257),2)</f>
        <v>0</v>
      </c>
      <c r="CC259" s="11">
        <f>ROUND(SUMIF(AA252:AA257,"=55915256",GO252:GO257),2)</f>
        <v>607.25</v>
      </c>
      <c r="CD259" s="11">
        <f>ROUND(SUMIF(AA252:AA257,"=55915256",GP252:GP257),2)</f>
        <v>0</v>
      </c>
      <c r="CE259" s="11">
        <f>AC259-BX259</f>
        <v>1413.04</v>
      </c>
      <c r="CF259" s="11">
        <f>AC259-BY259</f>
        <v>11.700000000000045</v>
      </c>
      <c r="CG259" s="11">
        <f>BX259-BZ259</f>
        <v>0</v>
      </c>
      <c r="CH259" s="11">
        <f>AC259-BX259-BY259+BZ259</f>
        <v>11.700000000000045</v>
      </c>
      <c r="CI259" s="11">
        <f>BY259-BZ259</f>
        <v>1401.34</v>
      </c>
      <c r="CJ259" s="11">
        <f>ROUND(SUMIF(AA252:AA257,"=55915256",GX252:GX257),2)</f>
        <v>0</v>
      </c>
      <c r="CK259" s="11">
        <f>ROUND(SUMIF(AA252:AA257,"=55915256",GY252:GY257),2)</f>
        <v>0</v>
      </c>
      <c r="CL259" s="11">
        <f>ROUND(SUMIF(AA252:AA257,"=55915256",GZ252:GZ257),2)</f>
        <v>0</v>
      </c>
      <c r="CM259" s="11">
        <f>ROUND(SUMIF(AA252:AA257,"=55915256",HD252:HD257),2)</f>
        <v>0</v>
      </c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2">
        <f t="shared" ref="DG259:DL259" si="237">ROUND(DT259,2)</f>
        <v>27578.27</v>
      </c>
      <c r="DH259" s="12">
        <f t="shared" si="237"/>
        <v>13358.35</v>
      </c>
      <c r="DI259" s="12">
        <f t="shared" si="237"/>
        <v>0</v>
      </c>
      <c r="DJ259" s="12">
        <f t="shared" si="237"/>
        <v>0</v>
      </c>
      <c r="DK259" s="12">
        <f t="shared" si="237"/>
        <v>14219.92</v>
      </c>
      <c r="DL259" s="12">
        <f t="shared" si="237"/>
        <v>0</v>
      </c>
      <c r="DM259" s="12">
        <f>DZ259</f>
        <v>19.976759999999999</v>
      </c>
      <c r="DN259" s="12">
        <f>EA259</f>
        <v>0</v>
      </c>
      <c r="DO259" s="12">
        <f>ROUND(EB259,2)</f>
        <v>0</v>
      </c>
      <c r="DP259" s="12">
        <f>ROUND(EC259,2)</f>
        <v>12797.93</v>
      </c>
      <c r="DQ259" s="12">
        <f>ROUND(ED259,2)</f>
        <v>6541.16</v>
      </c>
      <c r="DR259" s="12"/>
      <c r="DS259" s="12"/>
      <c r="DT259" s="12">
        <f>ROUND(SUMIF(AA252:AA257,"=55915258",O252:O257),2)</f>
        <v>27578.27</v>
      </c>
      <c r="DU259" s="12">
        <f>ROUND(SUMIF(AA252:AA257,"=55915258",P252:P257),2)</f>
        <v>13358.35</v>
      </c>
      <c r="DV259" s="12">
        <f>ROUND(SUMIF(AA252:AA257,"=55915258",Q252:Q257),2)</f>
        <v>0</v>
      </c>
      <c r="DW259" s="12">
        <f>ROUND(SUMIF(AA252:AA257,"=55915258",R252:R257),2)</f>
        <v>0</v>
      </c>
      <c r="DX259" s="12">
        <f>ROUND(SUMIF(AA252:AA257,"=55915258",S252:S257),2)</f>
        <v>14219.92</v>
      </c>
      <c r="DY259" s="12">
        <f>ROUND(SUMIF(AA252:AA257,"=55915258",T252:T257),2)</f>
        <v>0</v>
      </c>
      <c r="DZ259" s="12">
        <f>SUMIF(AA252:AA257,"=55915258",U252:U257)</f>
        <v>19.976759999999999</v>
      </c>
      <c r="EA259" s="12">
        <f>SUMIF(AA252:AA257,"=55915258",V252:V257)</f>
        <v>0</v>
      </c>
      <c r="EB259" s="12">
        <f>ROUND(SUMIF(AA252:AA257,"=55915258",W252:W257),2)</f>
        <v>0</v>
      </c>
      <c r="EC259" s="12">
        <f>ROUND(SUMIF(AA252:AA257,"=55915258",X252:X257),2)</f>
        <v>12797.93</v>
      </c>
      <c r="ED259" s="12">
        <f>ROUND(SUMIF(AA252:AA257,"=55915258",Y252:Y257),2)</f>
        <v>6541.16</v>
      </c>
      <c r="EE259" s="12"/>
      <c r="EF259" s="12"/>
      <c r="EG259" s="12">
        <f t="shared" ref="EG259:EV259" si="238">ROUND(FP259,2)</f>
        <v>0</v>
      </c>
      <c r="EH259" s="12">
        <f t="shared" si="238"/>
        <v>13238.54</v>
      </c>
      <c r="EI259" s="12">
        <f t="shared" si="238"/>
        <v>0</v>
      </c>
      <c r="EJ259" s="12">
        <f t="shared" si="238"/>
        <v>46917.36</v>
      </c>
      <c r="EK259" s="12">
        <f t="shared" si="238"/>
        <v>0</v>
      </c>
      <c r="EL259" s="12">
        <f t="shared" si="238"/>
        <v>33678.82</v>
      </c>
      <c r="EM259" s="12">
        <f t="shared" si="238"/>
        <v>0</v>
      </c>
      <c r="EN259" s="12">
        <f t="shared" si="238"/>
        <v>13358.35</v>
      </c>
      <c r="EO259" s="12">
        <f t="shared" si="238"/>
        <v>119.81</v>
      </c>
      <c r="EP259" s="12">
        <f t="shared" si="238"/>
        <v>0</v>
      </c>
      <c r="EQ259" s="12">
        <f t="shared" si="238"/>
        <v>119.81</v>
      </c>
      <c r="ER259" s="12">
        <f t="shared" si="238"/>
        <v>13238.54</v>
      </c>
      <c r="ES259" s="12">
        <f t="shared" si="238"/>
        <v>0</v>
      </c>
      <c r="ET259" s="12">
        <f t="shared" si="238"/>
        <v>0</v>
      </c>
      <c r="EU259" s="12">
        <f t="shared" si="238"/>
        <v>0</v>
      </c>
      <c r="EV259" s="12">
        <f t="shared" si="238"/>
        <v>0</v>
      </c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>
        <f>ROUND(SUMIF(AA252:AA257,"=55915258",FQ252:FQ257),2)</f>
        <v>0</v>
      </c>
      <c r="FQ259" s="12">
        <f>ROUND(SUMIF(AA252:AA257,"=55915258",FR252:FR257),2)</f>
        <v>13238.54</v>
      </c>
      <c r="FR259" s="12">
        <f>ROUND(SUMIF(AA252:AA257,"=55915258",GL252:GL257),2)</f>
        <v>0</v>
      </c>
      <c r="FS259" s="12">
        <f>ROUND(SUMIF(AA252:AA257,"=55915258",GM252:GM257),2)</f>
        <v>46917.36</v>
      </c>
      <c r="FT259" s="12">
        <f>ROUND(SUMIF(AA252:AA257,"=55915258",GN252:GN257),2)</f>
        <v>0</v>
      </c>
      <c r="FU259" s="12">
        <f>ROUND(SUMIF(AA252:AA257,"=55915258",GO252:GO257),2)</f>
        <v>33678.82</v>
      </c>
      <c r="FV259" s="12">
        <f>ROUND(SUMIF(AA252:AA257,"=55915258",GP252:GP257),2)</f>
        <v>0</v>
      </c>
      <c r="FW259" s="12">
        <f>DU259-FP259</f>
        <v>13358.35</v>
      </c>
      <c r="FX259" s="12">
        <f>DU259-FQ259</f>
        <v>119.80999999999949</v>
      </c>
      <c r="FY259" s="12">
        <f>FP259-FR259</f>
        <v>0</v>
      </c>
      <c r="FZ259" s="12">
        <f>DU259-FP259-FQ259+FR259</f>
        <v>119.80999999999949</v>
      </c>
      <c r="GA259" s="12">
        <f>FQ259-FR259</f>
        <v>13238.54</v>
      </c>
      <c r="GB259" s="12">
        <f>ROUND(SUMIF(AA252:AA257,"=55915258",GX252:GX257),2)</f>
        <v>0</v>
      </c>
      <c r="GC259" s="12">
        <f>ROUND(SUMIF(AA252:AA257,"=55915258",GY252:GY257),2)</f>
        <v>0</v>
      </c>
      <c r="GD259" s="12">
        <f>ROUND(SUMIF(AA252:AA257,"=55915258",GZ252:GZ257),2)</f>
        <v>0</v>
      </c>
      <c r="GE259" s="12">
        <f>ROUND(SUMIF(AA252:AA257,"=55915258",HD252:HD257),2)</f>
        <v>0</v>
      </c>
      <c r="GF259" s="12"/>
      <c r="GG259" s="12"/>
      <c r="GH259" s="12"/>
      <c r="GI259" s="12"/>
      <c r="GJ259" s="12"/>
      <c r="GK259" s="12"/>
      <c r="GL259" s="12"/>
      <c r="GM259" s="12"/>
      <c r="GN259" s="12"/>
      <c r="GO259" s="12"/>
      <c r="GP259" s="12"/>
      <c r="GQ259" s="12"/>
      <c r="GR259" s="12"/>
      <c r="GS259" s="12"/>
      <c r="GT259" s="12"/>
      <c r="GU259" s="12"/>
      <c r="GV259" s="12"/>
      <c r="GW259" s="12"/>
      <c r="GX259" s="12">
        <v>0</v>
      </c>
    </row>
    <row r="261" spans="1:245" x14ac:dyDescent="0.2">
      <c r="A261" s="13">
        <v>50</v>
      </c>
      <c r="B261" s="13">
        <v>0</v>
      </c>
      <c r="C261" s="13">
        <v>0</v>
      </c>
      <c r="D261" s="13">
        <v>1</v>
      </c>
      <c r="E261" s="13">
        <v>201</v>
      </c>
      <c r="F261" s="13">
        <f>ROUND(Source!O259,O261)</f>
        <v>1665.39</v>
      </c>
      <c r="G261" s="13" t="s">
        <v>93</v>
      </c>
      <c r="H261" s="13" t="s">
        <v>94</v>
      </c>
      <c r="I261" s="13"/>
      <c r="J261" s="13"/>
      <c r="K261" s="13">
        <v>201</v>
      </c>
      <c r="L261" s="13">
        <v>1</v>
      </c>
      <c r="M261" s="13">
        <v>3</v>
      </c>
      <c r="N261" s="13" t="s">
        <v>3</v>
      </c>
      <c r="O261" s="13">
        <v>2</v>
      </c>
      <c r="P261" s="13">
        <f>ROUND(Source!DG259,O261)</f>
        <v>27578.27</v>
      </c>
      <c r="Q261" s="13"/>
      <c r="R261" s="13"/>
      <c r="S261" s="13"/>
      <c r="T261" s="13"/>
      <c r="U261" s="13"/>
      <c r="V261" s="13"/>
      <c r="W261" s="13">
        <v>1665.39</v>
      </c>
      <c r="X261" s="13">
        <v>1</v>
      </c>
      <c r="Y261" s="13">
        <v>1665.39</v>
      </c>
      <c r="Z261" s="13">
        <v>27578.27</v>
      </c>
      <c r="AA261" s="13">
        <v>1</v>
      </c>
      <c r="AB261" s="13">
        <v>27578.27</v>
      </c>
    </row>
    <row r="262" spans="1:245" x14ac:dyDescent="0.2">
      <c r="A262" s="13">
        <v>50</v>
      </c>
      <c r="B262" s="13">
        <v>0</v>
      </c>
      <c r="C262" s="13">
        <v>0</v>
      </c>
      <c r="D262" s="13">
        <v>1</v>
      </c>
      <c r="E262" s="13">
        <v>202</v>
      </c>
      <c r="F262" s="13">
        <f>ROUND(Source!P259,O262)</f>
        <v>1413.04</v>
      </c>
      <c r="G262" s="13" t="s">
        <v>95</v>
      </c>
      <c r="H262" s="13" t="s">
        <v>96</v>
      </c>
      <c r="I262" s="13"/>
      <c r="J262" s="13"/>
      <c r="K262" s="13">
        <v>202</v>
      </c>
      <c r="L262" s="13">
        <v>2</v>
      </c>
      <c r="M262" s="13">
        <v>3</v>
      </c>
      <c r="N262" s="13" t="s">
        <v>3</v>
      </c>
      <c r="O262" s="13">
        <v>2</v>
      </c>
      <c r="P262" s="13">
        <f>ROUND(Source!DH259,O262)</f>
        <v>13358.35</v>
      </c>
      <c r="Q262" s="13"/>
      <c r="R262" s="13"/>
      <c r="S262" s="13"/>
      <c r="T262" s="13"/>
      <c r="U262" s="13"/>
      <c r="V262" s="13"/>
      <c r="W262" s="13">
        <v>1413.04</v>
      </c>
      <c r="X262" s="13">
        <v>1</v>
      </c>
      <c r="Y262" s="13">
        <v>1413.04</v>
      </c>
      <c r="Z262" s="13">
        <v>13358.35</v>
      </c>
      <c r="AA262" s="13">
        <v>1</v>
      </c>
      <c r="AB262" s="13">
        <v>13358.35</v>
      </c>
    </row>
    <row r="263" spans="1:245" x14ac:dyDescent="0.2">
      <c r="A263" s="13">
        <v>50</v>
      </c>
      <c r="B263" s="13">
        <v>0</v>
      </c>
      <c r="C263" s="13">
        <v>0</v>
      </c>
      <c r="D263" s="13">
        <v>1</v>
      </c>
      <c r="E263" s="13">
        <v>222</v>
      </c>
      <c r="F263" s="13">
        <f>ROUND(Source!AO259,O263)</f>
        <v>0</v>
      </c>
      <c r="G263" s="13" t="s">
        <v>97</v>
      </c>
      <c r="H263" s="13" t="s">
        <v>98</v>
      </c>
      <c r="I263" s="13"/>
      <c r="J263" s="13"/>
      <c r="K263" s="13">
        <v>222</v>
      </c>
      <c r="L263" s="13">
        <v>3</v>
      </c>
      <c r="M263" s="13">
        <v>3</v>
      </c>
      <c r="N263" s="13" t="s">
        <v>3</v>
      </c>
      <c r="O263" s="13">
        <v>2</v>
      </c>
      <c r="P263" s="13">
        <f>ROUND(Source!EG259,O263)</f>
        <v>0</v>
      </c>
      <c r="Q263" s="13"/>
      <c r="R263" s="13"/>
      <c r="S263" s="13"/>
      <c r="T263" s="13"/>
      <c r="U263" s="13"/>
      <c r="V263" s="13"/>
      <c r="W263" s="13">
        <v>0</v>
      </c>
      <c r="X263" s="13">
        <v>1</v>
      </c>
      <c r="Y263" s="13">
        <v>0</v>
      </c>
      <c r="Z263" s="13">
        <v>0</v>
      </c>
      <c r="AA263" s="13">
        <v>1</v>
      </c>
      <c r="AB263" s="13">
        <v>0</v>
      </c>
    </row>
    <row r="264" spans="1:245" x14ac:dyDescent="0.2">
      <c r="A264" s="13">
        <v>50</v>
      </c>
      <c r="B264" s="13">
        <v>0</v>
      </c>
      <c r="C264" s="13">
        <v>0</v>
      </c>
      <c r="D264" s="13">
        <v>1</v>
      </c>
      <c r="E264" s="13">
        <v>225</v>
      </c>
      <c r="F264" s="13">
        <f>ROUND(Source!AV259,O264)</f>
        <v>1413.04</v>
      </c>
      <c r="G264" s="13" t="s">
        <v>99</v>
      </c>
      <c r="H264" s="13" t="s">
        <v>100</v>
      </c>
      <c r="I264" s="13"/>
      <c r="J264" s="13"/>
      <c r="K264" s="13">
        <v>225</v>
      </c>
      <c r="L264" s="13">
        <v>4</v>
      </c>
      <c r="M264" s="13">
        <v>3</v>
      </c>
      <c r="N264" s="13" t="s">
        <v>3</v>
      </c>
      <c r="O264" s="13">
        <v>2</v>
      </c>
      <c r="P264" s="13">
        <f>ROUND(Source!EN259,O264)</f>
        <v>13358.35</v>
      </c>
      <c r="Q264" s="13"/>
      <c r="R264" s="13"/>
      <c r="S264" s="13"/>
      <c r="T264" s="13"/>
      <c r="U264" s="13"/>
      <c r="V264" s="13"/>
      <c r="W264" s="13">
        <v>1413.04</v>
      </c>
      <c r="X264" s="13">
        <v>1</v>
      </c>
      <c r="Y264" s="13">
        <v>1413.04</v>
      </c>
      <c r="Z264" s="13">
        <v>13358.35</v>
      </c>
      <c r="AA264" s="13">
        <v>1</v>
      </c>
      <c r="AB264" s="13">
        <v>13358.35</v>
      </c>
    </row>
    <row r="265" spans="1:245" x14ac:dyDescent="0.2">
      <c r="A265" s="13">
        <v>50</v>
      </c>
      <c r="B265" s="13">
        <v>0</v>
      </c>
      <c r="C265" s="13">
        <v>0</v>
      </c>
      <c r="D265" s="13">
        <v>1</v>
      </c>
      <c r="E265" s="13">
        <v>226</v>
      </c>
      <c r="F265" s="13">
        <f>ROUND(Source!AW259,O265)</f>
        <v>11.7</v>
      </c>
      <c r="G265" s="13" t="s">
        <v>101</v>
      </c>
      <c r="H265" s="13" t="s">
        <v>102</v>
      </c>
      <c r="I265" s="13"/>
      <c r="J265" s="13"/>
      <c r="K265" s="13">
        <v>226</v>
      </c>
      <c r="L265" s="13">
        <v>5</v>
      </c>
      <c r="M265" s="13">
        <v>3</v>
      </c>
      <c r="N265" s="13" t="s">
        <v>3</v>
      </c>
      <c r="O265" s="13">
        <v>2</v>
      </c>
      <c r="P265" s="13">
        <f>ROUND(Source!EO259,O265)</f>
        <v>119.81</v>
      </c>
      <c r="Q265" s="13"/>
      <c r="R265" s="13"/>
      <c r="S265" s="13"/>
      <c r="T265" s="13"/>
      <c r="U265" s="13"/>
      <c r="V265" s="13"/>
      <c r="W265" s="13">
        <v>11.7</v>
      </c>
      <c r="X265" s="13">
        <v>1</v>
      </c>
      <c r="Y265" s="13">
        <v>11.7</v>
      </c>
      <c r="Z265" s="13">
        <v>119.81</v>
      </c>
      <c r="AA265" s="13">
        <v>1</v>
      </c>
      <c r="AB265" s="13">
        <v>119.81</v>
      </c>
    </row>
    <row r="266" spans="1:245" x14ac:dyDescent="0.2">
      <c r="A266" s="13">
        <v>50</v>
      </c>
      <c r="B266" s="13">
        <v>0</v>
      </c>
      <c r="C266" s="13">
        <v>0</v>
      </c>
      <c r="D266" s="13">
        <v>1</v>
      </c>
      <c r="E266" s="13">
        <v>227</v>
      </c>
      <c r="F266" s="13">
        <f>ROUND(Source!AX259,O266)</f>
        <v>0</v>
      </c>
      <c r="G266" s="13" t="s">
        <v>103</v>
      </c>
      <c r="H266" s="13" t="s">
        <v>104</v>
      </c>
      <c r="I266" s="13"/>
      <c r="J266" s="13"/>
      <c r="K266" s="13">
        <v>227</v>
      </c>
      <c r="L266" s="13">
        <v>6</v>
      </c>
      <c r="M266" s="13">
        <v>3</v>
      </c>
      <c r="N266" s="13" t="s">
        <v>3</v>
      </c>
      <c r="O266" s="13">
        <v>2</v>
      </c>
      <c r="P266" s="13">
        <f>ROUND(Source!EP259,O266)</f>
        <v>0</v>
      </c>
      <c r="Q266" s="13"/>
      <c r="R266" s="13"/>
      <c r="S266" s="13"/>
      <c r="T266" s="13"/>
      <c r="U266" s="13"/>
      <c r="V266" s="13"/>
      <c r="W266" s="13">
        <v>0</v>
      </c>
      <c r="X266" s="13">
        <v>1</v>
      </c>
      <c r="Y266" s="13">
        <v>0</v>
      </c>
      <c r="Z266" s="13">
        <v>0</v>
      </c>
      <c r="AA266" s="13">
        <v>1</v>
      </c>
      <c r="AB266" s="13">
        <v>0</v>
      </c>
    </row>
    <row r="267" spans="1:245" x14ac:dyDescent="0.2">
      <c r="A267" s="13">
        <v>50</v>
      </c>
      <c r="B267" s="13">
        <v>0</v>
      </c>
      <c r="C267" s="13">
        <v>0</v>
      </c>
      <c r="D267" s="13">
        <v>1</v>
      </c>
      <c r="E267" s="13">
        <v>228</v>
      </c>
      <c r="F267" s="13">
        <f>ROUND(Source!AY259,O267)</f>
        <v>11.7</v>
      </c>
      <c r="G267" s="13" t="s">
        <v>105</v>
      </c>
      <c r="H267" s="13" t="s">
        <v>106</v>
      </c>
      <c r="I267" s="13"/>
      <c r="J267" s="13"/>
      <c r="K267" s="13">
        <v>228</v>
      </c>
      <c r="L267" s="13">
        <v>7</v>
      </c>
      <c r="M267" s="13">
        <v>3</v>
      </c>
      <c r="N267" s="13" t="s">
        <v>3</v>
      </c>
      <c r="O267" s="13">
        <v>2</v>
      </c>
      <c r="P267" s="13">
        <f>ROUND(Source!EQ259,O267)</f>
        <v>119.81</v>
      </c>
      <c r="Q267" s="13"/>
      <c r="R267" s="13"/>
      <c r="S267" s="13"/>
      <c r="T267" s="13"/>
      <c r="U267" s="13"/>
      <c r="V267" s="13"/>
      <c r="W267" s="13">
        <v>11.7</v>
      </c>
      <c r="X267" s="13">
        <v>1</v>
      </c>
      <c r="Y267" s="13">
        <v>11.7</v>
      </c>
      <c r="Z267" s="13">
        <v>119.81</v>
      </c>
      <c r="AA267" s="13">
        <v>1</v>
      </c>
      <c r="AB267" s="13">
        <v>119.81</v>
      </c>
    </row>
    <row r="268" spans="1:245" x14ac:dyDescent="0.2">
      <c r="A268" s="13">
        <v>50</v>
      </c>
      <c r="B268" s="13">
        <v>0</v>
      </c>
      <c r="C268" s="13">
        <v>0</v>
      </c>
      <c r="D268" s="13">
        <v>1</v>
      </c>
      <c r="E268" s="13">
        <v>216</v>
      </c>
      <c r="F268" s="13">
        <f>ROUND(Source!AP259,O268)</f>
        <v>1401.34</v>
      </c>
      <c r="G268" s="13" t="s">
        <v>107</v>
      </c>
      <c r="H268" s="13" t="s">
        <v>108</v>
      </c>
      <c r="I268" s="13"/>
      <c r="J268" s="13"/>
      <c r="K268" s="13">
        <v>216</v>
      </c>
      <c r="L268" s="13">
        <v>8</v>
      </c>
      <c r="M268" s="13">
        <v>3</v>
      </c>
      <c r="N268" s="13" t="s">
        <v>3</v>
      </c>
      <c r="O268" s="13">
        <v>2</v>
      </c>
      <c r="P268" s="13">
        <f>ROUND(Source!EH259,O268)</f>
        <v>13238.54</v>
      </c>
      <c r="Q268" s="13"/>
      <c r="R268" s="13"/>
      <c r="S268" s="13"/>
      <c r="T268" s="13"/>
      <c r="U268" s="13"/>
      <c r="V268" s="13"/>
      <c r="W268" s="13">
        <v>1401.34</v>
      </c>
      <c r="X268" s="13">
        <v>1</v>
      </c>
      <c r="Y268" s="13">
        <v>1401.34</v>
      </c>
      <c r="Z268" s="13">
        <v>13238.54</v>
      </c>
      <c r="AA268" s="13">
        <v>1</v>
      </c>
      <c r="AB268" s="13">
        <v>13238.54</v>
      </c>
    </row>
    <row r="269" spans="1:245" x14ac:dyDescent="0.2">
      <c r="A269" s="13">
        <v>50</v>
      </c>
      <c r="B269" s="13">
        <v>0</v>
      </c>
      <c r="C269" s="13">
        <v>0</v>
      </c>
      <c r="D269" s="13">
        <v>1</v>
      </c>
      <c r="E269" s="13">
        <v>223</v>
      </c>
      <c r="F269" s="13">
        <f>ROUND(Source!AQ259,O269)</f>
        <v>0</v>
      </c>
      <c r="G269" s="13" t="s">
        <v>109</v>
      </c>
      <c r="H269" s="13" t="s">
        <v>110</v>
      </c>
      <c r="I269" s="13"/>
      <c r="J269" s="13"/>
      <c r="K269" s="13">
        <v>223</v>
      </c>
      <c r="L269" s="13">
        <v>9</v>
      </c>
      <c r="M269" s="13">
        <v>3</v>
      </c>
      <c r="N269" s="13" t="s">
        <v>3</v>
      </c>
      <c r="O269" s="13">
        <v>2</v>
      </c>
      <c r="P269" s="13">
        <f>ROUND(Source!EI259,O269)</f>
        <v>0</v>
      </c>
      <c r="Q269" s="13"/>
      <c r="R269" s="13"/>
      <c r="S269" s="13"/>
      <c r="T269" s="13"/>
      <c r="U269" s="13"/>
      <c r="V269" s="13"/>
      <c r="W269" s="13">
        <v>0</v>
      </c>
      <c r="X269" s="13">
        <v>1</v>
      </c>
      <c r="Y269" s="13">
        <v>0</v>
      </c>
      <c r="Z269" s="13">
        <v>0</v>
      </c>
      <c r="AA269" s="13">
        <v>1</v>
      </c>
      <c r="AB269" s="13">
        <v>0</v>
      </c>
    </row>
    <row r="270" spans="1:245" x14ac:dyDescent="0.2">
      <c r="A270" s="13">
        <v>50</v>
      </c>
      <c r="B270" s="13">
        <v>0</v>
      </c>
      <c r="C270" s="13">
        <v>0</v>
      </c>
      <c r="D270" s="13">
        <v>1</v>
      </c>
      <c r="E270" s="13">
        <v>229</v>
      </c>
      <c r="F270" s="13">
        <f>ROUND(Source!AZ259,O270)</f>
        <v>1401.34</v>
      </c>
      <c r="G270" s="13" t="s">
        <v>111</v>
      </c>
      <c r="H270" s="13" t="s">
        <v>112</v>
      </c>
      <c r="I270" s="13"/>
      <c r="J270" s="13"/>
      <c r="K270" s="13">
        <v>229</v>
      </c>
      <c r="L270" s="13">
        <v>10</v>
      </c>
      <c r="M270" s="13">
        <v>3</v>
      </c>
      <c r="N270" s="13" t="s">
        <v>3</v>
      </c>
      <c r="O270" s="13">
        <v>2</v>
      </c>
      <c r="P270" s="13">
        <f>ROUND(Source!ER259,O270)</f>
        <v>13238.54</v>
      </c>
      <c r="Q270" s="13"/>
      <c r="R270" s="13"/>
      <c r="S270" s="13"/>
      <c r="T270" s="13"/>
      <c r="U270" s="13"/>
      <c r="V270" s="13"/>
      <c r="W270" s="13">
        <v>1401.34</v>
      </c>
      <c r="X270" s="13">
        <v>1</v>
      </c>
      <c r="Y270" s="13">
        <v>1401.34</v>
      </c>
      <c r="Z270" s="13">
        <v>13238.54</v>
      </c>
      <c r="AA270" s="13">
        <v>1</v>
      </c>
      <c r="AB270" s="13">
        <v>13238.54</v>
      </c>
    </row>
    <row r="271" spans="1:245" x14ac:dyDescent="0.2">
      <c r="A271" s="13">
        <v>50</v>
      </c>
      <c r="B271" s="13">
        <v>0</v>
      </c>
      <c r="C271" s="13">
        <v>0</v>
      </c>
      <c r="D271" s="13">
        <v>1</v>
      </c>
      <c r="E271" s="13">
        <v>203</v>
      </c>
      <c r="F271" s="13">
        <f>ROUND(Source!Q259,O271)</f>
        <v>0</v>
      </c>
      <c r="G271" s="13" t="s">
        <v>113</v>
      </c>
      <c r="H271" s="13" t="s">
        <v>114</v>
      </c>
      <c r="I271" s="13"/>
      <c r="J271" s="13"/>
      <c r="K271" s="13">
        <v>203</v>
      </c>
      <c r="L271" s="13">
        <v>11</v>
      </c>
      <c r="M271" s="13">
        <v>3</v>
      </c>
      <c r="N271" s="13" t="s">
        <v>3</v>
      </c>
      <c r="O271" s="13">
        <v>2</v>
      </c>
      <c r="P271" s="13">
        <f>ROUND(Source!DI259,O271)</f>
        <v>0</v>
      </c>
      <c r="Q271" s="13"/>
      <c r="R271" s="13"/>
      <c r="S271" s="13"/>
      <c r="T271" s="13"/>
      <c r="U271" s="13"/>
      <c r="V271" s="13"/>
      <c r="W271" s="13">
        <v>0</v>
      </c>
      <c r="X271" s="13">
        <v>1</v>
      </c>
      <c r="Y271" s="13">
        <v>0</v>
      </c>
      <c r="Z271" s="13">
        <v>0</v>
      </c>
      <c r="AA271" s="13">
        <v>1</v>
      </c>
      <c r="AB271" s="13">
        <v>0</v>
      </c>
    </row>
    <row r="272" spans="1:245" x14ac:dyDescent="0.2">
      <c r="A272" s="13">
        <v>50</v>
      </c>
      <c r="B272" s="13">
        <v>0</v>
      </c>
      <c r="C272" s="13">
        <v>0</v>
      </c>
      <c r="D272" s="13">
        <v>1</v>
      </c>
      <c r="E272" s="13">
        <v>231</v>
      </c>
      <c r="F272" s="13">
        <f>ROUND(Source!BB259,O272)</f>
        <v>0</v>
      </c>
      <c r="G272" s="13" t="s">
        <v>115</v>
      </c>
      <c r="H272" s="13" t="s">
        <v>116</v>
      </c>
      <c r="I272" s="13"/>
      <c r="J272" s="13"/>
      <c r="K272" s="13">
        <v>231</v>
      </c>
      <c r="L272" s="13">
        <v>12</v>
      </c>
      <c r="M272" s="13">
        <v>3</v>
      </c>
      <c r="N272" s="13" t="s">
        <v>3</v>
      </c>
      <c r="O272" s="13">
        <v>2</v>
      </c>
      <c r="P272" s="13">
        <f>ROUND(Source!ET259,O272)</f>
        <v>0</v>
      </c>
      <c r="Q272" s="13"/>
      <c r="R272" s="13"/>
      <c r="S272" s="13"/>
      <c r="T272" s="13"/>
      <c r="U272" s="13"/>
      <c r="V272" s="13"/>
      <c r="W272" s="13">
        <v>0</v>
      </c>
      <c r="X272" s="13">
        <v>1</v>
      </c>
      <c r="Y272" s="13">
        <v>0</v>
      </c>
      <c r="Z272" s="13">
        <v>0</v>
      </c>
      <c r="AA272" s="13">
        <v>1</v>
      </c>
      <c r="AB272" s="13">
        <v>0</v>
      </c>
    </row>
    <row r="273" spans="1:28" x14ac:dyDescent="0.2">
      <c r="A273" s="13">
        <v>50</v>
      </c>
      <c r="B273" s="13">
        <v>0</v>
      </c>
      <c r="C273" s="13">
        <v>0</v>
      </c>
      <c r="D273" s="13">
        <v>1</v>
      </c>
      <c r="E273" s="13">
        <v>204</v>
      </c>
      <c r="F273" s="13">
        <f>ROUND(Source!R259,O273)</f>
        <v>0</v>
      </c>
      <c r="G273" s="13" t="s">
        <v>117</v>
      </c>
      <c r="H273" s="13" t="s">
        <v>118</v>
      </c>
      <c r="I273" s="13"/>
      <c r="J273" s="13"/>
      <c r="K273" s="13">
        <v>204</v>
      </c>
      <c r="L273" s="13">
        <v>13</v>
      </c>
      <c r="M273" s="13">
        <v>3</v>
      </c>
      <c r="N273" s="13" t="s">
        <v>3</v>
      </c>
      <c r="O273" s="13">
        <v>2</v>
      </c>
      <c r="P273" s="13">
        <f>ROUND(Source!DJ259,O273)</f>
        <v>0</v>
      </c>
      <c r="Q273" s="13"/>
      <c r="R273" s="13"/>
      <c r="S273" s="13"/>
      <c r="T273" s="13"/>
      <c r="U273" s="13"/>
      <c r="V273" s="13"/>
      <c r="W273" s="13">
        <v>0</v>
      </c>
      <c r="X273" s="13">
        <v>1</v>
      </c>
      <c r="Y273" s="13">
        <v>0</v>
      </c>
      <c r="Z273" s="13">
        <v>0</v>
      </c>
      <c r="AA273" s="13">
        <v>1</v>
      </c>
      <c r="AB273" s="13">
        <v>0</v>
      </c>
    </row>
    <row r="274" spans="1:28" x14ac:dyDescent="0.2">
      <c r="A274" s="13">
        <v>50</v>
      </c>
      <c r="B274" s="13">
        <v>0</v>
      </c>
      <c r="C274" s="13">
        <v>0</v>
      </c>
      <c r="D274" s="13">
        <v>1</v>
      </c>
      <c r="E274" s="13">
        <v>205</v>
      </c>
      <c r="F274" s="13">
        <f>ROUND(Source!S259,O274)</f>
        <v>252.35</v>
      </c>
      <c r="G274" s="13" t="s">
        <v>119</v>
      </c>
      <c r="H274" s="13" t="s">
        <v>120</v>
      </c>
      <c r="I274" s="13"/>
      <c r="J274" s="13"/>
      <c r="K274" s="13">
        <v>205</v>
      </c>
      <c r="L274" s="13">
        <v>14</v>
      </c>
      <c r="M274" s="13">
        <v>3</v>
      </c>
      <c r="N274" s="13" t="s">
        <v>3</v>
      </c>
      <c r="O274" s="13">
        <v>2</v>
      </c>
      <c r="P274" s="13">
        <f>ROUND(Source!DK259,O274)</f>
        <v>14219.92</v>
      </c>
      <c r="Q274" s="13"/>
      <c r="R274" s="13"/>
      <c r="S274" s="13"/>
      <c r="T274" s="13"/>
      <c r="U274" s="13"/>
      <c r="V274" s="13"/>
      <c r="W274" s="13">
        <v>252.35</v>
      </c>
      <c r="X274" s="13">
        <v>1</v>
      </c>
      <c r="Y274" s="13">
        <v>252.35</v>
      </c>
      <c r="Z274" s="13">
        <v>14219.92</v>
      </c>
      <c r="AA274" s="13">
        <v>1</v>
      </c>
      <c r="AB274" s="13">
        <v>14219.92</v>
      </c>
    </row>
    <row r="275" spans="1:28" x14ac:dyDescent="0.2">
      <c r="A275" s="13">
        <v>50</v>
      </c>
      <c r="B275" s="13">
        <v>0</v>
      </c>
      <c r="C275" s="13">
        <v>0</v>
      </c>
      <c r="D275" s="13">
        <v>1</v>
      </c>
      <c r="E275" s="13">
        <v>232</v>
      </c>
      <c r="F275" s="13">
        <f>ROUND(Source!BC259,O275)</f>
        <v>0</v>
      </c>
      <c r="G275" s="13" t="s">
        <v>121</v>
      </c>
      <c r="H275" s="13" t="s">
        <v>122</v>
      </c>
      <c r="I275" s="13"/>
      <c r="J275" s="13"/>
      <c r="K275" s="13">
        <v>232</v>
      </c>
      <c r="L275" s="13">
        <v>15</v>
      </c>
      <c r="M275" s="13">
        <v>3</v>
      </c>
      <c r="N275" s="13" t="s">
        <v>3</v>
      </c>
      <c r="O275" s="13">
        <v>2</v>
      </c>
      <c r="P275" s="13">
        <f>ROUND(Source!EU259,O275)</f>
        <v>0</v>
      </c>
      <c r="Q275" s="13"/>
      <c r="R275" s="13"/>
      <c r="S275" s="13"/>
      <c r="T275" s="13"/>
      <c r="U275" s="13"/>
      <c r="V275" s="13"/>
      <c r="W275" s="13">
        <v>0</v>
      </c>
      <c r="X275" s="13">
        <v>1</v>
      </c>
      <c r="Y275" s="13">
        <v>0</v>
      </c>
      <c r="Z275" s="13">
        <v>0</v>
      </c>
      <c r="AA275" s="13">
        <v>1</v>
      </c>
      <c r="AB275" s="13">
        <v>0</v>
      </c>
    </row>
    <row r="276" spans="1:28" x14ac:dyDescent="0.2">
      <c r="A276" s="13">
        <v>50</v>
      </c>
      <c r="B276" s="13">
        <v>0</v>
      </c>
      <c r="C276" s="13">
        <v>0</v>
      </c>
      <c r="D276" s="13">
        <v>1</v>
      </c>
      <c r="E276" s="13">
        <v>214</v>
      </c>
      <c r="F276" s="13">
        <f>ROUND(Source!AS259,O276)</f>
        <v>0</v>
      </c>
      <c r="G276" s="13" t="s">
        <v>123</v>
      </c>
      <c r="H276" s="13" t="s">
        <v>124</v>
      </c>
      <c r="I276" s="13"/>
      <c r="J276" s="13"/>
      <c r="K276" s="13">
        <v>214</v>
      </c>
      <c r="L276" s="13">
        <v>16</v>
      </c>
      <c r="M276" s="13">
        <v>3</v>
      </c>
      <c r="N276" s="13" t="s">
        <v>3</v>
      </c>
      <c r="O276" s="13">
        <v>2</v>
      </c>
      <c r="P276" s="13">
        <f>ROUND(Source!EK259,O276)</f>
        <v>0</v>
      </c>
      <c r="Q276" s="13"/>
      <c r="R276" s="13"/>
      <c r="S276" s="13"/>
      <c r="T276" s="13"/>
      <c r="U276" s="13"/>
      <c r="V276" s="13"/>
      <c r="W276" s="13">
        <v>0</v>
      </c>
      <c r="X276" s="13">
        <v>1</v>
      </c>
      <c r="Y276" s="13">
        <v>0</v>
      </c>
      <c r="Z276" s="13">
        <v>0</v>
      </c>
      <c r="AA276" s="13">
        <v>1</v>
      </c>
      <c r="AB276" s="13">
        <v>0</v>
      </c>
    </row>
    <row r="277" spans="1:28" x14ac:dyDescent="0.2">
      <c r="A277" s="13">
        <v>50</v>
      </c>
      <c r="B277" s="13">
        <v>0</v>
      </c>
      <c r="C277" s="13">
        <v>0</v>
      </c>
      <c r="D277" s="13">
        <v>1</v>
      </c>
      <c r="E277" s="13">
        <v>215</v>
      </c>
      <c r="F277" s="13">
        <f>ROUND(Source!AT259,O277)</f>
        <v>607.25</v>
      </c>
      <c r="G277" s="13" t="s">
        <v>125</v>
      </c>
      <c r="H277" s="13" t="s">
        <v>126</v>
      </c>
      <c r="I277" s="13"/>
      <c r="J277" s="13"/>
      <c r="K277" s="13">
        <v>215</v>
      </c>
      <c r="L277" s="13">
        <v>17</v>
      </c>
      <c r="M277" s="13">
        <v>3</v>
      </c>
      <c r="N277" s="13" t="s">
        <v>3</v>
      </c>
      <c r="O277" s="13">
        <v>2</v>
      </c>
      <c r="P277" s="13">
        <f>ROUND(Source!EL259,O277)</f>
        <v>33678.82</v>
      </c>
      <c r="Q277" s="13"/>
      <c r="R277" s="13"/>
      <c r="S277" s="13"/>
      <c r="T277" s="13"/>
      <c r="U277" s="13"/>
      <c r="V277" s="13"/>
      <c r="W277" s="13">
        <v>607.25</v>
      </c>
      <c r="X277" s="13">
        <v>1</v>
      </c>
      <c r="Y277" s="13">
        <v>607.25</v>
      </c>
      <c r="Z277" s="13">
        <v>33678.82</v>
      </c>
      <c r="AA277" s="13">
        <v>1</v>
      </c>
      <c r="AB277" s="13">
        <v>33678.82</v>
      </c>
    </row>
    <row r="278" spans="1:28" x14ac:dyDescent="0.2">
      <c r="A278" s="13">
        <v>50</v>
      </c>
      <c r="B278" s="13">
        <v>0</v>
      </c>
      <c r="C278" s="13">
        <v>0</v>
      </c>
      <c r="D278" s="13">
        <v>1</v>
      </c>
      <c r="E278" s="13">
        <v>217</v>
      </c>
      <c r="F278" s="13">
        <f>ROUND(Source!AU259,O278)</f>
        <v>0</v>
      </c>
      <c r="G278" s="13" t="s">
        <v>127</v>
      </c>
      <c r="H278" s="13" t="s">
        <v>128</v>
      </c>
      <c r="I278" s="13"/>
      <c r="J278" s="13"/>
      <c r="K278" s="13">
        <v>217</v>
      </c>
      <c r="L278" s="13">
        <v>18</v>
      </c>
      <c r="M278" s="13">
        <v>3</v>
      </c>
      <c r="N278" s="13" t="s">
        <v>3</v>
      </c>
      <c r="O278" s="13">
        <v>2</v>
      </c>
      <c r="P278" s="13">
        <f>ROUND(Source!EM259,O278)</f>
        <v>0</v>
      </c>
      <c r="Q278" s="13"/>
      <c r="R278" s="13"/>
      <c r="S278" s="13"/>
      <c r="T278" s="13"/>
      <c r="U278" s="13"/>
      <c r="V278" s="13"/>
      <c r="W278" s="13">
        <v>0</v>
      </c>
      <c r="X278" s="13">
        <v>1</v>
      </c>
      <c r="Y278" s="13">
        <v>0</v>
      </c>
      <c r="Z278" s="13">
        <v>0</v>
      </c>
      <c r="AA278" s="13">
        <v>1</v>
      </c>
      <c r="AB278" s="13">
        <v>0</v>
      </c>
    </row>
    <row r="279" spans="1:28" x14ac:dyDescent="0.2">
      <c r="A279" s="13">
        <v>50</v>
      </c>
      <c r="B279" s="13">
        <v>0</v>
      </c>
      <c r="C279" s="13">
        <v>0</v>
      </c>
      <c r="D279" s="13">
        <v>1</v>
      </c>
      <c r="E279" s="13">
        <v>230</v>
      </c>
      <c r="F279" s="13">
        <f>ROUND(Source!BA259,O279)</f>
        <v>0</v>
      </c>
      <c r="G279" s="13" t="s">
        <v>129</v>
      </c>
      <c r="H279" s="13" t="s">
        <v>130</v>
      </c>
      <c r="I279" s="13"/>
      <c r="J279" s="13"/>
      <c r="K279" s="13">
        <v>230</v>
      </c>
      <c r="L279" s="13">
        <v>19</v>
      </c>
      <c r="M279" s="13">
        <v>3</v>
      </c>
      <c r="N279" s="13" t="s">
        <v>3</v>
      </c>
      <c r="O279" s="13">
        <v>2</v>
      </c>
      <c r="P279" s="13">
        <f>ROUND(Source!ES259,O279)</f>
        <v>0</v>
      </c>
      <c r="Q279" s="13"/>
      <c r="R279" s="13"/>
      <c r="S279" s="13"/>
      <c r="T279" s="13"/>
      <c r="U279" s="13"/>
      <c r="V279" s="13"/>
      <c r="W279" s="13">
        <v>0</v>
      </c>
      <c r="X279" s="13">
        <v>1</v>
      </c>
      <c r="Y279" s="13">
        <v>0</v>
      </c>
      <c r="Z279" s="13">
        <v>0</v>
      </c>
      <c r="AA279" s="13">
        <v>1</v>
      </c>
      <c r="AB279" s="13">
        <v>0</v>
      </c>
    </row>
    <row r="280" spans="1:28" x14ac:dyDescent="0.2">
      <c r="A280" s="13">
        <v>50</v>
      </c>
      <c r="B280" s="13">
        <v>0</v>
      </c>
      <c r="C280" s="13">
        <v>0</v>
      </c>
      <c r="D280" s="13">
        <v>1</v>
      </c>
      <c r="E280" s="13">
        <v>206</v>
      </c>
      <c r="F280" s="13">
        <f>ROUND(Source!T259,O280)</f>
        <v>0</v>
      </c>
      <c r="G280" s="13" t="s">
        <v>131</v>
      </c>
      <c r="H280" s="13" t="s">
        <v>132</v>
      </c>
      <c r="I280" s="13"/>
      <c r="J280" s="13"/>
      <c r="K280" s="13">
        <v>206</v>
      </c>
      <c r="L280" s="13">
        <v>20</v>
      </c>
      <c r="M280" s="13">
        <v>3</v>
      </c>
      <c r="N280" s="13" t="s">
        <v>3</v>
      </c>
      <c r="O280" s="13">
        <v>2</v>
      </c>
      <c r="P280" s="13">
        <f>ROUND(Source!DL259,O280)</f>
        <v>0</v>
      </c>
      <c r="Q280" s="13"/>
      <c r="R280" s="13"/>
      <c r="S280" s="13"/>
      <c r="T280" s="13"/>
      <c r="U280" s="13"/>
      <c r="V280" s="13"/>
      <c r="W280" s="13">
        <v>0</v>
      </c>
      <c r="X280" s="13">
        <v>1</v>
      </c>
      <c r="Y280" s="13">
        <v>0</v>
      </c>
      <c r="Z280" s="13">
        <v>0</v>
      </c>
      <c r="AA280" s="13">
        <v>1</v>
      </c>
      <c r="AB280" s="13">
        <v>0</v>
      </c>
    </row>
    <row r="281" spans="1:28" x14ac:dyDescent="0.2">
      <c r="A281" s="13">
        <v>50</v>
      </c>
      <c r="B281" s="13">
        <v>0</v>
      </c>
      <c r="C281" s="13">
        <v>0</v>
      </c>
      <c r="D281" s="13">
        <v>1</v>
      </c>
      <c r="E281" s="13">
        <v>207</v>
      </c>
      <c r="F281" s="13">
        <f>Source!U259</f>
        <v>19.976759999999999</v>
      </c>
      <c r="G281" s="13" t="s">
        <v>133</v>
      </c>
      <c r="H281" s="13" t="s">
        <v>134</v>
      </c>
      <c r="I281" s="13"/>
      <c r="J281" s="13"/>
      <c r="K281" s="13">
        <v>207</v>
      </c>
      <c r="L281" s="13">
        <v>21</v>
      </c>
      <c r="M281" s="13">
        <v>3</v>
      </c>
      <c r="N281" s="13" t="s">
        <v>3</v>
      </c>
      <c r="O281" s="13">
        <v>-1</v>
      </c>
      <c r="P281" s="13">
        <f>Source!DM259</f>
        <v>19.976759999999999</v>
      </c>
      <c r="Q281" s="13"/>
      <c r="R281" s="13"/>
      <c r="S281" s="13"/>
      <c r="T281" s="13"/>
      <c r="U281" s="13"/>
      <c r="V281" s="13"/>
      <c r="W281" s="13">
        <v>19.976759999999999</v>
      </c>
      <c r="X281" s="13">
        <v>1</v>
      </c>
      <c r="Y281" s="13">
        <v>19.976759999999999</v>
      </c>
      <c r="Z281" s="13">
        <v>19.976759999999999</v>
      </c>
      <c r="AA281" s="13">
        <v>1</v>
      </c>
      <c r="AB281" s="13">
        <v>19.976759999999999</v>
      </c>
    </row>
    <row r="282" spans="1:28" x14ac:dyDescent="0.2">
      <c r="A282" s="13">
        <v>50</v>
      </c>
      <c r="B282" s="13">
        <v>0</v>
      </c>
      <c r="C282" s="13">
        <v>0</v>
      </c>
      <c r="D282" s="13">
        <v>1</v>
      </c>
      <c r="E282" s="13">
        <v>208</v>
      </c>
      <c r="F282" s="13">
        <f>Source!V259</f>
        <v>0</v>
      </c>
      <c r="G282" s="13" t="s">
        <v>135</v>
      </c>
      <c r="H282" s="13" t="s">
        <v>136</v>
      </c>
      <c r="I282" s="13"/>
      <c r="J282" s="13"/>
      <c r="K282" s="13">
        <v>208</v>
      </c>
      <c r="L282" s="13">
        <v>22</v>
      </c>
      <c r="M282" s="13">
        <v>3</v>
      </c>
      <c r="N282" s="13" t="s">
        <v>3</v>
      </c>
      <c r="O282" s="13">
        <v>-1</v>
      </c>
      <c r="P282" s="13">
        <f>Source!DN259</f>
        <v>0</v>
      </c>
      <c r="Q282" s="13"/>
      <c r="R282" s="13"/>
      <c r="S282" s="13"/>
      <c r="T282" s="13"/>
      <c r="U282" s="13"/>
      <c r="V282" s="13"/>
      <c r="W282" s="13">
        <v>0</v>
      </c>
      <c r="X282" s="13">
        <v>1</v>
      </c>
      <c r="Y282" s="13">
        <v>0</v>
      </c>
      <c r="Z282" s="13">
        <v>0</v>
      </c>
      <c r="AA282" s="13">
        <v>1</v>
      </c>
      <c r="AB282" s="13">
        <v>0</v>
      </c>
    </row>
    <row r="283" spans="1:28" x14ac:dyDescent="0.2">
      <c r="A283" s="13">
        <v>50</v>
      </c>
      <c r="B283" s="13">
        <v>0</v>
      </c>
      <c r="C283" s="13">
        <v>0</v>
      </c>
      <c r="D283" s="13">
        <v>1</v>
      </c>
      <c r="E283" s="13">
        <v>209</v>
      </c>
      <c r="F283" s="13">
        <f>ROUND(Source!W259,O283)</f>
        <v>0</v>
      </c>
      <c r="G283" s="13" t="s">
        <v>137</v>
      </c>
      <c r="H283" s="13" t="s">
        <v>138</v>
      </c>
      <c r="I283" s="13"/>
      <c r="J283" s="13"/>
      <c r="K283" s="13">
        <v>209</v>
      </c>
      <c r="L283" s="13">
        <v>23</v>
      </c>
      <c r="M283" s="13">
        <v>3</v>
      </c>
      <c r="N283" s="13" t="s">
        <v>3</v>
      </c>
      <c r="O283" s="13">
        <v>2</v>
      </c>
      <c r="P283" s="13">
        <f>ROUND(Source!DO259,O283)</f>
        <v>0</v>
      </c>
      <c r="Q283" s="13"/>
      <c r="R283" s="13"/>
      <c r="S283" s="13"/>
      <c r="T283" s="13"/>
      <c r="U283" s="13"/>
      <c r="V283" s="13"/>
      <c r="W283" s="13">
        <v>0</v>
      </c>
      <c r="X283" s="13">
        <v>1</v>
      </c>
      <c r="Y283" s="13">
        <v>0</v>
      </c>
      <c r="Z283" s="13">
        <v>0</v>
      </c>
      <c r="AA283" s="13">
        <v>1</v>
      </c>
      <c r="AB283" s="13">
        <v>0</v>
      </c>
    </row>
    <row r="284" spans="1:28" x14ac:dyDescent="0.2">
      <c r="A284" s="13">
        <v>50</v>
      </c>
      <c r="B284" s="13">
        <v>0</v>
      </c>
      <c r="C284" s="13">
        <v>0</v>
      </c>
      <c r="D284" s="13">
        <v>1</v>
      </c>
      <c r="E284" s="13">
        <v>233</v>
      </c>
      <c r="F284" s="13">
        <f>ROUND(Source!BD259,O284)</f>
        <v>0</v>
      </c>
      <c r="G284" s="13" t="s">
        <v>139</v>
      </c>
      <c r="H284" s="13" t="s">
        <v>140</v>
      </c>
      <c r="I284" s="13"/>
      <c r="J284" s="13"/>
      <c r="K284" s="13">
        <v>233</v>
      </c>
      <c r="L284" s="13">
        <v>24</v>
      </c>
      <c r="M284" s="13">
        <v>3</v>
      </c>
      <c r="N284" s="13" t="s">
        <v>3</v>
      </c>
      <c r="O284" s="13">
        <v>2</v>
      </c>
      <c r="P284" s="13">
        <f>ROUND(Source!EV259,O284)</f>
        <v>0</v>
      </c>
      <c r="Q284" s="13"/>
      <c r="R284" s="13"/>
      <c r="S284" s="13"/>
      <c r="T284" s="13"/>
      <c r="U284" s="13"/>
      <c r="V284" s="13"/>
      <c r="W284" s="13">
        <v>0</v>
      </c>
      <c r="X284" s="13">
        <v>1</v>
      </c>
      <c r="Y284" s="13">
        <v>0</v>
      </c>
      <c r="Z284" s="13">
        <v>0</v>
      </c>
      <c r="AA284" s="13">
        <v>1</v>
      </c>
      <c r="AB284" s="13">
        <v>0</v>
      </c>
    </row>
    <row r="285" spans="1:28" x14ac:dyDescent="0.2">
      <c r="A285" s="13">
        <v>50</v>
      </c>
      <c r="B285" s="13">
        <v>0</v>
      </c>
      <c r="C285" s="13">
        <v>0</v>
      </c>
      <c r="D285" s="13">
        <v>1</v>
      </c>
      <c r="E285" s="13">
        <v>210</v>
      </c>
      <c r="F285" s="13">
        <f>ROUND(Source!X259,O285)</f>
        <v>227.12</v>
      </c>
      <c r="G285" s="13" t="s">
        <v>141</v>
      </c>
      <c r="H285" s="13" t="s">
        <v>142</v>
      </c>
      <c r="I285" s="13"/>
      <c r="J285" s="13"/>
      <c r="K285" s="13">
        <v>210</v>
      </c>
      <c r="L285" s="13">
        <v>25</v>
      </c>
      <c r="M285" s="13">
        <v>3</v>
      </c>
      <c r="N285" s="13" t="s">
        <v>3</v>
      </c>
      <c r="O285" s="13">
        <v>2</v>
      </c>
      <c r="P285" s="13">
        <f>ROUND(Source!DP259,O285)</f>
        <v>12797.93</v>
      </c>
      <c r="Q285" s="13"/>
      <c r="R285" s="13"/>
      <c r="S285" s="13"/>
      <c r="T285" s="13"/>
      <c r="U285" s="13"/>
      <c r="V285" s="13"/>
      <c r="W285" s="13">
        <v>227.12</v>
      </c>
      <c r="X285" s="13">
        <v>1</v>
      </c>
      <c r="Y285" s="13">
        <v>227.12</v>
      </c>
      <c r="Z285" s="13">
        <v>12797.93</v>
      </c>
      <c r="AA285" s="13">
        <v>1</v>
      </c>
      <c r="AB285" s="13">
        <v>12797.93</v>
      </c>
    </row>
    <row r="286" spans="1:28" x14ac:dyDescent="0.2">
      <c r="A286" s="13">
        <v>50</v>
      </c>
      <c r="B286" s="13">
        <v>0</v>
      </c>
      <c r="C286" s="13">
        <v>0</v>
      </c>
      <c r="D286" s="13">
        <v>1</v>
      </c>
      <c r="E286" s="13">
        <v>211</v>
      </c>
      <c r="F286" s="13">
        <f>ROUND(Source!Y259,O286)</f>
        <v>116.08</v>
      </c>
      <c r="G286" s="13" t="s">
        <v>143</v>
      </c>
      <c r="H286" s="13" t="s">
        <v>144</v>
      </c>
      <c r="I286" s="13"/>
      <c r="J286" s="13"/>
      <c r="K286" s="13">
        <v>211</v>
      </c>
      <c r="L286" s="13">
        <v>26</v>
      </c>
      <c r="M286" s="13">
        <v>3</v>
      </c>
      <c r="N286" s="13" t="s">
        <v>3</v>
      </c>
      <c r="O286" s="13">
        <v>2</v>
      </c>
      <c r="P286" s="13">
        <f>ROUND(Source!DQ259,O286)</f>
        <v>6541.16</v>
      </c>
      <c r="Q286" s="13"/>
      <c r="R286" s="13"/>
      <c r="S286" s="13"/>
      <c r="T286" s="13"/>
      <c r="U286" s="13"/>
      <c r="V286" s="13"/>
      <c r="W286" s="13">
        <v>116.08</v>
      </c>
      <c r="X286" s="13">
        <v>1</v>
      </c>
      <c r="Y286" s="13">
        <v>116.08</v>
      </c>
      <c r="Z286" s="13">
        <v>6541.16</v>
      </c>
      <c r="AA286" s="13">
        <v>1</v>
      </c>
      <c r="AB286" s="13">
        <v>6541.16</v>
      </c>
    </row>
    <row r="287" spans="1:28" x14ac:dyDescent="0.2">
      <c r="A287" s="13">
        <v>50</v>
      </c>
      <c r="B287" s="13">
        <v>0</v>
      </c>
      <c r="C287" s="13">
        <v>0</v>
      </c>
      <c r="D287" s="13">
        <v>1</v>
      </c>
      <c r="E287" s="13">
        <v>224</v>
      </c>
      <c r="F287" s="13">
        <f>ROUND(Source!AR259,O287)</f>
        <v>2008.59</v>
      </c>
      <c r="G287" s="13" t="s">
        <v>145</v>
      </c>
      <c r="H287" s="13" t="s">
        <v>146</v>
      </c>
      <c r="I287" s="13"/>
      <c r="J287" s="13"/>
      <c r="K287" s="13">
        <v>224</v>
      </c>
      <c r="L287" s="13">
        <v>27</v>
      </c>
      <c r="M287" s="13">
        <v>3</v>
      </c>
      <c r="N287" s="13" t="s">
        <v>3</v>
      </c>
      <c r="O287" s="13">
        <v>2</v>
      </c>
      <c r="P287" s="13">
        <f>ROUND(Source!EJ259,O287)</f>
        <v>46917.36</v>
      </c>
      <c r="Q287" s="13"/>
      <c r="R287" s="13"/>
      <c r="S287" s="13"/>
      <c r="T287" s="13"/>
      <c r="U287" s="13"/>
      <c r="V287" s="13"/>
      <c r="W287" s="13">
        <v>2008.59</v>
      </c>
      <c r="X287" s="13">
        <v>1</v>
      </c>
      <c r="Y287" s="13">
        <v>2008.59</v>
      </c>
      <c r="Z287" s="13">
        <v>46917.36</v>
      </c>
      <c r="AA287" s="13">
        <v>1</v>
      </c>
      <c r="AB287" s="13">
        <v>46917.36</v>
      </c>
    </row>
    <row r="289" spans="1:255" x14ac:dyDescent="0.2">
      <c r="A289" s="10">
        <v>4</v>
      </c>
      <c r="B289" s="10">
        <v>1</v>
      </c>
      <c r="C289" s="10"/>
      <c r="D289" s="10">
        <f>ROW(A308)</f>
        <v>308</v>
      </c>
      <c r="E289" s="10"/>
      <c r="F289" s="10" t="s">
        <v>42</v>
      </c>
      <c r="G289" s="10" t="s">
        <v>253</v>
      </c>
      <c r="H289" s="10" t="s">
        <v>3</v>
      </c>
      <c r="I289" s="10">
        <v>0</v>
      </c>
      <c r="J289" s="10"/>
      <c r="K289" s="10">
        <v>-1</v>
      </c>
      <c r="L289" s="10"/>
      <c r="M289" s="10" t="s">
        <v>3</v>
      </c>
      <c r="N289" s="10"/>
      <c r="O289" s="10"/>
      <c r="P289" s="10"/>
      <c r="Q289" s="10"/>
      <c r="R289" s="10"/>
      <c r="S289" s="10">
        <v>0</v>
      </c>
      <c r="T289" s="10">
        <v>0</v>
      </c>
      <c r="U289" s="10" t="s">
        <v>3</v>
      </c>
      <c r="V289" s="10">
        <v>0</v>
      </c>
      <c r="W289" s="10"/>
      <c r="X289" s="10"/>
      <c r="Y289" s="10"/>
      <c r="Z289" s="10"/>
      <c r="AA289" s="10"/>
      <c r="AB289" s="10" t="s">
        <v>3</v>
      </c>
      <c r="AC289" s="10" t="s">
        <v>3</v>
      </c>
      <c r="AD289" s="10" t="s">
        <v>3</v>
      </c>
      <c r="AE289" s="10" t="s">
        <v>3</v>
      </c>
      <c r="AF289" s="10" t="s">
        <v>3</v>
      </c>
      <c r="AG289" s="10" t="s">
        <v>3</v>
      </c>
      <c r="AH289" s="10"/>
      <c r="AI289" s="10"/>
      <c r="AJ289" s="10"/>
      <c r="AK289" s="10"/>
      <c r="AL289" s="10"/>
      <c r="AM289" s="10"/>
      <c r="AN289" s="10"/>
      <c r="AO289" s="10"/>
      <c r="AP289" s="10" t="s">
        <v>3</v>
      </c>
      <c r="AQ289" s="10" t="s">
        <v>3</v>
      </c>
      <c r="AR289" s="10" t="s">
        <v>3</v>
      </c>
      <c r="AS289" s="10"/>
      <c r="AT289" s="10"/>
      <c r="AU289" s="10"/>
      <c r="AV289" s="10"/>
      <c r="AW289" s="10"/>
      <c r="AX289" s="10"/>
      <c r="AY289" s="10"/>
      <c r="AZ289" s="10" t="s">
        <v>3</v>
      </c>
      <c r="BA289" s="10"/>
      <c r="BB289" s="10" t="s">
        <v>3</v>
      </c>
      <c r="BC289" s="10" t="s">
        <v>3</v>
      </c>
      <c r="BD289" s="10" t="s">
        <v>3</v>
      </c>
      <c r="BE289" s="10" t="s">
        <v>3</v>
      </c>
      <c r="BF289" s="10" t="s">
        <v>3</v>
      </c>
      <c r="BG289" s="10" t="s">
        <v>3</v>
      </c>
      <c r="BH289" s="10" t="s">
        <v>3</v>
      </c>
      <c r="BI289" s="10" t="s">
        <v>3</v>
      </c>
      <c r="BJ289" s="10" t="s">
        <v>3</v>
      </c>
      <c r="BK289" s="10" t="s">
        <v>3</v>
      </c>
      <c r="BL289" s="10" t="s">
        <v>3</v>
      </c>
      <c r="BM289" s="10" t="s">
        <v>3</v>
      </c>
      <c r="BN289" s="10" t="s">
        <v>3</v>
      </c>
      <c r="BO289" s="10" t="s">
        <v>3</v>
      </c>
      <c r="BP289" s="10" t="s">
        <v>3</v>
      </c>
      <c r="BQ289" s="10"/>
      <c r="BR289" s="10"/>
      <c r="BS289" s="10"/>
      <c r="BT289" s="10"/>
      <c r="BU289" s="10"/>
      <c r="BV289" s="10"/>
      <c r="BW289" s="10"/>
      <c r="BX289" s="10">
        <v>0</v>
      </c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>
        <v>0</v>
      </c>
    </row>
    <row r="291" spans="1:255" x14ac:dyDescent="0.2">
      <c r="A291" s="11">
        <v>52</v>
      </c>
      <c r="B291" s="11">
        <f t="shared" ref="B291:G291" si="239">B308</f>
        <v>1</v>
      </c>
      <c r="C291" s="11">
        <f t="shared" si="239"/>
        <v>4</v>
      </c>
      <c r="D291" s="11">
        <f t="shared" si="239"/>
        <v>289</v>
      </c>
      <c r="E291" s="11">
        <f t="shared" si="239"/>
        <v>0</v>
      </c>
      <c r="F291" s="11" t="str">
        <f t="shared" si="239"/>
        <v>5</v>
      </c>
      <c r="G291" s="11" t="str">
        <f t="shared" si="239"/>
        <v>Кабельные изделия</v>
      </c>
      <c r="H291" s="11"/>
      <c r="I291" s="11"/>
      <c r="J291" s="11"/>
      <c r="K291" s="11"/>
      <c r="L291" s="11"/>
      <c r="M291" s="11"/>
      <c r="N291" s="11"/>
      <c r="O291" s="11">
        <f t="shared" ref="O291:AT291" si="240">O308</f>
        <v>68231.23</v>
      </c>
      <c r="P291" s="11">
        <f t="shared" si="240"/>
        <v>60799.360000000001</v>
      </c>
      <c r="Q291" s="11">
        <f t="shared" si="240"/>
        <v>354.57</v>
      </c>
      <c r="R291" s="11">
        <f t="shared" si="240"/>
        <v>32.17</v>
      </c>
      <c r="S291" s="11">
        <f t="shared" si="240"/>
        <v>7077.3</v>
      </c>
      <c r="T291" s="11">
        <f t="shared" si="240"/>
        <v>0</v>
      </c>
      <c r="U291" s="11">
        <f t="shared" si="240"/>
        <v>590.60097359999997</v>
      </c>
      <c r="V291" s="11">
        <f t="shared" si="240"/>
        <v>0</v>
      </c>
      <c r="W291" s="11">
        <f t="shared" si="240"/>
        <v>0</v>
      </c>
      <c r="X291" s="11">
        <f t="shared" si="240"/>
        <v>6516.39</v>
      </c>
      <c r="Y291" s="11">
        <f t="shared" si="240"/>
        <v>3354.55</v>
      </c>
      <c r="Z291" s="11">
        <f t="shared" si="240"/>
        <v>0</v>
      </c>
      <c r="AA291" s="11">
        <f t="shared" si="240"/>
        <v>0</v>
      </c>
      <c r="AB291" s="11">
        <f t="shared" si="240"/>
        <v>68231.23</v>
      </c>
      <c r="AC291" s="11">
        <f t="shared" si="240"/>
        <v>60799.360000000001</v>
      </c>
      <c r="AD291" s="11">
        <f t="shared" si="240"/>
        <v>354.57</v>
      </c>
      <c r="AE291" s="11">
        <f t="shared" si="240"/>
        <v>32.17</v>
      </c>
      <c r="AF291" s="11">
        <f t="shared" si="240"/>
        <v>7077.3</v>
      </c>
      <c r="AG291" s="11">
        <f t="shared" si="240"/>
        <v>0</v>
      </c>
      <c r="AH291" s="11">
        <f t="shared" si="240"/>
        <v>590.60097359999997</v>
      </c>
      <c r="AI291" s="11">
        <f t="shared" si="240"/>
        <v>0</v>
      </c>
      <c r="AJ291" s="11">
        <f t="shared" si="240"/>
        <v>0</v>
      </c>
      <c r="AK291" s="11">
        <f t="shared" si="240"/>
        <v>6516.39</v>
      </c>
      <c r="AL291" s="11">
        <f t="shared" si="240"/>
        <v>3354.55</v>
      </c>
      <c r="AM291" s="11">
        <f t="shared" si="240"/>
        <v>0</v>
      </c>
      <c r="AN291" s="11">
        <f t="shared" si="240"/>
        <v>0</v>
      </c>
      <c r="AO291" s="11">
        <f t="shared" si="240"/>
        <v>0</v>
      </c>
      <c r="AP291" s="11">
        <f t="shared" si="240"/>
        <v>0</v>
      </c>
      <c r="AQ291" s="11">
        <f t="shared" si="240"/>
        <v>0</v>
      </c>
      <c r="AR291" s="11">
        <f t="shared" si="240"/>
        <v>78102.17</v>
      </c>
      <c r="AS291" s="11">
        <f t="shared" si="240"/>
        <v>0</v>
      </c>
      <c r="AT291" s="11">
        <f t="shared" si="240"/>
        <v>78102.17</v>
      </c>
      <c r="AU291" s="11">
        <f t="shared" ref="AU291:BZ291" si="241">AU308</f>
        <v>0</v>
      </c>
      <c r="AV291" s="11">
        <f t="shared" si="241"/>
        <v>60799.360000000001</v>
      </c>
      <c r="AW291" s="11">
        <f t="shared" si="241"/>
        <v>60799.360000000001</v>
      </c>
      <c r="AX291" s="11">
        <f t="shared" si="241"/>
        <v>0</v>
      </c>
      <c r="AY291" s="11">
        <f t="shared" si="241"/>
        <v>60799.360000000001</v>
      </c>
      <c r="AZ291" s="11">
        <f t="shared" si="241"/>
        <v>0</v>
      </c>
      <c r="BA291" s="11">
        <f t="shared" si="241"/>
        <v>0</v>
      </c>
      <c r="BB291" s="11">
        <f t="shared" si="241"/>
        <v>0</v>
      </c>
      <c r="BC291" s="11">
        <f t="shared" si="241"/>
        <v>0</v>
      </c>
      <c r="BD291" s="11">
        <f t="shared" si="241"/>
        <v>0</v>
      </c>
      <c r="BE291" s="11">
        <f t="shared" si="241"/>
        <v>0</v>
      </c>
      <c r="BF291" s="11">
        <f t="shared" si="241"/>
        <v>0</v>
      </c>
      <c r="BG291" s="11">
        <f t="shared" si="241"/>
        <v>0</v>
      </c>
      <c r="BH291" s="11">
        <f t="shared" si="241"/>
        <v>0</v>
      </c>
      <c r="BI291" s="11">
        <f t="shared" si="241"/>
        <v>0</v>
      </c>
      <c r="BJ291" s="11">
        <f t="shared" si="241"/>
        <v>0</v>
      </c>
      <c r="BK291" s="11">
        <f t="shared" si="241"/>
        <v>0</v>
      </c>
      <c r="BL291" s="11">
        <f t="shared" si="241"/>
        <v>0</v>
      </c>
      <c r="BM291" s="11">
        <f t="shared" si="241"/>
        <v>0</v>
      </c>
      <c r="BN291" s="11">
        <f t="shared" si="241"/>
        <v>0</v>
      </c>
      <c r="BO291" s="11">
        <f t="shared" si="241"/>
        <v>0</v>
      </c>
      <c r="BP291" s="11">
        <f t="shared" si="241"/>
        <v>0</v>
      </c>
      <c r="BQ291" s="11">
        <f t="shared" si="241"/>
        <v>0</v>
      </c>
      <c r="BR291" s="11">
        <f t="shared" si="241"/>
        <v>0</v>
      </c>
      <c r="BS291" s="11">
        <f t="shared" si="241"/>
        <v>0</v>
      </c>
      <c r="BT291" s="11">
        <f t="shared" si="241"/>
        <v>0</v>
      </c>
      <c r="BU291" s="11">
        <f t="shared" si="241"/>
        <v>0</v>
      </c>
      <c r="BV291" s="11">
        <f t="shared" si="241"/>
        <v>0</v>
      </c>
      <c r="BW291" s="11">
        <f t="shared" si="241"/>
        <v>0</v>
      </c>
      <c r="BX291" s="11">
        <f t="shared" si="241"/>
        <v>0</v>
      </c>
      <c r="BY291" s="11">
        <f t="shared" si="241"/>
        <v>0</v>
      </c>
      <c r="BZ291" s="11">
        <f t="shared" si="241"/>
        <v>0</v>
      </c>
      <c r="CA291" s="11">
        <f t="shared" ref="CA291:DF291" si="242">CA308</f>
        <v>78102.17</v>
      </c>
      <c r="CB291" s="11">
        <f t="shared" si="242"/>
        <v>0</v>
      </c>
      <c r="CC291" s="11">
        <f t="shared" si="242"/>
        <v>78102.17</v>
      </c>
      <c r="CD291" s="11">
        <f t="shared" si="242"/>
        <v>0</v>
      </c>
      <c r="CE291" s="11">
        <f t="shared" si="242"/>
        <v>60799.360000000001</v>
      </c>
      <c r="CF291" s="11">
        <f t="shared" si="242"/>
        <v>60799.360000000001</v>
      </c>
      <c r="CG291" s="11">
        <f t="shared" si="242"/>
        <v>0</v>
      </c>
      <c r="CH291" s="11">
        <f t="shared" si="242"/>
        <v>60799.360000000001</v>
      </c>
      <c r="CI291" s="11">
        <f t="shared" si="242"/>
        <v>0</v>
      </c>
      <c r="CJ291" s="11">
        <f t="shared" si="242"/>
        <v>0</v>
      </c>
      <c r="CK291" s="11">
        <f t="shared" si="242"/>
        <v>0</v>
      </c>
      <c r="CL291" s="11">
        <f t="shared" si="242"/>
        <v>0</v>
      </c>
      <c r="CM291" s="11">
        <f t="shared" si="242"/>
        <v>0</v>
      </c>
      <c r="CN291" s="11">
        <f t="shared" si="242"/>
        <v>0</v>
      </c>
      <c r="CO291" s="11">
        <f t="shared" si="242"/>
        <v>0</v>
      </c>
      <c r="CP291" s="11">
        <f t="shared" si="242"/>
        <v>0</v>
      </c>
      <c r="CQ291" s="11">
        <f t="shared" si="242"/>
        <v>0</v>
      </c>
      <c r="CR291" s="11">
        <f t="shared" si="242"/>
        <v>0</v>
      </c>
      <c r="CS291" s="11">
        <f t="shared" si="242"/>
        <v>0</v>
      </c>
      <c r="CT291" s="11">
        <f t="shared" si="242"/>
        <v>0</v>
      </c>
      <c r="CU291" s="11">
        <f t="shared" si="242"/>
        <v>0</v>
      </c>
      <c r="CV291" s="11">
        <f t="shared" si="242"/>
        <v>0</v>
      </c>
      <c r="CW291" s="11">
        <f t="shared" si="242"/>
        <v>0</v>
      </c>
      <c r="CX291" s="11">
        <f t="shared" si="242"/>
        <v>0</v>
      </c>
      <c r="CY291" s="11">
        <f t="shared" si="242"/>
        <v>0</v>
      </c>
      <c r="CZ291" s="11">
        <f t="shared" si="242"/>
        <v>0</v>
      </c>
      <c r="DA291" s="11">
        <f t="shared" si="242"/>
        <v>0</v>
      </c>
      <c r="DB291" s="11">
        <f t="shared" si="242"/>
        <v>0</v>
      </c>
      <c r="DC291" s="11">
        <f t="shared" si="242"/>
        <v>0</v>
      </c>
      <c r="DD291" s="11">
        <f t="shared" si="242"/>
        <v>0</v>
      </c>
      <c r="DE291" s="11">
        <f t="shared" si="242"/>
        <v>0</v>
      </c>
      <c r="DF291" s="11">
        <f t="shared" si="242"/>
        <v>0</v>
      </c>
      <c r="DG291" s="12">
        <f t="shared" ref="DG291:EL291" si="243">DG308</f>
        <v>816041.55</v>
      </c>
      <c r="DH291" s="12">
        <f t="shared" si="243"/>
        <v>412216.1</v>
      </c>
      <c r="DI291" s="12">
        <f t="shared" si="243"/>
        <v>5019.59</v>
      </c>
      <c r="DJ291" s="12">
        <f t="shared" si="243"/>
        <v>1812.78</v>
      </c>
      <c r="DK291" s="12">
        <f t="shared" si="243"/>
        <v>398805.86</v>
      </c>
      <c r="DL291" s="12">
        <f t="shared" si="243"/>
        <v>0</v>
      </c>
      <c r="DM291" s="12">
        <f t="shared" si="243"/>
        <v>590.60097359999997</v>
      </c>
      <c r="DN291" s="12">
        <f t="shared" si="243"/>
        <v>0</v>
      </c>
      <c r="DO291" s="12">
        <f t="shared" si="243"/>
        <v>0</v>
      </c>
      <c r="DP291" s="12">
        <f t="shared" si="243"/>
        <v>367198.36</v>
      </c>
      <c r="DQ291" s="12">
        <f t="shared" si="243"/>
        <v>189028.57</v>
      </c>
      <c r="DR291" s="12">
        <f t="shared" si="243"/>
        <v>0</v>
      </c>
      <c r="DS291" s="12">
        <f t="shared" si="243"/>
        <v>0</v>
      </c>
      <c r="DT291" s="12">
        <f t="shared" si="243"/>
        <v>816041.55</v>
      </c>
      <c r="DU291" s="12">
        <f t="shared" si="243"/>
        <v>412216.1</v>
      </c>
      <c r="DV291" s="12">
        <f t="shared" si="243"/>
        <v>5019.59</v>
      </c>
      <c r="DW291" s="12">
        <f t="shared" si="243"/>
        <v>1812.78</v>
      </c>
      <c r="DX291" s="12">
        <f t="shared" si="243"/>
        <v>398805.86</v>
      </c>
      <c r="DY291" s="12">
        <f t="shared" si="243"/>
        <v>0</v>
      </c>
      <c r="DZ291" s="12">
        <f t="shared" si="243"/>
        <v>590.60097359999997</v>
      </c>
      <c r="EA291" s="12">
        <f t="shared" si="243"/>
        <v>0</v>
      </c>
      <c r="EB291" s="12">
        <f t="shared" si="243"/>
        <v>0</v>
      </c>
      <c r="EC291" s="12">
        <f t="shared" si="243"/>
        <v>367198.36</v>
      </c>
      <c r="ED291" s="12">
        <f t="shared" si="243"/>
        <v>189028.57</v>
      </c>
      <c r="EE291" s="12">
        <f t="shared" si="243"/>
        <v>0</v>
      </c>
      <c r="EF291" s="12">
        <f t="shared" si="243"/>
        <v>0</v>
      </c>
      <c r="EG291" s="12">
        <f t="shared" si="243"/>
        <v>0</v>
      </c>
      <c r="EH291" s="12">
        <f t="shared" si="243"/>
        <v>0</v>
      </c>
      <c r="EI291" s="12">
        <f t="shared" si="243"/>
        <v>0</v>
      </c>
      <c r="EJ291" s="12">
        <f t="shared" si="243"/>
        <v>1372268.48</v>
      </c>
      <c r="EK291" s="12">
        <f t="shared" si="243"/>
        <v>0</v>
      </c>
      <c r="EL291" s="12">
        <f t="shared" si="243"/>
        <v>1372268.48</v>
      </c>
      <c r="EM291" s="12">
        <f t="shared" ref="EM291:FR291" si="244">EM308</f>
        <v>0</v>
      </c>
      <c r="EN291" s="12">
        <f t="shared" si="244"/>
        <v>412216.1</v>
      </c>
      <c r="EO291" s="12">
        <f t="shared" si="244"/>
        <v>412216.1</v>
      </c>
      <c r="EP291" s="12">
        <f t="shared" si="244"/>
        <v>0</v>
      </c>
      <c r="EQ291" s="12">
        <f t="shared" si="244"/>
        <v>412216.1</v>
      </c>
      <c r="ER291" s="12">
        <f t="shared" si="244"/>
        <v>0</v>
      </c>
      <c r="ES291" s="12">
        <f t="shared" si="244"/>
        <v>0</v>
      </c>
      <c r="ET291" s="12">
        <f t="shared" si="244"/>
        <v>0</v>
      </c>
      <c r="EU291" s="12">
        <f t="shared" si="244"/>
        <v>0</v>
      </c>
      <c r="EV291" s="12">
        <f t="shared" si="244"/>
        <v>0</v>
      </c>
      <c r="EW291" s="12">
        <f t="shared" si="244"/>
        <v>0</v>
      </c>
      <c r="EX291" s="12">
        <f t="shared" si="244"/>
        <v>0</v>
      </c>
      <c r="EY291" s="12">
        <f t="shared" si="244"/>
        <v>0</v>
      </c>
      <c r="EZ291" s="12">
        <f t="shared" si="244"/>
        <v>0</v>
      </c>
      <c r="FA291" s="12">
        <f t="shared" si="244"/>
        <v>0</v>
      </c>
      <c r="FB291" s="12">
        <f t="shared" si="244"/>
        <v>0</v>
      </c>
      <c r="FC291" s="12">
        <f t="shared" si="244"/>
        <v>0</v>
      </c>
      <c r="FD291" s="12">
        <f t="shared" si="244"/>
        <v>0</v>
      </c>
      <c r="FE291" s="12">
        <f t="shared" si="244"/>
        <v>0</v>
      </c>
      <c r="FF291" s="12">
        <f t="shared" si="244"/>
        <v>0</v>
      </c>
      <c r="FG291" s="12">
        <f t="shared" si="244"/>
        <v>0</v>
      </c>
      <c r="FH291" s="12">
        <f t="shared" si="244"/>
        <v>0</v>
      </c>
      <c r="FI291" s="12">
        <f t="shared" si="244"/>
        <v>0</v>
      </c>
      <c r="FJ291" s="12">
        <f t="shared" si="244"/>
        <v>0</v>
      </c>
      <c r="FK291" s="12">
        <f t="shared" si="244"/>
        <v>0</v>
      </c>
      <c r="FL291" s="12">
        <f t="shared" si="244"/>
        <v>0</v>
      </c>
      <c r="FM291" s="12">
        <f t="shared" si="244"/>
        <v>0</v>
      </c>
      <c r="FN291" s="12">
        <f t="shared" si="244"/>
        <v>0</v>
      </c>
      <c r="FO291" s="12">
        <f t="shared" si="244"/>
        <v>0</v>
      </c>
      <c r="FP291" s="12">
        <f t="shared" si="244"/>
        <v>0</v>
      </c>
      <c r="FQ291" s="12">
        <f t="shared" si="244"/>
        <v>0</v>
      </c>
      <c r="FR291" s="12">
        <f t="shared" si="244"/>
        <v>0</v>
      </c>
      <c r="FS291" s="12">
        <f t="shared" ref="FS291:GX291" si="245">FS308</f>
        <v>1372268.48</v>
      </c>
      <c r="FT291" s="12">
        <f t="shared" si="245"/>
        <v>0</v>
      </c>
      <c r="FU291" s="12">
        <f t="shared" si="245"/>
        <v>1372268.48</v>
      </c>
      <c r="FV291" s="12">
        <f t="shared" si="245"/>
        <v>0</v>
      </c>
      <c r="FW291" s="12">
        <f t="shared" si="245"/>
        <v>412216.1</v>
      </c>
      <c r="FX291" s="12">
        <f t="shared" si="245"/>
        <v>412216.1</v>
      </c>
      <c r="FY291" s="12">
        <f t="shared" si="245"/>
        <v>0</v>
      </c>
      <c r="FZ291" s="12">
        <f t="shared" si="245"/>
        <v>412216.1</v>
      </c>
      <c r="GA291" s="12">
        <f t="shared" si="245"/>
        <v>0</v>
      </c>
      <c r="GB291" s="12">
        <f t="shared" si="245"/>
        <v>0</v>
      </c>
      <c r="GC291" s="12">
        <f t="shared" si="245"/>
        <v>0</v>
      </c>
      <c r="GD291" s="12">
        <f t="shared" si="245"/>
        <v>0</v>
      </c>
      <c r="GE291" s="12">
        <f t="shared" si="245"/>
        <v>0</v>
      </c>
      <c r="GF291" s="12">
        <f t="shared" si="245"/>
        <v>0</v>
      </c>
      <c r="GG291" s="12">
        <f t="shared" si="245"/>
        <v>0</v>
      </c>
      <c r="GH291" s="12">
        <f t="shared" si="245"/>
        <v>0</v>
      </c>
      <c r="GI291" s="12">
        <f t="shared" si="245"/>
        <v>0</v>
      </c>
      <c r="GJ291" s="12">
        <f t="shared" si="245"/>
        <v>0</v>
      </c>
      <c r="GK291" s="12">
        <f t="shared" si="245"/>
        <v>0</v>
      </c>
      <c r="GL291" s="12">
        <f t="shared" si="245"/>
        <v>0</v>
      </c>
      <c r="GM291" s="12">
        <f t="shared" si="245"/>
        <v>0</v>
      </c>
      <c r="GN291" s="12">
        <f t="shared" si="245"/>
        <v>0</v>
      </c>
      <c r="GO291" s="12">
        <f t="shared" si="245"/>
        <v>0</v>
      </c>
      <c r="GP291" s="12">
        <f t="shared" si="245"/>
        <v>0</v>
      </c>
      <c r="GQ291" s="12">
        <f t="shared" si="245"/>
        <v>0</v>
      </c>
      <c r="GR291" s="12">
        <f t="shared" si="245"/>
        <v>0</v>
      </c>
      <c r="GS291" s="12">
        <f t="shared" si="245"/>
        <v>0</v>
      </c>
      <c r="GT291" s="12">
        <f t="shared" si="245"/>
        <v>0</v>
      </c>
      <c r="GU291" s="12">
        <f t="shared" si="245"/>
        <v>0</v>
      </c>
      <c r="GV291" s="12">
        <f t="shared" si="245"/>
        <v>0</v>
      </c>
      <c r="GW291" s="12">
        <f t="shared" si="245"/>
        <v>0</v>
      </c>
      <c r="GX291" s="12">
        <f t="shared" si="245"/>
        <v>0</v>
      </c>
    </row>
    <row r="293" spans="1:255" x14ac:dyDescent="0.2">
      <c r="A293" s="2">
        <v>17</v>
      </c>
      <c r="B293" s="2">
        <v>1</v>
      </c>
      <c r="C293" s="2">
        <f>ROW(SmtRes!A112)</f>
        <v>112</v>
      </c>
      <c r="D293" s="2">
        <f>ROW(EtalonRes!A133)</f>
        <v>133</v>
      </c>
      <c r="E293" s="2" t="s">
        <v>254</v>
      </c>
      <c r="F293" s="2" t="s">
        <v>255</v>
      </c>
      <c r="G293" s="2" t="s">
        <v>256</v>
      </c>
      <c r="H293" s="2" t="s">
        <v>75</v>
      </c>
      <c r="I293" s="2">
        <f>ROUND(2189/100,9)</f>
        <v>21.89</v>
      </c>
      <c r="J293" s="2">
        <v>0</v>
      </c>
      <c r="K293" s="2">
        <f>ROUND(2189/100,9)</f>
        <v>21.89</v>
      </c>
      <c r="L293" s="2"/>
      <c r="M293" s="2"/>
      <c r="N293" s="2"/>
      <c r="O293" s="2">
        <f t="shared" ref="O293:O306" si="246">ROUND(CP293,2)</f>
        <v>7485.2</v>
      </c>
      <c r="P293" s="2">
        <f t="shared" ref="P293:P306" si="247">ROUND((ROUND((AC293*AW293*I293),2)*BC293),2)</f>
        <v>2011.91</v>
      </c>
      <c r="Q293" s="2">
        <f>(ROUND((ROUND((((ET293*1.2))*AV293*I293),2)*BB293),2)+ROUND((ROUND(((AE293-((EU293*1.2)))*AV293*I293),2)*BS293),2))</f>
        <v>47.58</v>
      </c>
      <c r="R293" s="2">
        <f>(ROUND((ROUND((((EU293*1.2))*AV293*I293),2)*BS293),2)+ROUND((ROUND(((AE293-((EU293*1.2)))*AV293*I293),2)*BS293),2))</f>
        <v>0</v>
      </c>
      <c r="S293" s="2">
        <f t="shared" ref="S293:S306" si="248">ROUND((ROUND((AF293*AV293*I293),2)*BA293),2)</f>
        <v>5425.71</v>
      </c>
      <c r="T293" s="2">
        <f t="shared" ref="T293:T306" si="249">ROUND(CU293*I293,2)</f>
        <v>0</v>
      </c>
      <c r="U293" s="2">
        <f t="shared" ref="U293:U306" si="250">CV293*I293</f>
        <v>456.54309360000002</v>
      </c>
      <c r="V293" s="2">
        <f t="shared" ref="V293:V306" si="251">CW293*I293</f>
        <v>0</v>
      </c>
      <c r="W293" s="2">
        <f t="shared" ref="W293:W306" si="252">ROUND(CX293*I293,2)</f>
        <v>0</v>
      </c>
      <c r="X293" s="2">
        <f>(ROUND((((S293+ROUND((ROUND((((EU293*1.2))*AV293*I293),2)*BS293),2))*AT293)/100),2)+ROUND(((ROUND((ROUND(((AE293-((EU293*1.2)))*AV293*I293),2)*BS293),2)*AT293)/100),2))</f>
        <v>4883.1400000000003</v>
      </c>
      <c r="Y293" s="2">
        <f>(ROUND((((S293+ROUND((ROUND((((EU293*1.2))*AV293*I293),2)*BS293),2))*AU293)/100),2)+ROUND(((ROUND((ROUND(((AE293-((EU293*1.2)))*AV293*I293),2)*BS293),2)*AU293)/100),2))</f>
        <v>2495.83</v>
      </c>
      <c r="Z293" s="2"/>
      <c r="AA293" s="2">
        <v>55915256</v>
      </c>
      <c r="AB293" s="2">
        <f t="shared" ref="AB293:AB306" si="253">ROUND((AC293+AD293+AF293),6)</f>
        <v>330.72199999999998</v>
      </c>
      <c r="AC293" s="2">
        <f>ROUND(((ES293*1)),6)</f>
        <v>91.91</v>
      </c>
      <c r="AD293" s="2">
        <f>ROUND(((((ET293*1.2))-((EU293*1.2)))+AE293),6)</f>
        <v>2.0760000000000001</v>
      </c>
      <c r="AE293" s="2">
        <f>ROUND(((EU293*1.2)),6)</f>
        <v>0</v>
      </c>
      <c r="AF293" s="2">
        <f>ROUND(((EV293*1.2)),6)</f>
        <v>236.73599999999999</v>
      </c>
      <c r="AG293" s="2">
        <f t="shared" ref="AG293:AG306" si="254">ROUND((AP293),6)</f>
        <v>0</v>
      </c>
      <c r="AH293" s="2">
        <f>((EW293*1.2))</f>
        <v>19.920000000000002</v>
      </c>
      <c r="AI293" s="2">
        <f>((EX293*1.2))</f>
        <v>0</v>
      </c>
      <c r="AJ293" s="2">
        <f t="shared" ref="AJ293:AJ306" si="255">(AS293)</f>
        <v>0</v>
      </c>
      <c r="AK293" s="2">
        <v>290.92</v>
      </c>
      <c r="AL293" s="2">
        <v>91.91</v>
      </c>
      <c r="AM293" s="2">
        <v>1.73</v>
      </c>
      <c r="AN293" s="2">
        <v>0</v>
      </c>
      <c r="AO293" s="2">
        <v>197.28</v>
      </c>
      <c r="AP293" s="2">
        <v>0</v>
      </c>
      <c r="AQ293" s="2">
        <v>16.600000000000001</v>
      </c>
      <c r="AR293" s="2">
        <v>0</v>
      </c>
      <c r="AS293" s="2">
        <v>0</v>
      </c>
      <c r="AT293" s="2">
        <v>90</v>
      </c>
      <c r="AU293" s="2">
        <v>46</v>
      </c>
      <c r="AV293" s="2">
        <v>1.0469999999999999</v>
      </c>
      <c r="AW293" s="2">
        <v>1</v>
      </c>
      <c r="AX293" s="2"/>
      <c r="AY293" s="2"/>
      <c r="AZ293" s="2">
        <v>1</v>
      </c>
      <c r="BA293" s="2">
        <v>1</v>
      </c>
      <c r="BB293" s="2">
        <v>1</v>
      </c>
      <c r="BC293" s="2">
        <v>1</v>
      </c>
      <c r="BD293" s="2" t="s">
        <v>3</v>
      </c>
      <c r="BE293" s="2" t="s">
        <v>3</v>
      </c>
      <c r="BF293" s="2" t="s">
        <v>3</v>
      </c>
      <c r="BG293" s="2" t="s">
        <v>3</v>
      </c>
      <c r="BH293" s="2">
        <v>0</v>
      </c>
      <c r="BI293" s="2">
        <v>2</v>
      </c>
      <c r="BJ293" s="2" t="s">
        <v>257</v>
      </c>
      <c r="BK293" s="2"/>
      <c r="BL293" s="2"/>
      <c r="BM293" s="2">
        <v>68</v>
      </c>
      <c r="BN293" s="2">
        <v>0</v>
      </c>
      <c r="BO293" s="2" t="s">
        <v>255</v>
      </c>
      <c r="BP293" s="2">
        <v>1</v>
      </c>
      <c r="BQ293" s="2">
        <v>40</v>
      </c>
      <c r="BR293" s="2">
        <v>0</v>
      </c>
      <c r="BS293" s="2">
        <v>1</v>
      </c>
      <c r="BT293" s="2">
        <v>1</v>
      </c>
      <c r="BU293" s="2">
        <v>1</v>
      </c>
      <c r="BV293" s="2">
        <v>1</v>
      </c>
      <c r="BW293" s="2">
        <v>1</v>
      </c>
      <c r="BX293" s="2">
        <v>1</v>
      </c>
      <c r="BY293" s="2" t="s">
        <v>3</v>
      </c>
      <c r="BZ293" s="2">
        <v>90</v>
      </c>
      <c r="CA293" s="2">
        <v>46</v>
      </c>
      <c r="CB293" s="2" t="s">
        <v>3</v>
      </c>
      <c r="CC293" s="2"/>
      <c r="CD293" s="2"/>
      <c r="CE293" s="2">
        <v>1566</v>
      </c>
      <c r="CF293" s="2">
        <v>0</v>
      </c>
      <c r="CG293" s="2">
        <v>0</v>
      </c>
      <c r="CH293" s="2"/>
      <c r="CI293" s="2"/>
      <c r="CJ293" s="2"/>
      <c r="CK293" s="2"/>
      <c r="CL293" s="2"/>
      <c r="CM293" s="2">
        <v>0</v>
      </c>
      <c r="CN293" s="2" t="s">
        <v>605</v>
      </c>
      <c r="CO293" s="2">
        <v>0</v>
      </c>
      <c r="CP293" s="2">
        <f t="shared" ref="CP293:CP306" si="256">(P293+Q293+S293)</f>
        <v>7485.2000000000007</v>
      </c>
      <c r="CQ293" s="2">
        <f t="shared" ref="CQ293:CQ306" si="257">ROUND((ROUND((AC293*AW293*1),2)*BC293),2)</f>
        <v>91.91</v>
      </c>
      <c r="CR293" s="2">
        <f>(ROUND((ROUND((((ET293*1.2))*AV293*1),2)*BB293),2)+ROUND((ROUND(((AE293-((EU293*1.2)))*AV293*1),2)*BS293),2))</f>
        <v>2.17</v>
      </c>
      <c r="CS293" s="2">
        <f>(ROUND((ROUND((((EU293*1.2))*AV293*1),2)*BS293),2)+ROUND((ROUND(((AE293-((EU293*1.2)))*AV293*1),2)*BS293),2))</f>
        <v>0</v>
      </c>
      <c r="CT293" s="2">
        <f t="shared" ref="CT293:CT306" si="258">ROUND((ROUND((AF293*AV293*1),2)*BA293),2)</f>
        <v>247.86</v>
      </c>
      <c r="CU293" s="2">
        <f t="shared" ref="CU293:CU306" si="259">AG293</f>
        <v>0</v>
      </c>
      <c r="CV293" s="2">
        <f t="shared" ref="CV293:CV306" si="260">(AH293*AV293)</f>
        <v>20.85624</v>
      </c>
      <c r="CW293" s="2">
        <f t="shared" ref="CW293:CW306" si="261">AI293</f>
        <v>0</v>
      </c>
      <c r="CX293" s="2">
        <f t="shared" ref="CX293:CX306" si="262">AJ293</f>
        <v>0</v>
      </c>
      <c r="CY293" s="2">
        <f>(ROUND((((S293+ROUND((ROUND((((EU293*1.2))*AV293*1),2)*BS293),2))*AT293)/100),2)+ROUND(((ROUND((ROUND(((AE293-((EU293*1.2)))*AV293*1),2)*BS293),2)*AT293)/100),2))</f>
        <v>4883.1400000000003</v>
      </c>
      <c r="CZ293" s="2">
        <f>(ROUND((((S293+ROUND((ROUND((((EU293*1.2))*AV293*1),2)*BS293),2))*AU293)/100),2)+ROUND(((ROUND((ROUND(((AE293-((EU293*1.2)))*AV293*1),2)*BS293),2)*AU293)/100),2))</f>
        <v>2495.83</v>
      </c>
      <c r="DA293" s="2"/>
      <c r="DB293" s="2">
        <v>79</v>
      </c>
      <c r="DC293" s="2" t="s">
        <v>3</v>
      </c>
      <c r="DD293" s="2" t="s">
        <v>77</v>
      </c>
      <c r="DE293" s="2" t="s">
        <v>78</v>
      </c>
      <c r="DF293" s="2" t="s">
        <v>78</v>
      </c>
      <c r="DG293" s="2" t="s">
        <v>78</v>
      </c>
      <c r="DH293" s="2" t="s">
        <v>3</v>
      </c>
      <c r="DI293" s="2" t="s">
        <v>78</v>
      </c>
      <c r="DJ293" s="2" t="s">
        <v>78</v>
      </c>
      <c r="DK293" s="2" t="s">
        <v>3</v>
      </c>
      <c r="DL293" s="2" t="s">
        <v>3</v>
      </c>
      <c r="DM293" s="2" t="s">
        <v>3</v>
      </c>
      <c r="DN293" s="2">
        <v>0</v>
      </c>
      <c r="DO293" s="2">
        <v>0</v>
      </c>
      <c r="DP293" s="2">
        <v>1</v>
      </c>
      <c r="DQ293" s="2">
        <v>1</v>
      </c>
      <c r="DR293" s="2"/>
      <c r="DS293" s="2"/>
      <c r="DT293" s="2"/>
      <c r="DU293" s="2">
        <v>1003</v>
      </c>
      <c r="DV293" s="2" t="s">
        <v>75</v>
      </c>
      <c r="DW293" s="2" t="s">
        <v>75</v>
      </c>
      <c r="DX293" s="2">
        <v>100</v>
      </c>
      <c r="DY293" s="2"/>
      <c r="DZ293" s="2" t="s">
        <v>3</v>
      </c>
      <c r="EA293" s="2" t="s">
        <v>3</v>
      </c>
      <c r="EB293" s="2" t="s">
        <v>3</v>
      </c>
      <c r="EC293" s="2" t="s">
        <v>3</v>
      </c>
      <c r="ED293" s="2"/>
      <c r="EE293" s="2">
        <v>55393700</v>
      </c>
      <c r="EF293" s="2">
        <v>40</v>
      </c>
      <c r="EG293" s="2" t="s">
        <v>26</v>
      </c>
      <c r="EH293" s="2">
        <v>0</v>
      </c>
      <c r="EI293" s="2" t="s">
        <v>3</v>
      </c>
      <c r="EJ293" s="2">
        <v>2</v>
      </c>
      <c r="EK293" s="2">
        <v>68</v>
      </c>
      <c r="EL293" s="2" t="s">
        <v>27</v>
      </c>
      <c r="EM293" s="2" t="s">
        <v>28</v>
      </c>
      <c r="EN293" s="2"/>
      <c r="EO293" s="2" t="s">
        <v>82</v>
      </c>
      <c r="EP293" s="2"/>
      <c r="EQ293" s="2">
        <v>0</v>
      </c>
      <c r="ER293" s="2">
        <v>290.92</v>
      </c>
      <c r="ES293" s="2">
        <v>91.91</v>
      </c>
      <c r="ET293" s="2">
        <v>1.73</v>
      </c>
      <c r="EU293" s="2">
        <v>0</v>
      </c>
      <c r="EV293" s="2">
        <v>197.28</v>
      </c>
      <c r="EW293" s="2">
        <v>16.600000000000001</v>
      </c>
      <c r="EX293" s="2">
        <v>0</v>
      </c>
      <c r="EY293" s="2">
        <v>0</v>
      </c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>
        <v>0</v>
      </c>
      <c r="FR293" s="2">
        <v>0</v>
      </c>
      <c r="FS293" s="2">
        <v>0</v>
      </c>
      <c r="FT293" s="2"/>
      <c r="FU293" s="2"/>
      <c r="FV293" s="2"/>
      <c r="FW293" s="2"/>
      <c r="FX293" s="2">
        <v>90</v>
      </c>
      <c r="FY293" s="2">
        <v>46</v>
      </c>
      <c r="FZ293" s="2"/>
      <c r="GA293" s="2" t="s">
        <v>3</v>
      </c>
      <c r="GB293" s="2"/>
      <c r="GC293" s="2"/>
      <c r="GD293" s="2">
        <v>1</v>
      </c>
      <c r="GE293" s="2"/>
      <c r="GF293" s="2">
        <v>-17066464</v>
      </c>
      <c r="GG293" s="2">
        <v>2</v>
      </c>
      <c r="GH293" s="2">
        <v>1</v>
      </c>
      <c r="GI293" s="2">
        <v>2</v>
      </c>
      <c r="GJ293" s="2">
        <v>0</v>
      </c>
      <c r="GK293" s="2">
        <v>0</v>
      </c>
      <c r="GL293" s="2">
        <f t="shared" ref="GL293:GL306" si="263">ROUND(IF(AND(BH293=3,BI293=3,FS293&lt;&gt;0),P293,0),2)</f>
        <v>0</v>
      </c>
      <c r="GM293" s="2">
        <f t="shared" ref="GM293:GM306" si="264">ROUND(O293+X293+Y293,2)+GX293</f>
        <v>14864.17</v>
      </c>
      <c r="GN293" s="2">
        <f t="shared" ref="GN293:GN306" si="265">IF(OR(BI293=0,BI293=1),GM293-GX293,0)</f>
        <v>0</v>
      </c>
      <c r="GO293" s="2">
        <f t="shared" ref="GO293:GO306" si="266">IF(BI293=2,GM293-GX293,0)</f>
        <v>14864.17</v>
      </c>
      <c r="GP293" s="2">
        <f t="shared" ref="GP293:GP306" si="267">IF(BI293=4,GM293-GX293,0)</f>
        <v>0</v>
      </c>
      <c r="GQ293" s="2"/>
      <c r="GR293" s="2">
        <v>0</v>
      </c>
      <c r="GS293" s="2">
        <v>3</v>
      </c>
      <c r="GT293" s="2">
        <v>0</v>
      </c>
      <c r="GU293" s="2" t="s">
        <v>3</v>
      </c>
      <c r="GV293" s="2">
        <f t="shared" ref="GV293:GV306" si="268">ROUND((GT293),6)</f>
        <v>0</v>
      </c>
      <c r="GW293" s="2">
        <v>1</v>
      </c>
      <c r="GX293" s="2">
        <f t="shared" ref="GX293:GX306" si="269">ROUND(HC293*I293,2)</f>
        <v>0</v>
      </c>
      <c r="GY293" s="2"/>
      <c r="GZ293" s="2"/>
      <c r="HA293" s="2">
        <v>0</v>
      </c>
      <c r="HB293" s="2">
        <v>0</v>
      </c>
      <c r="HC293" s="2">
        <f t="shared" ref="HC293:HC306" si="270">GV293*GW293</f>
        <v>0</v>
      </c>
      <c r="HD293" s="2"/>
      <c r="HE293" s="2" t="s">
        <v>3</v>
      </c>
      <c r="HF293" s="2" t="s">
        <v>3</v>
      </c>
      <c r="HG293" s="2"/>
      <c r="HH293" s="2"/>
      <c r="HI293" s="2"/>
      <c r="HJ293" s="2"/>
      <c r="HK293" s="2"/>
      <c r="HL293" s="2"/>
      <c r="HM293" s="2" t="s">
        <v>3</v>
      </c>
      <c r="HN293" s="2" t="s">
        <v>3</v>
      </c>
      <c r="HO293" s="2" t="s">
        <v>3</v>
      </c>
      <c r="HP293" s="2" t="s">
        <v>3</v>
      </c>
      <c r="HQ293" s="2" t="s">
        <v>3</v>
      </c>
      <c r="HR293" s="2"/>
      <c r="HS293" s="2">
        <v>0</v>
      </c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>
        <v>0</v>
      </c>
      <c r="IL293" s="2"/>
      <c r="IM293" s="2"/>
      <c r="IN293" s="2"/>
      <c r="IO293" s="2"/>
      <c r="IP293" s="2"/>
      <c r="IQ293" s="2"/>
      <c r="IR293" s="2"/>
      <c r="IS293" s="2"/>
      <c r="IT293" s="2"/>
      <c r="IU293" s="2"/>
    </row>
    <row r="294" spans="1:255" x14ac:dyDescent="0.2">
      <c r="A294" s="3">
        <v>17</v>
      </c>
      <c r="B294" s="3">
        <v>1</v>
      </c>
      <c r="C294" s="3">
        <f>ROW(SmtRes!A122)</f>
        <v>122</v>
      </c>
      <c r="D294" s="3">
        <f>ROW(EtalonRes!A144)</f>
        <v>144</v>
      </c>
      <c r="E294" s="3" t="s">
        <v>254</v>
      </c>
      <c r="F294" s="3" t="s">
        <v>255</v>
      </c>
      <c r="G294" s="3" t="s">
        <v>256</v>
      </c>
      <c r="H294" s="3" t="s">
        <v>75</v>
      </c>
      <c r="I294" s="3">
        <f>ROUND(2189/100,9)</f>
        <v>21.89</v>
      </c>
      <c r="J294" s="3">
        <v>0</v>
      </c>
      <c r="K294" s="3">
        <f>ROUND(2189/100,9)</f>
        <v>21.89</v>
      </c>
      <c r="O294" s="3">
        <f t="shared" si="246"/>
        <v>311165.90000000002</v>
      </c>
      <c r="P294" s="3">
        <f t="shared" si="247"/>
        <v>4969.42</v>
      </c>
      <c r="Q294" s="3">
        <f>(ROUND((ROUND((((ET294*1.2))*AV294*I294),2)*BB294),2)+ROUND((ROUND(((AE294-((EU294*1.2)))*AV294*I294),2)*BS294),2))</f>
        <v>457.72</v>
      </c>
      <c r="R294" s="3">
        <f>(ROUND((ROUND((((EU294*1.2))*AV294*I294),2)*BS294),2)+ROUND((ROUND(((AE294-((EU294*1.2)))*AV294*I294),2)*BS294),2))</f>
        <v>0</v>
      </c>
      <c r="S294" s="3">
        <f t="shared" si="248"/>
        <v>305738.76</v>
      </c>
      <c r="T294" s="3">
        <f t="shared" si="249"/>
        <v>0</v>
      </c>
      <c r="U294" s="3">
        <f t="shared" si="250"/>
        <v>456.54309360000002</v>
      </c>
      <c r="V294" s="3">
        <f t="shared" si="251"/>
        <v>0</v>
      </c>
      <c r="W294" s="3">
        <f t="shared" si="252"/>
        <v>0</v>
      </c>
      <c r="X294" s="3">
        <f>(ROUND((((S294+ROUND((ROUND((((EU294*1.2))*AV294*I294),2)*BS294),2))*AT294)/100),2)+ROUND(((ROUND((ROUND(((AE294-((EU294*1.2)))*AV294*I294),2)*BS294),2)*AT294)/100),2))</f>
        <v>275164.88</v>
      </c>
      <c r="Y294" s="3">
        <f>(ROUND((((S294+ROUND((ROUND((((EU294*1.2))*AV294*I294),2)*BS294),2))*AU294)/100),2)+ROUND(((ROUND((ROUND(((AE294-((EU294*1.2)))*AV294*I294),2)*BS294),2)*AU294)/100),2))</f>
        <v>140639.82999999999</v>
      </c>
      <c r="AA294" s="3">
        <v>55915258</v>
      </c>
      <c r="AB294" s="3">
        <f t="shared" si="253"/>
        <v>330.72199999999998</v>
      </c>
      <c r="AC294" s="3">
        <f>ROUND(((ES294*1)),6)</f>
        <v>91.91</v>
      </c>
      <c r="AD294" s="3">
        <f>ROUND(((((ET294*1.2))-((EU294*1.2)))+AE294),6)</f>
        <v>2.0760000000000001</v>
      </c>
      <c r="AE294" s="3">
        <f>ROUND(((EU294*1.2)),6)</f>
        <v>0</v>
      </c>
      <c r="AF294" s="3">
        <f>ROUND(((EV294*1.2)),6)</f>
        <v>236.73599999999999</v>
      </c>
      <c r="AG294" s="3">
        <f t="shared" si="254"/>
        <v>0</v>
      </c>
      <c r="AH294" s="3">
        <f>((EW294*1.2))</f>
        <v>19.920000000000002</v>
      </c>
      <c r="AI294" s="3">
        <f>((EX294*1.2))</f>
        <v>0</v>
      </c>
      <c r="AJ294" s="3">
        <f t="shared" si="255"/>
        <v>0</v>
      </c>
      <c r="AK294" s="3">
        <v>290.92</v>
      </c>
      <c r="AL294" s="3">
        <v>91.91</v>
      </c>
      <c r="AM294" s="3">
        <v>1.73</v>
      </c>
      <c r="AN294" s="3">
        <v>0</v>
      </c>
      <c r="AO294" s="3">
        <v>197.28</v>
      </c>
      <c r="AP294" s="3">
        <v>0</v>
      </c>
      <c r="AQ294" s="3">
        <v>16.600000000000001</v>
      </c>
      <c r="AR294" s="3">
        <v>0</v>
      </c>
      <c r="AS294" s="3">
        <v>0</v>
      </c>
      <c r="AT294" s="3">
        <v>90</v>
      </c>
      <c r="AU294" s="3">
        <v>46</v>
      </c>
      <c r="AV294" s="3">
        <v>1.0469999999999999</v>
      </c>
      <c r="AW294" s="3">
        <v>1</v>
      </c>
      <c r="AZ294" s="3">
        <v>1</v>
      </c>
      <c r="BA294" s="3">
        <v>56.35</v>
      </c>
      <c r="BB294" s="3">
        <v>9.6199999999999992</v>
      </c>
      <c r="BC294" s="3">
        <v>2.4700000000000002</v>
      </c>
      <c r="BD294" s="3" t="s">
        <v>3</v>
      </c>
      <c r="BE294" s="3" t="s">
        <v>3</v>
      </c>
      <c r="BF294" s="3" t="s">
        <v>3</v>
      </c>
      <c r="BG294" s="3" t="s">
        <v>3</v>
      </c>
      <c r="BH294" s="3">
        <v>0</v>
      </c>
      <c r="BI294" s="3">
        <v>2</v>
      </c>
      <c r="BJ294" s="3" t="s">
        <v>257</v>
      </c>
      <c r="BM294" s="3">
        <v>68</v>
      </c>
      <c r="BN294" s="3">
        <v>0</v>
      </c>
      <c r="BO294" s="3" t="s">
        <v>255</v>
      </c>
      <c r="BP294" s="3">
        <v>1</v>
      </c>
      <c r="BQ294" s="3">
        <v>40</v>
      </c>
      <c r="BR294" s="3">
        <v>0</v>
      </c>
      <c r="BS294" s="3">
        <v>56.35</v>
      </c>
      <c r="BT294" s="3">
        <v>1</v>
      </c>
      <c r="BU294" s="3">
        <v>1</v>
      </c>
      <c r="BV294" s="3">
        <v>1</v>
      </c>
      <c r="BW294" s="3">
        <v>1</v>
      </c>
      <c r="BX294" s="3">
        <v>1</v>
      </c>
      <c r="BY294" s="3" t="s">
        <v>3</v>
      </c>
      <c r="BZ294" s="3">
        <v>90</v>
      </c>
      <c r="CA294" s="3">
        <v>46</v>
      </c>
      <c r="CB294" s="3" t="s">
        <v>3</v>
      </c>
      <c r="CE294" s="3">
        <v>1566</v>
      </c>
      <c r="CF294" s="3">
        <v>0</v>
      </c>
      <c r="CG294" s="3">
        <v>0</v>
      </c>
      <c r="CM294" s="3">
        <v>0</v>
      </c>
      <c r="CN294" s="3" t="s">
        <v>605</v>
      </c>
      <c r="CO294" s="3">
        <v>0</v>
      </c>
      <c r="CP294" s="3">
        <f t="shared" si="256"/>
        <v>311165.90000000002</v>
      </c>
      <c r="CQ294" s="3">
        <f t="shared" si="257"/>
        <v>227.02</v>
      </c>
      <c r="CR294" s="3">
        <f>(ROUND((ROUND((((ET294*1.2))*AV294*1),2)*BB294),2)+ROUND((ROUND(((AE294-((EU294*1.2)))*AV294*1),2)*BS294),2))</f>
        <v>20.88</v>
      </c>
      <c r="CS294" s="3">
        <f>(ROUND((ROUND((((EU294*1.2))*AV294*1),2)*BS294),2)+ROUND((ROUND(((AE294-((EU294*1.2)))*AV294*1),2)*BS294),2))</f>
        <v>0</v>
      </c>
      <c r="CT294" s="3">
        <f t="shared" si="258"/>
        <v>13966.91</v>
      </c>
      <c r="CU294" s="3">
        <f t="shared" si="259"/>
        <v>0</v>
      </c>
      <c r="CV294" s="3">
        <f t="shared" si="260"/>
        <v>20.85624</v>
      </c>
      <c r="CW294" s="3">
        <f t="shared" si="261"/>
        <v>0</v>
      </c>
      <c r="CX294" s="3">
        <f t="shared" si="262"/>
        <v>0</v>
      </c>
      <c r="CY294" s="3">
        <f>(ROUND((((S294+ROUND((ROUND((((EU294*1.2))*AV294*1),2)*BS294),2))*AT294)/100),2)+ROUND(((ROUND((ROUND(((AE294-((EU294*1.2)))*AV294*1),2)*BS294),2)*AT294)/100),2))</f>
        <v>275164.88</v>
      </c>
      <c r="CZ294" s="3">
        <f>(ROUND((((S294+ROUND((ROUND((((EU294*1.2))*AV294*1),2)*BS294),2))*AU294)/100),2)+ROUND(((ROUND((ROUND(((AE294-((EU294*1.2)))*AV294*1),2)*BS294),2)*AU294)/100),2))</f>
        <v>140639.82999999999</v>
      </c>
      <c r="DB294" s="3">
        <v>80</v>
      </c>
      <c r="DC294" s="3" t="s">
        <v>3</v>
      </c>
      <c r="DD294" s="3" t="s">
        <v>77</v>
      </c>
      <c r="DE294" s="3" t="s">
        <v>78</v>
      </c>
      <c r="DF294" s="3" t="s">
        <v>78</v>
      </c>
      <c r="DG294" s="3" t="s">
        <v>78</v>
      </c>
      <c r="DH294" s="3" t="s">
        <v>3</v>
      </c>
      <c r="DI294" s="3" t="s">
        <v>78</v>
      </c>
      <c r="DJ294" s="3" t="s">
        <v>78</v>
      </c>
      <c r="DK294" s="3" t="s">
        <v>3</v>
      </c>
      <c r="DL294" s="3" t="s">
        <v>3</v>
      </c>
      <c r="DM294" s="3" t="s">
        <v>3</v>
      </c>
      <c r="DN294" s="3">
        <v>0</v>
      </c>
      <c r="DO294" s="3">
        <v>0</v>
      </c>
      <c r="DP294" s="3">
        <v>1</v>
      </c>
      <c r="DQ294" s="3">
        <v>1</v>
      </c>
      <c r="DU294" s="3">
        <v>1003</v>
      </c>
      <c r="DV294" s="3" t="s">
        <v>75</v>
      </c>
      <c r="DW294" s="3" t="s">
        <v>75</v>
      </c>
      <c r="DX294" s="3">
        <v>100</v>
      </c>
      <c r="DZ294" s="3" t="s">
        <v>3</v>
      </c>
      <c r="EA294" s="3" t="s">
        <v>3</v>
      </c>
      <c r="EB294" s="3" t="s">
        <v>3</v>
      </c>
      <c r="EC294" s="3" t="s">
        <v>3</v>
      </c>
      <c r="EE294" s="3">
        <v>55393700</v>
      </c>
      <c r="EF294" s="3">
        <v>40</v>
      </c>
      <c r="EG294" s="3" t="s">
        <v>26</v>
      </c>
      <c r="EH294" s="3">
        <v>0</v>
      </c>
      <c r="EI294" s="3" t="s">
        <v>3</v>
      </c>
      <c r="EJ294" s="3">
        <v>2</v>
      </c>
      <c r="EK294" s="3">
        <v>68</v>
      </c>
      <c r="EL294" s="3" t="s">
        <v>27</v>
      </c>
      <c r="EM294" s="3" t="s">
        <v>28</v>
      </c>
      <c r="EO294" s="3" t="s">
        <v>82</v>
      </c>
      <c r="EQ294" s="3">
        <v>0</v>
      </c>
      <c r="ER294" s="3">
        <v>290.92</v>
      </c>
      <c r="ES294" s="3">
        <v>91.91</v>
      </c>
      <c r="ET294" s="3">
        <v>1.73</v>
      </c>
      <c r="EU294" s="3">
        <v>0</v>
      </c>
      <c r="EV294" s="3">
        <v>197.28</v>
      </c>
      <c r="EW294" s="3">
        <v>16.600000000000001</v>
      </c>
      <c r="EX294" s="3">
        <v>0</v>
      </c>
      <c r="EY294" s="3">
        <v>0</v>
      </c>
      <c r="FQ294" s="3">
        <v>0</v>
      </c>
      <c r="FR294" s="3">
        <v>0</v>
      </c>
      <c r="FS294" s="3">
        <v>0</v>
      </c>
      <c r="FX294" s="3">
        <v>90</v>
      </c>
      <c r="FY294" s="3">
        <v>46</v>
      </c>
      <c r="GA294" s="3" t="s">
        <v>3</v>
      </c>
      <c r="GD294" s="3">
        <v>1</v>
      </c>
      <c r="GF294" s="3">
        <v>-17066464</v>
      </c>
      <c r="GG294" s="3">
        <v>2</v>
      </c>
      <c r="GH294" s="3">
        <v>1</v>
      </c>
      <c r="GI294" s="3">
        <v>2</v>
      </c>
      <c r="GJ294" s="3">
        <v>0</v>
      </c>
      <c r="GK294" s="3">
        <v>0</v>
      </c>
      <c r="GL294" s="3">
        <f t="shared" si="263"/>
        <v>0</v>
      </c>
      <c r="GM294" s="3">
        <f t="shared" si="264"/>
        <v>726970.61</v>
      </c>
      <c r="GN294" s="3">
        <f t="shared" si="265"/>
        <v>0</v>
      </c>
      <c r="GO294" s="3">
        <f t="shared" si="266"/>
        <v>726970.61</v>
      </c>
      <c r="GP294" s="3">
        <f t="shared" si="267"/>
        <v>0</v>
      </c>
      <c r="GR294" s="3">
        <v>0</v>
      </c>
      <c r="GS294" s="3">
        <v>3</v>
      </c>
      <c r="GT294" s="3">
        <v>0</v>
      </c>
      <c r="GU294" s="3" t="s">
        <v>3</v>
      </c>
      <c r="GV294" s="3">
        <f t="shared" si="268"/>
        <v>0</v>
      </c>
      <c r="GW294" s="3">
        <v>1</v>
      </c>
      <c r="GX294" s="3">
        <f t="shared" si="269"/>
        <v>0</v>
      </c>
      <c r="HA294" s="3">
        <v>0</v>
      </c>
      <c r="HB294" s="3">
        <v>0</v>
      </c>
      <c r="HC294" s="3">
        <f t="shared" si="270"/>
        <v>0</v>
      </c>
      <c r="HE294" s="3" t="s">
        <v>3</v>
      </c>
      <c r="HF294" s="3" t="s">
        <v>3</v>
      </c>
      <c r="HM294" s="3" t="s">
        <v>3</v>
      </c>
      <c r="HN294" s="3" t="s">
        <v>3</v>
      </c>
      <c r="HO294" s="3" t="s">
        <v>3</v>
      </c>
      <c r="HP294" s="3" t="s">
        <v>3</v>
      </c>
      <c r="HQ294" s="3" t="s">
        <v>3</v>
      </c>
      <c r="HS294" s="3">
        <v>0</v>
      </c>
      <c r="IK294" s="3">
        <v>0</v>
      </c>
    </row>
    <row r="295" spans="1:255" x14ac:dyDescent="0.2">
      <c r="A295" s="2">
        <v>18</v>
      </c>
      <c r="B295" s="2">
        <v>1</v>
      </c>
      <c r="C295" s="2">
        <v>112</v>
      </c>
      <c r="D295" s="2"/>
      <c r="E295" s="2" t="s">
        <v>258</v>
      </c>
      <c r="F295" s="2" t="s">
        <v>259</v>
      </c>
      <c r="G295" s="2" t="s">
        <v>260</v>
      </c>
      <c r="H295" s="2" t="s">
        <v>261</v>
      </c>
      <c r="I295" s="2">
        <f>I293*J295</f>
        <v>2232.7800000000002</v>
      </c>
      <c r="J295" s="2">
        <v>102</v>
      </c>
      <c r="K295" s="2">
        <v>102</v>
      </c>
      <c r="L295" s="2"/>
      <c r="M295" s="2"/>
      <c r="N295" s="2"/>
      <c r="O295" s="2">
        <f t="shared" si="246"/>
        <v>32799.54</v>
      </c>
      <c r="P295" s="2">
        <f t="shared" si="247"/>
        <v>32799.54</v>
      </c>
      <c r="Q295" s="2">
        <f t="shared" ref="Q295:Q300" si="271">(ROUND((ROUND(((ET295)*AV295*I295),2)*BB295),2)+ROUND((ROUND(((AE295-(EU295))*AV295*I295),2)*BS295),2))</f>
        <v>0</v>
      </c>
      <c r="R295" s="2">
        <f t="shared" ref="R295:R300" si="272">(ROUND((ROUND(((EU295)*AV295*I295),2)*BS295),2)+ROUND((ROUND(((AE295-(EU295))*AV295*I295),2)*BS295),2))</f>
        <v>0</v>
      </c>
      <c r="S295" s="2">
        <f t="shared" si="248"/>
        <v>0</v>
      </c>
      <c r="T295" s="2">
        <f t="shared" si="249"/>
        <v>0</v>
      </c>
      <c r="U295" s="2">
        <f t="shared" si="250"/>
        <v>0</v>
      </c>
      <c r="V295" s="2">
        <f t="shared" si="251"/>
        <v>0</v>
      </c>
      <c r="W295" s="2">
        <f t="shared" si="252"/>
        <v>0</v>
      </c>
      <c r="X295" s="2">
        <f t="shared" ref="X295:X300" si="273">(ROUND((((S295+ROUND((ROUND(((EU295)*AV295*I295),2)*BS295),2))*AT295)/100),2)+ROUND(((ROUND((ROUND(((AE295-(EU295))*AV295*I295),2)*BS295),2)*AT295)/100),2))</f>
        <v>0</v>
      </c>
      <c r="Y295" s="2">
        <f t="shared" ref="Y295:Y300" si="274">(ROUND((((S295+ROUND((ROUND(((EU295)*AV295*I295),2)*BS295),2))*AU295)/100),2)+ROUND(((ROUND((ROUND(((AE295-(EU295))*AV295*I295),2)*BS295),2)*AU295)/100),2))</f>
        <v>0</v>
      </c>
      <c r="Z295" s="2"/>
      <c r="AA295" s="2">
        <v>55915256</v>
      </c>
      <c r="AB295" s="2">
        <f t="shared" si="253"/>
        <v>14.69</v>
      </c>
      <c r="AC295" s="2">
        <f t="shared" ref="AC295:AC300" si="275">ROUND((ES295),6)</f>
        <v>14.69</v>
      </c>
      <c r="AD295" s="2">
        <f t="shared" ref="AD295:AD300" si="276">ROUND((((ET295)-(EU295))+AE295),6)</f>
        <v>0</v>
      </c>
      <c r="AE295" s="2">
        <f t="shared" ref="AE295:AF300" si="277">ROUND((EU295),6)</f>
        <v>0</v>
      </c>
      <c r="AF295" s="2">
        <f t="shared" si="277"/>
        <v>0</v>
      </c>
      <c r="AG295" s="2">
        <f t="shared" si="254"/>
        <v>0</v>
      </c>
      <c r="AH295" s="2">
        <f t="shared" ref="AH295:AI300" si="278">(EW295)</f>
        <v>0</v>
      </c>
      <c r="AI295" s="2">
        <f t="shared" si="278"/>
        <v>0</v>
      </c>
      <c r="AJ295" s="2">
        <f t="shared" si="255"/>
        <v>0</v>
      </c>
      <c r="AK295" s="2">
        <v>14.69</v>
      </c>
      <c r="AL295" s="2">
        <v>14.69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1</v>
      </c>
      <c r="AW295" s="2">
        <v>1</v>
      </c>
      <c r="AX295" s="2"/>
      <c r="AY295" s="2"/>
      <c r="AZ295" s="2">
        <v>1</v>
      </c>
      <c r="BA295" s="2">
        <v>1</v>
      </c>
      <c r="BB295" s="2">
        <v>1</v>
      </c>
      <c r="BC295" s="2">
        <v>1</v>
      </c>
      <c r="BD295" s="2" t="s">
        <v>3</v>
      </c>
      <c r="BE295" s="2" t="s">
        <v>3</v>
      </c>
      <c r="BF295" s="2" t="s">
        <v>3</v>
      </c>
      <c r="BG295" s="2" t="s">
        <v>3</v>
      </c>
      <c r="BH295" s="2">
        <v>3</v>
      </c>
      <c r="BI295" s="2">
        <v>2</v>
      </c>
      <c r="BJ295" s="2" t="s">
        <v>259</v>
      </c>
      <c r="BK295" s="2"/>
      <c r="BL295" s="2"/>
      <c r="BM295" s="2">
        <v>400005</v>
      </c>
      <c r="BN295" s="2">
        <v>0</v>
      </c>
      <c r="BO295" s="2" t="s">
        <v>3</v>
      </c>
      <c r="BP295" s="2">
        <v>0</v>
      </c>
      <c r="BQ295" s="2">
        <v>213</v>
      </c>
      <c r="BR295" s="2">
        <v>0</v>
      </c>
      <c r="BS295" s="2">
        <v>1</v>
      </c>
      <c r="BT295" s="2">
        <v>1</v>
      </c>
      <c r="BU295" s="2">
        <v>1</v>
      </c>
      <c r="BV295" s="2">
        <v>1</v>
      </c>
      <c r="BW295" s="2">
        <v>1</v>
      </c>
      <c r="BX295" s="2">
        <v>1</v>
      </c>
      <c r="BY295" s="2" t="s">
        <v>3</v>
      </c>
      <c r="BZ295" s="2">
        <v>90</v>
      </c>
      <c r="CA295" s="2">
        <v>46</v>
      </c>
      <c r="CB295" s="2" t="s">
        <v>3</v>
      </c>
      <c r="CC295" s="2"/>
      <c r="CD295" s="2"/>
      <c r="CE295" s="2">
        <v>1566</v>
      </c>
      <c r="CF295" s="2">
        <v>0</v>
      </c>
      <c r="CG295" s="2">
        <v>0</v>
      </c>
      <c r="CH295" s="2"/>
      <c r="CI295" s="2"/>
      <c r="CJ295" s="2"/>
      <c r="CK295" s="2"/>
      <c r="CL295" s="2"/>
      <c r="CM295" s="2">
        <v>0</v>
      </c>
      <c r="CN295" s="2" t="s">
        <v>607</v>
      </c>
      <c r="CO295" s="2">
        <v>0</v>
      </c>
      <c r="CP295" s="2">
        <f t="shared" si="256"/>
        <v>32799.54</v>
      </c>
      <c r="CQ295" s="2">
        <f t="shared" si="257"/>
        <v>14.69</v>
      </c>
      <c r="CR295" s="2">
        <f t="shared" ref="CR295:CR300" si="279">(ROUND((ROUND(((ET295)*AV295*1),2)*BB295),2)+ROUND((ROUND(((AE295-(EU295))*AV295*1),2)*BS295),2))</f>
        <v>0</v>
      </c>
      <c r="CS295" s="2">
        <f t="shared" ref="CS295:CS300" si="280">(ROUND((ROUND(((EU295)*AV295*1),2)*BS295),2)+ROUND((ROUND(((AE295-(EU295))*AV295*1),2)*BS295),2))</f>
        <v>0</v>
      </c>
      <c r="CT295" s="2">
        <f t="shared" si="258"/>
        <v>0</v>
      </c>
      <c r="CU295" s="2">
        <f t="shared" si="259"/>
        <v>0</v>
      </c>
      <c r="CV295" s="2">
        <f t="shared" si="260"/>
        <v>0</v>
      </c>
      <c r="CW295" s="2">
        <f t="shared" si="261"/>
        <v>0</v>
      </c>
      <c r="CX295" s="2">
        <f t="shared" si="262"/>
        <v>0</v>
      </c>
      <c r="CY295" s="2">
        <f t="shared" ref="CY295:CY300" si="281">(ROUND((((S295+ROUND((ROUND(((EU295)*AV295*1),2)*BS295),2))*AT295)/100),2)+ROUND(((ROUND((ROUND(((AE295-(EU295))*AV295*1),2)*BS295),2)*AT295)/100),2))</f>
        <v>0</v>
      </c>
      <c r="CZ295" s="2">
        <f t="shared" ref="CZ295:CZ300" si="282">(ROUND((((S295+ROUND((ROUND(((EU295)*AV295*1),2)*BS295),2))*AU295)/100),2)+ROUND(((ROUND((ROUND(((AE295-(EU295))*AV295*1),2)*BS295),2)*AU295)/100),2))</f>
        <v>0</v>
      </c>
      <c r="DA295" s="2"/>
      <c r="DB295" s="2"/>
      <c r="DC295" s="2" t="s">
        <v>3</v>
      </c>
      <c r="DD295" s="2" t="s">
        <v>3</v>
      </c>
      <c r="DE295" s="2" t="s">
        <v>3</v>
      </c>
      <c r="DF295" s="2" t="s">
        <v>3</v>
      </c>
      <c r="DG295" s="2" t="s">
        <v>3</v>
      </c>
      <c r="DH295" s="2" t="s">
        <v>3</v>
      </c>
      <c r="DI295" s="2" t="s">
        <v>3</v>
      </c>
      <c r="DJ295" s="2" t="s">
        <v>3</v>
      </c>
      <c r="DK295" s="2" t="s">
        <v>3</v>
      </c>
      <c r="DL295" s="2" t="s">
        <v>3</v>
      </c>
      <c r="DM295" s="2" t="s">
        <v>3</v>
      </c>
      <c r="DN295" s="2">
        <v>0</v>
      </c>
      <c r="DO295" s="2">
        <v>0</v>
      </c>
      <c r="DP295" s="2">
        <v>1</v>
      </c>
      <c r="DQ295" s="2">
        <v>1</v>
      </c>
      <c r="DR295" s="2"/>
      <c r="DS295" s="2"/>
      <c r="DT295" s="2"/>
      <c r="DU295" s="2">
        <v>1003</v>
      </c>
      <c r="DV295" s="2" t="s">
        <v>261</v>
      </c>
      <c r="DW295" s="2" t="s">
        <v>261</v>
      </c>
      <c r="DX295" s="2">
        <v>1</v>
      </c>
      <c r="DY295" s="2"/>
      <c r="DZ295" s="2" t="s">
        <v>3</v>
      </c>
      <c r="EA295" s="2" t="s">
        <v>3</v>
      </c>
      <c r="EB295" s="2" t="s">
        <v>3</v>
      </c>
      <c r="EC295" s="2" t="s">
        <v>3</v>
      </c>
      <c r="ED295" s="2"/>
      <c r="EE295" s="2">
        <v>55393628</v>
      </c>
      <c r="EF295" s="2">
        <v>213</v>
      </c>
      <c r="EG295" s="2" t="s">
        <v>262</v>
      </c>
      <c r="EH295" s="2">
        <v>0</v>
      </c>
      <c r="EI295" s="2" t="s">
        <v>3</v>
      </c>
      <c r="EJ295" s="2">
        <v>1</v>
      </c>
      <c r="EK295" s="2">
        <v>400005</v>
      </c>
      <c r="EL295" s="2" t="s">
        <v>262</v>
      </c>
      <c r="EM295" s="2" t="s">
        <v>263</v>
      </c>
      <c r="EN295" s="2"/>
      <c r="EO295" s="2" t="s">
        <v>82</v>
      </c>
      <c r="EP295" s="2"/>
      <c r="EQ295" s="2">
        <v>16</v>
      </c>
      <c r="ER295" s="2">
        <v>0</v>
      </c>
      <c r="ES295" s="2">
        <v>14.69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>
        <v>0</v>
      </c>
      <c r="FR295" s="2">
        <v>0</v>
      </c>
      <c r="FS295" s="2">
        <v>0</v>
      </c>
      <c r="FT295" s="2"/>
      <c r="FU295" s="2"/>
      <c r="FV295" s="2"/>
      <c r="FW295" s="2"/>
      <c r="FX295" s="2">
        <v>90</v>
      </c>
      <c r="FY295" s="2">
        <v>46</v>
      </c>
      <c r="FZ295" s="2"/>
      <c r="GA295" s="2" t="s">
        <v>264</v>
      </c>
      <c r="GB295" s="2"/>
      <c r="GC295" s="2"/>
      <c r="GD295" s="2">
        <v>1</v>
      </c>
      <c r="GE295" s="2"/>
      <c r="GF295" s="2">
        <v>1340266195</v>
      </c>
      <c r="GG295" s="2">
        <v>2</v>
      </c>
      <c r="GH295" s="2">
        <v>4</v>
      </c>
      <c r="GI295" s="2">
        <v>-2</v>
      </c>
      <c r="GJ295" s="2">
        <v>0</v>
      </c>
      <c r="GK295" s="2">
        <v>0</v>
      </c>
      <c r="GL295" s="2">
        <f t="shared" si="263"/>
        <v>0</v>
      </c>
      <c r="GM295" s="2">
        <f t="shared" si="264"/>
        <v>32799.54</v>
      </c>
      <c r="GN295" s="2">
        <f t="shared" si="265"/>
        <v>0</v>
      </c>
      <c r="GO295" s="2">
        <f t="shared" si="266"/>
        <v>32799.54</v>
      </c>
      <c r="GP295" s="2">
        <f t="shared" si="267"/>
        <v>0</v>
      </c>
      <c r="GQ295" s="2"/>
      <c r="GR295" s="2">
        <v>1</v>
      </c>
      <c r="GS295" s="2">
        <v>2</v>
      </c>
      <c r="GT295" s="2">
        <v>0</v>
      </c>
      <c r="GU295" s="2" t="s">
        <v>3</v>
      </c>
      <c r="GV295" s="2">
        <f t="shared" si="268"/>
        <v>0</v>
      </c>
      <c r="GW295" s="2">
        <v>1</v>
      </c>
      <c r="GX295" s="2">
        <f t="shared" si="269"/>
        <v>0</v>
      </c>
      <c r="GY295" s="2"/>
      <c r="GZ295" s="2"/>
      <c r="HA295" s="2">
        <v>0</v>
      </c>
      <c r="HB295" s="2">
        <v>0</v>
      </c>
      <c r="HC295" s="2">
        <f t="shared" si="270"/>
        <v>0</v>
      </c>
      <c r="HD295" s="2"/>
      <c r="HE295" s="2" t="s">
        <v>265</v>
      </c>
      <c r="HF295" s="2" t="s">
        <v>30</v>
      </c>
      <c r="HG295" s="2"/>
      <c r="HH295" s="2"/>
      <c r="HI295" s="2"/>
      <c r="HJ295" s="2"/>
      <c r="HK295" s="2"/>
      <c r="HL295" s="2"/>
      <c r="HM295" s="2" t="s">
        <v>77</v>
      </c>
      <c r="HN295" s="2" t="s">
        <v>3</v>
      </c>
      <c r="HO295" s="2" t="s">
        <v>3</v>
      </c>
      <c r="HP295" s="2" t="s">
        <v>3</v>
      </c>
      <c r="HQ295" s="2" t="s">
        <v>3</v>
      </c>
      <c r="HR295" s="2"/>
      <c r="HS295" s="2">
        <v>0</v>
      </c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>
        <v>0</v>
      </c>
      <c r="IL295" s="2"/>
      <c r="IM295" s="2"/>
      <c r="IN295" s="2"/>
      <c r="IO295" s="2"/>
      <c r="IP295" s="2"/>
      <c r="IQ295" s="2"/>
      <c r="IR295" s="2"/>
      <c r="IS295" s="2"/>
      <c r="IT295" s="2"/>
      <c r="IU295" s="2"/>
    </row>
    <row r="296" spans="1:255" x14ac:dyDescent="0.2">
      <c r="A296" s="3">
        <v>18</v>
      </c>
      <c r="B296" s="3">
        <v>1</v>
      </c>
      <c r="C296" s="3">
        <v>122</v>
      </c>
      <c r="E296" s="3" t="s">
        <v>258</v>
      </c>
      <c r="F296" s="3" t="s">
        <v>259</v>
      </c>
      <c r="G296" s="3" t="s">
        <v>260</v>
      </c>
      <c r="H296" s="3" t="s">
        <v>261</v>
      </c>
      <c r="I296" s="3">
        <f>I294*J296</f>
        <v>2232.7800000000002</v>
      </c>
      <c r="J296" s="3">
        <v>102</v>
      </c>
      <c r="K296" s="3">
        <v>102</v>
      </c>
      <c r="O296" s="3">
        <f t="shared" si="246"/>
        <v>248292.52</v>
      </c>
      <c r="P296" s="3">
        <f t="shared" si="247"/>
        <v>248292.52</v>
      </c>
      <c r="Q296" s="3">
        <f t="shared" si="271"/>
        <v>0</v>
      </c>
      <c r="R296" s="3">
        <f t="shared" si="272"/>
        <v>0</v>
      </c>
      <c r="S296" s="3">
        <f t="shared" si="248"/>
        <v>0</v>
      </c>
      <c r="T296" s="3">
        <f t="shared" si="249"/>
        <v>0</v>
      </c>
      <c r="U296" s="3">
        <f t="shared" si="250"/>
        <v>0</v>
      </c>
      <c r="V296" s="3">
        <f t="shared" si="251"/>
        <v>0</v>
      </c>
      <c r="W296" s="3">
        <f t="shared" si="252"/>
        <v>0</v>
      </c>
      <c r="X296" s="3">
        <f t="shared" si="273"/>
        <v>0</v>
      </c>
      <c r="Y296" s="3">
        <f t="shared" si="274"/>
        <v>0</v>
      </c>
      <c r="AA296" s="3">
        <v>55915258</v>
      </c>
      <c r="AB296" s="3">
        <f t="shared" si="253"/>
        <v>14.69</v>
      </c>
      <c r="AC296" s="3">
        <f t="shared" si="275"/>
        <v>14.69</v>
      </c>
      <c r="AD296" s="3">
        <f t="shared" si="276"/>
        <v>0</v>
      </c>
      <c r="AE296" s="3">
        <f t="shared" si="277"/>
        <v>0</v>
      </c>
      <c r="AF296" s="3">
        <f t="shared" si="277"/>
        <v>0</v>
      </c>
      <c r="AG296" s="3">
        <f t="shared" si="254"/>
        <v>0</v>
      </c>
      <c r="AH296" s="3">
        <f t="shared" si="278"/>
        <v>0</v>
      </c>
      <c r="AI296" s="3">
        <f t="shared" si="278"/>
        <v>0</v>
      </c>
      <c r="AJ296" s="3">
        <f t="shared" si="255"/>
        <v>0</v>
      </c>
      <c r="AK296" s="3">
        <v>14.69</v>
      </c>
      <c r="AL296" s="3">
        <v>14.69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1</v>
      </c>
      <c r="AW296" s="3">
        <v>1</v>
      </c>
      <c r="AZ296" s="3">
        <v>1</v>
      </c>
      <c r="BA296" s="3">
        <v>1</v>
      </c>
      <c r="BB296" s="3">
        <v>1</v>
      </c>
      <c r="BC296" s="3">
        <v>7.57</v>
      </c>
      <c r="BD296" s="3" t="s">
        <v>3</v>
      </c>
      <c r="BE296" s="3" t="s">
        <v>3</v>
      </c>
      <c r="BF296" s="3" t="s">
        <v>3</v>
      </c>
      <c r="BG296" s="3" t="s">
        <v>3</v>
      </c>
      <c r="BH296" s="3">
        <v>3</v>
      </c>
      <c r="BI296" s="3">
        <v>2</v>
      </c>
      <c r="BJ296" s="3" t="s">
        <v>259</v>
      </c>
      <c r="BM296" s="3">
        <v>400005</v>
      </c>
      <c r="BN296" s="3">
        <v>0</v>
      </c>
      <c r="BO296" s="3" t="s">
        <v>3</v>
      </c>
      <c r="BP296" s="3">
        <v>0</v>
      </c>
      <c r="BQ296" s="3">
        <v>213</v>
      </c>
      <c r="BR296" s="3">
        <v>0</v>
      </c>
      <c r="BS296" s="3">
        <v>1</v>
      </c>
      <c r="BT296" s="3">
        <v>1</v>
      </c>
      <c r="BU296" s="3">
        <v>1</v>
      </c>
      <c r="BV296" s="3">
        <v>1</v>
      </c>
      <c r="BW296" s="3">
        <v>1</v>
      </c>
      <c r="BX296" s="3">
        <v>1</v>
      </c>
      <c r="BY296" s="3" t="s">
        <v>3</v>
      </c>
      <c r="BZ296" s="3">
        <v>90</v>
      </c>
      <c r="CA296" s="3">
        <v>46</v>
      </c>
      <c r="CB296" s="3" t="s">
        <v>3</v>
      </c>
      <c r="CE296" s="3">
        <v>1566</v>
      </c>
      <c r="CF296" s="3">
        <v>0</v>
      </c>
      <c r="CG296" s="3">
        <v>0</v>
      </c>
      <c r="CM296" s="3">
        <v>0</v>
      </c>
      <c r="CN296" s="3" t="s">
        <v>607</v>
      </c>
      <c r="CO296" s="3">
        <v>0</v>
      </c>
      <c r="CP296" s="3">
        <f t="shared" si="256"/>
        <v>248292.52</v>
      </c>
      <c r="CQ296" s="3">
        <f t="shared" si="257"/>
        <v>111.2</v>
      </c>
      <c r="CR296" s="3">
        <f t="shared" si="279"/>
        <v>0</v>
      </c>
      <c r="CS296" s="3">
        <f t="shared" si="280"/>
        <v>0</v>
      </c>
      <c r="CT296" s="3">
        <f t="shared" si="258"/>
        <v>0</v>
      </c>
      <c r="CU296" s="3">
        <f t="shared" si="259"/>
        <v>0</v>
      </c>
      <c r="CV296" s="3">
        <f t="shared" si="260"/>
        <v>0</v>
      </c>
      <c r="CW296" s="3">
        <f t="shared" si="261"/>
        <v>0</v>
      </c>
      <c r="CX296" s="3">
        <f t="shared" si="262"/>
        <v>0</v>
      </c>
      <c r="CY296" s="3">
        <f t="shared" si="281"/>
        <v>0</v>
      </c>
      <c r="CZ296" s="3">
        <f t="shared" si="282"/>
        <v>0</v>
      </c>
      <c r="DC296" s="3" t="s">
        <v>3</v>
      </c>
      <c r="DD296" s="3" t="s">
        <v>3</v>
      </c>
      <c r="DE296" s="3" t="s">
        <v>3</v>
      </c>
      <c r="DF296" s="3" t="s">
        <v>3</v>
      </c>
      <c r="DG296" s="3" t="s">
        <v>3</v>
      </c>
      <c r="DH296" s="3" t="s">
        <v>3</v>
      </c>
      <c r="DI296" s="3" t="s">
        <v>3</v>
      </c>
      <c r="DJ296" s="3" t="s">
        <v>3</v>
      </c>
      <c r="DK296" s="3" t="s">
        <v>3</v>
      </c>
      <c r="DL296" s="3" t="s">
        <v>3</v>
      </c>
      <c r="DM296" s="3" t="s">
        <v>3</v>
      </c>
      <c r="DN296" s="3">
        <v>0</v>
      </c>
      <c r="DO296" s="3">
        <v>0</v>
      </c>
      <c r="DP296" s="3">
        <v>1</v>
      </c>
      <c r="DQ296" s="3">
        <v>1</v>
      </c>
      <c r="DU296" s="3">
        <v>1003</v>
      </c>
      <c r="DV296" s="3" t="s">
        <v>261</v>
      </c>
      <c r="DW296" s="3" t="s">
        <v>261</v>
      </c>
      <c r="DX296" s="3">
        <v>1</v>
      </c>
      <c r="DZ296" s="3" t="s">
        <v>3</v>
      </c>
      <c r="EA296" s="3" t="s">
        <v>3</v>
      </c>
      <c r="EB296" s="3" t="s">
        <v>3</v>
      </c>
      <c r="EC296" s="3" t="s">
        <v>3</v>
      </c>
      <c r="EE296" s="3">
        <v>55393628</v>
      </c>
      <c r="EF296" s="3">
        <v>213</v>
      </c>
      <c r="EG296" s="3" t="s">
        <v>262</v>
      </c>
      <c r="EH296" s="3">
        <v>0</v>
      </c>
      <c r="EI296" s="3" t="s">
        <v>3</v>
      </c>
      <c r="EJ296" s="3">
        <v>1</v>
      </c>
      <c r="EK296" s="3">
        <v>400005</v>
      </c>
      <c r="EL296" s="3" t="s">
        <v>262</v>
      </c>
      <c r="EM296" s="3" t="s">
        <v>263</v>
      </c>
      <c r="EO296" s="3" t="s">
        <v>82</v>
      </c>
      <c r="EQ296" s="3">
        <v>16</v>
      </c>
      <c r="ER296" s="3">
        <v>0</v>
      </c>
      <c r="ES296" s="3">
        <v>14.69</v>
      </c>
      <c r="ET296" s="3">
        <v>0</v>
      </c>
      <c r="EU296" s="3">
        <v>0</v>
      </c>
      <c r="EV296" s="3">
        <v>0</v>
      </c>
      <c r="EW296" s="3">
        <v>0</v>
      </c>
      <c r="EX296" s="3">
        <v>0</v>
      </c>
      <c r="EZ296" s="3">
        <v>5</v>
      </c>
      <c r="FC296" s="3">
        <v>1</v>
      </c>
      <c r="FD296" s="3">
        <v>18</v>
      </c>
      <c r="FF296" s="3">
        <v>133</v>
      </c>
      <c r="FQ296" s="3">
        <v>0</v>
      </c>
      <c r="FR296" s="3">
        <v>0</v>
      </c>
      <c r="FS296" s="3">
        <v>0</v>
      </c>
      <c r="FX296" s="3">
        <v>90</v>
      </c>
      <c r="FY296" s="3">
        <v>46</v>
      </c>
      <c r="GA296" s="3" t="s">
        <v>264</v>
      </c>
      <c r="GD296" s="3">
        <v>1</v>
      </c>
      <c r="GF296" s="3">
        <v>1340266195</v>
      </c>
      <c r="GG296" s="3">
        <v>2</v>
      </c>
      <c r="GH296" s="3">
        <v>3</v>
      </c>
      <c r="GI296" s="3">
        <v>5</v>
      </c>
      <c r="GJ296" s="3">
        <v>0</v>
      </c>
      <c r="GK296" s="3">
        <v>0</v>
      </c>
      <c r="GL296" s="3">
        <f t="shared" si="263"/>
        <v>0</v>
      </c>
      <c r="GM296" s="3">
        <f t="shared" si="264"/>
        <v>248292.52</v>
      </c>
      <c r="GN296" s="3">
        <f t="shared" si="265"/>
        <v>0</v>
      </c>
      <c r="GO296" s="3">
        <f t="shared" si="266"/>
        <v>248292.52</v>
      </c>
      <c r="GP296" s="3">
        <f t="shared" si="267"/>
        <v>0</v>
      </c>
      <c r="GR296" s="3">
        <v>1</v>
      </c>
      <c r="GS296" s="3">
        <v>1</v>
      </c>
      <c r="GT296" s="3">
        <v>0</v>
      </c>
      <c r="GU296" s="3" t="s">
        <v>3</v>
      </c>
      <c r="GV296" s="3">
        <f t="shared" si="268"/>
        <v>0</v>
      </c>
      <c r="GW296" s="3">
        <v>1</v>
      </c>
      <c r="GX296" s="3">
        <f t="shared" si="269"/>
        <v>0</v>
      </c>
      <c r="HA296" s="3">
        <v>0</v>
      </c>
      <c r="HB296" s="3">
        <v>0</v>
      </c>
      <c r="HC296" s="3">
        <f t="shared" si="270"/>
        <v>0</v>
      </c>
      <c r="HE296" s="3" t="s">
        <v>265</v>
      </c>
      <c r="HF296" s="3" t="s">
        <v>30</v>
      </c>
      <c r="HM296" s="3" t="s">
        <v>77</v>
      </c>
      <c r="HN296" s="3" t="s">
        <v>3</v>
      </c>
      <c r="HO296" s="3" t="s">
        <v>3</v>
      </c>
      <c r="HP296" s="3" t="s">
        <v>3</v>
      </c>
      <c r="HQ296" s="3" t="s">
        <v>3</v>
      </c>
      <c r="HS296" s="3">
        <v>0</v>
      </c>
      <c r="IK296" s="3">
        <v>0</v>
      </c>
    </row>
    <row r="297" spans="1:255" x14ac:dyDescent="0.2">
      <c r="A297" s="2">
        <v>18</v>
      </c>
      <c r="B297" s="2">
        <v>1</v>
      </c>
      <c r="C297" s="2">
        <v>108</v>
      </c>
      <c r="D297" s="2"/>
      <c r="E297" s="2" t="s">
        <v>266</v>
      </c>
      <c r="F297" s="2" t="s">
        <v>267</v>
      </c>
      <c r="G297" s="2" t="s">
        <v>268</v>
      </c>
      <c r="H297" s="2" t="s">
        <v>269</v>
      </c>
      <c r="I297" s="2">
        <f>I293*J297</f>
        <v>47.369959999999992</v>
      </c>
      <c r="J297" s="2">
        <v>2.1639999999999997</v>
      </c>
      <c r="K297" s="2">
        <v>2.1640000000000001</v>
      </c>
      <c r="L297" s="2"/>
      <c r="M297" s="2"/>
      <c r="N297" s="2"/>
      <c r="O297" s="2">
        <f t="shared" si="246"/>
        <v>6958.17</v>
      </c>
      <c r="P297" s="2">
        <f t="shared" si="247"/>
        <v>6958.17</v>
      </c>
      <c r="Q297" s="2">
        <f t="shared" si="271"/>
        <v>0</v>
      </c>
      <c r="R297" s="2">
        <f t="shared" si="272"/>
        <v>0</v>
      </c>
      <c r="S297" s="2">
        <f t="shared" si="248"/>
        <v>0</v>
      </c>
      <c r="T297" s="2">
        <f t="shared" si="249"/>
        <v>0</v>
      </c>
      <c r="U297" s="2">
        <f t="shared" si="250"/>
        <v>0</v>
      </c>
      <c r="V297" s="2">
        <f t="shared" si="251"/>
        <v>0</v>
      </c>
      <c r="W297" s="2">
        <f t="shared" si="252"/>
        <v>0</v>
      </c>
      <c r="X297" s="2">
        <f t="shared" si="273"/>
        <v>0</v>
      </c>
      <c r="Y297" s="2">
        <f t="shared" si="274"/>
        <v>0</v>
      </c>
      <c r="Z297" s="2"/>
      <c r="AA297" s="2">
        <v>55915256</v>
      </c>
      <c r="AB297" s="2">
        <f t="shared" si="253"/>
        <v>146.88999999999999</v>
      </c>
      <c r="AC297" s="2">
        <f t="shared" si="275"/>
        <v>146.88999999999999</v>
      </c>
      <c r="AD297" s="2">
        <f t="shared" si="276"/>
        <v>0</v>
      </c>
      <c r="AE297" s="2">
        <f t="shared" si="277"/>
        <v>0</v>
      </c>
      <c r="AF297" s="2">
        <f t="shared" si="277"/>
        <v>0</v>
      </c>
      <c r="AG297" s="2">
        <f t="shared" si="254"/>
        <v>0</v>
      </c>
      <c r="AH297" s="2">
        <f t="shared" si="278"/>
        <v>0</v>
      </c>
      <c r="AI297" s="2">
        <f t="shared" si="278"/>
        <v>0</v>
      </c>
      <c r="AJ297" s="2">
        <f t="shared" si="255"/>
        <v>0</v>
      </c>
      <c r="AK297" s="2">
        <v>146.88999999999999</v>
      </c>
      <c r="AL297" s="2">
        <v>146.88999999999999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90</v>
      </c>
      <c r="AU297" s="2">
        <v>46</v>
      </c>
      <c r="AV297" s="2">
        <v>1</v>
      </c>
      <c r="AW297" s="2">
        <v>1</v>
      </c>
      <c r="AX297" s="2"/>
      <c r="AY297" s="2"/>
      <c r="AZ297" s="2">
        <v>1</v>
      </c>
      <c r="BA297" s="2">
        <v>1</v>
      </c>
      <c r="BB297" s="2">
        <v>1</v>
      </c>
      <c r="BC297" s="2">
        <v>1</v>
      </c>
      <c r="BD297" s="2" t="s">
        <v>3</v>
      </c>
      <c r="BE297" s="2" t="s">
        <v>3</v>
      </c>
      <c r="BF297" s="2" t="s">
        <v>3</v>
      </c>
      <c r="BG297" s="2" t="s">
        <v>3</v>
      </c>
      <c r="BH297" s="2">
        <v>3</v>
      </c>
      <c r="BI297" s="2">
        <v>2</v>
      </c>
      <c r="BJ297" s="2" t="s">
        <v>270</v>
      </c>
      <c r="BK297" s="2"/>
      <c r="BL297" s="2"/>
      <c r="BM297" s="2">
        <v>68</v>
      </c>
      <c r="BN297" s="2">
        <v>0</v>
      </c>
      <c r="BO297" s="2" t="s">
        <v>3</v>
      </c>
      <c r="BP297" s="2">
        <v>0</v>
      </c>
      <c r="BQ297" s="2">
        <v>40</v>
      </c>
      <c r="BR297" s="2">
        <v>0</v>
      </c>
      <c r="BS297" s="2">
        <v>1</v>
      </c>
      <c r="BT297" s="2">
        <v>1</v>
      </c>
      <c r="BU297" s="2">
        <v>1</v>
      </c>
      <c r="BV297" s="2">
        <v>1</v>
      </c>
      <c r="BW297" s="2">
        <v>1</v>
      </c>
      <c r="BX297" s="2">
        <v>1</v>
      </c>
      <c r="BY297" s="2" t="s">
        <v>3</v>
      </c>
      <c r="BZ297" s="2">
        <v>90</v>
      </c>
      <c r="CA297" s="2">
        <v>46</v>
      </c>
      <c r="CB297" s="2" t="s">
        <v>3</v>
      </c>
      <c r="CC297" s="2"/>
      <c r="CD297" s="2"/>
      <c r="CE297" s="2">
        <v>1566</v>
      </c>
      <c r="CF297" s="2">
        <v>0</v>
      </c>
      <c r="CG297" s="2">
        <v>0</v>
      </c>
      <c r="CH297" s="2"/>
      <c r="CI297" s="2"/>
      <c r="CJ297" s="2"/>
      <c r="CK297" s="2"/>
      <c r="CL297" s="2"/>
      <c r="CM297" s="2">
        <v>0</v>
      </c>
      <c r="CN297" s="2" t="s">
        <v>607</v>
      </c>
      <c r="CO297" s="2">
        <v>0</v>
      </c>
      <c r="CP297" s="2">
        <f t="shared" si="256"/>
        <v>6958.17</v>
      </c>
      <c r="CQ297" s="2">
        <f t="shared" si="257"/>
        <v>146.88999999999999</v>
      </c>
      <c r="CR297" s="2">
        <f t="shared" si="279"/>
        <v>0</v>
      </c>
      <c r="CS297" s="2">
        <f t="shared" si="280"/>
        <v>0</v>
      </c>
      <c r="CT297" s="2">
        <f t="shared" si="258"/>
        <v>0</v>
      </c>
      <c r="CU297" s="2">
        <f t="shared" si="259"/>
        <v>0</v>
      </c>
      <c r="CV297" s="2">
        <f t="shared" si="260"/>
        <v>0</v>
      </c>
      <c r="CW297" s="2">
        <f t="shared" si="261"/>
        <v>0</v>
      </c>
      <c r="CX297" s="2">
        <f t="shared" si="262"/>
        <v>0</v>
      </c>
      <c r="CY297" s="2">
        <f t="shared" si="281"/>
        <v>0</v>
      </c>
      <c r="CZ297" s="2">
        <f t="shared" si="282"/>
        <v>0</v>
      </c>
      <c r="DA297" s="2"/>
      <c r="DB297" s="2"/>
      <c r="DC297" s="2" t="s">
        <v>3</v>
      </c>
      <c r="DD297" s="2" t="s">
        <v>3</v>
      </c>
      <c r="DE297" s="2" t="s">
        <v>3</v>
      </c>
      <c r="DF297" s="2" t="s">
        <v>3</v>
      </c>
      <c r="DG297" s="2" t="s">
        <v>3</v>
      </c>
      <c r="DH297" s="2" t="s">
        <v>3</v>
      </c>
      <c r="DI297" s="2" t="s">
        <v>3</v>
      </c>
      <c r="DJ297" s="2" t="s">
        <v>3</v>
      </c>
      <c r="DK297" s="2" t="s">
        <v>3</v>
      </c>
      <c r="DL297" s="2" t="s">
        <v>3</v>
      </c>
      <c r="DM297" s="2" t="s">
        <v>3</v>
      </c>
      <c r="DN297" s="2">
        <v>0</v>
      </c>
      <c r="DO297" s="2">
        <v>0</v>
      </c>
      <c r="DP297" s="2">
        <v>1</v>
      </c>
      <c r="DQ297" s="2">
        <v>1</v>
      </c>
      <c r="DR297" s="2"/>
      <c r="DS297" s="2"/>
      <c r="DT297" s="2"/>
      <c r="DU297" s="2">
        <v>1010</v>
      </c>
      <c r="DV297" s="2" t="s">
        <v>269</v>
      </c>
      <c r="DW297" s="2" t="s">
        <v>269</v>
      </c>
      <c r="DX297" s="2">
        <v>100</v>
      </c>
      <c r="DY297" s="2"/>
      <c r="DZ297" s="2" t="s">
        <v>3</v>
      </c>
      <c r="EA297" s="2" t="s">
        <v>3</v>
      </c>
      <c r="EB297" s="2" t="s">
        <v>3</v>
      </c>
      <c r="EC297" s="2" t="s">
        <v>3</v>
      </c>
      <c r="ED297" s="2"/>
      <c r="EE297" s="2">
        <v>55393700</v>
      </c>
      <c r="EF297" s="2">
        <v>40</v>
      </c>
      <c r="EG297" s="2" t="s">
        <v>26</v>
      </c>
      <c r="EH297" s="2">
        <v>0</v>
      </c>
      <c r="EI297" s="2" t="s">
        <v>3</v>
      </c>
      <c r="EJ297" s="2">
        <v>2</v>
      </c>
      <c r="EK297" s="2">
        <v>68</v>
      </c>
      <c r="EL297" s="2" t="s">
        <v>27</v>
      </c>
      <c r="EM297" s="2" t="s">
        <v>28</v>
      </c>
      <c r="EN297" s="2"/>
      <c r="EO297" s="2" t="s">
        <v>82</v>
      </c>
      <c r="EP297" s="2"/>
      <c r="EQ297" s="2">
        <v>0</v>
      </c>
      <c r="ER297" s="2">
        <v>146.88999999999999</v>
      </c>
      <c r="ES297" s="2">
        <v>146.88999999999999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>
        <v>0</v>
      </c>
      <c r="FR297" s="2">
        <v>0</v>
      </c>
      <c r="FS297" s="2">
        <v>0</v>
      </c>
      <c r="FT297" s="2"/>
      <c r="FU297" s="2"/>
      <c r="FV297" s="2"/>
      <c r="FW297" s="2"/>
      <c r="FX297" s="2">
        <v>90</v>
      </c>
      <c r="FY297" s="2">
        <v>46</v>
      </c>
      <c r="FZ297" s="2"/>
      <c r="GA297" s="2" t="s">
        <v>3</v>
      </c>
      <c r="GB297" s="2"/>
      <c r="GC297" s="2"/>
      <c r="GD297" s="2">
        <v>1</v>
      </c>
      <c r="GE297" s="2"/>
      <c r="GF297" s="2">
        <v>289520784</v>
      </c>
      <c r="GG297" s="2">
        <v>2</v>
      </c>
      <c r="GH297" s="2">
        <v>1</v>
      </c>
      <c r="GI297" s="2">
        <v>-2</v>
      </c>
      <c r="GJ297" s="2">
        <v>0</v>
      </c>
      <c r="GK297" s="2">
        <v>0</v>
      </c>
      <c r="GL297" s="2">
        <f t="shared" si="263"/>
        <v>0</v>
      </c>
      <c r="GM297" s="2">
        <f t="shared" si="264"/>
        <v>6958.17</v>
      </c>
      <c r="GN297" s="2">
        <f t="shared" si="265"/>
        <v>0</v>
      </c>
      <c r="GO297" s="2">
        <f t="shared" si="266"/>
        <v>6958.17</v>
      </c>
      <c r="GP297" s="2">
        <f t="shared" si="267"/>
        <v>0</v>
      </c>
      <c r="GQ297" s="2"/>
      <c r="GR297" s="2">
        <v>0</v>
      </c>
      <c r="GS297" s="2">
        <v>3</v>
      </c>
      <c r="GT297" s="2">
        <v>0</v>
      </c>
      <c r="GU297" s="2" t="s">
        <v>3</v>
      </c>
      <c r="GV297" s="2">
        <f t="shared" si="268"/>
        <v>0</v>
      </c>
      <c r="GW297" s="2">
        <v>1</v>
      </c>
      <c r="GX297" s="2">
        <f t="shared" si="269"/>
        <v>0</v>
      </c>
      <c r="GY297" s="2"/>
      <c r="GZ297" s="2"/>
      <c r="HA297" s="2">
        <v>0</v>
      </c>
      <c r="HB297" s="2">
        <v>0</v>
      </c>
      <c r="HC297" s="2">
        <f t="shared" si="270"/>
        <v>0</v>
      </c>
      <c r="HD297" s="2"/>
      <c r="HE297" s="2" t="s">
        <v>3</v>
      </c>
      <c r="HF297" s="2" t="s">
        <v>3</v>
      </c>
      <c r="HG297" s="2"/>
      <c r="HH297" s="2"/>
      <c r="HI297" s="2"/>
      <c r="HJ297" s="2"/>
      <c r="HK297" s="2"/>
      <c r="HL297" s="2"/>
      <c r="HM297" s="2" t="s">
        <v>3</v>
      </c>
      <c r="HN297" s="2" t="s">
        <v>3</v>
      </c>
      <c r="HO297" s="2" t="s">
        <v>3</v>
      </c>
      <c r="HP297" s="2" t="s">
        <v>3</v>
      </c>
      <c r="HQ297" s="2" t="s">
        <v>3</v>
      </c>
      <c r="HR297" s="2"/>
      <c r="HS297" s="2">
        <v>0</v>
      </c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>
        <v>0</v>
      </c>
      <c r="IL297" s="2"/>
      <c r="IM297" s="2"/>
      <c r="IN297" s="2"/>
      <c r="IO297" s="2"/>
      <c r="IP297" s="2"/>
      <c r="IQ297" s="2"/>
      <c r="IR297" s="2"/>
      <c r="IS297" s="2"/>
      <c r="IT297" s="2"/>
      <c r="IU297" s="2"/>
    </row>
    <row r="298" spans="1:255" x14ac:dyDescent="0.2">
      <c r="A298" s="3">
        <v>18</v>
      </c>
      <c r="B298" s="3">
        <v>1</v>
      </c>
      <c r="C298" s="3">
        <v>118</v>
      </c>
      <c r="E298" s="3" t="s">
        <v>266</v>
      </c>
      <c r="F298" s="3" t="s">
        <v>267</v>
      </c>
      <c r="G298" s="3" t="s">
        <v>268</v>
      </c>
      <c r="H298" s="3" t="s">
        <v>269</v>
      </c>
      <c r="I298" s="3">
        <f>I294*J298</f>
        <v>47.369959999999992</v>
      </c>
      <c r="J298" s="3">
        <v>2.1639999999999997</v>
      </c>
      <c r="K298" s="3">
        <v>2.1640000000000001</v>
      </c>
      <c r="O298" s="3">
        <f t="shared" si="246"/>
        <v>12107.22</v>
      </c>
      <c r="P298" s="3">
        <f t="shared" si="247"/>
        <v>12107.22</v>
      </c>
      <c r="Q298" s="3">
        <f t="shared" si="271"/>
        <v>0</v>
      </c>
      <c r="R298" s="3">
        <f t="shared" si="272"/>
        <v>0</v>
      </c>
      <c r="S298" s="3">
        <f t="shared" si="248"/>
        <v>0</v>
      </c>
      <c r="T298" s="3">
        <f t="shared" si="249"/>
        <v>0</v>
      </c>
      <c r="U298" s="3">
        <f t="shared" si="250"/>
        <v>0</v>
      </c>
      <c r="V298" s="3">
        <f t="shared" si="251"/>
        <v>0</v>
      </c>
      <c r="W298" s="3">
        <f t="shared" si="252"/>
        <v>0</v>
      </c>
      <c r="X298" s="3">
        <f t="shared" si="273"/>
        <v>0</v>
      </c>
      <c r="Y298" s="3">
        <f t="shared" si="274"/>
        <v>0</v>
      </c>
      <c r="AA298" s="3">
        <v>55915258</v>
      </c>
      <c r="AB298" s="3">
        <f t="shared" si="253"/>
        <v>146.88999999999999</v>
      </c>
      <c r="AC298" s="3">
        <f t="shared" si="275"/>
        <v>146.88999999999999</v>
      </c>
      <c r="AD298" s="3">
        <f t="shared" si="276"/>
        <v>0</v>
      </c>
      <c r="AE298" s="3">
        <f t="shared" si="277"/>
        <v>0</v>
      </c>
      <c r="AF298" s="3">
        <f t="shared" si="277"/>
        <v>0</v>
      </c>
      <c r="AG298" s="3">
        <f t="shared" si="254"/>
        <v>0</v>
      </c>
      <c r="AH298" s="3">
        <f t="shared" si="278"/>
        <v>0</v>
      </c>
      <c r="AI298" s="3">
        <f t="shared" si="278"/>
        <v>0</v>
      </c>
      <c r="AJ298" s="3">
        <f t="shared" si="255"/>
        <v>0</v>
      </c>
      <c r="AK298" s="3">
        <v>146.88999999999999</v>
      </c>
      <c r="AL298" s="3">
        <v>146.88999999999999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90</v>
      </c>
      <c r="AU298" s="3">
        <v>46</v>
      </c>
      <c r="AV298" s="3">
        <v>1</v>
      </c>
      <c r="AW298" s="3">
        <v>1</v>
      </c>
      <c r="AZ298" s="3">
        <v>1</v>
      </c>
      <c r="BA298" s="3">
        <v>1</v>
      </c>
      <c r="BB298" s="3">
        <v>1</v>
      </c>
      <c r="BC298" s="3">
        <v>1.74</v>
      </c>
      <c r="BD298" s="3" t="s">
        <v>3</v>
      </c>
      <c r="BE298" s="3" t="s">
        <v>3</v>
      </c>
      <c r="BF298" s="3" t="s">
        <v>3</v>
      </c>
      <c r="BG298" s="3" t="s">
        <v>3</v>
      </c>
      <c r="BH298" s="3">
        <v>3</v>
      </c>
      <c r="BI298" s="3">
        <v>2</v>
      </c>
      <c r="BJ298" s="3" t="s">
        <v>270</v>
      </c>
      <c r="BM298" s="3">
        <v>68</v>
      </c>
      <c r="BN298" s="3">
        <v>0</v>
      </c>
      <c r="BO298" s="3" t="s">
        <v>267</v>
      </c>
      <c r="BP298" s="3">
        <v>1</v>
      </c>
      <c r="BQ298" s="3">
        <v>40</v>
      </c>
      <c r="BR298" s="3">
        <v>0</v>
      </c>
      <c r="BS298" s="3">
        <v>1</v>
      </c>
      <c r="BT298" s="3">
        <v>1</v>
      </c>
      <c r="BU298" s="3">
        <v>1</v>
      </c>
      <c r="BV298" s="3">
        <v>1</v>
      </c>
      <c r="BW298" s="3">
        <v>1</v>
      </c>
      <c r="BX298" s="3">
        <v>1</v>
      </c>
      <c r="BY298" s="3" t="s">
        <v>3</v>
      </c>
      <c r="BZ298" s="3">
        <v>90</v>
      </c>
      <c r="CA298" s="3">
        <v>46</v>
      </c>
      <c r="CB298" s="3" t="s">
        <v>3</v>
      </c>
      <c r="CE298" s="3">
        <v>1566</v>
      </c>
      <c r="CF298" s="3">
        <v>0</v>
      </c>
      <c r="CG298" s="3">
        <v>0</v>
      </c>
      <c r="CM298" s="3">
        <v>0</v>
      </c>
      <c r="CN298" s="3" t="s">
        <v>607</v>
      </c>
      <c r="CO298" s="3">
        <v>0</v>
      </c>
      <c r="CP298" s="3">
        <f t="shared" si="256"/>
        <v>12107.22</v>
      </c>
      <c r="CQ298" s="3">
        <f t="shared" si="257"/>
        <v>255.59</v>
      </c>
      <c r="CR298" s="3">
        <f t="shared" si="279"/>
        <v>0</v>
      </c>
      <c r="CS298" s="3">
        <f t="shared" si="280"/>
        <v>0</v>
      </c>
      <c r="CT298" s="3">
        <f t="shared" si="258"/>
        <v>0</v>
      </c>
      <c r="CU298" s="3">
        <f t="shared" si="259"/>
        <v>0</v>
      </c>
      <c r="CV298" s="3">
        <f t="shared" si="260"/>
        <v>0</v>
      </c>
      <c r="CW298" s="3">
        <f t="shared" si="261"/>
        <v>0</v>
      </c>
      <c r="CX298" s="3">
        <f t="shared" si="262"/>
        <v>0</v>
      </c>
      <c r="CY298" s="3">
        <f t="shared" si="281"/>
        <v>0</v>
      </c>
      <c r="CZ298" s="3">
        <f t="shared" si="282"/>
        <v>0</v>
      </c>
      <c r="DC298" s="3" t="s">
        <v>3</v>
      </c>
      <c r="DD298" s="3" t="s">
        <v>3</v>
      </c>
      <c r="DE298" s="3" t="s">
        <v>3</v>
      </c>
      <c r="DF298" s="3" t="s">
        <v>3</v>
      </c>
      <c r="DG298" s="3" t="s">
        <v>3</v>
      </c>
      <c r="DH298" s="3" t="s">
        <v>3</v>
      </c>
      <c r="DI298" s="3" t="s">
        <v>3</v>
      </c>
      <c r="DJ298" s="3" t="s">
        <v>3</v>
      </c>
      <c r="DK298" s="3" t="s">
        <v>3</v>
      </c>
      <c r="DL298" s="3" t="s">
        <v>3</v>
      </c>
      <c r="DM298" s="3" t="s">
        <v>3</v>
      </c>
      <c r="DN298" s="3">
        <v>0</v>
      </c>
      <c r="DO298" s="3">
        <v>0</v>
      </c>
      <c r="DP298" s="3">
        <v>1</v>
      </c>
      <c r="DQ298" s="3">
        <v>1</v>
      </c>
      <c r="DU298" s="3">
        <v>1010</v>
      </c>
      <c r="DV298" s="3" t="s">
        <v>269</v>
      </c>
      <c r="DW298" s="3" t="s">
        <v>269</v>
      </c>
      <c r="DX298" s="3">
        <v>100</v>
      </c>
      <c r="DZ298" s="3" t="s">
        <v>3</v>
      </c>
      <c r="EA298" s="3" t="s">
        <v>3</v>
      </c>
      <c r="EB298" s="3" t="s">
        <v>3</v>
      </c>
      <c r="EC298" s="3" t="s">
        <v>3</v>
      </c>
      <c r="EE298" s="3">
        <v>55393700</v>
      </c>
      <c r="EF298" s="3">
        <v>40</v>
      </c>
      <c r="EG298" s="3" t="s">
        <v>26</v>
      </c>
      <c r="EH298" s="3">
        <v>0</v>
      </c>
      <c r="EI298" s="3" t="s">
        <v>3</v>
      </c>
      <c r="EJ298" s="3">
        <v>2</v>
      </c>
      <c r="EK298" s="3">
        <v>68</v>
      </c>
      <c r="EL298" s="3" t="s">
        <v>27</v>
      </c>
      <c r="EM298" s="3" t="s">
        <v>28</v>
      </c>
      <c r="EO298" s="3" t="s">
        <v>82</v>
      </c>
      <c r="EQ298" s="3">
        <v>0</v>
      </c>
      <c r="ER298" s="3">
        <v>146.88999999999999</v>
      </c>
      <c r="ES298" s="3">
        <v>146.88999999999999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FQ298" s="3">
        <v>0</v>
      </c>
      <c r="FR298" s="3">
        <v>0</v>
      </c>
      <c r="FS298" s="3">
        <v>0</v>
      </c>
      <c r="FX298" s="3">
        <v>90</v>
      </c>
      <c r="FY298" s="3">
        <v>46</v>
      </c>
      <c r="GA298" s="3" t="s">
        <v>3</v>
      </c>
      <c r="GD298" s="3">
        <v>1</v>
      </c>
      <c r="GF298" s="3">
        <v>289520784</v>
      </c>
      <c r="GG298" s="3">
        <v>2</v>
      </c>
      <c r="GH298" s="3">
        <v>1</v>
      </c>
      <c r="GI298" s="3">
        <v>2</v>
      </c>
      <c r="GJ298" s="3">
        <v>0</v>
      </c>
      <c r="GK298" s="3">
        <v>0</v>
      </c>
      <c r="GL298" s="3">
        <f t="shared" si="263"/>
        <v>0</v>
      </c>
      <c r="GM298" s="3">
        <f t="shared" si="264"/>
        <v>12107.22</v>
      </c>
      <c r="GN298" s="3">
        <f t="shared" si="265"/>
        <v>0</v>
      </c>
      <c r="GO298" s="3">
        <f t="shared" si="266"/>
        <v>12107.22</v>
      </c>
      <c r="GP298" s="3">
        <f t="shared" si="267"/>
        <v>0</v>
      </c>
      <c r="GR298" s="3">
        <v>0</v>
      </c>
      <c r="GS298" s="3">
        <v>3</v>
      </c>
      <c r="GT298" s="3">
        <v>0</v>
      </c>
      <c r="GU298" s="3" t="s">
        <v>3</v>
      </c>
      <c r="GV298" s="3">
        <f t="shared" si="268"/>
        <v>0</v>
      </c>
      <c r="GW298" s="3">
        <v>1</v>
      </c>
      <c r="GX298" s="3">
        <f t="shared" si="269"/>
        <v>0</v>
      </c>
      <c r="HA298" s="3">
        <v>0</v>
      </c>
      <c r="HB298" s="3">
        <v>0</v>
      </c>
      <c r="HC298" s="3">
        <f t="shared" si="270"/>
        <v>0</v>
      </c>
      <c r="HE298" s="3" t="s">
        <v>3</v>
      </c>
      <c r="HF298" s="3" t="s">
        <v>3</v>
      </c>
      <c r="HM298" s="3" t="s">
        <v>3</v>
      </c>
      <c r="HN298" s="3" t="s">
        <v>3</v>
      </c>
      <c r="HO298" s="3" t="s">
        <v>3</v>
      </c>
      <c r="HP298" s="3" t="s">
        <v>3</v>
      </c>
      <c r="HQ298" s="3" t="s">
        <v>3</v>
      </c>
      <c r="HS298" s="3">
        <v>0</v>
      </c>
      <c r="IK298" s="3">
        <v>0</v>
      </c>
    </row>
    <row r="299" spans="1:255" x14ac:dyDescent="0.2">
      <c r="A299" s="2">
        <v>17</v>
      </c>
      <c r="B299" s="2">
        <v>1</v>
      </c>
      <c r="C299" s="2"/>
      <c r="D299" s="2"/>
      <c r="E299" s="2" t="s">
        <v>271</v>
      </c>
      <c r="F299" s="2" t="s">
        <v>272</v>
      </c>
      <c r="G299" s="2" t="s">
        <v>273</v>
      </c>
      <c r="H299" s="2" t="s">
        <v>261</v>
      </c>
      <c r="I299" s="2">
        <f>ROUND(2189*1.02,9)</f>
        <v>2232.7800000000002</v>
      </c>
      <c r="J299" s="2">
        <v>0</v>
      </c>
      <c r="K299" s="2">
        <f>ROUND(2189*1.02,9)</f>
        <v>2232.7800000000002</v>
      </c>
      <c r="L299" s="2"/>
      <c r="M299" s="2"/>
      <c r="N299" s="2"/>
      <c r="O299" s="2">
        <f t="shared" si="246"/>
        <v>12190.98</v>
      </c>
      <c r="P299" s="2">
        <f t="shared" si="247"/>
        <v>12190.98</v>
      </c>
      <c r="Q299" s="2">
        <f t="shared" si="271"/>
        <v>0</v>
      </c>
      <c r="R299" s="2">
        <f t="shared" si="272"/>
        <v>0</v>
      </c>
      <c r="S299" s="2">
        <f t="shared" si="248"/>
        <v>0</v>
      </c>
      <c r="T299" s="2">
        <f t="shared" si="249"/>
        <v>0</v>
      </c>
      <c r="U299" s="2">
        <f t="shared" si="250"/>
        <v>0</v>
      </c>
      <c r="V299" s="2">
        <f t="shared" si="251"/>
        <v>0</v>
      </c>
      <c r="W299" s="2">
        <f t="shared" si="252"/>
        <v>0</v>
      </c>
      <c r="X299" s="2">
        <f t="shared" si="273"/>
        <v>0</v>
      </c>
      <c r="Y299" s="2">
        <f t="shared" si="274"/>
        <v>0</v>
      </c>
      <c r="Z299" s="2"/>
      <c r="AA299" s="2">
        <v>55915256</v>
      </c>
      <c r="AB299" s="2">
        <f t="shared" si="253"/>
        <v>5.46</v>
      </c>
      <c r="AC299" s="2">
        <f t="shared" si="275"/>
        <v>5.46</v>
      </c>
      <c r="AD299" s="2">
        <f t="shared" si="276"/>
        <v>0</v>
      </c>
      <c r="AE299" s="2">
        <f t="shared" si="277"/>
        <v>0</v>
      </c>
      <c r="AF299" s="2">
        <f t="shared" si="277"/>
        <v>0</v>
      </c>
      <c r="AG299" s="2">
        <f t="shared" si="254"/>
        <v>0</v>
      </c>
      <c r="AH299" s="2">
        <f t="shared" si="278"/>
        <v>0</v>
      </c>
      <c r="AI299" s="2">
        <f t="shared" si="278"/>
        <v>0</v>
      </c>
      <c r="AJ299" s="2">
        <f t="shared" si="255"/>
        <v>0</v>
      </c>
      <c r="AK299" s="2">
        <v>5.46</v>
      </c>
      <c r="AL299" s="2">
        <v>5.46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1</v>
      </c>
      <c r="AW299" s="2">
        <v>1</v>
      </c>
      <c r="AX299" s="2"/>
      <c r="AY299" s="2"/>
      <c r="AZ299" s="2">
        <v>1</v>
      </c>
      <c r="BA299" s="2">
        <v>1</v>
      </c>
      <c r="BB299" s="2">
        <v>1</v>
      </c>
      <c r="BC299" s="2">
        <v>1</v>
      </c>
      <c r="BD299" s="2" t="s">
        <v>3</v>
      </c>
      <c r="BE299" s="2" t="s">
        <v>3</v>
      </c>
      <c r="BF299" s="2" t="s">
        <v>3</v>
      </c>
      <c r="BG299" s="2" t="s">
        <v>3</v>
      </c>
      <c r="BH299" s="2">
        <v>3</v>
      </c>
      <c r="BI299" s="2">
        <v>2</v>
      </c>
      <c r="BJ299" s="2" t="s">
        <v>272</v>
      </c>
      <c r="BK299" s="2"/>
      <c r="BL299" s="2"/>
      <c r="BM299" s="2">
        <v>400005</v>
      </c>
      <c r="BN299" s="2">
        <v>0</v>
      </c>
      <c r="BO299" s="2" t="s">
        <v>3</v>
      </c>
      <c r="BP299" s="2">
        <v>0</v>
      </c>
      <c r="BQ299" s="2">
        <v>213</v>
      </c>
      <c r="BR299" s="2">
        <v>0</v>
      </c>
      <c r="BS299" s="2">
        <v>1</v>
      </c>
      <c r="BT299" s="2">
        <v>1</v>
      </c>
      <c r="BU299" s="2">
        <v>1</v>
      </c>
      <c r="BV299" s="2">
        <v>1</v>
      </c>
      <c r="BW299" s="2">
        <v>1</v>
      </c>
      <c r="BX299" s="2">
        <v>1</v>
      </c>
      <c r="BY299" s="2" t="s">
        <v>3</v>
      </c>
      <c r="BZ299" s="2">
        <v>0</v>
      </c>
      <c r="CA299" s="2">
        <v>0</v>
      </c>
      <c r="CB299" s="2" t="s">
        <v>3</v>
      </c>
      <c r="CC299" s="2"/>
      <c r="CD299" s="2"/>
      <c r="CE299" s="2">
        <v>1566</v>
      </c>
      <c r="CF299" s="2">
        <v>0</v>
      </c>
      <c r="CG299" s="2">
        <v>0</v>
      </c>
      <c r="CH299" s="2"/>
      <c r="CI299" s="2"/>
      <c r="CJ299" s="2"/>
      <c r="CK299" s="2"/>
      <c r="CL299" s="2"/>
      <c r="CM299" s="2">
        <v>0</v>
      </c>
      <c r="CN299" s="2" t="s">
        <v>3</v>
      </c>
      <c r="CO299" s="2">
        <v>0</v>
      </c>
      <c r="CP299" s="2">
        <f t="shared" si="256"/>
        <v>12190.98</v>
      </c>
      <c r="CQ299" s="2">
        <f t="shared" si="257"/>
        <v>5.46</v>
      </c>
      <c r="CR299" s="2">
        <f t="shared" si="279"/>
        <v>0</v>
      </c>
      <c r="CS299" s="2">
        <f t="shared" si="280"/>
        <v>0</v>
      </c>
      <c r="CT299" s="2">
        <f t="shared" si="258"/>
        <v>0</v>
      </c>
      <c r="CU299" s="2">
        <f t="shared" si="259"/>
        <v>0</v>
      </c>
      <c r="CV299" s="2">
        <f t="shared" si="260"/>
        <v>0</v>
      </c>
      <c r="CW299" s="2">
        <f t="shared" si="261"/>
        <v>0</v>
      </c>
      <c r="CX299" s="2">
        <f t="shared" si="262"/>
        <v>0</v>
      </c>
      <c r="CY299" s="2">
        <f t="shared" si="281"/>
        <v>0</v>
      </c>
      <c r="CZ299" s="2">
        <f t="shared" si="282"/>
        <v>0</v>
      </c>
      <c r="DA299" s="2"/>
      <c r="DB299" s="2"/>
      <c r="DC299" s="2" t="s">
        <v>3</v>
      </c>
      <c r="DD299" s="2" t="s">
        <v>3</v>
      </c>
      <c r="DE299" s="2" t="s">
        <v>3</v>
      </c>
      <c r="DF299" s="2" t="s">
        <v>3</v>
      </c>
      <c r="DG299" s="2" t="s">
        <v>3</v>
      </c>
      <c r="DH299" s="2" t="s">
        <v>3</v>
      </c>
      <c r="DI299" s="2" t="s">
        <v>3</v>
      </c>
      <c r="DJ299" s="2" t="s">
        <v>3</v>
      </c>
      <c r="DK299" s="2" t="s">
        <v>3</v>
      </c>
      <c r="DL299" s="2" t="s">
        <v>3</v>
      </c>
      <c r="DM299" s="2" t="s">
        <v>3</v>
      </c>
      <c r="DN299" s="2">
        <v>0</v>
      </c>
      <c r="DO299" s="2">
        <v>0</v>
      </c>
      <c r="DP299" s="2">
        <v>1</v>
      </c>
      <c r="DQ299" s="2">
        <v>1</v>
      </c>
      <c r="DR299" s="2"/>
      <c r="DS299" s="2"/>
      <c r="DT299" s="2"/>
      <c r="DU299" s="2">
        <v>1003</v>
      </c>
      <c r="DV299" s="2" t="s">
        <v>261</v>
      </c>
      <c r="DW299" s="2" t="s">
        <v>261</v>
      </c>
      <c r="DX299" s="2">
        <v>1</v>
      </c>
      <c r="DY299" s="2"/>
      <c r="DZ299" s="2" t="s">
        <v>3</v>
      </c>
      <c r="EA299" s="2" t="s">
        <v>3</v>
      </c>
      <c r="EB299" s="2" t="s">
        <v>3</v>
      </c>
      <c r="EC299" s="2" t="s">
        <v>3</v>
      </c>
      <c r="ED299" s="2"/>
      <c r="EE299" s="2">
        <v>55393628</v>
      </c>
      <c r="EF299" s="2">
        <v>213</v>
      </c>
      <c r="EG299" s="2" t="s">
        <v>262</v>
      </c>
      <c r="EH299" s="2">
        <v>0</v>
      </c>
      <c r="EI299" s="2" t="s">
        <v>3</v>
      </c>
      <c r="EJ299" s="2">
        <v>1</v>
      </c>
      <c r="EK299" s="2">
        <v>400005</v>
      </c>
      <c r="EL299" s="2" t="s">
        <v>262</v>
      </c>
      <c r="EM299" s="2" t="s">
        <v>263</v>
      </c>
      <c r="EN299" s="2"/>
      <c r="EO299" s="2" t="s">
        <v>3</v>
      </c>
      <c r="EP299" s="2"/>
      <c r="EQ299" s="2">
        <v>16</v>
      </c>
      <c r="ER299" s="2">
        <v>0</v>
      </c>
      <c r="ES299" s="2">
        <v>5.46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>
        <v>0</v>
      </c>
      <c r="FR299" s="2">
        <v>0</v>
      </c>
      <c r="FS299" s="2">
        <v>0</v>
      </c>
      <c r="FT299" s="2"/>
      <c r="FU299" s="2"/>
      <c r="FV299" s="2"/>
      <c r="FW299" s="2"/>
      <c r="FX299" s="2">
        <v>0</v>
      </c>
      <c r="FY299" s="2">
        <v>0</v>
      </c>
      <c r="FZ299" s="2"/>
      <c r="GA299" s="2" t="s">
        <v>274</v>
      </c>
      <c r="GB299" s="2"/>
      <c r="GC299" s="2"/>
      <c r="GD299" s="2">
        <v>1</v>
      </c>
      <c r="GE299" s="2"/>
      <c r="GF299" s="2">
        <v>855260042</v>
      </c>
      <c r="GG299" s="2">
        <v>2</v>
      </c>
      <c r="GH299" s="2">
        <v>4</v>
      </c>
      <c r="GI299" s="2">
        <v>-2</v>
      </c>
      <c r="GJ299" s="2">
        <v>0</v>
      </c>
      <c r="GK299" s="2">
        <v>0</v>
      </c>
      <c r="GL299" s="2">
        <f t="shared" si="263"/>
        <v>0</v>
      </c>
      <c r="GM299" s="2">
        <f t="shared" si="264"/>
        <v>12190.98</v>
      </c>
      <c r="GN299" s="2">
        <f t="shared" si="265"/>
        <v>0</v>
      </c>
      <c r="GO299" s="2">
        <f t="shared" si="266"/>
        <v>12190.98</v>
      </c>
      <c r="GP299" s="2">
        <f t="shared" si="267"/>
        <v>0</v>
      </c>
      <c r="GQ299" s="2"/>
      <c r="GR299" s="2">
        <v>1</v>
      </c>
      <c r="GS299" s="2">
        <v>2</v>
      </c>
      <c r="GT299" s="2">
        <v>0</v>
      </c>
      <c r="GU299" s="2" t="s">
        <v>3</v>
      </c>
      <c r="GV299" s="2">
        <f t="shared" si="268"/>
        <v>0</v>
      </c>
      <c r="GW299" s="2">
        <v>1</v>
      </c>
      <c r="GX299" s="2">
        <f t="shared" si="269"/>
        <v>0</v>
      </c>
      <c r="GY299" s="2"/>
      <c r="GZ299" s="2"/>
      <c r="HA299" s="2">
        <v>0</v>
      </c>
      <c r="HB299" s="2">
        <v>0</v>
      </c>
      <c r="HC299" s="2">
        <f t="shared" si="270"/>
        <v>0</v>
      </c>
      <c r="HD299" s="2"/>
      <c r="HE299" s="2" t="s">
        <v>265</v>
      </c>
      <c r="HF299" s="2" t="s">
        <v>30</v>
      </c>
      <c r="HG299" s="2"/>
      <c r="HH299" s="2"/>
      <c r="HI299" s="2"/>
      <c r="HJ299" s="2"/>
      <c r="HK299" s="2"/>
      <c r="HL299" s="2"/>
      <c r="HM299" s="2" t="s">
        <v>3</v>
      </c>
      <c r="HN299" s="2" t="s">
        <v>3</v>
      </c>
      <c r="HO299" s="2" t="s">
        <v>3</v>
      </c>
      <c r="HP299" s="2" t="s">
        <v>3</v>
      </c>
      <c r="HQ299" s="2" t="s">
        <v>3</v>
      </c>
      <c r="HR299" s="2"/>
      <c r="HS299" s="2">
        <v>0</v>
      </c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>
        <v>0</v>
      </c>
      <c r="IL299" s="2"/>
      <c r="IM299" s="2"/>
      <c r="IN299" s="2"/>
      <c r="IO299" s="2"/>
      <c r="IP299" s="2"/>
      <c r="IQ299" s="2"/>
      <c r="IR299" s="2"/>
      <c r="IS299" s="2"/>
      <c r="IT299" s="2"/>
      <c r="IU299" s="2"/>
    </row>
    <row r="300" spans="1:255" x14ac:dyDescent="0.2">
      <c r="A300" s="3">
        <v>17</v>
      </c>
      <c r="B300" s="3">
        <v>1</v>
      </c>
      <c r="E300" s="3" t="s">
        <v>271</v>
      </c>
      <c r="F300" s="3" t="s">
        <v>272</v>
      </c>
      <c r="G300" s="3" t="s">
        <v>273</v>
      </c>
      <c r="H300" s="3" t="s">
        <v>261</v>
      </c>
      <c r="I300" s="3">
        <f>ROUND(2189*1.02,9)</f>
        <v>2232.7800000000002</v>
      </c>
      <c r="J300" s="3">
        <v>0</v>
      </c>
      <c r="K300" s="3">
        <f>ROUND(2189*1.02,9)</f>
        <v>2232.7800000000002</v>
      </c>
      <c r="O300" s="3">
        <f t="shared" si="246"/>
        <v>92285.72</v>
      </c>
      <c r="P300" s="3">
        <f t="shared" si="247"/>
        <v>92285.72</v>
      </c>
      <c r="Q300" s="3">
        <f t="shared" si="271"/>
        <v>0</v>
      </c>
      <c r="R300" s="3">
        <f t="shared" si="272"/>
        <v>0</v>
      </c>
      <c r="S300" s="3">
        <f t="shared" si="248"/>
        <v>0</v>
      </c>
      <c r="T300" s="3">
        <f t="shared" si="249"/>
        <v>0</v>
      </c>
      <c r="U300" s="3">
        <f t="shared" si="250"/>
        <v>0</v>
      </c>
      <c r="V300" s="3">
        <f t="shared" si="251"/>
        <v>0</v>
      </c>
      <c r="W300" s="3">
        <f t="shared" si="252"/>
        <v>0</v>
      </c>
      <c r="X300" s="3">
        <f t="shared" si="273"/>
        <v>0</v>
      </c>
      <c r="Y300" s="3">
        <f t="shared" si="274"/>
        <v>0</v>
      </c>
      <c r="AA300" s="3">
        <v>55915258</v>
      </c>
      <c r="AB300" s="3">
        <f t="shared" si="253"/>
        <v>5.46</v>
      </c>
      <c r="AC300" s="3">
        <f t="shared" si="275"/>
        <v>5.46</v>
      </c>
      <c r="AD300" s="3">
        <f t="shared" si="276"/>
        <v>0</v>
      </c>
      <c r="AE300" s="3">
        <f t="shared" si="277"/>
        <v>0</v>
      </c>
      <c r="AF300" s="3">
        <f t="shared" si="277"/>
        <v>0</v>
      </c>
      <c r="AG300" s="3">
        <f t="shared" si="254"/>
        <v>0</v>
      </c>
      <c r="AH300" s="3">
        <f t="shared" si="278"/>
        <v>0</v>
      </c>
      <c r="AI300" s="3">
        <f t="shared" si="278"/>
        <v>0</v>
      </c>
      <c r="AJ300" s="3">
        <f t="shared" si="255"/>
        <v>0</v>
      </c>
      <c r="AK300" s="3">
        <v>5.46</v>
      </c>
      <c r="AL300" s="3">
        <v>5.46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1</v>
      </c>
      <c r="AW300" s="3">
        <v>1</v>
      </c>
      <c r="AZ300" s="3">
        <v>1</v>
      </c>
      <c r="BA300" s="3">
        <v>1</v>
      </c>
      <c r="BB300" s="3">
        <v>1</v>
      </c>
      <c r="BC300" s="3">
        <v>7.57</v>
      </c>
      <c r="BD300" s="3" t="s">
        <v>3</v>
      </c>
      <c r="BE300" s="3" t="s">
        <v>3</v>
      </c>
      <c r="BF300" s="3" t="s">
        <v>3</v>
      </c>
      <c r="BG300" s="3" t="s">
        <v>3</v>
      </c>
      <c r="BH300" s="3">
        <v>3</v>
      </c>
      <c r="BI300" s="3">
        <v>2</v>
      </c>
      <c r="BJ300" s="3" t="s">
        <v>272</v>
      </c>
      <c r="BM300" s="3">
        <v>400005</v>
      </c>
      <c r="BN300" s="3">
        <v>0</v>
      </c>
      <c r="BO300" s="3" t="s">
        <v>3</v>
      </c>
      <c r="BP300" s="3">
        <v>0</v>
      </c>
      <c r="BQ300" s="3">
        <v>213</v>
      </c>
      <c r="BR300" s="3">
        <v>0</v>
      </c>
      <c r="BS300" s="3">
        <v>1</v>
      </c>
      <c r="BT300" s="3">
        <v>1</v>
      </c>
      <c r="BU300" s="3">
        <v>1</v>
      </c>
      <c r="BV300" s="3">
        <v>1</v>
      </c>
      <c r="BW300" s="3">
        <v>1</v>
      </c>
      <c r="BX300" s="3">
        <v>1</v>
      </c>
      <c r="BY300" s="3" t="s">
        <v>3</v>
      </c>
      <c r="BZ300" s="3">
        <v>0</v>
      </c>
      <c r="CA300" s="3">
        <v>0</v>
      </c>
      <c r="CB300" s="3" t="s">
        <v>3</v>
      </c>
      <c r="CE300" s="3">
        <v>1566</v>
      </c>
      <c r="CF300" s="3">
        <v>0</v>
      </c>
      <c r="CG300" s="3">
        <v>0</v>
      </c>
      <c r="CM300" s="3">
        <v>0</v>
      </c>
      <c r="CN300" s="3" t="s">
        <v>3</v>
      </c>
      <c r="CO300" s="3">
        <v>0</v>
      </c>
      <c r="CP300" s="3">
        <f t="shared" si="256"/>
        <v>92285.72</v>
      </c>
      <c r="CQ300" s="3">
        <f t="shared" si="257"/>
        <v>41.33</v>
      </c>
      <c r="CR300" s="3">
        <f t="shared" si="279"/>
        <v>0</v>
      </c>
      <c r="CS300" s="3">
        <f t="shared" si="280"/>
        <v>0</v>
      </c>
      <c r="CT300" s="3">
        <f t="shared" si="258"/>
        <v>0</v>
      </c>
      <c r="CU300" s="3">
        <f t="shared" si="259"/>
        <v>0</v>
      </c>
      <c r="CV300" s="3">
        <f t="shared" si="260"/>
        <v>0</v>
      </c>
      <c r="CW300" s="3">
        <f t="shared" si="261"/>
        <v>0</v>
      </c>
      <c r="CX300" s="3">
        <f t="shared" si="262"/>
        <v>0</v>
      </c>
      <c r="CY300" s="3">
        <f t="shared" si="281"/>
        <v>0</v>
      </c>
      <c r="CZ300" s="3">
        <f t="shared" si="282"/>
        <v>0</v>
      </c>
      <c r="DC300" s="3" t="s">
        <v>3</v>
      </c>
      <c r="DD300" s="3" t="s">
        <v>3</v>
      </c>
      <c r="DE300" s="3" t="s">
        <v>3</v>
      </c>
      <c r="DF300" s="3" t="s">
        <v>3</v>
      </c>
      <c r="DG300" s="3" t="s">
        <v>3</v>
      </c>
      <c r="DH300" s="3" t="s">
        <v>3</v>
      </c>
      <c r="DI300" s="3" t="s">
        <v>3</v>
      </c>
      <c r="DJ300" s="3" t="s">
        <v>3</v>
      </c>
      <c r="DK300" s="3" t="s">
        <v>3</v>
      </c>
      <c r="DL300" s="3" t="s">
        <v>3</v>
      </c>
      <c r="DM300" s="3" t="s">
        <v>3</v>
      </c>
      <c r="DN300" s="3">
        <v>0</v>
      </c>
      <c r="DO300" s="3">
        <v>0</v>
      </c>
      <c r="DP300" s="3">
        <v>1</v>
      </c>
      <c r="DQ300" s="3">
        <v>1</v>
      </c>
      <c r="DU300" s="3">
        <v>1003</v>
      </c>
      <c r="DV300" s="3" t="s">
        <v>261</v>
      </c>
      <c r="DW300" s="3" t="s">
        <v>261</v>
      </c>
      <c r="DX300" s="3">
        <v>1</v>
      </c>
      <c r="DZ300" s="3" t="s">
        <v>3</v>
      </c>
      <c r="EA300" s="3" t="s">
        <v>3</v>
      </c>
      <c r="EB300" s="3" t="s">
        <v>3</v>
      </c>
      <c r="EC300" s="3" t="s">
        <v>3</v>
      </c>
      <c r="EE300" s="3">
        <v>55393628</v>
      </c>
      <c r="EF300" s="3">
        <v>213</v>
      </c>
      <c r="EG300" s="3" t="s">
        <v>262</v>
      </c>
      <c r="EH300" s="3">
        <v>0</v>
      </c>
      <c r="EI300" s="3" t="s">
        <v>3</v>
      </c>
      <c r="EJ300" s="3">
        <v>1</v>
      </c>
      <c r="EK300" s="3">
        <v>400005</v>
      </c>
      <c r="EL300" s="3" t="s">
        <v>262</v>
      </c>
      <c r="EM300" s="3" t="s">
        <v>263</v>
      </c>
      <c r="EO300" s="3" t="s">
        <v>3</v>
      </c>
      <c r="EQ300" s="3">
        <v>16</v>
      </c>
      <c r="ER300" s="3">
        <v>0</v>
      </c>
      <c r="ES300" s="3">
        <v>5.46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EY300" s="3">
        <v>0</v>
      </c>
      <c r="EZ300" s="3">
        <v>5</v>
      </c>
      <c r="FC300" s="3">
        <v>1</v>
      </c>
      <c r="FD300" s="3">
        <v>18</v>
      </c>
      <c r="FF300" s="3">
        <v>49.43</v>
      </c>
      <c r="FQ300" s="3">
        <v>0</v>
      </c>
      <c r="FR300" s="3">
        <v>0</v>
      </c>
      <c r="FS300" s="3">
        <v>0</v>
      </c>
      <c r="FX300" s="3">
        <v>0</v>
      </c>
      <c r="FY300" s="3">
        <v>0</v>
      </c>
      <c r="GA300" s="3" t="s">
        <v>274</v>
      </c>
      <c r="GD300" s="3">
        <v>1</v>
      </c>
      <c r="GF300" s="3">
        <v>855260042</v>
      </c>
      <c r="GG300" s="3">
        <v>2</v>
      </c>
      <c r="GH300" s="3">
        <v>3</v>
      </c>
      <c r="GI300" s="3">
        <v>5</v>
      </c>
      <c r="GJ300" s="3">
        <v>0</v>
      </c>
      <c r="GK300" s="3">
        <v>0</v>
      </c>
      <c r="GL300" s="3">
        <f t="shared" si="263"/>
        <v>0</v>
      </c>
      <c r="GM300" s="3">
        <f t="shared" si="264"/>
        <v>92285.72</v>
      </c>
      <c r="GN300" s="3">
        <f t="shared" si="265"/>
        <v>0</v>
      </c>
      <c r="GO300" s="3">
        <f t="shared" si="266"/>
        <v>92285.72</v>
      </c>
      <c r="GP300" s="3">
        <f t="shared" si="267"/>
        <v>0</v>
      </c>
      <c r="GR300" s="3">
        <v>1</v>
      </c>
      <c r="GS300" s="3">
        <v>1</v>
      </c>
      <c r="GT300" s="3">
        <v>0</v>
      </c>
      <c r="GU300" s="3" t="s">
        <v>3</v>
      </c>
      <c r="GV300" s="3">
        <f t="shared" si="268"/>
        <v>0</v>
      </c>
      <c r="GW300" s="3">
        <v>1</v>
      </c>
      <c r="GX300" s="3">
        <f t="shared" si="269"/>
        <v>0</v>
      </c>
      <c r="HA300" s="3">
        <v>0</v>
      </c>
      <c r="HB300" s="3">
        <v>0</v>
      </c>
      <c r="HC300" s="3">
        <f t="shared" si="270"/>
        <v>0</v>
      </c>
      <c r="HE300" s="3" t="s">
        <v>265</v>
      </c>
      <c r="HF300" s="3" t="s">
        <v>30</v>
      </c>
      <c r="HM300" s="3" t="s">
        <v>3</v>
      </c>
      <c r="HN300" s="3" t="s">
        <v>3</v>
      </c>
      <c r="HO300" s="3" t="s">
        <v>3</v>
      </c>
      <c r="HP300" s="3" t="s">
        <v>3</v>
      </c>
      <c r="HQ300" s="3" t="s">
        <v>3</v>
      </c>
      <c r="HS300" s="3">
        <v>0</v>
      </c>
      <c r="IK300" s="3">
        <v>0</v>
      </c>
    </row>
    <row r="301" spans="1:255" x14ac:dyDescent="0.2">
      <c r="A301" s="2">
        <v>17</v>
      </c>
      <c r="B301" s="2">
        <v>1</v>
      </c>
      <c r="C301" s="2">
        <f>ROW(SmtRes!A134)</f>
        <v>134</v>
      </c>
      <c r="D301" s="2">
        <f>ROW(EtalonRes!A159)</f>
        <v>159</v>
      </c>
      <c r="E301" s="2" t="s">
        <v>275</v>
      </c>
      <c r="F301" s="2" t="s">
        <v>276</v>
      </c>
      <c r="G301" s="2" t="s">
        <v>277</v>
      </c>
      <c r="H301" s="2" t="s">
        <v>278</v>
      </c>
      <c r="I301" s="2">
        <f>ROUND((3181+55-2189)/100,9)</f>
        <v>10.47</v>
      </c>
      <c r="J301" s="2">
        <v>0</v>
      </c>
      <c r="K301" s="2">
        <f>ROUND((3181+55-2189)/100,9)</f>
        <v>10.47</v>
      </c>
      <c r="L301" s="2"/>
      <c r="M301" s="2"/>
      <c r="N301" s="2"/>
      <c r="O301" s="2">
        <f t="shared" si="246"/>
        <v>2479.44</v>
      </c>
      <c r="P301" s="2">
        <f t="shared" si="247"/>
        <v>520.86</v>
      </c>
      <c r="Q301" s="2">
        <f>(ROUND((ROUND((((ET301*1.2))*AV301*I301),2)*BB301),2)+ROUND((ROUND(((AE301-((EU301*1.2)))*AV301*I301),2)*BS301),2))</f>
        <v>306.99</v>
      </c>
      <c r="R301" s="2">
        <f>(ROUND((ROUND((((EU301*1.2))*AV301*I301),2)*BS301),2)+ROUND((ROUND(((AE301-((EU301*1.2)))*AV301*I301),2)*BS301),2))</f>
        <v>32.17</v>
      </c>
      <c r="S301" s="2">
        <f t="shared" si="248"/>
        <v>1651.59</v>
      </c>
      <c r="T301" s="2">
        <f t="shared" si="249"/>
        <v>0</v>
      </c>
      <c r="U301" s="2">
        <f t="shared" si="250"/>
        <v>134.05787999999998</v>
      </c>
      <c r="V301" s="2">
        <f t="shared" si="251"/>
        <v>0</v>
      </c>
      <c r="W301" s="2">
        <f t="shared" si="252"/>
        <v>0</v>
      </c>
      <c r="X301" s="2">
        <f>(ROUND((((S301+ROUND((ROUND((((EU301*1.2))*AV301*I301),2)*BS301),2))*AT301)/100),2)+ROUND(((ROUND((ROUND(((AE301-((EU301*1.2)))*AV301*I301),2)*BS301),2)*AT301)/100),2))</f>
        <v>1633.25</v>
      </c>
      <c r="Y301" s="2">
        <f>(ROUND((((S301+ROUND((ROUND((((EU301*1.2))*AV301*I301),2)*BS301),2))*AU301)/100),2)+ROUND(((ROUND((ROUND(((AE301-((EU301*1.2)))*AV301*I301),2)*BS301),2)*AU301)/100),2))</f>
        <v>858.72</v>
      </c>
      <c r="Z301" s="2"/>
      <c r="AA301" s="2">
        <v>55915256</v>
      </c>
      <c r="AB301" s="2">
        <f t="shared" si="253"/>
        <v>221.34</v>
      </c>
      <c r="AC301" s="2">
        <f>ROUND(((ES301*1)),6)</f>
        <v>46.02</v>
      </c>
      <c r="AD301" s="2">
        <f>ROUND(((((ET301*1.2))-((EU301*1.2)))+AE301),6)</f>
        <v>27.48</v>
      </c>
      <c r="AE301" s="2">
        <f>ROUND(((EU301*1.2)),6)</f>
        <v>2.88</v>
      </c>
      <c r="AF301" s="2">
        <f>ROUND(((EV301*1.2)),6)</f>
        <v>147.84</v>
      </c>
      <c r="AG301" s="2">
        <f t="shared" si="254"/>
        <v>0</v>
      </c>
      <c r="AH301" s="2">
        <f>((EW301*1.2))</f>
        <v>12</v>
      </c>
      <c r="AI301" s="2">
        <f>((EX301*1.2))</f>
        <v>0</v>
      </c>
      <c r="AJ301" s="2">
        <f t="shared" si="255"/>
        <v>0</v>
      </c>
      <c r="AK301" s="2">
        <v>192.12</v>
      </c>
      <c r="AL301" s="2">
        <v>46.02</v>
      </c>
      <c r="AM301" s="2">
        <v>22.9</v>
      </c>
      <c r="AN301" s="2">
        <v>2.4</v>
      </c>
      <c r="AO301" s="2">
        <v>123.2</v>
      </c>
      <c r="AP301" s="2">
        <v>0</v>
      </c>
      <c r="AQ301" s="2">
        <v>10</v>
      </c>
      <c r="AR301" s="2">
        <v>0</v>
      </c>
      <c r="AS301" s="2">
        <v>0</v>
      </c>
      <c r="AT301" s="2">
        <v>97</v>
      </c>
      <c r="AU301" s="2">
        <v>51</v>
      </c>
      <c r="AV301" s="2">
        <v>1.0669999999999999</v>
      </c>
      <c r="AW301" s="2">
        <v>1.081</v>
      </c>
      <c r="AX301" s="2"/>
      <c r="AY301" s="2"/>
      <c r="AZ301" s="2">
        <v>1</v>
      </c>
      <c r="BA301" s="2">
        <v>1</v>
      </c>
      <c r="BB301" s="2">
        <v>1</v>
      </c>
      <c r="BC301" s="2">
        <v>1</v>
      </c>
      <c r="BD301" s="2" t="s">
        <v>3</v>
      </c>
      <c r="BE301" s="2" t="s">
        <v>3</v>
      </c>
      <c r="BF301" s="2" t="s">
        <v>3</v>
      </c>
      <c r="BG301" s="2" t="s">
        <v>3</v>
      </c>
      <c r="BH301" s="2">
        <v>0</v>
      </c>
      <c r="BI301" s="2">
        <v>2</v>
      </c>
      <c r="BJ301" s="2" t="s">
        <v>279</v>
      </c>
      <c r="BK301" s="2"/>
      <c r="BL301" s="2"/>
      <c r="BM301" s="2">
        <v>67</v>
      </c>
      <c r="BN301" s="2">
        <v>0</v>
      </c>
      <c r="BO301" s="2" t="s">
        <v>276</v>
      </c>
      <c r="BP301" s="2">
        <v>1</v>
      </c>
      <c r="BQ301" s="2">
        <v>40</v>
      </c>
      <c r="BR301" s="2">
        <v>0</v>
      </c>
      <c r="BS301" s="2">
        <v>1</v>
      </c>
      <c r="BT301" s="2">
        <v>1</v>
      </c>
      <c r="BU301" s="2">
        <v>1</v>
      </c>
      <c r="BV301" s="2">
        <v>1</v>
      </c>
      <c r="BW301" s="2">
        <v>1</v>
      </c>
      <c r="BX301" s="2">
        <v>1</v>
      </c>
      <c r="BY301" s="2" t="s">
        <v>3</v>
      </c>
      <c r="BZ301" s="2">
        <v>97</v>
      </c>
      <c r="CA301" s="2">
        <v>51</v>
      </c>
      <c r="CB301" s="2" t="s">
        <v>3</v>
      </c>
      <c r="CC301" s="2"/>
      <c r="CD301" s="2"/>
      <c r="CE301" s="2">
        <v>1566</v>
      </c>
      <c r="CF301" s="2">
        <v>0</v>
      </c>
      <c r="CG301" s="2">
        <v>0</v>
      </c>
      <c r="CH301" s="2"/>
      <c r="CI301" s="2"/>
      <c r="CJ301" s="2"/>
      <c r="CK301" s="2"/>
      <c r="CL301" s="2"/>
      <c r="CM301" s="2">
        <v>0</v>
      </c>
      <c r="CN301" s="2" t="s">
        <v>605</v>
      </c>
      <c r="CO301" s="2">
        <v>0</v>
      </c>
      <c r="CP301" s="2">
        <f t="shared" si="256"/>
        <v>2479.44</v>
      </c>
      <c r="CQ301" s="2">
        <f t="shared" si="257"/>
        <v>49.75</v>
      </c>
      <c r="CR301" s="2">
        <f>(ROUND((ROUND((((ET301*1.2))*AV301*1),2)*BB301),2)+ROUND((ROUND(((AE301-((EU301*1.2)))*AV301*1),2)*BS301),2))</f>
        <v>29.32</v>
      </c>
      <c r="CS301" s="2">
        <f>(ROUND((ROUND((((EU301*1.2))*AV301*1),2)*BS301),2)+ROUND((ROUND(((AE301-((EU301*1.2)))*AV301*1),2)*BS301),2))</f>
        <v>3.07</v>
      </c>
      <c r="CT301" s="2">
        <f t="shared" si="258"/>
        <v>157.75</v>
      </c>
      <c r="CU301" s="2">
        <f t="shared" si="259"/>
        <v>0</v>
      </c>
      <c r="CV301" s="2">
        <f t="shared" si="260"/>
        <v>12.803999999999998</v>
      </c>
      <c r="CW301" s="2">
        <f t="shared" si="261"/>
        <v>0</v>
      </c>
      <c r="CX301" s="2">
        <f t="shared" si="262"/>
        <v>0</v>
      </c>
      <c r="CY301" s="2">
        <f>(ROUND((((S301+ROUND((ROUND((((EU301*1.2))*AV301*1),2)*BS301),2))*AT301)/100),2)+ROUND(((ROUND((ROUND(((AE301-((EU301*1.2)))*AV301*1),2)*BS301),2)*AT301)/100),2))</f>
        <v>1605.02</v>
      </c>
      <c r="CZ301" s="2">
        <f>(ROUND((((S301+ROUND((ROUND((((EU301*1.2))*AV301*1),2)*BS301),2))*AU301)/100),2)+ROUND(((ROUND((ROUND(((AE301-((EU301*1.2)))*AV301*1),2)*BS301),2)*AU301)/100),2))</f>
        <v>843.88</v>
      </c>
      <c r="DA301" s="2"/>
      <c r="DB301" s="2">
        <v>81</v>
      </c>
      <c r="DC301" s="2" t="s">
        <v>3</v>
      </c>
      <c r="DD301" s="2" t="s">
        <v>77</v>
      </c>
      <c r="DE301" s="2" t="s">
        <v>78</v>
      </c>
      <c r="DF301" s="2" t="s">
        <v>78</v>
      </c>
      <c r="DG301" s="2" t="s">
        <v>78</v>
      </c>
      <c r="DH301" s="2" t="s">
        <v>3</v>
      </c>
      <c r="DI301" s="2" t="s">
        <v>78</v>
      </c>
      <c r="DJ301" s="2" t="s">
        <v>78</v>
      </c>
      <c r="DK301" s="2" t="s">
        <v>3</v>
      </c>
      <c r="DL301" s="2" t="s">
        <v>3</v>
      </c>
      <c r="DM301" s="2" t="s">
        <v>3</v>
      </c>
      <c r="DN301" s="2">
        <v>0</v>
      </c>
      <c r="DO301" s="2">
        <v>0</v>
      </c>
      <c r="DP301" s="2">
        <v>1</v>
      </c>
      <c r="DQ301" s="2">
        <v>1</v>
      </c>
      <c r="DR301" s="2"/>
      <c r="DS301" s="2"/>
      <c r="DT301" s="2"/>
      <c r="DU301" s="2">
        <v>1013</v>
      </c>
      <c r="DV301" s="2" t="s">
        <v>278</v>
      </c>
      <c r="DW301" s="2" t="s">
        <v>278</v>
      </c>
      <c r="DX301" s="2">
        <v>1</v>
      </c>
      <c r="DY301" s="2"/>
      <c r="DZ301" s="2" t="s">
        <v>3</v>
      </c>
      <c r="EA301" s="2" t="s">
        <v>3</v>
      </c>
      <c r="EB301" s="2" t="s">
        <v>3</v>
      </c>
      <c r="EC301" s="2" t="s">
        <v>3</v>
      </c>
      <c r="ED301" s="2"/>
      <c r="EE301" s="2">
        <v>55393699</v>
      </c>
      <c r="EF301" s="2">
        <v>40</v>
      </c>
      <c r="EG301" s="2" t="s">
        <v>26</v>
      </c>
      <c r="EH301" s="2">
        <v>0</v>
      </c>
      <c r="EI301" s="2" t="s">
        <v>3</v>
      </c>
      <c r="EJ301" s="2">
        <v>2</v>
      </c>
      <c r="EK301" s="2">
        <v>67</v>
      </c>
      <c r="EL301" s="2" t="s">
        <v>91</v>
      </c>
      <c r="EM301" s="2" t="s">
        <v>92</v>
      </c>
      <c r="EN301" s="2"/>
      <c r="EO301" s="2" t="s">
        <v>82</v>
      </c>
      <c r="EP301" s="2"/>
      <c r="EQ301" s="2">
        <v>0</v>
      </c>
      <c r="ER301" s="2">
        <v>192.12</v>
      </c>
      <c r="ES301" s="2">
        <v>46.02</v>
      </c>
      <c r="ET301" s="2">
        <v>22.9</v>
      </c>
      <c r="EU301" s="2">
        <v>2.4</v>
      </c>
      <c r="EV301" s="2">
        <v>123.2</v>
      </c>
      <c r="EW301" s="2">
        <v>10</v>
      </c>
      <c r="EX301" s="2">
        <v>0</v>
      </c>
      <c r="EY301" s="2">
        <v>0</v>
      </c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>
        <v>0</v>
      </c>
      <c r="FR301" s="2">
        <v>0</v>
      </c>
      <c r="FS301" s="2">
        <v>2</v>
      </c>
      <c r="FT301" s="2"/>
      <c r="FU301" s="2"/>
      <c r="FV301" s="2"/>
      <c r="FW301" s="2"/>
      <c r="FX301" s="2">
        <v>97</v>
      </c>
      <c r="FY301" s="2">
        <v>51</v>
      </c>
      <c r="FZ301" s="2"/>
      <c r="GA301" s="2" t="s">
        <v>3</v>
      </c>
      <c r="GB301" s="2"/>
      <c r="GC301" s="2"/>
      <c r="GD301" s="2">
        <v>1</v>
      </c>
      <c r="GE301" s="2"/>
      <c r="GF301" s="2">
        <v>-737593274</v>
      </c>
      <c r="GG301" s="2">
        <v>2</v>
      </c>
      <c r="GH301" s="2">
        <v>1</v>
      </c>
      <c r="GI301" s="2">
        <v>2</v>
      </c>
      <c r="GJ301" s="2">
        <v>0</v>
      </c>
      <c r="GK301" s="2">
        <v>0</v>
      </c>
      <c r="GL301" s="2">
        <f t="shared" si="263"/>
        <v>0</v>
      </c>
      <c r="GM301" s="2">
        <f t="shared" si="264"/>
        <v>4971.41</v>
      </c>
      <c r="GN301" s="2">
        <f t="shared" si="265"/>
        <v>0</v>
      </c>
      <c r="GO301" s="2">
        <f t="shared" si="266"/>
        <v>4971.41</v>
      </c>
      <c r="GP301" s="2">
        <f t="shared" si="267"/>
        <v>0</v>
      </c>
      <c r="GQ301" s="2"/>
      <c r="GR301" s="2">
        <v>0</v>
      </c>
      <c r="GS301" s="2">
        <v>3</v>
      </c>
      <c r="GT301" s="2">
        <v>0</v>
      </c>
      <c r="GU301" s="2" t="s">
        <v>3</v>
      </c>
      <c r="GV301" s="2">
        <f t="shared" si="268"/>
        <v>0</v>
      </c>
      <c r="GW301" s="2">
        <v>1</v>
      </c>
      <c r="GX301" s="2">
        <f t="shared" si="269"/>
        <v>0</v>
      </c>
      <c r="GY301" s="2"/>
      <c r="GZ301" s="2"/>
      <c r="HA301" s="2">
        <v>0</v>
      </c>
      <c r="HB301" s="2">
        <v>0</v>
      </c>
      <c r="HC301" s="2">
        <f t="shared" si="270"/>
        <v>0</v>
      </c>
      <c r="HD301" s="2"/>
      <c r="HE301" s="2" t="s">
        <v>3</v>
      </c>
      <c r="HF301" s="2" t="s">
        <v>3</v>
      </c>
      <c r="HG301" s="2"/>
      <c r="HH301" s="2"/>
      <c r="HI301" s="2"/>
      <c r="HJ301" s="2"/>
      <c r="HK301" s="2"/>
      <c r="HL301" s="2"/>
      <c r="HM301" s="2" t="s">
        <v>3</v>
      </c>
      <c r="HN301" s="2" t="s">
        <v>3</v>
      </c>
      <c r="HO301" s="2" t="s">
        <v>3</v>
      </c>
      <c r="HP301" s="2" t="s">
        <v>3</v>
      </c>
      <c r="HQ301" s="2" t="s">
        <v>3</v>
      </c>
      <c r="HR301" s="2"/>
      <c r="HS301" s="2">
        <v>0</v>
      </c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>
        <v>0</v>
      </c>
      <c r="IL301" s="2"/>
      <c r="IM301" s="2"/>
      <c r="IN301" s="2"/>
      <c r="IO301" s="2"/>
      <c r="IP301" s="2"/>
      <c r="IQ301" s="2"/>
      <c r="IR301" s="2"/>
      <c r="IS301" s="2"/>
      <c r="IT301" s="2"/>
      <c r="IU301" s="2"/>
    </row>
    <row r="302" spans="1:255" x14ac:dyDescent="0.2">
      <c r="A302" s="3">
        <v>17</v>
      </c>
      <c r="B302" s="3">
        <v>1</v>
      </c>
      <c r="C302" s="3">
        <f>ROW(SmtRes!A146)</f>
        <v>146</v>
      </c>
      <c r="D302" s="3">
        <f>ROW(EtalonRes!A174)</f>
        <v>174</v>
      </c>
      <c r="E302" s="3" t="s">
        <v>275</v>
      </c>
      <c r="F302" s="3" t="s">
        <v>276</v>
      </c>
      <c r="G302" s="3" t="s">
        <v>277</v>
      </c>
      <c r="H302" s="3" t="s">
        <v>278</v>
      </c>
      <c r="I302" s="3">
        <f>ROUND((3181+55-2189)/100,9)</f>
        <v>10.47</v>
      </c>
      <c r="J302" s="3">
        <v>0</v>
      </c>
      <c r="K302" s="3">
        <f>ROUND((3181+55-2189)/100,9)</f>
        <v>10.47</v>
      </c>
      <c r="O302" s="3">
        <f t="shared" si="246"/>
        <v>104363.69</v>
      </c>
      <c r="P302" s="3">
        <f t="shared" si="247"/>
        <v>6734.72</v>
      </c>
      <c r="Q302" s="3">
        <f>(ROUND((ROUND((((ET302*1.2))*AV302*I302),2)*BB302),2)+ROUND((ROUND(((AE302-((EU302*1.2)))*AV302*I302),2)*BS302),2))</f>
        <v>4561.87</v>
      </c>
      <c r="R302" s="3">
        <f>(ROUND((ROUND((((EU302*1.2))*AV302*I302),2)*BS302),2)+ROUND((ROUND(((AE302-((EU302*1.2)))*AV302*I302),2)*BS302),2))</f>
        <v>1812.78</v>
      </c>
      <c r="S302" s="3">
        <f t="shared" si="248"/>
        <v>93067.1</v>
      </c>
      <c r="T302" s="3">
        <f t="shared" si="249"/>
        <v>0</v>
      </c>
      <c r="U302" s="3">
        <f t="shared" si="250"/>
        <v>134.05787999999998</v>
      </c>
      <c r="V302" s="3">
        <f t="shared" si="251"/>
        <v>0</v>
      </c>
      <c r="W302" s="3">
        <f t="shared" si="252"/>
        <v>0</v>
      </c>
      <c r="X302" s="3">
        <f>(ROUND((((S302+ROUND((ROUND((((EU302*1.2))*AV302*I302),2)*BS302),2))*AT302)/100),2)+ROUND(((ROUND((ROUND(((AE302-((EU302*1.2)))*AV302*I302),2)*BS302),2)*AT302)/100),2))</f>
        <v>92033.48</v>
      </c>
      <c r="Y302" s="3">
        <f>(ROUND((((S302+ROUND((ROUND((((EU302*1.2))*AV302*I302),2)*BS302),2))*AU302)/100),2)+ROUND(((ROUND((ROUND(((AE302-((EU302*1.2)))*AV302*I302),2)*BS302),2)*AU302)/100),2))</f>
        <v>48388.74</v>
      </c>
      <c r="AA302" s="3">
        <v>55915258</v>
      </c>
      <c r="AB302" s="3">
        <f t="shared" si="253"/>
        <v>221.34</v>
      </c>
      <c r="AC302" s="3">
        <f>ROUND(((ES302*1)),6)</f>
        <v>46.02</v>
      </c>
      <c r="AD302" s="3">
        <f>ROUND(((((ET302*1.2))-((EU302*1.2)))+AE302),6)</f>
        <v>27.48</v>
      </c>
      <c r="AE302" s="3">
        <f>ROUND(((EU302*1.2)),6)</f>
        <v>2.88</v>
      </c>
      <c r="AF302" s="3">
        <f>ROUND(((EV302*1.2)),6)</f>
        <v>147.84</v>
      </c>
      <c r="AG302" s="3">
        <f t="shared" si="254"/>
        <v>0</v>
      </c>
      <c r="AH302" s="3">
        <f>((EW302*1.2))</f>
        <v>12</v>
      </c>
      <c r="AI302" s="3">
        <f>((EX302*1.2))</f>
        <v>0</v>
      </c>
      <c r="AJ302" s="3">
        <f t="shared" si="255"/>
        <v>0</v>
      </c>
      <c r="AK302" s="3">
        <v>192.12</v>
      </c>
      <c r="AL302" s="3">
        <v>46.02</v>
      </c>
      <c r="AM302" s="3">
        <v>22.9</v>
      </c>
      <c r="AN302" s="3">
        <v>2.4</v>
      </c>
      <c r="AO302" s="3">
        <v>123.2</v>
      </c>
      <c r="AP302" s="3">
        <v>0</v>
      </c>
      <c r="AQ302" s="3">
        <v>10</v>
      </c>
      <c r="AR302" s="3">
        <v>0</v>
      </c>
      <c r="AS302" s="3">
        <v>0</v>
      </c>
      <c r="AT302" s="3">
        <v>97</v>
      </c>
      <c r="AU302" s="3">
        <v>51</v>
      </c>
      <c r="AV302" s="3">
        <v>1.0669999999999999</v>
      </c>
      <c r="AW302" s="3">
        <v>1.081</v>
      </c>
      <c r="AZ302" s="3">
        <v>1</v>
      </c>
      <c r="BA302" s="3">
        <v>56.35</v>
      </c>
      <c r="BB302" s="3">
        <v>14.86</v>
      </c>
      <c r="BC302" s="3">
        <v>12.93</v>
      </c>
      <c r="BD302" s="3" t="s">
        <v>3</v>
      </c>
      <c r="BE302" s="3" t="s">
        <v>3</v>
      </c>
      <c r="BF302" s="3" t="s">
        <v>3</v>
      </c>
      <c r="BG302" s="3" t="s">
        <v>3</v>
      </c>
      <c r="BH302" s="3">
        <v>0</v>
      </c>
      <c r="BI302" s="3">
        <v>2</v>
      </c>
      <c r="BJ302" s="3" t="s">
        <v>279</v>
      </c>
      <c r="BM302" s="3">
        <v>67</v>
      </c>
      <c r="BN302" s="3">
        <v>0</v>
      </c>
      <c r="BO302" s="3" t="s">
        <v>276</v>
      </c>
      <c r="BP302" s="3">
        <v>1</v>
      </c>
      <c r="BQ302" s="3">
        <v>40</v>
      </c>
      <c r="BR302" s="3">
        <v>0</v>
      </c>
      <c r="BS302" s="3">
        <v>56.35</v>
      </c>
      <c r="BT302" s="3">
        <v>1</v>
      </c>
      <c r="BU302" s="3">
        <v>1</v>
      </c>
      <c r="BV302" s="3">
        <v>1</v>
      </c>
      <c r="BW302" s="3">
        <v>1</v>
      </c>
      <c r="BX302" s="3">
        <v>1</v>
      </c>
      <c r="BY302" s="3" t="s">
        <v>3</v>
      </c>
      <c r="BZ302" s="3">
        <v>97</v>
      </c>
      <c r="CA302" s="3">
        <v>51</v>
      </c>
      <c r="CB302" s="3" t="s">
        <v>3</v>
      </c>
      <c r="CE302" s="3">
        <v>1566</v>
      </c>
      <c r="CF302" s="3">
        <v>0</v>
      </c>
      <c r="CG302" s="3">
        <v>0</v>
      </c>
      <c r="CM302" s="3">
        <v>0</v>
      </c>
      <c r="CN302" s="3" t="s">
        <v>605</v>
      </c>
      <c r="CO302" s="3">
        <v>0</v>
      </c>
      <c r="CP302" s="3">
        <f t="shared" si="256"/>
        <v>104363.69</v>
      </c>
      <c r="CQ302" s="3">
        <f t="shared" si="257"/>
        <v>643.27</v>
      </c>
      <c r="CR302" s="3">
        <f>(ROUND((ROUND((((ET302*1.2))*AV302*1),2)*BB302),2)+ROUND((ROUND(((AE302-((EU302*1.2)))*AV302*1),2)*BS302),2))</f>
        <v>435.7</v>
      </c>
      <c r="CS302" s="3">
        <f>(ROUND((ROUND((((EU302*1.2))*AV302*1),2)*BS302),2)+ROUND((ROUND(((AE302-((EU302*1.2)))*AV302*1),2)*BS302),2))</f>
        <v>172.99</v>
      </c>
      <c r="CT302" s="3">
        <f t="shared" si="258"/>
        <v>8889.2099999999991</v>
      </c>
      <c r="CU302" s="3">
        <f t="shared" si="259"/>
        <v>0</v>
      </c>
      <c r="CV302" s="3">
        <f t="shared" si="260"/>
        <v>12.803999999999998</v>
      </c>
      <c r="CW302" s="3">
        <f t="shared" si="261"/>
        <v>0</v>
      </c>
      <c r="CX302" s="3">
        <f t="shared" si="262"/>
        <v>0</v>
      </c>
      <c r="CY302" s="3">
        <f>(ROUND((((S302+ROUND((ROUND((((EU302*1.2))*AV302*1),2)*BS302),2))*AT302)/100),2)+ROUND(((ROUND((ROUND(((AE302-((EU302*1.2)))*AV302*1),2)*BS302),2)*AT302)/100),2))</f>
        <v>90442.89</v>
      </c>
      <c r="CZ302" s="3">
        <f>(ROUND((((S302+ROUND((ROUND((((EU302*1.2))*AV302*1),2)*BS302),2))*AU302)/100),2)+ROUND(((ROUND((ROUND(((AE302-((EU302*1.2)))*AV302*1),2)*BS302),2)*AU302)/100),2))</f>
        <v>47552.45</v>
      </c>
      <c r="DB302" s="3">
        <v>82</v>
      </c>
      <c r="DC302" s="3" t="s">
        <v>3</v>
      </c>
      <c r="DD302" s="3" t="s">
        <v>77</v>
      </c>
      <c r="DE302" s="3" t="s">
        <v>78</v>
      </c>
      <c r="DF302" s="3" t="s">
        <v>78</v>
      </c>
      <c r="DG302" s="3" t="s">
        <v>78</v>
      </c>
      <c r="DH302" s="3" t="s">
        <v>3</v>
      </c>
      <c r="DI302" s="3" t="s">
        <v>78</v>
      </c>
      <c r="DJ302" s="3" t="s">
        <v>78</v>
      </c>
      <c r="DK302" s="3" t="s">
        <v>3</v>
      </c>
      <c r="DL302" s="3" t="s">
        <v>3</v>
      </c>
      <c r="DM302" s="3" t="s">
        <v>3</v>
      </c>
      <c r="DN302" s="3">
        <v>0</v>
      </c>
      <c r="DO302" s="3">
        <v>0</v>
      </c>
      <c r="DP302" s="3">
        <v>1</v>
      </c>
      <c r="DQ302" s="3">
        <v>1</v>
      </c>
      <c r="DU302" s="3">
        <v>1013</v>
      </c>
      <c r="DV302" s="3" t="s">
        <v>278</v>
      </c>
      <c r="DW302" s="3" t="s">
        <v>278</v>
      </c>
      <c r="DX302" s="3">
        <v>1</v>
      </c>
      <c r="DZ302" s="3" t="s">
        <v>3</v>
      </c>
      <c r="EA302" s="3" t="s">
        <v>3</v>
      </c>
      <c r="EB302" s="3" t="s">
        <v>3</v>
      </c>
      <c r="EC302" s="3" t="s">
        <v>3</v>
      </c>
      <c r="EE302" s="3">
        <v>55393699</v>
      </c>
      <c r="EF302" s="3">
        <v>40</v>
      </c>
      <c r="EG302" s="3" t="s">
        <v>26</v>
      </c>
      <c r="EH302" s="3">
        <v>0</v>
      </c>
      <c r="EI302" s="3" t="s">
        <v>3</v>
      </c>
      <c r="EJ302" s="3">
        <v>2</v>
      </c>
      <c r="EK302" s="3">
        <v>67</v>
      </c>
      <c r="EL302" s="3" t="s">
        <v>91</v>
      </c>
      <c r="EM302" s="3" t="s">
        <v>92</v>
      </c>
      <c r="EO302" s="3" t="s">
        <v>82</v>
      </c>
      <c r="EQ302" s="3">
        <v>0</v>
      </c>
      <c r="ER302" s="3">
        <v>192.12</v>
      </c>
      <c r="ES302" s="3">
        <v>46.02</v>
      </c>
      <c r="ET302" s="3">
        <v>22.9</v>
      </c>
      <c r="EU302" s="3">
        <v>2.4</v>
      </c>
      <c r="EV302" s="3">
        <v>123.2</v>
      </c>
      <c r="EW302" s="3">
        <v>10</v>
      </c>
      <c r="EX302" s="3">
        <v>0</v>
      </c>
      <c r="EY302" s="3">
        <v>0</v>
      </c>
      <c r="FQ302" s="3">
        <v>0</v>
      </c>
      <c r="FR302" s="3">
        <v>0</v>
      </c>
      <c r="FS302" s="3">
        <v>2</v>
      </c>
      <c r="FX302" s="3">
        <v>97</v>
      </c>
      <c r="FY302" s="3">
        <v>51</v>
      </c>
      <c r="GA302" s="3" t="s">
        <v>3</v>
      </c>
      <c r="GD302" s="3">
        <v>1</v>
      </c>
      <c r="GF302" s="3">
        <v>-737593274</v>
      </c>
      <c r="GG302" s="3">
        <v>2</v>
      </c>
      <c r="GH302" s="3">
        <v>1</v>
      </c>
      <c r="GI302" s="3">
        <v>2</v>
      </c>
      <c r="GJ302" s="3">
        <v>0</v>
      </c>
      <c r="GK302" s="3">
        <v>0</v>
      </c>
      <c r="GL302" s="3">
        <f t="shared" si="263"/>
        <v>0</v>
      </c>
      <c r="GM302" s="3">
        <f t="shared" si="264"/>
        <v>244785.91</v>
      </c>
      <c r="GN302" s="3">
        <f t="shared" si="265"/>
        <v>0</v>
      </c>
      <c r="GO302" s="3">
        <f t="shared" si="266"/>
        <v>244785.91</v>
      </c>
      <c r="GP302" s="3">
        <f t="shared" si="267"/>
        <v>0</v>
      </c>
      <c r="GR302" s="3">
        <v>0</v>
      </c>
      <c r="GS302" s="3">
        <v>3</v>
      </c>
      <c r="GT302" s="3">
        <v>0</v>
      </c>
      <c r="GU302" s="3" t="s">
        <v>3</v>
      </c>
      <c r="GV302" s="3">
        <f t="shared" si="268"/>
        <v>0</v>
      </c>
      <c r="GW302" s="3">
        <v>1</v>
      </c>
      <c r="GX302" s="3">
        <f t="shared" si="269"/>
        <v>0</v>
      </c>
      <c r="HA302" s="3">
        <v>0</v>
      </c>
      <c r="HB302" s="3">
        <v>0</v>
      </c>
      <c r="HC302" s="3">
        <f t="shared" si="270"/>
        <v>0</v>
      </c>
      <c r="HE302" s="3" t="s">
        <v>3</v>
      </c>
      <c r="HF302" s="3" t="s">
        <v>3</v>
      </c>
      <c r="HM302" s="3" t="s">
        <v>3</v>
      </c>
      <c r="HN302" s="3" t="s">
        <v>3</v>
      </c>
      <c r="HO302" s="3" t="s">
        <v>3</v>
      </c>
      <c r="HP302" s="3" t="s">
        <v>3</v>
      </c>
      <c r="HQ302" s="3" t="s">
        <v>3</v>
      </c>
      <c r="HS302" s="3">
        <v>0</v>
      </c>
      <c r="IK302" s="3">
        <v>0</v>
      </c>
    </row>
    <row r="303" spans="1:255" x14ac:dyDescent="0.2">
      <c r="A303" s="2">
        <v>17</v>
      </c>
      <c r="B303" s="2">
        <v>1</v>
      </c>
      <c r="C303" s="2"/>
      <c r="D303" s="2"/>
      <c r="E303" s="2" t="s">
        <v>280</v>
      </c>
      <c r="F303" s="2" t="s">
        <v>272</v>
      </c>
      <c r="G303" s="2" t="s">
        <v>273</v>
      </c>
      <c r="H303" s="2" t="s">
        <v>261</v>
      </c>
      <c r="I303" s="2">
        <f>ROUND((3181-2189)*1.02,9)</f>
        <v>1011.84</v>
      </c>
      <c r="J303" s="2">
        <v>0</v>
      </c>
      <c r="K303" s="2">
        <f>ROUND((3181-2189)*1.02,9)</f>
        <v>1011.84</v>
      </c>
      <c r="L303" s="2"/>
      <c r="M303" s="2"/>
      <c r="N303" s="2"/>
      <c r="O303" s="2">
        <f t="shared" si="246"/>
        <v>5524.65</v>
      </c>
      <c r="P303" s="2">
        <f t="shared" si="247"/>
        <v>5524.65</v>
      </c>
      <c r="Q303" s="2">
        <f>(ROUND((ROUND(((ET303)*AV303*I303),2)*BB303),2)+ROUND((ROUND(((AE303-(EU303))*AV303*I303),2)*BS303),2))</f>
        <v>0</v>
      </c>
      <c r="R303" s="2">
        <f>(ROUND((ROUND(((EU303)*AV303*I303),2)*BS303),2)+ROUND((ROUND(((AE303-(EU303))*AV303*I303),2)*BS303),2))</f>
        <v>0</v>
      </c>
      <c r="S303" s="2">
        <f t="shared" si="248"/>
        <v>0</v>
      </c>
      <c r="T303" s="2">
        <f t="shared" si="249"/>
        <v>0</v>
      </c>
      <c r="U303" s="2">
        <f t="shared" si="250"/>
        <v>0</v>
      </c>
      <c r="V303" s="2">
        <f t="shared" si="251"/>
        <v>0</v>
      </c>
      <c r="W303" s="2">
        <f t="shared" si="252"/>
        <v>0</v>
      </c>
      <c r="X303" s="2">
        <f>(ROUND((((S303+ROUND((ROUND(((EU303)*AV303*I303),2)*BS303),2))*AT303)/100),2)+ROUND(((ROUND((ROUND(((AE303-(EU303))*AV303*I303),2)*BS303),2)*AT303)/100),2))</f>
        <v>0</v>
      </c>
      <c r="Y303" s="2">
        <f>(ROUND((((S303+ROUND((ROUND(((EU303)*AV303*I303),2)*BS303),2))*AU303)/100),2)+ROUND(((ROUND((ROUND(((AE303-(EU303))*AV303*I303),2)*BS303),2)*AU303)/100),2))</f>
        <v>0</v>
      </c>
      <c r="Z303" s="2"/>
      <c r="AA303" s="2">
        <v>55915256</v>
      </c>
      <c r="AB303" s="2">
        <f t="shared" si="253"/>
        <v>5.46</v>
      </c>
      <c r="AC303" s="2">
        <f>ROUND((ES303),6)</f>
        <v>5.46</v>
      </c>
      <c r="AD303" s="2">
        <f>ROUND((((ET303)-(EU303))+AE303),6)</f>
        <v>0</v>
      </c>
      <c r="AE303" s="2">
        <f t="shared" ref="AE303:AF306" si="283">ROUND((EU303),6)</f>
        <v>0</v>
      </c>
      <c r="AF303" s="2">
        <f t="shared" si="283"/>
        <v>0</v>
      </c>
      <c r="AG303" s="2">
        <f t="shared" si="254"/>
        <v>0</v>
      </c>
      <c r="AH303" s="2">
        <f t="shared" ref="AH303:AI306" si="284">(EW303)</f>
        <v>0</v>
      </c>
      <c r="AI303" s="2">
        <f t="shared" si="284"/>
        <v>0</v>
      </c>
      <c r="AJ303" s="2">
        <f t="shared" si="255"/>
        <v>0</v>
      </c>
      <c r="AK303" s="2">
        <v>5.46</v>
      </c>
      <c r="AL303" s="2">
        <v>5.46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1</v>
      </c>
      <c r="AW303" s="2">
        <v>1</v>
      </c>
      <c r="AX303" s="2"/>
      <c r="AY303" s="2"/>
      <c r="AZ303" s="2">
        <v>1</v>
      </c>
      <c r="BA303" s="2">
        <v>1</v>
      </c>
      <c r="BB303" s="2">
        <v>1</v>
      </c>
      <c r="BC303" s="2">
        <v>1</v>
      </c>
      <c r="BD303" s="2" t="s">
        <v>3</v>
      </c>
      <c r="BE303" s="2" t="s">
        <v>3</v>
      </c>
      <c r="BF303" s="2" t="s">
        <v>3</v>
      </c>
      <c r="BG303" s="2" t="s">
        <v>3</v>
      </c>
      <c r="BH303" s="2">
        <v>3</v>
      </c>
      <c r="BI303" s="2">
        <v>2</v>
      </c>
      <c r="BJ303" s="2" t="s">
        <v>272</v>
      </c>
      <c r="BK303" s="2"/>
      <c r="BL303" s="2"/>
      <c r="BM303" s="2">
        <v>400005</v>
      </c>
      <c r="BN303" s="2">
        <v>0</v>
      </c>
      <c r="BO303" s="2" t="s">
        <v>3</v>
      </c>
      <c r="BP303" s="2">
        <v>0</v>
      </c>
      <c r="BQ303" s="2">
        <v>213</v>
      </c>
      <c r="BR303" s="2">
        <v>0</v>
      </c>
      <c r="BS303" s="2">
        <v>1</v>
      </c>
      <c r="BT303" s="2">
        <v>1</v>
      </c>
      <c r="BU303" s="2">
        <v>1</v>
      </c>
      <c r="BV303" s="2">
        <v>1</v>
      </c>
      <c r="BW303" s="2">
        <v>1</v>
      </c>
      <c r="BX303" s="2">
        <v>1</v>
      </c>
      <c r="BY303" s="2" t="s">
        <v>3</v>
      </c>
      <c r="BZ303" s="2">
        <v>0</v>
      </c>
      <c r="CA303" s="2">
        <v>0</v>
      </c>
      <c r="CB303" s="2" t="s">
        <v>3</v>
      </c>
      <c r="CC303" s="2"/>
      <c r="CD303" s="2"/>
      <c r="CE303" s="2">
        <v>1566</v>
      </c>
      <c r="CF303" s="2">
        <v>0</v>
      </c>
      <c r="CG303" s="2">
        <v>0</v>
      </c>
      <c r="CH303" s="2"/>
      <c r="CI303" s="2"/>
      <c r="CJ303" s="2"/>
      <c r="CK303" s="2"/>
      <c r="CL303" s="2"/>
      <c r="CM303" s="2">
        <v>0</v>
      </c>
      <c r="CN303" s="2" t="s">
        <v>3</v>
      </c>
      <c r="CO303" s="2">
        <v>0</v>
      </c>
      <c r="CP303" s="2">
        <f t="shared" si="256"/>
        <v>5524.65</v>
      </c>
      <c r="CQ303" s="2">
        <f t="shared" si="257"/>
        <v>5.46</v>
      </c>
      <c r="CR303" s="2">
        <f>(ROUND((ROUND(((ET303)*AV303*1),2)*BB303),2)+ROUND((ROUND(((AE303-(EU303))*AV303*1),2)*BS303),2))</f>
        <v>0</v>
      </c>
      <c r="CS303" s="2">
        <f>(ROUND((ROUND(((EU303)*AV303*1),2)*BS303),2)+ROUND((ROUND(((AE303-(EU303))*AV303*1),2)*BS303),2))</f>
        <v>0</v>
      </c>
      <c r="CT303" s="2">
        <f t="shared" si="258"/>
        <v>0</v>
      </c>
      <c r="CU303" s="2">
        <f t="shared" si="259"/>
        <v>0</v>
      </c>
      <c r="CV303" s="2">
        <f t="shared" si="260"/>
        <v>0</v>
      </c>
      <c r="CW303" s="2">
        <f t="shared" si="261"/>
        <v>0</v>
      </c>
      <c r="CX303" s="2">
        <f t="shared" si="262"/>
        <v>0</v>
      </c>
      <c r="CY303" s="2">
        <f>(ROUND((((S303+ROUND((ROUND(((EU303)*AV303*1),2)*BS303),2))*AT303)/100),2)+ROUND(((ROUND((ROUND(((AE303-(EU303))*AV303*1),2)*BS303),2)*AT303)/100),2))</f>
        <v>0</v>
      </c>
      <c r="CZ303" s="2">
        <f>(ROUND((((S303+ROUND((ROUND(((EU303)*AV303*1),2)*BS303),2))*AU303)/100),2)+ROUND(((ROUND((ROUND(((AE303-(EU303))*AV303*1),2)*BS303),2)*AU303)/100),2))</f>
        <v>0</v>
      </c>
      <c r="DA303" s="2"/>
      <c r="DB303" s="2"/>
      <c r="DC303" s="2" t="s">
        <v>3</v>
      </c>
      <c r="DD303" s="2" t="s">
        <v>3</v>
      </c>
      <c r="DE303" s="2" t="s">
        <v>3</v>
      </c>
      <c r="DF303" s="2" t="s">
        <v>3</v>
      </c>
      <c r="DG303" s="2" t="s">
        <v>3</v>
      </c>
      <c r="DH303" s="2" t="s">
        <v>3</v>
      </c>
      <c r="DI303" s="2" t="s">
        <v>3</v>
      </c>
      <c r="DJ303" s="2" t="s">
        <v>3</v>
      </c>
      <c r="DK303" s="2" t="s">
        <v>3</v>
      </c>
      <c r="DL303" s="2" t="s">
        <v>3</v>
      </c>
      <c r="DM303" s="2" t="s">
        <v>3</v>
      </c>
      <c r="DN303" s="2">
        <v>0</v>
      </c>
      <c r="DO303" s="2">
        <v>0</v>
      </c>
      <c r="DP303" s="2">
        <v>1</v>
      </c>
      <c r="DQ303" s="2">
        <v>1</v>
      </c>
      <c r="DR303" s="2"/>
      <c r="DS303" s="2"/>
      <c r="DT303" s="2"/>
      <c r="DU303" s="2">
        <v>1003</v>
      </c>
      <c r="DV303" s="2" t="s">
        <v>261</v>
      </c>
      <c r="DW303" s="2" t="s">
        <v>261</v>
      </c>
      <c r="DX303" s="2">
        <v>1</v>
      </c>
      <c r="DY303" s="2"/>
      <c r="DZ303" s="2" t="s">
        <v>3</v>
      </c>
      <c r="EA303" s="2" t="s">
        <v>3</v>
      </c>
      <c r="EB303" s="2" t="s">
        <v>3</v>
      </c>
      <c r="EC303" s="2" t="s">
        <v>3</v>
      </c>
      <c r="ED303" s="2"/>
      <c r="EE303" s="2">
        <v>55393628</v>
      </c>
      <c r="EF303" s="2">
        <v>213</v>
      </c>
      <c r="EG303" s="2" t="s">
        <v>262</v>
      </c>
      <c r="EH303" s="2">
        <v>0</v>
      </c>
      <c r="EI303" s="2" t="s">
        <v>3</v>
      </c>
      <c r="EJ303" s="2">
        <v>1</v>
      </c>
      <c r="EK303" s="2">
        <v>400005</v>
      </c>
      <c r="EL303" s="2" t="s">
        <v>262</v>
      </c>
      <c r="EM303" s="2" t="s">
        <v>263</v>
      </c>
      <c r="EN303" s="2"/>
      <c r="EO303" s="2" t="s">
        <v>3</v>
      </c>
      <c r="EP303" s="2"/>
      <c r="EQ303" s="2">
        <v>16</v>
      </c>
      <c r="ER303" s="2">
        <v>0</v>
      </c>
      <c r="ES303" s="2">
        <v>5.46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>
        <v>0</v>
      </c>
      <c r="FR303" s="2">
        <v>0</v>
      </c>
      <c r="FS303" s="2">
        <v>0</v>
      </c>
      <c r="FT303" s="2"/>
      <c r="FU303" s="2"/>
      <c r="FV303" s="2"/>
      <c r="FW303" s="2"/>
      <c r="FX303" s="2">
        <v>0</v>
      </c>
      <c r="FY303" s="2">
        <v>0</v>
      </c>
      <c r="FZ303" s="2"/>
      <c r="GA303" s="2" t="s">
        <v>274</v>
      </c>
      <c r="GB303" s="2"/>
      <c r="GC303" s="2"/>
      <c r="GD303" s="2">
        <v>1</v>
      </c>
      <c r="GE303" s="2"/>
      <c r="GF303" s="2">
        <v>855260042</v>
      </c>
      <c r="GG303" s="2">
        <v>2</v>
      </c>
      <c r="GH303" s="2">
        <v>4</v>
      </c>
      <c r="GI303" s="2">
        <v>-2</v>
      </c>
      <c r="GJ303" s="2">
        <v>0</v>
      </c>
      <c r="GK303" s="2">
        <v>0</v>
      </c>
      <c r="GL303" s="2">
        <f t="shared" si="263"/>
        <v>0</v>
      </c>
      <c r="GM303" s="2">
        <f t="shared" si="264"/>
        <v>5524.65</v>
      </c>
      <c r="GN303" s="2">
        <f t="shared" si="265"/>
        <v>0</v>
      </c>
      <c r="GO303" s="2">
        <f t="shared" si="266"/>
        <v>5524.65</v>
      </c>
      <c r="GP303" s="2">
        <f t="shared" si="267"/>
        <v>0</v>
      </c>
      <c r="GQ303" s="2"/>
      <c r="GR303" s="2">
        <v>1</v>
      </c>
      <c r="GS303" s="2">
        <v>2</v>
      </c>
      <c r="GT303" s="2">
        <v>0</v>
      </c>
      <c r="GU303" s="2" t="s">
        <v>3</v>
      </c>
      <c r="GV303" s="2">
        <f t="shared" si="268"/>
        <v>0</v>
      </c>
      <c r="GW303" s="2">
        <v>1</v>
      </c>
      <c r="GX303" s="2">
        <f t="shared" si="269"/>
        <v>0</v>
      </c>
      <c r="GY303" s="2"/>
      <c r="GZ303" s="2"/>
      <c r="HA303" s="2">
        <v>0</v>
      </c>
      <c r="HB303" s="2">
        <v>0</v>
      </c>
      <c r="HC303" s="2">
        <f t="shared" si="270"/>
        <v>0</v>
      </c>
      <c r="HD303" s="2"/>
      <c r="HE303" s="2" t="s">
        <v>265</v>
      </c>
      <c r="HF303" s="2" t="s">
        <v>30</v>
      </c>
      <c r="HG303" s="2"/>
      <c r="HH303" s="2"/>
      <c r="HI303" s="2"/>
      <c r="HJ303" s="2"/>
      <c r="HK303" s="2"/>
      <c r="HL303" s="2"/>
      <c r="HM303" s="2" t="s">
        <v>3</v>
      </c>
      <c r="HN303" s="2" t="s">
        <v>3</v>
      </c>
      <c r="HO303" s="2" t="s">
        <v>3</v>
      </c>
      <c r="HP303" s="2" t="s">
        <v>3</v>
      </c>
      <c r="HQ303" s="2" t="s">
        <v>3</v>
      </c>
      <c r="HR303" s="2"/>
      <c r="HS303" s="2">
        <v>0</v>
      </c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>
        <v>0</v>
      </c>
      <c r="IL303" s="2"/>
      <c r="IM303" s="2"/>
      <c r="IN303" s="2"/>
      <c r="IO303" s="2"/>
      <c r="IP303" s="2"/>
      <c r="IQ303" s="2"/>
      <c r="IR303" s="2"/>
      <c r="IS303" s="2"/>
      <c r="IT303" s="2"/>
      <c r="IU303" s="2"/>
    </row>
    <row r="304" spans="1:255" x14ac:dyDescent="0.2">
      <c r="A304" s="3">
        <v>17</v>
      </c>
      <c r="B304" s="3">
        <v>1</v>
      </c>
      <c r="E304" s="3" t="s">
        <v>280</v>
      </c>
      <c r="F304" s="3" t="s">
        <v>272</v>
      </c>
      <c r="G304" s="3" t="s">
        <v>273</v>
      </c>
      <c r="H304" s="3" t="s">
        <v>261</v>
      </c>
      <c r="I304" s="3">
        <f>ROUND((3181-2189)*1.02,9)</f>
        <v>1011.84</v>
      </c>
      <c r="J304" s="3">
        <v>0</v>
      </c>
      <c r="K304" s="3">
        <f>ROUND((3181-2189)*1.02,9)</f>
        <v>1011.84</v>
      </c>
      <c r="O304" s="3">
        <f t="shared" si="246"/>
        <v>41821.599999999999</v>
      </c>
      <c r="P304" s="3">
        <f t="shared" si="247"/>
        <v>41821.599999999999</v>
      </c>
      <c r="Q304" s="3">
        <f>(ROUND((ROUND(((ET304)*AV304*I304),2)*BB304),2)+ROUND((ROUND(((AE304-(EU304))*AV304*I304),2)*BS304),2))</f>
        <v>0</v>
      </c>
      <c r="R304" s="3">
        <f>(ROUND((ROUND(((EU304)*AV304*I304),2)*BS304),2)+ROUND((ROUND(((AE304-(EU304))*AV304*I304),2)*BS304),2))</f>
        <v>0</v>
      </c>
      <c r="S304" s="3">
        <f t="shared" si="248"/>
        <v>0</v>
      </c>
      <c r="T304" s="3">
        <f t="shared" si="249"/>
        <v>0</v>
      </c>
      <c r="U304" s="3">
        <f t="shared" si="250"/>
        <v>0</v>
      </c>
      <c r="V304" s="3">
        <f t="shared" si="251"/>
        <v>0</v>
      </c>
      <c r="W304" s="3">
        <f t="shared" si="252"/>
        <v>0</v>
      </c>
      <c r="X304" s="3">
        <f>(ROUND((((S304+ROUND((ROUND(((EU304)*AV304*I304),2)*BS304),2))*AT304)/100),2)+ROUND(((ROUND((ROUND(((AE304-(EU304))*AV304*I304),2)*BS304),2)*AT304)/100),2))</f>
        <v>0</v>
      </c>
      <c r="Y304" s="3">
        <f>(ROUND((((S304+ROUND((ROUND(((EU304)*AV304*I304),2)*BS304),2))*AU304)/100),2)+ROUND(((ROUND((ROUND(((AE304-(EU304))*AV304*I304),2)*BS304),2)*AU304)/100),2))</f>
        <v>0</v>
      </c>
      <c r="AA304" s="3">
        <v>55915258</v>
      </c>
      <c r="AB304" s="3">
        <f t="shared" si="253"/>
        <v>5.46</v>
      </c>
      <c r="AC304" s="3">
        <f>ROUND((ES304),6)</f>
        <v>5.46</v>
      </c>
      <c r="AD304" s="3">
        <f>ROUND((((ET304)-(EU304))+AE304),6)</f>
        <v>0</v>
      </c>
      <c r="AE304" s="3">
        <f t="shared" si="283"/>
        <v>0</v>
      </c>
      <c r="AF304" s="3">
        <f t="shared" si="283"/>
        <v>0</v>
      </c>
      <c r="AG304" s="3">
        <f t="shared" si="254"/>
        <v>0</v>
      </c>
      <c r="AH304" s="3">
        <f t="shared" si="284"/>
        <v>0</v>
      </c>
      <c r="AI304" s="3">
        <f t="shared" si="284"/>
        <v>0</v>
      </c>
      <c r="AJ304" s="3">
        <f t="shared" si="255"/>
        <v>0</v>
      </c>
      <c r="AK304" s="3">
        <v>5.46</v>
      </c>
      <c r="AL304" s="3">
        <v>5.46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1</v>
      </c>
      <c r="AW304" s="3">
        <v>1</v>
      </c>
      <c r="AZ304" s="3">
        <v>1</v>
      </c>
      <c r="BA304" s="3">
        <v>1</v>
      </c>
      <c r="BB304" s="3">
        <v>1</v>
      </c>
      <c r="BC304" s="3">
        <v>7.57</v>
      </c>
      <c r="BD304" s="3" t="s">
        <v>3</v>
      </c>
      <c r="BE304" s="3" t="s">
        <v>3</v>
      </c>
      <c r="BF304" s="3" t="s">
        <v>3</v>
      </c>
      <c r="BG304" s="3" t="s">
        <v>3</v>
      </c>
      <c r="BH304" s="3">
        <v>3</v>
      </c>
      <c r="BI304" s="3">
        <v>2</v>
      </c>
      <c r="BJ304" s="3" t="s">
        <v>272</v>
      </c>
      <c r="BM304" s="3">
        <v>400005</v>
      </c>
      <c r="BN304" s="3">
        <v>0</v>
      </c>
      <c r="BO304" s="3" t="s">
        <v>3</v>
      </c>
      <c r="BP304" s="3">
        <v>0</v>
      </c>
      <c r="BQ304" s="3">
        <v>213</v>
      </c>
      <c r="BR304" s="3">
        <v>0</v>
      </c>
      <c r="BS304" s="3">
        <v>1</v>
      </c>
      <c r="BT304" s="3">
        <v>1</v>
      </c>
      <c r="BU304" s="3">
        <v>1</v>
      </c>
      <c r="BV304" s="3">
        <v>1</v>
      </c>
      <c r="BW304" s="3">
        <v>1</v>
      </c>
      <c r="BX304" s="3">
        <v>1</v>
      </c>
      <c r="BY304" s="3" t="s">
        <v>3</v>
      </c>
      <c r="BZ304" s="3">
        <v>0</v>
      </c>
      <c r="CA304" s="3">
        <v>0</v>
      </c>
      <c r="CB304" s="3" t="s">
        <v>3</v>
      </c>
      <c r="CE304" s="3">
        <v>1566</v>
      </c>
      <c r="CF304" s="3">
        <v>0</v>
      </c>
      <c r="CG304" s="3">
        <v>0</v>
      </c>
      <c r="CM304" s="3">
        <v>0</v>
      </c>
      <c r="CN304" s="3" t="s">
        <v>3</v>
      </c>
      <c r="CO304" s="3">
        <v>0</v>
      </c>
      <c r="CP304" s="3">
        <f t="shared" si="256"/>
        <v>41821.599999999999</v>
      </c>
      <c r="CQ304" s="3">
        <f t="shared" si="257"/>
        <v>41.33</v>
      </c>
      <c r="CR304" s="3">
        <f>(ROUND((ROUND(((ET304)*AV304*1),2)*BB304),2)+ROUND((ROUND(((AE304-(EU304))*AV304*1),2)*BS304),2))</f>
        <v>0</v>
      </c>
      <c r="CS304" s="3">
        <f>(ROUND((ROUND(((EU304)*AV304*1),2)*BS304),2)+ROUND((ROUND(((AE304-(EU304))*AV304*1),2)*BS304),2))</f>
        <v>0</v>
      </c>
      <c r="CT304" s="3">
        <f t="shared" si="258"/>
        <v>0</v>
      </c>
      <c r="CU304" s="3">
        <f t="shared" si="259"/>
        <v>0</v>
      </c>
      <c r="CV304" s="3">
        <f t="shared" si="260"/>
        <v>0</v>
      </c>
      <c r="CW304" s="3">
        <f t="shared" si="261"/>
        <v>0</v>
      </c>
      <c r="CX304" s="3">
        <f t="shared" si="262"/>
        <v>0</v>
      </c>
      <c r="CY304" s="3">
        <f>(ROUND((((S304+ROUND((ROUND(((EU304)*AV304*1),2)*BS304),2))*AT304)/100),2)+ROUND(((ROUND((ROUND(((AE304-(EU304))*AV304*1),2)*BS304),2)*AT304)/100),2))</f>
        <v>0</v>
      </c>
      <c r="CZ304" s="3">
        <f>(ROUND((((S304+ROUND((ROUND(((EU304)*AV304*1),2)*BS304),2))*AU304)/100),2)+ROUND(((ROUND((ROUND(((AE304-(EU304))*AV304*1),2)*BS304),2)*AU304)/100),2))</f>
        <v>0</v>
      </c>
      <c r="DC304" s="3" t="s">
        <v>3</v>
      </c>
      <c r="DD304" s="3" t="s">
        <v>3</v>
      </c>
      <c r="DE304" s="3" t="s">
        <v>3</v>
      </c>
      <c r="DF304" s="3" t="s">
        <v>3</v>
      </c>
      <c r="DG304" s="3" t="s">
        <v>3</v>
      </c>
      <c r="DH304" s="3" t="s">
        <v>3</v>
      </c>
      <c r="DI304" s="3" t="s">
        <v>3</v>
      </c>
      <c r="DJ304" s="3" t="s">
        <v>3</v>
      </c>
      <c r="DK304" s="3" t="s">
        <v>3</v>
      </c>
      <c r="DL304" s="3" t="s">
        <v>3</v>
      </c>
      <c r="DM304" s="3" t="s">
        <v>3</v>
      </c>
      <c r="DN304" s="3">
        <v>0</v>
      </c>
      <c r="DO304" s="3">
        <v>0</v>
      </c>
      <c r="DP304" s="3">
        <v>1</v>
      </c>
      <c r="DQ304" s="3">
        <v>1</v>
      </c>
      <c r="DU304" s="3">
        <v>1003</v>
      </c>
      <c r="DV304" s="3" t="s">
        <v>261</v>
      </c>
      <c r="DW304" s="3" t="s">
        <v>261</v>
      </c>
      <c r="DX304" s="3">
        <v>1</v>
      </c>
      <c r="DZ304" s="3" t="s">
        <v>3</v>
      </c>
      <c r="EA304" s="3" t="s">
        <v>3</v>
      </c>
      <c r="EB304" s="3" t="s">
        <v>3</v>
      </c>
      <c r="EC304" s="3" t="s">
        <v>3</v>
      </c>
      <c r="EE304" s="3">
        <v>55393628</v>
      </c>
      <c r="EF304" s="3">
        <v>213</v>
      </c>
      <c r="EG304" s="3" t="s">
        <v>262</v>
      </c>
      <c r="EH304" s="3">
        <v>0</v>
      </c>
      <c r="EI304" s="3" t="s">
        <v>3</v>
      </c>
      <c r="EJ304" s="3">
        <v>1</v>
      </c>
      <c r="EK304" s="3">
        <v>400005</v>
      </c>
      <c r="EL304" s="3" t="s">
        <v>262</v>
      </c>
      <c r="EM304" s="3" t="s">
        <v>263</v>
      </c>
      <c r="EO304" s="3" t="s">
        <v>3</v>
      </c>
      <c r="EQ304" s="3">
        <v>16</v>
      </c>
      <c r="ER304" s="3">
        <v>0</v>
      </c>
      <c r="ES304" s="3">
        <v>5.46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EY304" s="3">
        <v>0</v>
      </c>
      <c r="EZ304" s="3">
        <v>5</v>
      </c>
      <c r="FC304" s="3">
        <v>1</v>
      </c>
      <c r="FD304" s="3">
        <v>18</v>
      </c>
      <c r="FF304" s="3">
        <v>49.43</v>
      </c>
      <c r="FQ304" s="3">
        <v>0</v>
      </c>
      <c r="FR304" s="3">
        <v>0</v>
      </c>
      <c r="FS304" s="3">
        <v>0</v>
      </c>
      <c r="FX304" s="3">
        <v>0</v>
      </c>
      <c r="FY304" s="3">
        <v>0</v>
      </c>
      <c r="GA304" s="3" t="s">
        <v>274</v>
      </c>
      <c r="GD304" s="3">
        <v>1</v>
      </c>
      <c r="GF304" s="3">
        <v>855260042</v>
      </c>
      <c r="GG304" s="3">
        <v>2</v>
      </c>
      <c r="GH304" s="3">
        <v>3</v>
      </c>
      <c r="GI304" s="3">
        <v>5</v>
      </c>
      <c r="GJ304" s="3">
        <v>0</v>
      </c>
      <c r="GK304" s="3">
        <v>0</v>
      </c>
      <c r="GL304" s="3">
        <f t="shared" si="263"/>
        <v>0</v>
      </c>
      <c r="GM304" s="3">
        <f t="shared" si="264"/>
        <v>41821.599999999999</v>
      </c>
      <c r="GN304" s="3">
        <f t="shared" si="265"/>
        <v>0</v>
      </c>
      <c r="GO304" s="3">
        <f t="shared" si="266"/>
        <v>41821.599999999999</v>
      </c>
      <c r="GP304" s="3">
        <f t="shared" si="267"/>
        <v>0</v>
      </c>
      <c r="GR304" s="3">
        <v>1</v>
      </c>
      <c r="GS304" s="3">
        <v>1</v>
      </c>
      <c r="GT304" s="3">
        <v>0</v>
      </c>
      <c r="GU304" s="3" t="s">
        <v>3</v>
      </c>
      <c r="GV304" s="3">
        <f t="shared" si="268"/>
        <v>0</v>
      </c>
      <c r="GW304" s="3">
        <v>1</v>
      </c>
      <c r="GX304" s="3">
        <f t="shared" si="269"/>
        <v>0</v>
      </c>
      <c r="HA304" s="3">
        <v>0</v>
      </c>
      <c r="HB304" s="3">
        <v>0</v>
      </c>
      <c r="HC304" s="3">
        <f t="shared" si="270"/>
        <v>0</v>
      </c>
      <c r="HE304" s="3" t="s">
        <v>265</v>
      </c>
      <c r="HF304" s="3" t="s">
        <v>30</v>
      </c>
      <c r="HM304" s="3" t="s">
        <v>3</v>
      </c>
      <c r="HN304" s="3" t="s">
        <v>3</v>
      </c>
      <c r="HO304" s="3" t="s">
        <v>3</v>
      </c>
      <c r="HP304" s="3" t="s">
        <v>3</v>
      </c>
      <c r="HQ304" s="3" t="s">
        <v>3</v>
      </c>
      <c r="HS304" s="3">
        <v>0</v>
      </c>
      <c r="IK304" s="3">
        <v>0</v>
      </c>
    </row>
    <row r="305" spans="1:255" x14ac:dyDescent="0.2">
      <c r="A305" s="2">
        <v>17</v>
      </c>
      <c r="B305" s="2">
        <v>1</v>
      </c>
      <c r="C305" s="2"/>
      <c r="D305" s="2"/>
      <c r="E305" s="2" t="s">
        <v>281</v>
      </c>
      <c r="F305" s="2" t="s">
        <v>282</v>
      </c>
      <c r="G305" s="2" t="s">
        <v>283</v>
      </c>
      <c r="H305" s="2" t="s">
        <v>261</v>
      </c>
      <c r="I305" s="2">
        <f>ROUND(55*1.02,9)</f>
        <v>56.1</v>
      </c>
      <c r="J305" s="2">
        <v>0</v>
      </c>
      <c r="K305" s="2">
        <f>ROUND(55*1.02,9)</f>
        <v>56.1</v>
      </c>
      <c r="L305" s="2"/>
      <c r="M305" s="2"/>
      <c r="N305" s="2"/>
      <c r="O305" s="2">
        <f t="shared" si="246"/>
        <v>793.25</v>
      </c>
      <c r="P305" s="2">
        <f t="shared" si="247"/>
        <v>793.25</v>
      </c>
      <c r="Q305" s="2">
        <f>(ROUND((ROUND(((ET305)*AV305*I305),2)*BB305),2)+ROUND((ROUND(((AE305-(EU305))*AV305*I305),2)*BS305),2))</f>
        <v>0</v>
      </c>
      <c r="R305" s="2">
        <f>(ROUND((ROUND(((EU305)*AV305*I305),2)*BS305),2)+ROUND((ROUND(((AE305-(EU305))*AV305*I305),2)*BS305),2))</f>
        <v>0</v>
      </c>
      <c r="S305" s="2">
        <f t="shared" si="248"/>
        <v>0</v>
      </c>
      <c r="T305" s="2">
        <f t="shared" si="249"/>
        <v>0</v>
      </c>
      <c r="U305" s="2">
        <f t="shared" si="250"/>
        <v>0</v>
      </c>
      <c r="V305" s="2">
        <f t="shared" si="251"/>
        <v>0</v>
      </c>
      <c r="W305" s="2">
        <f t="shared" si="252"/>
        <v>0</v>
      </c>
      <c r="X305" s="2">
        <f>(ROUND((((S305+ROUND((ROUND(((EU305)*AV305*I305),2)*BS305),2))*AT305)/100),2)+ROUND(((ROUND((ROUND(((AE305-(EU305))*AV305*I305),2)*BS305),2)*AT305)/100),2))</f>
        <v>0</v>
      </c>
      <c r="Y305" s="2">
        <f>(ROUND((((S305+ROUND((ROUND(((EU305)*AV305*I305),2)*BS305),2))*AU305)/100),2)+ROUND(((ROUND((ROUND(((AE305-(EU305))*AV305*I305),2)*BS305),2)*AU305)/100),2))</f>
        <v>0</v>
      </c>
      <c r="Z305" s="2"/>
      <c r="AA305" s="2">
        <v>55915256</v>
      </c>
      <c r="AB305" s="2">
        <f t="shared" si="253"/>
        <v>14.14</v>
      </c>
      <c r="AC305" s="2">
        <f>ROUND((ES305),6)</f>
        <v>14.14</v>
      </c>
      <c r="AD305" s="2">
        <f>ROUND((((ET305)-(EU305))+AE305),6)</f>
        <v>0</v>
      </c>
      <c r="AE305" s="2">
        <f t="shared" si="283"/>
        <v>0</v>
      </c>
      <c r="AF305" s="2">
        <f t="shared" si="283"/>
        <v>0</v>
      </c>
      <c r="AG305" s="2">
        <f t="shared" si="254"/>
        <v>0</v>
      </c>
      <c r="AH305" s="2">
        <f t="shared" si="284"/>
        <v>0</v>
      </c>
      <c r="AI305" s="2">
        <f t="shared" si="284"/>
        <v>0</v>
      </c>
      <c r="AJ305" s="2">
        <f t="shared" si="255"/>
        <v>0</v>
      </c>
      <c r="AK305" s="2">
        <v>14.139999999999999</v>
      </c>
      <c r="AL305" s="2">
        <v>14.139999999999999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1</v>
      </c>
      <c r="AW305" s="2">
        <v>1</v>
      </c>
      <c r="AX305" s="2"/>
      <c r="AY305" s="2"/>
      <c r="AZ305" s="2">
        <v>1</v>
      </c>
      <c r="BA305" s="2">
        <v>1</v>
      </c>
      <c r="BB305" s="2">
        <v>1</v>
      </c>
      <c r="BC305" s="2">
        <v>1</v>
      </c>
      <c r="BD305" s="2" t="s">
        <v>3</v>
      </c>
      <c r="BE305" s="2" t="s">
        <v>3</v>
      </c>
      <c r="BF305" s="2" t="s">
        <v>3</v>
      </c>
      <c r="BG305" s="2" t="s">
        <v>3</v>
      </c>
      <c r="BH305" s="2">
        <v>3</v>
      </c>
      <c r="BI305" s="2">
        <v>2</v>
      </c>
      <c r="BJ305" s="2" t="s">
        <v>282</v>
      </c>
      <c r="BK305" s="2"/>
      <c r="BL305" s="2"/>
      <c r="BM305" s="2">
        <v>400005</v>
      </c>
      <c r="BN305" s="2">
        <v>0</v>
      </c>
      <c r="BO305" s="2" t="s">
        <v>3</v>
      </c>
      <c r="BP305" s="2">
        <v>0</v>
      </c>
      <c r="BQ305" s="2">
        <v>213</v>
      </c>
      <c r="BR305" s="2">
        <v>0</v>
      </c>
      <c r="BS305" s="2">
        <v>1</v>
      </c>
      <c r="BT305" s="2">
        <v>1</v>
      </c>
      <c r="BU305" s="2">
        <v>1</v>
      </c>
      <c r="BV305" s="2">
        <v>1</v>
      </c>
      <c r="BW305" s="2">
        <v>1</v>
      </c>
      <c r="BX305" s="2">
        <v>1</v>
      </c>
      <c r="BY305" s="2" t="s">
        <v>3</v>
      </c>
      <c r="BZ305" s="2">
        <v>0</v>
      </c>
      <c r="CA305" s="2">
        <v>0</v>
      </c>
      <c r="CB305" s="2" t="s">
        <v>3</v>
      </c>
      <c r="CC305" s="2"/>
      <c r="CD305" s="2"/>
      <c r="CE305" s="2">
        <v>1566</v>
      </c>
      <c r="CF305" s="2">
        <v>0</v>
      </c>
      <c r="CG305" s="2">
        <v>0</v>
      </c>
      <c r="CH305" s="2"/>
      <c r="CI305" s="2"/>
      <c r="CJ305" s="2"/>
      <c r="CK305" s="2"/>
      <c r="CL305" s="2"/>
      <c r="CM305" s="2">
        <v>0</v>
      </c>
      <c r="CN305" s="2" t="s">
        <v>3</v>
      </c>
      <c r="CO305" s="2">
        <v>0</v>
      </c>
      <c r="CP305" s="2">
        <f t="shared" si="256"/>
        <v>793.25</v>
      </c>
      <c r="CQ305" s="2">
        <f t="shared" si="257"/>
        <v>14.14</v>
      </c>
      <c r="CR305" s="2">
        <f>(ROUND((ROUND(((ET305)*AV305*1),2)*BB305),2)+ROUND((ROUND(((AE305-(EU305))*AV305*1),2)*BS305),2))</f>
        <v>0</v>
      </c>
      <c r="CS305" s="2">
        <f>(ROUND((ROUND(((EU305)*AV305*1),2)*BS305),2)+ROUND((ROUND(((AE305-(EU305))*AV305*1),2)*BS305),2))</f>
        <v>0</v>
      </c>
      <c r="CT305" s="2">
        <f t="shared" si="258"/>
        <v>0</v>
      </c>
      <c r="CU305" s="2">
        <f t="shared" si="259"/>
        <v>0</v>
      </c>
      <c r="CV305" s="2">
        <f t="shared" si="260"/>
        <v>0</v>
      </c>
      <c r="CW305" s="2">
        <f t="shared" si="261"/>
        <v>0</v>
      </c>
      <c r="CX305" s="2">
        <f t="shared" si="262"/>
        <v>0</v>
      </c>
      <c r="CY305" s="2">
        <f>(ROUND((((S305+ROUND((ROUND(((EU305)*AV305*1),2)*BS305),2))*AT305)/100),2)+ROUND(((ROUND((ROUND(((AE305-(EU305))*AV305*1),2)*BS305),2)*AT305)/100),2))</f>
        <v>0</v>
      </c>
      <c r="CZ305" s="2">
        <f>(ROUND((((S305+ROUND((ROUND(((EU305)*AV305*1),2)*BS305),2))*AU305)/100),2)+ROUND(((ROUND((ROUND(((AE305-(EU305))*AV305*1),2)*BS305),2)*AU305)/100),2))</f>
        <v>0</v>
      </c>
      <c r="DA305" s="2"/>
      <c r="DB305" s="2"/>
      <c r="DC305" s="2" t="s">
        <v>3</v>
      </c>
      <c r="DD305" s="2" t="s">
        <v>3</v>
      </c>
      <c r="DE305" s="2" t="s">
        <v>3</v>
      </c>
      <c r="DF305" s="2" t="s">
        <v>3</v>
      </c>
      <c r="DG305" s="2" t="s">
        <v>3</v>
      </c>
      <c r="DH305" s="2" t="s">
        <v>3</v>
      </c>
      <c r="DI305" s="2" t="s">
        <v>3</v>
      </c>
      <c r="DJ305" s="2" t="s">
        <v>3</v>
      </c>
      <c r="DK305" s="2" t="s">
        <v>3</v>
      </c>
      <c r="DL305" s="2" t="s">
        <v>3</v>
      </c>
      <c r="DM305" s="2" t="s">
        <v>3</v>
      </c>
      <c r="DN305" s="2">
        <v>0</v>
      </c>
      <c r="DO305" s="2">
        <v>0</v>
      </c>
      <c r="DP305" s="2">
        <v>1</v>
      </c>
      <c r="DQ305" s="2">
        <v>1</v>
      </c>
      <c r="DR305" s="2"/>
      <c r="DS305" s="2"/>
      <c r="DT305" s="2"/>
      <c r="DU305" s="2">
        <v>1003</v>
      </c>
      <c r="DV305" s="2" t="s">
        <v>261</v>
      </c>
      <c r="DW305" s="2" t="s">
        <v>261</v>
      </c>
      <c r="DX305" s="2">
        <v>1</v>
      </c>
      <c r="DY305" s="2"/>
      <c r="DZ305" s="2" t="s">
        <v>3</v>
      </c>
      <c r="EA305" s="2" t="s">
        <v>3</v>
      </c>
      <c r="EB305" s="2" t="s">
        <v>3</v>
      </c>
      <c r="EC305" s="2" t="s">
        <v>3</v>
      </c>
      <c r="ED305" s="2"/>
      <c r="EE305" s="2">
        <v>55393628</v>
      </c>
      <c r="EF305" s="2">
        <v>213</v>
      </c>
      <c r="EG305" s="2" t="s">
        <v>262</v>
      </c>
      <c r="EH305" s="2">
        <v>0</v>
      </c>
      <c r="EI305" s="2" t="s">
        <v>3</v>
      </c>
      <c r="EJ305" s="2">
        <v>1</v>
      </c>
      <c r="EK305" s="2">
        <v>400005</v>
      </c>
      <c r="EL305" s="2" t="s">
        <v>262</v>
      </c>
      <c r="EM305" s="2" t="s">
        <v>263</v>
      </c>
      <c r="EN305" s="2"/>
      <c r="EO305" s="2" t="s">
        <v>3</v>
      </c>
      <c r="EP305" s="2"/>
      <c r="EQ305" s="2">
        <v>16</v>
      </c>
      <c r="ER305" s="2">
        <v>0</v>
      </c>
      <c r="ES305" s="2">
        <v>14.139999999999999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0</v>
      </c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>
        <v>0</v>
      </c>
      <c r="FR305" s="2">
        <v>0</v>
      </c>
      <c r="FS305" s="2">
        <v>0</v>
      </c>
      <c r="FT305" s="2"/>
      <c r="FU305" s="2"/>
      <c r="FV305" s="2"/>
      <c r="FW305" s="2"/>
      <c r="FX305" s="2">
        <v>0</v>
      </c>
      <c r="FY305" s="2">
        <v>0</v>
      </c>
      <c r="FZ305" s="2"/>
      <c r="GA305" s="2" t="s">
        <v>284</v>
      </c>
      <c r="GB305" s="2"/>
      <c r="GC305" s="2"/>
      <c r="GD305" s="2">
        <v>1</v>
      </c>
      <c r="GE305" s="2"/>
      <c r="GF305" s="2">
        <v>1301312613</v>
      </c>
      <c r="GG305" s="2">
        <v>2</v>
      </c>
      <c r="GH305" s="2">
        <v>4</v>
      </c>
      <c r="GI305" s="2">
        <v>-2</v>
      </c>
      <c r="GJ305" s="2">
        <v>0</v>
      </c>
      <c r="GK305" s="2">
        <v>0</v>
      </c>
      <c r="GL305" s="2">
        <f t="shared" si="263"/>
        <v>0</v>
      </c>
      <c r="GM305" s="2">
        <f t="shared" si="264"/>
        <v>793.25</v>
      </c>
      <c r="GN305" s="2">
        <f t="shared" si="265"/>
        <v>0</v>
      </c>
      <c r="GO305" s="2">
        <f t="shared" si="266"/>
        <v>793.25</v>
      </c>
      <c r="GP305" s="2">
        <f t="shared" si="267"/>
        <v>0</v>
      </c>
      <c r="GQ305" s="2"/>
      <c r="GR305" s="2">
        <v>1</v>
      </c>
      <c r="GS305" s="2">
        <v>2</v>
      </c>
      <c r="GT305" s="2">
        <v>0</v>
      </c>
      <c r="GU305" s="2" t="s">
        <v>3</v>
      </c>
      <c r="GV305" s="2">
        <f t="shared" si="268"/>
        <v>0</v>
      </c>
      <c r="GW305" s="2">
        <v>1</v>
      </c>
      <c r="GX305" s="2">
        <f t="shared" si="269"/>
        <v>0</v>
      </c>
      <c r="GY305" s="2"/>
      <c r="GZ305" s="2"/>
      <c r="HA305" s="2">
        <v>0</v>
      </c>
      <c r="HB305" s="2">
        <v>0</v>
      </c>
      <c r="HC305" s="2">
        <f t="shared" si="270"/>
        <v>0</v>
      </c>
      <c r="HD305" s="2"/>
      <c r="HE305" s="2" t="s">
        <v>265</v>
      </c>
      <c r="HF305" s="2" t="s">
        <v>30</v>
      </c>
      <c r="HG305" s="2"/>
      <c r="HH305" s="2"/>
      <c r="HI305" s="2"/>
      <c r="HJ305" s="2"/>
      <c r="HK305" s="2"/>
      <c r="HL305" s="2"/>
      <c r="HM305" s="2" t="s">
        <v>3</v>
      </c>
      <c r="HN305" s="2" t="s">
        <v>3</v>
      </c>
      <c r="HO305" s="2" t="s">
        <v>3</v>
      </c>
      <c r="HP305" s="2" t="s">
        <v>3</v>
      </c>
      <c r="HQ305" s="2" t="s">
        <v>3</v>
      </c>
      <c r="HR305" s="2"/>
      <c r="HS305" s="2">
        <v>0</v>
      </c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>
        <v>0</v>
      </c>
      <c r="IL305" s="2"/>
      <c r="IM305" s="2"/>
      <c r="IN305" s="2"/>
      <c r="IO305" s="2"/>
      <c r="IP305" s="2"/>
      <c r="IQ305" s="2"/>
      <c r="IR305" s="2"/>
      <c r="IS305" s="2"/>
      <c r="IT305" s="2"/>
      <c r="IU305" s="2"/>
    </row>
    <row r="306" spans="1:255" x14ac:dyDescent="0.2">
      <c r="A306" s="3">
        <v>17</v>
      </c>
      <c r="B306" s="3">
        <v>1</v>
      </c>
      <c r="E306" s="3" t="s">
        <v>281</v>
      </c>
      <c r="F306" s="3" t="s">
        <v>282</v>
      </c>
      <c r="G306" s="3" t="s">
        <v>283</v>
      </c>
      <c r="H306" s="3" t="s">
        <v>261</v>
      </c>
      <c r="I306" s="3">
        <f>ROUND(55*1.02,9)</f>
        <v>56.1</v>
      </c>
      <c r="J306" s="3">
        <v>0</v>
      </c>
      <c r="K306" s="3">
        <f>ROUND(55*1.02,9)</f>
        <v>56.1</v>
      </c>
      <c r="O306" s="3">
        <f t="shared" si="246"/>
        <v>6004.9</v>
      </c>
      <c r="P306" s="3">
        <f t="shared" si="247"/>
        <v>6004.9</v>
      </c>
      <c r="Q306" s="3">
        <f>(ROUND((ROUND(((ET306)*AV306*I306),2)*BB306),2)+ROUND((ROUND(((AE306-(EU306))*AV306*I306),2)*BS306),2))</f>
        <v>0</v>
      </c>
      <c r="R306" s="3">
        <f>(ROUND((ROUND(((EU306)*AV306*I306),2)*BS306),2)+ROUND((ROUND(((AE306-(EU306))*AV306*I306),2)*BS306),2))</f>
        <v>0</v>
      </c>
      <c r="S306" s="3">
        <f t="shared" si="248"/>
        <v>0</v>
      </c>
      <c r="T306" s="3">
        <f t="shared" si="249"/>
        <v>0</v>
      </c>
      <c r="U306" s="3">
        <f t="shared" si="250"/>
        <v>0</v>
      </c>
      <c r="V306" s="3">
        <f t="shared" si="251"/>
        <v>0</v>
      </c>
      <c r="W306" s="3">
        <f t="shared" si="252"/>
        <v>0</v>
      </c>
      <c r="X306" s="3">
        <f>(ROUND((((S306+ROUND((ROUND(((EU306)*AV306*I306),2)*BS306),2))*AT306)/100),2)+ROUND(((ROUND((ROUND(((AE306-(EU306))*AV306*I306),2)*BS306),2)*AT306)/100),2))</f>
        <v>0</v>
      </c>
      <c r="Y306" s="3">
        <f>(ROUND((((S306+ROUND((ROUND(((EU306)*AV306*I306),2)*BS306),2))*AU306)/100),2)+ROUND(((ROUND((ROUND(((AE306-(EU306))*AV306*I306),2)*BS306),2)*AU306)/100),2))</f>
        <v>0</v>
      </c>
      <c r="AA306" s="3">
        <v>55915258</v>
      </c>
      <c r="AB306" s="3">
        <f t="shared" si="253"/>
        <v>14.14</v>
      </c>
      <c r="AC306" s="3">
        <f>ROUND((ES306),6)</f>
        <v>14.14</v>
      </c>
      <c r="AD306" s="3">
        <f>ROUND((((ET306)-(EU306))+AE306),6)</f>
        <v>0</v>
      </c>
      <c r="AE306" s="3">
        <f t="shared" si="283"/>
        <v>0</v>
      </c>
      <c r="AF306" s="3">
        <f t="shared" si="283"/>
        <v>0</v>
      </c>
      <c r="AG306" s="3">
        <f t="shared" si="254"/>
        <v>0</v>
      </c>
      <c r="AH306" s="3">
        <f t="shared" si="284"/>
        <v>0</v>
      </c>
      <c r="AI306" s="3">
        <f t="shared" si="284"/>
        <v>0</v>
      </c>
      <c r="AJ306" s="3">
        <f t="shared" si="255"/>
        <v>0</v>
      </c>
      <c r="AK306" s="3">
        <v>14.139999999999999</v>
      </c>
      <c r="AL306" s="3">
        <v>14.139999999999999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1</v>
      </c>
      <c r="AW306" s="3">
        <v>1</v>
      </c>
      <c r="AZ306" s="3">
        <v>1</v>
      </c>
      <c r="BA306" s="3">
        <v>1</v>
      </c>
      <c r="BB306" s="3">
        <v>1</v>
      </c>
      <c r="BC306" s="3">
        <v>7.57</v>
      </c>
      <c r="BD306" s="3" t="s">
        <v>3</v>
      </c>
      <c r="BE306" s="3" t="s">
        <v>3</v>
      </c>
      <c r="BF306" s="3" t="s">
        <v>3</v>
      </c>
      <c r="BG306" s="3" t="s">
        <v>3</v>
      </c>
      <c r="BH306" s="3">
        <v>3</v>
      </c>
      <c r="BI306" s="3">
        <v>2</v>
      </c>
      <c r="BJ306" s="3" t="s">
        <v>282</v>
      </c>
      <c r="BM306" s="3">
        <v>400005</v>
      </c>
      <c r="BN306" s="3">
        <v>0</v>
      </c>
      <c r="BO306" s="3" t="s">
        <v>3</v>
      </c>
      <c r="BP306" s="3">
        <v>0</v>
      </c>
      <c r="BQ306" s="3">
        <v>213</v>
      </c>
      <c r="BR306" s="3">
        <v>0</v>
      </c>
      <c r="BS306" s="3">
        <v>1</v>
      </c>
      <c r="BT306" s="3">
        <v>1</v>
      </c>
      <c r="BU306" s="3">
        <v>1</v>
      </c>
      <c r="BV306" s="3">
        <v>1</v>
      </c>
      <c r="BW306" s="3">
        <v>1</v>
      </c>
      <c r="BX306" s="3">
        <v>1</v>
      </c>
      <c r="BY306" s="3" t="s">
        <v>3</v>
      </c>
      <c r="BZ306" s="3">
        <v>0</v>
      </c>
      <c r="CA306" s="3">
        <v>0</v>
      </c>
      <c r="CB306" s="3" t="s">
        <v>3</v>
      </c>
      <c r="CE306" s="3">
        <v>1566</v>
      </c>
      <c r="CF306" s="3">
        <v>0</v>
      </c>
      <c r="CG306" s="3">
        <v>0</v>
      </c>
      <c r="CM306" s="3">
        <v>0</v>
      </c>
      <c r="CN306" s="3" t="s">
        <v>3</v>
      </c>
      <c r="CO306" s="3">
        <v>0</v>
      </c>
      <c r="CP306" s="3">
        <f t="shared" si="256"/>
        <v>6004.9</v>
      </c>
      <c r="CQ306" s="3">
        <f t="shared" si="257"/>
        <v>107.04</v>
      </c>
      <c r="CR306" s="3">
        <f>(ROUND((ROUND(((ET306)*AV306*1),2)*BB306),2)+ROUND((ROUND(((AE306-(EU306))*AV306*1),2)*BS306),2))</f>
        <v>0</v>
      </c>
      <c r="CS306" s="3">
        <f>(ROUND((ROUND(((EU306)*AV306*1),2)*BS306),2)+ROUND((ROUND(((AE306-(EU306))*AV306*1),2)*BS306),2))</f>
        <v>0</v>
      </c>
      <c r="CT306" s="3">
        <f t="shared" si="258"/>
        <v>0</v>
      </c>
      <c r="CU306" s="3">
        <f t="shared" si="259"/>
        <v>0</v>
      </c>
      <c r="CV306" s="3">
        <f t="shared" si="260"/>
        <v>0</v>
      </c>
      <c r="CW306" s="3">
        <f t="shared" si="261"/>
        <v>0</v>
      </c>
      <c r="CX306" s="3">
        <f t="shared" si="262"/>
        <v>0</v>
      </c>
      <c r="CY306" s="3">
        <f>(ROUND((((S306+ROUND((ROUND(((EU306)*AV306*1),2)*BS306),2))*AT306)/100),2)+ROUND(((ROUND((ROUND(((AE306-(EU306))*AV306*1),2)*BS306),2)*AT306)/100),2))</f>
        <v>0</v>
      </c>
      <c r="CZ306" s="3">
        <f>(ROUND((((S306+ROUND((ROUND(((EU306)*AV306*1),2)*BS306),2))*AU306)/100),2)+ROUND(((ROUND((ROUND(((AE306-(EU306))*AV306*1),2)*BS306),2)*AU306)/100),2))</f>
        <v>0</v>
      </c>
      <c r="DC306" s="3" t="s">
        <v>3</v>
      </c>
      <c r="DD306" s="3" t="s">
        <v>3</v>
      </c>
      <c r="DE306" s="3" t="s">
        <v>3</v>
      </c>
      <c r="DF306" s="3" t="s">
        <v>3</v>
      </c>
      <c r="DG306" s="3" t="s">
        <v>3</v>
      </c>
      <c r="DH306" s="3" t="s">
        <v>3</v>
      </c>
      <c r="DI306" s="3" t="s">
        <v>3</v>
      </c>
      <c r="DJ306" s="3" t="s">
        <v>3</v>
      </c>
      <c r="DK306" s="3" t="s">
        <v>3</v>
      </c>
      <c r="DL306" s="3" t="s">
        <v>3</v>
      </c>
      <c r="DM306" s="3" t="s">
        <v>3</v>
      </c>
      <c r="DN306" s="3">
        <v>0</v>
      </c>
      <c r="DO306" s="3">
        <v>0</v>
      </c>
      <c r="DP306" s="3">
        <v>1</v>
      </c>
      <c r="DQ306" s="3">
        <v>1</v>
      </c>
      <c r="DU306" s="3">
        <v>1003</v>
      </c>
      <c r="DV306" s="3" t="s">
        <v>261</v>
      </c>
      <c r="DW306" s="3" t="s">
        <v>261</v>
      </c>
      <c r="DX306" s="3">
        <v>1</v>
      </c>
      <c r="DZ306" s="3" t="s">
        <v>3</v>
      </c>
      <c r="EA306" s="3" t="s">
        <v>3</v>
      </c>
      <c r="EB306" s="3" t="s">
        <v>3</v>
      </c>
      <c r="EC306" s="3" t="s">
        <v>3</v>
      </c>
      <c r="EE306" s="3">
        <v>55393628</v>
      </c>
      <c r="EF306" s="3">
        <v>213</v>
      </c>
      <c r="EG306" s="3" t="s">
        <v>262</v>
      </c>
      <c r="EH306" s="3">
        <v>0</v>
      </c>
      <c r="EI306" s="3" t="s">
        <v>3</v>
      </c>
      <c r="EJ306" s="3">
        <v>1</v>
      </c>
      <c r="EK306" s="3">
        <v>400005</v>
      </c>
      <c r="EL306" s="3" t="s">
        <v>262</v>
      </c>
      <c r="EM306" s="3" t="s">
        <v>263</v>
      </c>
      <c r="EO306" s="3" t="s">
        <v>3</v>
      </c>
      <c r="EQ306" s="3">
        <v>16</v>
      </c>
      <c r="ER306" s="3">
        <v>0</v>
      </c>
      <c r="ES306" s="3">
        <v>14.139999999999999</v>
      </c>
      <c r="ET306" s="3">
        <v>0</v>
      </c>
      <c r="EU306" s="3">
        <v>0</v>
      </c>
      <c r="EV306" s="3">
        <v>0</v>
      </c>
      <c r="EW306" s="3">
        <v>0</v>
      </c>
      <c r="EX306" s="3">
        <v>0</v>
      </c>
      <c r="EY306" s="3">
        <v>0</v>
      </c>
      <c r="EZ306" s="3">
        <v>5</v>
      </c>
      <c r="FC306" s="3">
        <v>1</v>
      </c>
      <c r="FD306" s="3">
        <v>18</v>
      </c>
      <c r="FF306" s="3">
        <v>128</v>
      </c>
      <c r="FQ306" s="3">
        <v>0</v>
      </c>
      <c r="FR306" s="3">
        <v>0</v>
      </c>
      <c r="FS306" s="3">
        <v>0</v>
      </c>
      <c r="FX306" s="3">
        <v>0</v>
      </c>
      <c r="FY306" s="3">
        <v>0</v>
      </c>
      <c r="GA306" s="3" t="s">
        <v>284</v>
      </c>
      <c r="GD306" s="3">
        <v>1</v>
      </c>
      <c r="GF306" s="3">
        <v>1301312613</v>
      </c>
      <c r="GG306" s="3">
        <v>2</v>
      </c>
      <c r="GH306" s="3">
        <v>3</v>
      </c>
      <c r="GI306" s="3">
        <v>5</v>
      </c>
      <c r="GJ306" s="3">
        <v>0</v>
      </c>
      <c r="GK306" s="3">
        <v>0</v>
      </c>
      <c r="GL306" s="3">
        <f t="shared" si="263"/>
        <v>0</v>
      </c>
      <c r="GM306" s="3">
        <f t="shared" si="264"/>
        <v>6004.9</v>
      </c>
      <c r="GN306" s="3">
        <f t="shared" si="265"/>
        <v>0</v>
      </c>
      <c r="GO306" s="3">
        <f t="shared" si="266"/>
        <v>6004.9</v>
      </c>
      <c r="GP306" s="3">
        <f t="shared" si="267"/>
        <v>0</v>
      </c>
      <c r="GR306" s="3">
        <v>1</v>
      </c>
      <c r="GS306" s="3">
        <v>1</v>
      </c>
      <c r="GT306" s="3">
        <v>0</v>
      </c>
      <c r="GU306" s="3" t="s">
        <v>3</v>
      </c>
      <c r="GV306" s="3">
        <f t="shared" si="268"/>
        <v>0</v>
      </c>
      <c r="GW306" s="3">
        <v>1</v>
      </c>
      <c r="GX306" s="3">
        <f t="shared" si="269"/>
        <v>0</v>
      </c>
      <c r="HA306" s="3">
        <v>0</v>
      </c>
      <c r="HB306" s="3">
        <v>0</v>
      </c>
      <c r="HC306" s="3">
        <f t="shared" si="270"/>
        <v>0</v>
      </c>
      <c r="HE306" s="3" t="s">
        <v>265</v>
      </c>
      <c r="HF306" s="3" t="s">
        <v>30</v>
      </c>
      <c r="HM306" s="3" t="s">
        <v>3</v>
      </c>
      <c r="HN306" s="3" t="s">
        <v>3</v>
      </c>
      <c r="HO306" s="3" t="s">
        <v>3</v>
      </c>
      <c r="HP306" s="3" t="s">
        <v>3</v>
      </c>
      <c r="HQ306" s="3" t="s">
        <v>3</v>
      </c>
      <c r="HS306" s="3">
        <v>0</v>
      </c>
      <c r="IK306" s="3">
        <v>0</v>
      </c>
    </row>
    <row r="308" spans="1:255" x14ac:dyDescent="0.2">
      <c r="A308" s="11">
        <v>51</v>
      </c>
      <c r="B308" s="11">
        <f>B289</f>
        <v>1</v>
      </c>
      <c r="C308" s="11">
        <f>A289</f>
        <v>4</v>
      </c>
      <c r="D308" s="11">
        <f>ROW(A289)</f>
        <v>289</v>
      </c>
      <c r="E308" s="11"/>
      <c r="F308" s="11" t="str">
        <f>IF(F289&lt;&gt;"",F289,"")</f>
        <v>5</v>
      </c>
      <c r="G308" s="11" t="str">
        <f>IF(G289&lt;&gt;"",G289,"")</f>
        <v>Кабельные изделия</v>
      </c>
      <c r="H308" s="11">
        <v>0</v>
      </c>
      <c r="I308" s="11"/>
      <c r="J308" s="11"/>
      <c r="K308" s="11"/>
      <c r="L308" s="11"/>
      <c r="M308" s="11"/>
      <c r="N308" s="11"/>
      <c r="O308" s="11">
        <f t="shared" ref="O308:T308" si="285">ROUND(AB308,2)</f>
        <v>68231.23</v>
      </c>
      <c r="P308" s="11">
        <f t="shared" si="285"/>
        <v>60799.360000000001</v>
      </c>
      <c r="Q308" s="11">
        <f t="shared" si="285"/>
        <v>354.57</v>
      </c>
      <c r="R308" s="11">
        <f t="shared" si="285"/>
        <v>32.17</v>
      </c>
      <c r="S308" s="11">
        <f t="shared" si="285"/>
        <v>7077.3</v>
      </c>
      <c r="T308" s="11">
        <f t="shared" si="285"/>
        <v>0</v>
      </c>
      <c r="U308" s="11">
        <f>AH308</f>
        <v>590.60097359999997</v>
      </c>
      <c r="V308" s="11">
        <f>AI308</f>
        <v>0</v>
      </c>
      <c r="W308" s="11">
        <f>ROUND(AJ308,2)</f>
        <v>0</v>
      </c>
      <c r="X308" s="11">
        <f>ROUND(AK308,2)</f>
        <v>6516.39</v>
      </c>
      <c r="Y308" s="11">
        <f>ROUND(AL308,2)</f>
        <v>3354.55</v>
      </c>
      <c r="Z308" s="11"/>
      <c r="AA308" s="11"/>
      <c r="AB308" s="11">
        <f>ROUND(SUMIF(AA293:AA306,"=55915256",O293:O306),2)</f>
        <v>68231.23</v>
      </c>
      <c r="AC308" s="11">
        <f>ROUND(SUMIF(AA293:AA306,"=55915256",P293:P306),2)</f>
        <v>60799.360000000001</v>
      </c>
      <c r="AD308" s="11">
        <f>ROUND(SUMIF(AA293:AA306,"=55915256",Q293:Q306),2)</f>
        <v>354.57</v>
      </c>
      <c r="AE308" s="11">
        <f>ROUND(SUMIF(AA293:AA306,"=55915256",R293:R306),2)</f>
        <v>32.17</v>
      </c>
      <c r="AF308" s="11">
        <f>ROUND(SUMIF(AA293:AA306,"=55915256",S293:S306),2)</f>
        <v>7077.3</v>
      </c>
      <c r="AG308" s="11">
        <f>ROUND(SUMIF(AA293:AA306,"=55915256",T293:T306),2)</f>
        <v>0</v>
      </c>
      <c r="AH308" s="11">
        <f>SUMIF(AA293:AA306,"=55915256",U293:U306)</f>
        <v>590.60097359999997</v>
      </c>
      <c r="AI308" s="11">
        <f>SUMIF(AA293:AA306,"=55915256",V293:V306)</f>
        <v>0</v>
      </c>
      <c r="AJ308" s="11">
        <f>ROUND(SUMIF(AA293:AA306,"=55915256",W293:W306),2)</f>
        <v>0</v>
      </c>
      <c r="AK308" s="11">
        <f>ROUND(SUMIF(AA293:AA306,"=55915256",X293:X306),2)</f>
        <v>6516.39</v>
      </c>
      <c r="AL308" s="11">
        <f>ROUND(SUMIF(AA293:AA306,"=55915256",Y293:Y306),2)</f>
        <v>3354.55</v>
      </c>
      <c r="AM308" s="11"/>
      <c r="AN308" s="11"/>
      <c r="AO308" s="11">
        <f t="shared" ref="AO308:BD308" si="286">ROUND(BX308,2)</f>
        <v>0</v>
      </c>
      <c r="AP308" s="11">
        <f t="shared" si="286"/>
        <v>0</v>
      </c>
      <c r="AQ308" s="11">
        <f t="shared" si="286"/>
        <v>0</v>
      </c>
      <c r="AR308" s="11">
        <f t="shared" si="286"/>
        <v>78102.17</v>
      </c>
      <c r="AS308" s="11">
        <f t="shared" si="286"/>
        <v>0</v>
      </c>
      <c r="AT308" s="11">
        <f t="shared" si="286"/>
        <v>78102.17</v>
      </c>
      <c r="AU308" s="11">
        <f t="shared" si="286"/>
        <v>0</v>
      </c>
      <c r="AV308" s="11">
        <f t="shared" si="286"/>
        <v>60799.360000000001</v>
      </c>
      <c r="AW308" s="11">
        <f t="shared" si="286"/>
        <v>60799.360000000001</v>
      </c>
      <c r="AX308" s="11">
        <f t="shared" si="286"/>
        <v>0</v>
      </c>
      <c r="AY308" s="11">
        <f t="shared" si="286"/>
        <v>60799.360000000001</v>
      </c>
      <c r="AZ308" s="11">
        <f t="shared" si="286"/>
        <v>0</v>
      </c>
      <c r="BA308" s="11">
        <f t="shared" si="286"/>
        <v>0</v>
      </c>
      <c r="BB308" s="11">
        <f t="shared" si="286"/>
        <v>0</v>
      </c>
      <c r="BC308" s="11">
        <f t="shared" si="286"/>
        <v>0</v>
      </c>
      <c r="BD308" s="11">
        <f t="shared" si="286"/>
        <v>0</v>
      </c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>
        <f>ROUND(SUMIF(AA293:AA306,"=55915256",FQ293:FQ306),2)</f>
        <v>0</v>
      </c>
      <c r="BY308" s="11">
        <f>ROUND(SUMIF(AA293:AA306,"=55915256",FR293:FR306),2)</f>
        <v>0</v>
      </c>
      <c r="BZ308" s="11">
        <f>ROUND(SUMIF(AA293:AA306,"=55915256",GL293:GL306),2)</f>
        <v>0</v>
      </c>
      <c r="CA308" s="11">
        <f>ROUND(SUMIF(AA293:AA306,"=55915256",GM293:GM306),2)</f>
        <v>78102.17</v>
      </c>
      <c r="CB308" s="11">
        <f>ROUND(SUMIF(AA293:AA306,"=55915256",GN293:GN306),2)</f>
        <v>0</v>
      </c>
      <c r="CC308" s="11">
        <f>ROUND(SUMIF(AA293:AA306,"=55915256",GO293:GO306),2)</f>
        <v>78102.17</v>
      </c>
      <c r="CD308" s="11">
        <f>ROUND(SUMIF(AA293:AA306,"=55915256",GP293:GP306),2)</f>
        <v>0</v>
      </c>
      <c r="CE308" s="11">
        <f>AC308-BX308</f>
        <v>60799.360000000001</v>
      </c>
      <c r="CF308" s="11">
        <f>AC308-BY308</f>
        <v>60799.360000000001</v>
      </c>
      <c r="CG308" s="11">
        <f>BX308-BZ308</f>
        <v>0</v>
      </c>
      <c r="CH308" s="11">
        <f>AC308-BX308-BY308+BZ308</f>
        <v>60799.360000000001</v>
      </c>
      <c r="CI308" s="11">
        <f>BY308-BZ308</f>
        <v>0</v>
      </c>
      <c r="CJ308" s="11">
        <f>ROUND(SUMIF(AA293:AA306,"=55915256",GX293:GX306),2)</f>
        <v>0</v>
      </c>
      <c r="CK308" s="11">
        <f>ROUND(SUMIF(AA293:AA306,"=55915256",GY293:GY306),2)</f>
        <v>0</v>
      </c>
      <c r="CL308" s="11">
        <f>ROUND(SUMIF(AA293:AA306,"=55915256",GZ293:GZ306),2)</f>
        <v>0</v>
      </c>
      <c r="CM308" s="11">
        <f>ROUND(SUMIF(AA293:AA306,"=55915256",HD293:HD306),2)</f>
        <v>0</v>
      </c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2">
        <f t="shared" ref="DG308:DL308" si="287">ROUND(DT308,2)</f>
        <v>816041.55</v>
      </c>
      <c r="DH308" s="12">
        <f t="shared" si="287"/>
        <v>412216.1</v>
      </c>
      <c r="DI308" s="12">
        <f t="shared" si="287"/>
        <v>5019.59</v>
      </c>
      <c r="DJ308" s="12">
        <f t="shared" si="287"/>
        <v>1812.78</v>
      </c>
      <c r="DK308" s="12">
        <f t="shared" si="287"/>
        <v>398805.86</v>
      </c>
      <c r="DL308" s="12">
        <f t="shared" si="287"/>
        <v>0</v>
      </c>
      <c r="DM308" s="12">
        <f>DZ308</f>
        <v>590.60097359999997</v>
      </c>
      <c r="DN308" s="12">
        <f>EA308</f>
        <v>0</v>
      </c>
      <c r="DO308" s="12">
        <f>ROUND(EB308,2)</f>
        <v>0</v>
      </c>
      <c r="DP308" s="12">
        <f>ROUND(EC308,2)</f>
        <v>367198.36</v>
      </c>
      <c r="DQ308" s="12">
        <f>ROUND(ED308,2)</f>
        <v>189028.57</v>
      </c>
      <c r="DR308" s="12"/>
      <c r="DS308" s="12"/>
      <c r="DT308" s="12">
        <f>ROUND(SUMIF(AA293:AA306,"=55915258",O293:O306),2)</f>
        <v>816041.55</v>
      </c>
      <c r="DU308" s="12">
        <f>ROUND(SUMIF(AA293:AA306,"=55915258",P293:P306),2)</f>
        <v>412216.1</v>
      </c>
      <c r="DV308" s="12">
        <f>ROUND(SUMIF(AA293:AA306,"=55915258",Q293:Q306),2)</f>
        <v>5019.59</v>
      </c>
      <c r="DW308" s="12">
        <f>ROUND(SUMIF(AA293:AA306,"=55915258",R293:R306),2)</f>
        <v>1812.78</v>
      </c>
      <c r="DX308" s="12">
        <f>ROUND(SUMIF(AA293:AA306,"=55915258",S293:S306),2)</f>
        <v>398805.86</v>
      </c>
      <c r="DY308" s="12">
        <f>ROUND(SUMIF(AA293:AA306,"=55915258",T293:T306),2)</f>
        <v>0</v>
      </c>
      <c r="DZ308" s="12">
        <f>SUMIF(AA293:AA306,"=55915258",U293:U306)</f>
        <v>590.60097359999997</v>
      </c>
      <c r="EA308" s="12">
        <f>SUMIF(AA293:AA306,"=55915258",V293:V306)</f>
        <v>0</v>
      </c>
      <c r="EB308" s="12">
        <f>ROUND(SUMIF(AA293:AA306,"=55915258",W293:W306),2)</f>
        <v>0</v>
      </c>
      <c r="EC308" s="12">
        <f>ROUND(SUMIF(AA293:AA306,"=55915258",X293:X306),2)</f>
        <v>367198.36</v>
      </c>
      <c r="ED308" s="12">
        <f>ROUND(SUMIF(AA293:AA306,"=55915258",Y293:Y306),2)</f>
        <v>189028.57</v>
      </c>
      <c r="EE308" s="12"/>
      <c r="EF308" s="12"/>
      <c r="EG308" s="12">
        <f t="shared" ref="EG308:EV308" si="288">ROUND(FP308,2)</f>
        <v>0</v>
      </c>
      <c r="EH308" s="12">
        <f t="shared" si="288"/>
        <v>0</v>
      </c>
      <c r="EI308" s="12">
        <f t="shared" si="288"/>
        <v>0</v>
      </c>
      <c r="EJ308" s="12">
        <f t="shared" si="288"/>
        <v>1372268.48</v>
      </c>
      <c r="EK308" s="12">
        <f t="shared" si="288"/>
        <v>0</v>
      </c>
      <c r="EL308" s="12">
        <f t="shared" si="288"/>
        <v>1372268.48</v>
      </c>
      <c r="EM308" s="12">
        <f t="shared" si="288"/>
        <v>0</v>
      </c>
      <c r="EN308" s="12">
        <f t="shared" si="288"/>
        <v>412216.1</v>
      </c>
      <c r="EO308" s="12">
        <f t="shared" si="288"/>
        <v>412216.1</v>
      </c>
      <c r="EP308" s="12">
        <f t="shared" si="288"/>
        <v>0</v>
      </c>
      <c r="EQ308" s="12">
        <f t="shared" si="288"/>
        <v>412216.1</v>
      </c>
      <c r="ER308" s="12">
        <f t="shared" si="288"/>
        <v>0</v>
      </c>
      <c r="ES308" s="12">
        <f t="shared" si="288"/>
        <v>0</v>
      </c>
      <c r="ET308" s="12">
        <f t="shared" si="288"/>
        <v>0</v>
      </c>
      <c r="EU308" s="12">
        <f t="shared" si="288"/>
        <v>0</v>
      </c>
      <c r="EV308" s="12">
        <f t="shared" si="288"/>
        <v>0</v>
      </c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>
        <f>ROUND(SUMIF(AA293:AA306,"=55915258",FQ293:FQ306),2)</f>
        <v>0</v>
      </c>
      <c r="FQ308" s="12">
        <f>ROUND(SUMIF(AA293:AA306,"=55915258",FR293:FR306),2)</f>
        <v>0</v>
      </c>
      <c r="FR308" s="12">
        <f>ROUND(SUMIF(AA293:AA306,"=55915258",GL293:GL306),2)</f>
        <v>0</v>
      </c>
      <c r="FS308" s="12">
        <f>ROUND(SUMIF(AA293:AA306,"=55915258",GM293:GM306),2)</f>
        <v>1372268.48</v>
      </c>
      <c r="FT308" s="12">
        <f>ROUND(SUMIF(AA293:AA306,"=55915258",GN293:GN306),2)</f>
        <v>0</v>
      </c>
      <c r="FU308" s="12">
        <f>ROUND(SUMIF(AA293:AA306,"=55915258",GO293:GO306),2)</f>
        <v>1372268.48</v>
      </c>
      <c r="FV308" s="12">
        <f>ROUND(SUMIF(AA293:AA306,"=55915258",GP293:GP306),2)</f>
        <v>0</v>
      </c>
      <c r="FW308" s="12">
        <f>DU308-FP308</f>
        <v>412216.1</v>
      </c>
      <c r="FX308" s="12">
        <f>DU308-FQ308</f>
        <v>412216.1</v>
      </c>
      <c r="FY308" s="12">
        <f>FP308-FR308</f>
        <v>0</v>
      </c>
      <c r="FZ308" s="12">
        <f>DU308-FP308-FQ308+FR308</f>
        <v>412216.1</v>
      </c>
      <c r="GA308" s="12">
        <f>FQ308-FR308</f>
        <v>0</v>
      </c>
      <c r="GB308" s="12">
        <f>ROUND(SUMIF(AA293:AA306,"=55915258",GX293:GX306),2)</f>
        <v>0</v>
      </c>
      <c r="GC308" s="12">
        <f>ROUND(SUMIF(AA293:AA306,"=55915258",GY293:GY306),2)</f>
        <v>0</v>
      </c>
      <c r="GD308" s="12">
        <f>ROUND(SUMIF(AA293:AA306,"=55915258",GZ293:GZ306),2)</f>
        <v>0</v>
      </c>
      <c r="GE308" s="12">
        <f>ROUND(SUMIF(AA293:AA306,"=55915258",HD293:HD306),2)</f>
        <v>0</v>
      </c>
      <c r="GF308" s="12"/>
      <c r="GG308" s="12"/>
      <c r="GH308" s="12"/>
      <c r="GI308" s="12"/>
      <c r="GJ308" s="12"/>
      <c r="GK308" s="12"/>
      <c r="GL308" s="12"/>
      <c r="GM308" s="12"/>
      <c r="GN308" s="12"/>
      <c r="GO308" s="12"/>
      <c r="GP308" s="12"/>
      <c r="GQ308" s="12"/>
      <c r="GR308" s="12"/>
      <c r="GS308" s="12"/>
      <c r="GT308" s="12"/>
      <c r="GU308" s="12"/>
      <c r="GV308" s="12"/>
      <c r="GW308" s="12"/>
      <c r="GX308" s="12">
        <v>0</v>
      </c>
    </row>
    <row r="310" spans="1:255" x14ac:dyDescent="0.2">
      <c r="A310" s="13">
        <v>50</v>
      </c>
      <c r="B310" s="13">
        <v>0</v>
      </c>
      <c r="C310" s="13">
        <v>0</v>
      </c>
      <c r="D310" s="13">
        <v>1</v>
      </c>
      <c r="E310" s="13">
        <v>201</v>
      </c>
      <c r="F310" s="13">
        <f>ROUND(Source!O308,O310)</f>
        <v>68231.23</v>
      </c>
      <c r="G310" s="13" t="s">
        <v>93</v>
      </c>
      <c r="H310" s="13" t="s">
        <v>94</v>
      </c>
      <c r="I310" s="13"/>
      <c r="J310" s="13"/>
      <c r="K310" s="13">
        <v>201</v>
      </c>
      <c r="L310" s="13">
        <v>1</v>
      </c>
      <c r="M310" s="13">
        <v>3</v>
      </c>
      <c r="N310" s="13" t="s">
        <v>3</v>
      </c>
      <c r="O310" s="13">
        <v>2</v>
      </c>
      <c r="P310" s="13">
        <f>ROUND(Source!DG308,O310)</f>
        <v>816041.55</v>
      </c>
      <c r="Q310" s="13"/>
      <c r="R310" s="13"/>
      <c r="S310" s="13"/>
      <c r="T310" s="13"/>
      <c r="U310" s="13"/>
      <c r="V310" s="13"/>
      <c r="W310" s="13">
        <v>68231.23</v>
      </c>
      <c r="X310" s="13">
        <v>1</v>
      </c>
      <c r="Y310" s="13">
        <v>68231.23</v>
      </c>
      <c r="Z310" s="13">
        <v>816041.55</v>
      </c>
      <c r="AA310" s="13">
        <v>1</v>
      </c>
      <c r="AB310" s="13">
        <v>816041.55</v>
      </c>
    </row>
    <row r="311" spans="1:255" x14ac:dyDescent="0.2">
      <c r="A311" s="13">
        <v>50</v>
      </c>
      <c r="B311" s="13">
        <v>0</v>
      </c>
      <c r="C311" s="13">
        <v>0</v>
      </c>
      <c r="D311" s="13">
        <v>1</v>
      </c>
      <c r="E311" s="13">
        <v>202</v>
      </c>
      <c r="F311" s="13">
        <f>ROUND(Source!P308,O311)</f>
        <v>60799.360000000001</v>
      </c>
      <c r="G311" s="13" t="s">
        <v>95</v>
      </c>
      <c r="H311" s="13" t="s">
        <v>96</v>
      </c>
      <c r="I311" s="13"/>
      <c r="J311" s="13"/>
      <c r="K311" s="13">
        <v>202</v>
      </c>
      <c r="L311" s="13">
        <v>2</v>
      </c>
      <c r="M311" s="13">
        <v>3</v>
      </c>
      <c r="N311" s="13" t="s">
        <v>3</v>
      </c>
      <c r="O311" s="13">
        <v>2</v>
      </c>
      <c r="P311" s="13">
        <f>ROUND(Source!DH308,O311)</f>
        <v>412216.1</v>
      </c>
      <c r="Q311" s="13"/>
      <c r="R311" s="13"/>
      <c r="S311" s="13"/>
      <c r="T311" s="13"/>
      <c r="U311" s="13"/>
      <c r="V311" s="13"/>
      <c r="W311" s="13">
        <v>60799.360000000001</v>
      </c>
      <c r="X311" s="13">
        <v>1</v>
      </c>
      <c r="Y311" s="13">
        <v>60799.360000000001</v>
      </c>
      <c r="Z311" s="13">
        <v>412216.1</v>
      </c>
      <c r="AA311" s="13">
        <v>1</v>
      </c>
      <c r="AB311" s="13">
        <v>412216.1</v>
      </c>
    </row>
    <row r="312" spans="1:255" x14ac:dyDescent="0.2">
      <c r="A312" s="13">
        <v>50</v>
      </c>
      <c r="B312" s="13">
        <v>0</v>
      </c>
      <c r="C312" s="13">
        <v>0</v>
      </c>
      <c r="D312" s="13">
        <v>1</v>
      </c>
      <c r="E312" s="13">
        <v>222</v>
      </c>
      <c r="F312" s="13">
        <f>ROUND(Source!AO308,O312)</f>
        <v>0</v>
      </c>
      <c r="G312" s="13" t="s">
        <v>97</v>
      </c>
      <c r="H312" s="13" t="s">
        <v>98</v>
      </c>
      <c r="I312" s="13"/>
      <c r="J312" s="13"/>
      <c r="K312" s="13">
        <v>222</v>
      </c>
      <c r="L312" s="13">
        <v>3</v>
      </c>
      <c r="M312" s="13">
        <v>3</v>
      </c>
      <c r="N312" s="13" t="s">
        <v>3</v>
      </c>
      <c r="O312" s="13">
        <v>2</v>
      </c>
      <c r="P312" s="13">
        <f>ROUND(Source!EG308,O312)</f>
        <v>0</v>
      </c>
      <c r="Q312" s="13"/>
      <c r="R312" s="13"/>
      <c r="S312" s="13"/>
      <c r="T312" s="13"/>
      <c r="U312" s="13"/>
      <c r="V312" s="13"/>
      <c r="W312" s="13">
        <v>0</v>
      </c>
      <c r="X312" s="13">
        <v>1</v>
      </c>
      <c r="Y312" s="13">
        <v>0</v>
      </c>
      <c r="Z312" s="13">
        <v>0</v>
      </c>
      <c r="AA312" s="13">
        <v>1</v>
      </c>
      <c r="AB312" s="13">
        <v>0</v>
      </c>
    </row>
    <row r="313" spans="1:255" x14ac:dyDescent="0.2">
      <c r="A313" s="13">
        <v>50</v>
      </c>
      <c r="B313" s="13">
        <v>0</v>
      </c>
      <c r="C313" s="13">
        <v>0</v>
      </c>
      <c r="D313" s="13">
        <v>1</v>
      </c>
      <c r="E313" s="13">
        <v>225</v>
      </c>
      <c r="F313" s="13">
        <f>ROUND(Source!AV308,O313)</f>
        <v>60799.360000000001</v>
      </c>
      <c r="G313" s="13" t="s">
        <v>99</v>
      </c>
      <c r="H313" s="13" t="s">
        <v>100</v>
      </c>
      <c r="I313" s="13"/>
      <c r="J313" s="13"/>
      <c r="K313" s="13">
        <v>225</v>
      </c>
      <c r="L313" s="13">
        <v>4</v>
      </c>
      <c r="M313" s="13">
        <v>3</v>
      </c>
      <c r="N313" s="13" t="s">
        <v>3</v>
      </c>
      <c r="O313" s="13">
        <v>2</v>
      </c>
      <c r="P313" s="13">
        <f>ROUND(Source!EN308,O313)</f>
        <v>412216.1</v>
      </c>
      <c r="Q313" s="13"/>
      <c r="R313" s="13"/>
      <c r="S313" s="13"/>
      <c r="T313" s="13"/>
      <c r="U313" s="13"/>
      <c r="V313" s="13"/>
      <c r="W313" s="13">
        <v>60799.360000000001</v>
      </c>
      <c r="X313" s="13">
        <v>1</v>
      </c>
      <c r="Y313" s="13">
        <v>60799.360000000001</v>
      </c>
      <c r="Z313" s="13">
        <v>412216.1</v>
      </c>
      <c r="AA313" s="13">
        <v>1</v>
      </c>
      <c r="AB313" s="13">
        <v>412216.1</v>
      </c>
    </row>
    <row r="314" spans="1:255" x14ac:dyDescent="0.2">
      <c r="A314" s="13">
        <v>50</v>
      </c>
      <c r="B314" s="13">
        <v>0</v>
      </c>
      <c r="C314" s="13">
        <v>0</v>
      </c>
      <c r="D314" s="13">
        <v>1</v>
      </c>
      <c r="E314" s="13">
        <v>226</v>
      </c>
      <c r="F314" s="13">
        <f>ROUND(Source!AW308,O314)</f>
        <v>60799.360000000001</v>
      </c>
      <c r="G314" s="13" t="s">
        <v>101</v>
      </c>
      <c r="H314" s="13" t="s">
        <v>102</v>
      </c>
      <c r="I314" s="13"/>
      <c r="J314" s="13"/>
      <c r="K314" s="13">
        <v>226</v>
      </c>
      <c r="L314" s="13">
        <v>5</v>
      </c>
      <c r="M314" s="13">
        <v>3</v>
      </c>
      <c r="N314" s="13" t="s">
        <v>3</v>
      </c>
      <c r="O314" s="13">
        <v>2</v>
      </c>
      <c r="P314" s="13">
        <f>ROUND(Source!EO308,O314)</f>
        <v>412216.1</v>
      </c>
      <c r="Q314" s="13"/>
      <c r="R314" s="13"/>
      <c r="S314" s="13"/>
      <c r="T314" s="13"/>
      <c r="U314" s="13"/>
      <c r="V314" s="13"/>
      <c r="W314" s="13">
        <v>60799.360000000001</v>
      </c>
      <c r="X314" s="13">
        <v>1</v>
      </c>
      <c r="Y314" s="13">
        <v>60799.360000000001</v>
      </c>
      <c r="Z314" s="13">
        <v>412216.1</v>
      </c>
      <c r="AA314" s="13">
        <v>1</v>
      </c>
      <c r="AB314" s="13">
        <v>412216.1</v>
      </c>
    </row>
    <row r="315" spans="1:255" x14ac:dyDescent="0.2">
      <c r="A315" s="13">
        <v>50</v>
      </c>
      <c r="B315" s="13">
        <v>0</v>
      </c>
      <c r="C315" s="13">
        <v>0</v>
      </c>
      <c r="D315" s="13">
        <v>1</v>
      </c>
      <c r="E315" s="13">
        <v>227</v>
      </c>
      <c r="F315" s="13">
        <f>ROUND(Source!AX308,O315)</f>
        <v>0</v>
      </c>
      <c r="G315" s="13" t="s">
        <v>103</v>
      </c>
      <c r="H315" s="13" t="s">
        <v>104</v>
      </c>
      <c r="I315" s="13"/>
      <c r="J315" s="13"/>
      <c r="K315" s="13">
        <v>227</v>
      </c>
      <c r="L315" s="13">
        <v>6</v>
      </c>
      <c r="M315" s="13">
        <v>3</v>
      </c>
      <c r="N315" s="13" t="s">
        <v>3</v>
      </c>
      <c r="O315" s="13">
        <v>2</v>
      </c>
      <c r="P315" s="13">
        <f>ROUND(Source!EP308,O315)</f>
        <v>0</v>
      </c>
      <c r="Q315" s="13"/>
      <c r="R315" s="13"/>
      <c r="S315" s="13"/>
      <c r="T315" s="13"/>
      <c r="U315" s="13"/>
      <c r="V315" s="13"/>
      <c r="W315" s="13">
        <v>0</v>
      </c>
      <c r="X315" s="13">
        <v>1</v>
      </c>
      <c r="Y315" s="13">
        <v>0</v>
      </c>
      <c r="Z315" s="13">
        <v>0</v>
      </c>
      <c r="AA315" s="13">
        <v>1</v>
      </c>
      <c r="AB315" s="13">
        <v>0</v>
      </c>
    </row>
    <row r="316" spans="1:255" x14ac:dyDescent="0.2">
      <c r="A316" s="13">
        <v>50</v>
      </c>
      <c r="B316" s="13">
        <v>0</v>
      </c>
      <c r="C316" s="13">
        <v>0</v>
      </c>
      <c r="D316" s="13">
        <v>1</v>
      </c>
      <c r="E316" s="13">
        <v>228</v>
      </c>
      <c r="F316" s="13">
        <f>ROUND(Source!AY308,O316)</f>
        <v>60799.360000000001</v>
      </c>
      <c r="G316" s="13" t="s">
        <v>105</v>
      </c>
      <c r="H316" s="13" t="s">
        <v>106</v>
      </c>
      <c r="I316" s="13"/>
      <c r="J316" s="13"/>
      <c r="K316" s="13">
        <v>228</v>
      </c>
      <c r="L316" s="13">
        <v>7</v>
      </c>
      <c r="M316" s="13">
        <v>3</v>
      </c>
      <c r="N316" s="13" t="s">
        <v>3</v>
      </c>
      <c r="O316" s="13">
        <v>2</v>
      </c>
      <c r="P316" s="13">
        <f>ROUND(Source!EQ308,O316)</f>
        <v>412216.1</v>
      </c>
      <c r="Q316" s="13"/>
      <c r="R316" s="13"/>
      <c r="S316" s="13"/>
      <c r="T316" s="13"/>
      <c r="U316" s="13"/>
      <c r="V316" s="13"/>
      <c r="W316" s="13">
        <v>60799.360000000001</v>
      </c>
      <c r="X316" s="13">
        <v>1</v>
      </c>
      <c r="Y316" s="13">
        <v>60799.360000000001</v>
      </c>
      <c r="Z316" s="13">
        <v>412216.1</v>
      </c>
      <c r="AA316" s="13">
        <v>1</v>
      </c>
      <c r="AB316" s="13">
        <v>412216.1</v>
      </c>
    </row>
    <row r="317" spans="1:255" x14ac:dyDescent="0.2">
      <c r="A317" s="13">
        <v>50</v>
      </c>
      <c r="B317" s="13">
        <v>0</v>
      </c>
      <c r="C317" s="13">
        <v>0</v>
      </c>
      <c r="D317" s="13">
        <v>1</v>
      </c>
      <c r="E317" s="13">
        <v>216</v>
      </c>
      <c r="F317" s="13">
        <f>ROUND(Source!AP308,O317)</f>
        <v>0</v>
      </c>
      <c r="G317" s="13" t="s">
        <v>107</v>
      </c>
      <c r="H317" s="13" t="s">
        <v>108</v>
      </c>
      <c r="I317" s="13"/>
      <c r="J317" s="13"/>
      <c r="K317" s="13">
        <v>216</v>
      </c>
      <c r="L317" s="13">
        <v>8</v>
      </c>
      <c r="M317" s="13">
        <v>3</v>
      </c>
      <c r="N317" s="13" t="s">
        <v>3</v>
      </c>
      <c r="O317" s="13">
        <v>2</v>
      </c>
      <c r="P317" s="13">
        <f>ROUND(Source!EH308,O317)</f>
        <v>0</v>
      </c>
      <c r="Q317" s="13"/>
      <c r="R317" s="13"/>
      <c r="S317" s="13"/>
      <c r="T317" s="13"/>
      <c r="U317" s="13"/>
      <c r="V317" s="13"/>
      <c r="W317" s="13">
        <v>0</v>
      </c>
      <c r="X317" s="13">
        <v>1</v>
      </c>
      <c r="Y317" s="13">
        <v>0</v>
      </c>
      <c r="Z317" s="13">
        <v>0</v>
      </c>
      <c r="AA317" s="13">
        <v>1</v>
      </c>
      <c r="AB317" s="13">
        <v>0</v>
      </c>
    </row>
    <row r="318" spans="1:255" x14ac:dyDescent="0.2">
      <c r="A318" s="13">
        <v>50</v>
      </c>
      <c r="B318" s="13">
        <v>0</v>
      </c>
      <c r="C318" s="13">
        <v>0</v>
      </c>
      <c r="D318" s="13">
        <v>1</v>
      </c>
      <c r="E318" s="13">
        <v>223</v>
      </c>
      <c r="F318" s="13">
        <f>ROUND(Source!AQ308,O318)</f>
        <v>0</v>
      </c>
      <c r="G318" s="13" t="s">
        <v>109</v>
      </c>
      <c r="H318" s="13" t="s">
        <v>110</v>
      </c>
      <c r="I318" s="13"/>
      <c r="J318" s="13"/>
      <c r="K318" s="13">
        <v>223</v>
      </c>
      <c r="L318" s="13">
        <v>9</v>
      </c>
      <c r="M318" s="13">
        <v>3</v>
      </c>
      <c r="N318" s="13" t="s">
        <v>3</v>
      </c>
      <c r="O318" s="13">
        <v>2</v>
      </c>
      <c r="P318" s="13">
        <f>ROUND(Source!EI308,O318)</f>
        <v>0</v>
      </c>
      <c r="Q318" s="13"/>
      <c r="R318" s="13"/>
      <c r="S318" s="13"/>
      <c r="T318" s="13"/>
      <c r="U318" s="13"/>
      <c r="V318" s="13"/>
      <c r="W318" s="13">
        <v>0</v>
      </c>
      <c r="X318" s="13">
        <v>1</v>
      </c>
      <c r="Y318" s="13">
        <v>0</v>
      </c>
      <c r="Z318" s="13">
        <v>0</v>
      </c>
      <c r="AA318" s="13">
        <v>1</v>
      </c>
      <c r="AB318" s="13">
        <v>0</v>
      </c>
    </row>
    <row r="319" spans="1:255" x14ac:dyDescent="0.2">
      <c r="A319" s="13">
        <v>50</v>
      </c>
      <c r="B319" s="13">
        <v>0</v>
      </c>
      <c r="C319" s="13">
        <v>0</v>
      </c>
      <c r="D319" s="13">
        <v>1</v>
      </c>
      <c r="E319" s="13">
        <v>229</v>
      </c>
      <c r="F319" s="13">
        <f>ROUND(Source!AZ308,O319)</f>
        <v>0</v>
      </c>
      <c r="G319" s="13" t="s">
        <v>111</v>
      </c>
      <c r="H319" s="13" t="s">
        <v>112</v>
      </c>
      <c r="I319" s="13"/>
      <c r="J319" s="13"/>
      <c r="K319" s="13">
        <v>229</v>
      </c>
      <c r="L319" s="13">
        <v>10</v>
      </c>
      <c r="M319" s="13">
        <v>3</v>
      </c>
      <c r="N319" s="13" t="s">
        <v>3</v>
      </c>
      <c r="O319" s="13">
        <v>2</v>
      </c>
      <c r="P319" s="13">
        <f>ROUND(Source!ER308,O319)</f>
        <v>0</v>
      </c>
      <c r="Q319" s="13"/>
      <c r="R319" s="13"/>
      <c r="S319" s="13"/>
      <c r="T319" s="13"/>
      <c r="U319" s="13"/>
      <c r="V319" s="13"/>
      <c r="W319" s="13">
        <v>0</v>
      </c>
      <c r="X319" s="13">
        <v>1</v>
      </c>
      <c r="Y319" s="13">
        <v>0</v>
      </c>
      <c r="Z319" s="13">
        <v>0</v>
      </c>
      <c r="AA319" s="13">
        <v>1</v>
      </c>
      <c r="AB319" s="13">
        <v>0</v>
      </c>
    </row>
    <row r="320" spans="1:255" x14ac:dyDescent="0.2">
      <c r="A320" s="13">
        <v>50</v>
      </c>
      <c r="B320" s="13">
        <v>0</v>
      </c>
      <c r="C320" s="13">
        <v>0</v>
      </c>
      <c r="D320" s="13">
        <v>1</v>
      </c>
      <c r="E320" s="13">
        <v>203</v>
      </c>
      <c r="F320" s="13">
        <f>ROUND(Source!Q308,O320)</f>
        <v>354.57</v>
      </c>
      <c r="G320" s="13" t="s">
        <v>113</v>
      </c>
      <c r="H320" s="13" t="s">
        <v>114</v>
      </c>
      <c r="I320" s="13"/>
      <c r="J320" s="13"/>
      <c r="K320" s="13">
        <v>203</v>
      </c>
      <c r="L320" s="13">
        <v>11</v>
      </c>
      <c r="M320" s="13">
        <v>3</v>
      </c>
      <c r="N320" s="13" t="s">
        <v>3</v>
      </c>
      <c r="O320" s="13">
        <v>2</v>
      </c>
      <c r="P320" s="13">
        <f>ROUND(Source!DI308,O320)</f>
        <v>5019.59</v>
      </c>
      <c r="Q320" s="13"/>
      <c r="R320" s="13"/>
      <c r="S320" s="13"/>
      <c r="T320" s="13"/>
      <c r="U320" s="13"/>
      <c r="V320" s="13"/>
      <c r="W320" s="13">
        <v>354.57</v>
      </c>
      <c r="X320" s="13">
        <v>1</v>
      </c>
      <c r="Y320" s="13">
        <v>354.57</v>
      </c>
      <c r="Z320" s="13">
        <v>5019.59</v>
      </c>
      <c r="AA320" s="13">
        <v>1</v>
      </c>
      <c r="AB320" s="13">
        <v>5019.59</v>
      </c>
    </row>
    <row r="321" spans="1:28" x14ac:dyDescent="0.2">
      <c r="A321" s="13">
        <v>50</v>
      </c>
      <c r="B321" s="13">
        <v>0</v>
      </c>
      <c r="C321" s="13">
        <v>0</v>
      </c>
      <c r="D321" s="13">
        <v>1</v>
      </c>
      <c r="E321" s="13">
        <v>231</v>
      </c>
      <c r="F321" s="13">
        <f>ROUND(Source!BB308,O321)</f>
        <v>0</v>
      </c>
      <c r="G321" s="13" t="s">
        <v>115</v>
      </c>
      <c r="H321" s="13" t="s">
        <v>116</v>
      </c>
      <c r="I321" s="13"/>
      <c r="J321" s="13"/>
      <c r="K321" s="13">
        <v>231</v>
      </c>
      <c r="L321" s="13">
        <v>12</v>
      </c>
      <c r="M321" s="13">
        <v>3</v>
      </c>
      <c r="N321" s="13" t="s">
        <v>3</v>
      </c>
      <c r="O321" s="13">
        <v>2</v>
      </c>
      <c r="P321" s="13">
        <f>ROUND(Source!ET308,O321)</f>
        <v>0</v>
      </c>
      <c r="Q321" s="13"/>
      <c r="R321" s="13"/>
      <c r="S321" s="13"/>
      <c r="T321" s="13"/>
      <c r="U321" s="13"/>
      <c r="V321" s="13"/>
      <c r="W321" s="13">
        <v>0</v>
      </c>
      <c r="X321" s="13">
        <v>1</v>
      </c>
      <c r="Y321" s="13">
        <v>0</v>
      </c>
      <c r="Z321" s="13">
        <v>0</v>
      </c>
      <c r="AA321" s="13">
        <v>1</v>
      </c>
      <c r="AB321" s="13">
        <v>0</v>
      </c>
    </row>
    <row r="322" spans="1:28" x14ac:dyDescent="0.2">
      <c r="A322" s="13">
        <v>50</v>
      </c>
      <c r="B322" s="13">
        <v>0</v>
      </c>
      <c r="C322" s="13">
        <v>0</v>
      </c>
      <c r="D322" s="13">
        <v>1</v>
      </c>
      <c r="E322" s="13">
        <v>204</v>
      </c>
      <c r="F322" s="13">
        <f>ROUND(Source!R308,O322)</f>
        <v>32.17</v>
      </c>
      <c r="G322" s="13" t="s">
        <v>117</v>
      </c>
      <c r="H322" s="13" t="s">
        <v>118</v>
      </c>
      <c r="I322" s="13"/>
      <c r="J322" s="13"/>
      <c r="K322" s="13">
        <v>204</v>
      </c>
      <c r="L322" s="13">
        <v>13</v>
      </c>
      <c r="M322" s="13">
        <v>3</v>
      </c>
      <c r="N322" s="13" t="s">
        <v>3</v>
      </c>
      <c r="O322" s="13">
        <v>2</v>
      </c>
      <c r="P322" s="13">
        <f>ROUND(Source!DJ308,O322)</f>
        <v>1812.78</v>
      </c>
      <c r="Q322" s="13"/>
      <c r="R322" s="13"/>
      <c r="S322" s="13"/>
      <c r="T322" s="13"/>
      <c r="U322" s="13"/>
      <c r="V322" s="13"/>
      <c r="W322" s="13">
        <v>32.17</v>
      </c>
      <c r="X322" s="13">
        <v>1</v>
      </c>
      <c r="Y322" s="13">
        <v>32.17</v>
      </c>
      <c r="Z322" s="13">
        <v>1812.78</v>
      </c>
      <c r="AA322" s="13">
        <v>1</v>
      </c>
      <c r="AB322" s="13">
        <v>1812.78</v>
      </c>
    </row>
    <row r="323" spans="1:28" x14ac:dyDescent="0.2">
      <c r="A323" s="13">
        <v>50</v>
      </c>
      <c r="B323" s="13">
        <v>0</v>
      </c>
      <c r="C323" s="13">
        <v>0</v>
      </c>
      <c r="D323" s="13">
        <v>1</v>
      </c>
      <c r="E323" s="13">
        <v>205</v>
      </c>
      <c r="F323" s="13">
        <f>ROUND(Source!S308,O323)</f>
        <v>7077.3</v>
      </c>
      <c r="G323" s="13" t="s">
        <v>119</v>
      </c>
      <c r="H323" s="13" t="s">
        <v>120</v>
      </c>
      <c r="I323" s="13"/>
      <c r="J323" s="13"/>
      <c r="K323" s="13">
        <v>205</v>
      </c>
      <c r="L323" s="13">
        <v>14</v>
      </c>
      <c r="M323" s="13">
        <v>3</v>
      </c>
      <c r="N323" s="13" t="s">
        <v>3</v>
      </c>
      <c r="O323" s="13">
        <v>2</v>
      </c>
      <c r="P323" s="13">
        <f>ROUND(Source!DK308,O323)</f>
        <v>398805.86</v>
      </c>
      <c r="Q323" s="13"/>
      <c r="R323" s="13"/>
      <c r="S323" s="13"/>
      <c r="T323" s="13"/>
      <c r="U323" s="13"/>
      <c r="V323" s="13"/>
      <c r="W323" s="13">
        <v>7077.3</v>
      </c>
      <c r="X323" s="13">
        <v>1</v>
      </c>
      <c r="Y323" s="13">
        <v>7077.3</v>
      </c>
      <c r="Z323" s="13">
        <v>398805.86</v>
      </c>
      <c r="AA323" s="13">
        <v>1</v>
      </c>
      <c r="AB323" s="13">
        <v>398805.86</v>
      </c>
    </row>
    <row r="324" spans="1:28" x14ac:dyDescent="0.2">
      <c r="A324" s="13">
        <v>50</v>
      </c>
      <c r="B324" s="13">
        <v>0</v>
      </c>
      <c r="C324" s="13">
        <v>0</v>
      </c>
      <c r="D324" s="13">
        <v>1</v>
      </c>
      <c r="E324" s="13">
        <v>232</v>
      </c>
      <c r="F324" s="13">
        <f>ROUND(Source!BC308,O324)</f>
        <v>0</v>
      </c>
      <c r="G324" s="13" t="s">
        <v>121</v>
      </c>
      <c r="H324" s="13" t="s">
        <v>122</v>
      </c>
      <c r="I324" s="13"/>
      <c r="J324" s="13"/>
      <c r="K324" s="13">
        <v>232</v>
      </c>
      <c r="L324" s="13">
        <v>15</v>
      </c>
      <c r="M324" s="13">
        <v>3</v>
      </c>
      <c r="N324" s="13" t="s">
        <v>3</v>
      </c>
      <c r="O324" s="13">
        <v>2</v>
      </c>
      <c r="P324" s="13">
        <f>ROUND(Source!EU308,O324)</f>
        <v>0</v>
      </c>
      <c r="Q324" s="13"/>
      <c r="R324" s="13"/>
      <c r="S324" s="13"/>
      <c r="T324" s="13"/>
      <c r="U324" s="13"/>
      <c r="V324" s="13"/>
      <c r="W324" s="13">
        <v>0</v>
      </c>
      <c r="X324" s="13">
        <v>1</v>
      </c>
      <c r="Y324" s="13">
        <v>0</v>
      </c>
      <c r="Z324" s="13">
        <v>0</v>
      </c>
      <c r="AA324" s="13">
        <v>1</v>
      </c>
      <c r="AB324" s="13">
        <v>0</v>
      </c>
    </row>
    <row r="325" spans="1:28" x14ac:dyDescent="0.2">
      <c r="A325" s="13">
        <v>50</v>
      </c>
      <c r="B325" s="13">
        <v>0</v>
      </c>
      <c r="C325" s="13">
        <v>0</v>
      </c>
      <c r="D325" s="13">
        <v>1</v>
      </c>
      <c r="E325" s="13">
        <v>214</v>
      </c>
      <c r="F325" s="13">
        <f>ROUND(Source!AS308,O325)</f>
        <v>0</v>
      </c>
      <c r="G325" s="13" t="s">
        <v>123</v>
      </c>
      <c r="H325" s="13" t="s">
        <v>124</v>
      </c>
      <c r="I325" s="13"/>
      <c r="J325" s="13"/>
      <c r="K325" s="13">
        <v>214</v>
      </c>
      <c r="L325" s="13">
        <v>16</v>
      </c>
      <c r="M325" s="13">
        <v>3</v>
      </c>
      <c r="N325" s="13" t="s">
        <v>3</v>
      </c>
      <c r="O325" s="13">
        <v>2</v>
      </c>
      <c r="P325" s="13">
        <f>ROUND(Source!EK308,O325)</f>
        <v>0</v>
      </c>
      <c r="Q325" s="13"/>
      <c r="R325" s="13"/>
      <c r="S325" s="13"/>
      <c r="T325" s="13"/>
      <c r="U325" s="13"/>
      <c r="V325" s="13"/>
      <c r="W325" s="13">
        <v>0</v>
      </c>
      <c r="X325" s="13">
        <v>1</v>
      </c>
      <c r="Y325" s="13">
        <v>0</v>
      </c>
      <c r="Z325" s="13">
        <v>0</v>
      </c>
      <c r="AA325" s="13">
        <v>1</v>
      </c>
      <c r="AB325" s="13">
        <v>0</v>
      </c>
    </row>
    <row r="326" spans="1:28" x14ac:dyDescent="0.2">
      <c r="A326" s="13">
        <v>50</v>
      </c>
      <c r="B326" s="13">
        <v>0</v>
      </c>
      <c r="C326" s="13">
        <v>0</v>
      </c>
      <c r="D326" s="13">
        <v>1</v>
      </c>
      <c r="E326" s="13">
        <v>215</v>
      </c>
      <c r="F326" s="13">
        <f>ROUND(Source!AT308,O326)</f>
        <v>78102.17</v>
      </c>
      <c r="G326" s="13" t="s">
        <v>125</v>
      </c>
      <c r="H326" s="13" t="s">
        <v>126</v>
      </c>
      <c r="I326" s="13"/>
      <c r="J326" s="13"/>
      <c r="K326" s="13">
        <v>215</v>
      </c>
      <c r="L326" s="13">
        <v>17</v>
      </c>
      <c r="M326" s="13">
        <v>3</v>
      </c>
      <c r="N326" s="13" t="s">
        <v>3</v>
      </c>
      <c r="O326" s="13">
        <v>2</v>
      </c>
      <c r="P326" s="13">
        <f>ROUND(Source!EL308,O326)</f>
        <v>1372268.48</v>
      </c>
      <c r="Q326" s="13"/>
      <c r="R326" s="13"/>
      <c r="S326" s="13"/>
      <c r="T326" s="13"/>
      <c r="U326" s="13"/>
      <c r="V326" s="13"/>
      <c r="W326" s="13">
        <v>78102.17</v>
      </c>
      <c r="X326" s="13">
        <v>1</v>
      </c>
      <c r="Y326" s="13">
        <v>78102.17</v>
      </c>
      <c r="Z326" s="13">
        <v>1372268.48</v>
      </c>
      <c r="AA326" s="13">
        <v>1</v>
      </c>
      <c r="AB326" s="13">
        <v>1372268.48</v>
      </c>
    </row>
    <row r="327" spans="1:28" x14ac:dyDescent="0.2">
      <c r="A327" s="13">
        <v>50</v>
      </c>
      <c r="B327" s="13">
        <v>0</v>
      </c>
      <c r="C327" s="13">
        <v>0</v>
      </c>
      <c r="D327" s="13">
        <v>1</v>
      </c>
      <c r="E327" s="13">
        <v>217</v>
      </c>
      <c r="F327" s="13">
        <f>ROUND(Source!AU308,O327)</f>
        <v>0</v>
      </c>
      <c r="G327" s="13" t="s">
        <v>127</v>
      </c>
      <c r="H327" s="13" t="s">
        <v>128</v>
      </c>
      <c r="I327" s="13"/>
      <c r="J327" s="13"/>
      <c r="K327" s="13">
        <v>217</v>
      </c>
      <c r="L327" s="13">
        <v>18</v>
      </c>
      <c r="M327" s="13">
        <v>3</v>
      </c>
      <c r="N327" s="13" t="s">
        <v>3</v>
      </c>
      <c r="O327" s="13">
        <v>2</v>
      </c>
      <c r="P327" s="13">
        <f>ROUND(Source!EM308,O327)</f>
        <v>0</v>
      </c>
      <c r="Q327" s="13"/>
      <c r="R327" s="13"/>
      <c r="S327" s="13"/>
      <c r="T327" s="13"/>
      <c r="U327" s="13"/>
      <c r="V327" s="13"/>
      <c r="W327" s="13">
        <v>0</v>
      </c>
      <c r="X327" s="13">
        <v>1</v>
      </c>
      <c r="Y327" s="13">
        <v>0</v>
      </c>
      <c r="Z327" s="13">
        <v>0</v>
      </c>
      <c r="AA327" s="13">
        <v>1</v>
      </c>
      <c r="AB327" s="13">
        <v>0</v>
      </c>
    </row>
    <row r="328" spans="1:28" x14ac:dyDescent="0.2">
      <c r="A328" s="13">
        <v>50</v>
      </c>
      <c r="B328" s="13">
        <v>0</v>
      </c>
      <c r="C328" s="13">
        <v>0</v>
      </c>
      <c r="D328" s="13">
        <v>1</v>
      </c>
      <c r="E328" s="13">
        <v>230</v>
      </c>
      <c r="F328" s="13">
        <f>ROUND(Source!BA308,O328)</f>
        <v>0</v>
      </c>
      <c r="G328" s="13" t="s">
        <v>129</v>
      </c>
      <c r="H328" s="13" t="s">
        <v>130</v>
      </c>
      <c r="I328" s="13"/>
      <c r="J328" s="13"/>
      <c r="K328" s="13">
        <v>230</v>
      </c>
      <c r="L328" s="13">
        <v>19</v>
      </c>
      <c r="M328" s="13">
        <v>3</v>
      </c>
      <c r="N328" s="13" t="s">
        <v>3</v>
      </c>
      <c r="O328" s="13">
        <v>2</v>
      </c>
      <c r="P328" s="13">
        <f>ROUND(Source!ES308,O328)</f>
        <v>0</v>
      </c>
      <c r="Q328" s="13"/>
      <c r="R328" s="13"/>
      <c r="S328" s="13"/>
      <c r="T328" s="13"/>
      <c r="U328" s="13"/>
      <c r="V328" s="13"/>
      <c r="W328" s="13">
        <v>0</v>
      </c>
      <c r="X328" s="13">
        <v>1</v>
      </c>
      <c r="Y328" s="13">
        <v>0</v>
      </c>
      <c r="Z328" s="13">
        <v>0</v>
      </c>
      <c r="AA328" s="13">
        <v>1</v>
      </c>
      <c r="AB328" s="13">
        <v>0</v>
      </c>
    </row>
    <row r="329" spans="1:28" x14ac:dyDescent="0.2">
      <c r="A329" s="13">
        <v>50</v>
      </c>
      <c r="B329" s="13">
        <v>0</v>
      </c>
      <c r="C329" s="13">
        <v>0</v>
      </c>
      <c r="D329" s="13">
        <v>1</v>
      </c>
      <c r="E329" s="13">
        <v>206</v>
      </c>
      <c r="F329" s="13">
        <f>ROUND(Source!T308,O329)</f>
        <v>0</v>
      </c>
      <c r="G329" s="13" t="s">
        <v>131</v>
      </c>
      <c r="H329" s="13" t="s">
        <v>132</v>
      </c>
      <c r="I329" s="13"/>
      <c r="J329" s="13"/>
      <c r="K329" s="13">
        <v>206</v>
      </c>
      <c r="L329" s="13">
        <v>20</v>
      </c>
      <c r="M329" s="13">
        <v>3</v>
      </c>
      <c r="N329" s="13" t="s">
        <v>3</v>
      </c>
      <c r="O329" s="13">
        <v>2</v>
      </c>
      <c r="P329" s="13">
        <f>ROUND(Source!DL308,O329)</f>
        <v>0</v>
      </c>
      <c r="Q329" s="13"/>
      <c r="R329" s="13"/>
      <c r="S329" s="13"/>
      <c r="T329" s="13"/>
      <c r="U329" s="13"/>
      <c r="V329" s="13"/>
      <c r="W329" s="13">
        <v>0</v>
      </c>
      <c r="X329" s="13">
        <v>1</v>
      </c>
      <c r="Y329" s="13">
        <v>0</v>
      </c>
      <c r="Z329" s="13">
        <v>0</v>
      </c>
      <c r="AA329" s="13">
        <v>1</v>
      </c>
      <c r="AB329" s="13">
        <v>0</v>
      </c>
    </row>
    <row r="330" spans="1:28" x14ac:dyDescent="0.2">
      <c r="A330" s="13">
        <v>50</v>
      </c>
      <c r="B330" s="13">
        <v>0</v>
      </c>
      <c r="C330" s="13">
        <v>0</v>
      </c>
      <c r="D330" s="13">
        <v>1</v>
      </c>
      <c r="E330" s="13">
        <v>207</v>
      </c>
      <c r="F330" s="13">
        <f>Source!U308</f>
        <v>590.60097359999997</v>
      </c>
      <c r="G330" s="13" t="s">
        <v>133</v>
      </c>
      <c r="H330" s="13" t="s">
        <v>134</v>
      </c>
      <c r="I330" s="13"/>
      <c r="J330" s="13"/>
      <c r="K330" s="13">
        <v>207</v>
      </c>
      <c r="L330" s="13">
        <v>21</v>
      </c>
      <c r="M330" s="13">
        <v>3</v>
      </c>
      <c r="N330" s="13" t="s">
        <v>3</v>
      </c>
      <c r="O330" s="13">
        <v>-1</v>
      </c>
      <c r="P330" s="13">
        <f>Source!DM308</f>
        <v>590.60097359999997</v>
      </c>
      <c r="Q330" s="13"/>
      <c r="R330" s="13"/>
      <c r="S330" s="13"/>
      <c r="T330" s="13"/>
      <c r="U330" s="13"/>
      <c r="V330" s="13"/>
      <c r="W330" s="13">
        <v>590.60097360000009</v>
      </c>
      <c r="X330" s="13">
        <v>1</v>
      </c>
      <c r="Y330" s="13">
        <v>590.60097360000009</v>
      </c>
      <c r="Z330" s="13">
        <v>590.60097360000009</v>
      </c>
      <c r="AA330" s="13">
        <v>1</v>
      </c>
      <c r="AB330" s="13">
        <v>590.60097360000009</v>
      </c>
    </row>
    <row r="331" spans="1:28" x14ac:dyDescent="0.2">
      <c r="A331" s="13">
        <v>50</v>
      </c>
      <c r="B331" s="13">
        <v>0</v>
      </c>
      <c r="C331" s="13">
        <v>0</v>
      </c>
      <c r="D331" s="13">
        <v>1</v>
      </c>
      <c r="E331" s="13">
        <v>208</v>
      </c>
      <c r="F331" s="13">
        <f>Source!V308</f>
        <v>0</v>
      </c>
      <c r="G331" s="13" t="s">
        <v>135</v>
      </c>
      <c r="H331" s="13" t="s">
        <v>136</v>
      </c>
      <c r="I331" s="13"/>
      <c r="J331" s="13"/>
      <c r="K331" s="13">
        <v>208</v>
      </c>
      <c r="L331" s="13">
        <v>22</v>
      </c>
      <c r="M331" s="13">
        <v>3</v>
      </c>
      <c r="N331" s="13" t="s">
        <v>3</v>
      </c>
      <c r="O331" s="13">
        <v>-1</v>
      </c>
      <c r="P331" s="13">
        <f>Source!DN308</f>
        <v>0</v>
      </c>
      <c r="Q331" s="13"/>
      <c r="R331" s="13"/>
      <c r="S331" s="13"/>
      <c r="T331" s="13"/>
      <c r="U331" s="13"/>
      <c r="V331" s="13"/>
      <c r="W331" s="13">
        <v>0</v>
      </c>
      <c r="X331" s="13">
        <v>1</v>
      </c>
      <c r="Y331" s="13">
        <v>0</v>
      </c>
      <c r="Z331" s="13">
        <v>0</v>
      </c>
      <c r="AA331" s="13">
        <v>1</v>
      </c>
      <c r="AB331" s="13">
        <v>0</v>
      </c>
    </row>
    <row r="332" spans="1:28" x14ac:dyDescent="0.2">
      <c r="A332" s="13">
        <v>50</v>
      </c>
      <c r="B332" s="13">
        <v>0</v>
      </c>
      <c r="C332" s="13">
        <v>0</v>
      </c>
      <c r="D332" s="13">
        <v>1</v>
      </c>
      <c r="E332" s="13">
        <v>209</v>
      </c>
      <c r="F332" s="13">
        <f>ROUND(Source!W308,O332)</f>
        <v>0</v>
      </c>
      <c r="G332" s="13" t="s">
        <v>137</v>
      </c>
      <c r="H332" s="13" t="s">
        <v>138</v>
      </c>
      <c r="I332" s="13"/>
      <c r="J332" s="13"/>
      <c r="K332" s="13">
        <v>209</v>
      </c>
      <c r="L332" s="13">
        <v>23</v>
      </c>
      <c r="M332" s="13">
        <v>3</v>
      </c>
      <c r="N332" s="13" t="s">
        <v>3</v>
      </c>
      <c r="O332" s="13">
        <v>2</v>
      </c>
      <c r="P332" s="13">
        <f>ROUND(Source!DO308,O332)</f>
        <v>0</v>
      </c>
      <c r="Q332" s="13"/>
      <c r="R332" s="13"/>
      <c r="S332" s="13"/>
      <c r="T332" s="13"/>
      <c r="U332" s="13"/>
      <c r="V332" s="13"/>
      <c r="W332" s="13">
        <v>0</v>
      </c>
      <c r="X332" s="13">
        <v>1</v>
      </c>
      <c r="Y332" s="13">
        <v>0</v>
      </c>
      <c r="Z332" s="13">
        <v>0</v>
      </c>
      <c r="AA332" s="13">
        <v>1</v>
      </c>
      <c r="AB332" s="13">
        <v>0</v>
      </c>
    </row>
    <row r="333" spans="1:28" x14ac:dyDescent="0.2">
      <c r="A333" s="13">
        <v>50</v>
      </c>
      <c r="B333" s="13">
        <v>0</v>
      </c>
      <c r="C333" s="13">
        <v>0</v>
      </c>
      <c r="D333" s="13">
        <v>1</v>
      </c>
      <c r="E333" s="13">
        <v>233</v>
      </c>
      <c r="F333" s="13">
        <f>ROUND(Source!BD308,O333)</f>
        <v>0</v>
      </c>
      <c r="G333" s="13" t="s">
        <v>139</v>
      </c>
      <c r="H333" s="13" t="s">
        <v>140</v>
      </c>
      <c r="I333" s="13"/>
      <c r="J333" s="13"/>
      <c r="K333" s="13">
        <v>233</v>
      </c>
      <c r="L333" s="13">
        <v>24</v>
      </c>
      <c r="M333" s="13">
        <v>3</v>
      </c>
      <c r="N333" s="13" t="s">
        <v>3</v>
      </c>
      <c r="O333" s="13">
        <v>2</v>
      </c>
      <c r="P333" s="13">
        <f>ROUND(Source!EV308,O333)</f>
        <v>0</v>
      </c>
      <c r="Q333" s="13"/>
      <c r="R333" s="13"/>
      <c r="S333" s="13"/>
      <c r="T333" s="13"/>
      <c r="U333" s="13"/>
      <c r="V333" s="13"/>
      <c r="W333" s="13">
        <v>0</v>
      </c>
      <c r="X333" s="13">
        <v>1</v>
      </c>
      <c r="Y333" s="13">
        <v>0</v>
      </c>
      <c r="Z333" s="13">
        <v>0</v>
      </c>
      <c r="AA333" s="13">
        <v>1</v>
      </c>
      <c r="AB333" s="13">
        <v>0</v>
      </c>
    </row>
    <row r="334" spans="1:28" x14ac:dyDescent="0.2">
      <c r="A334" s="13">
        <v>50</v>
      </c>
      <c r="B334" s="13">
        <v>0</v>
      </c>
      <c r="C334" s="13">
        <v>0</v>
      </c>
      <c r="D334" s="13">
        <v>1</v>
      </c>
      <c r="E334" s="13">
        <v>210</v>
      </c>
      <c r="F334" s="13">
        <f>ROUND(Source!X308,O334)</f>
        <v>6516.39</v>
      </c>
      <c r="G334" s="13" t="s">
        <v>141</v>
      </c>
      <c r="H334" s="13" t="s">
        <v>142</v>
      </c>
      <c r="I334" s="13"/>
      <c r="J334" s="13"/>
      <c r="K334" s="13">
        <v>210</v>
      </c>
      <c r="L334" s="13">
        <v>25</v>
      </c>
      <c r="M334" s="13">
        <v>3</v>
      </c>
      <c r="N334" s="13" t="s">
        <v>3</v>
      </c>
      <c r="O334" s="13">
        <v>2</v>
      </c>
      <c r="P334" s="13">
        <f>ROUND(Source!DP308,O334)</f>
        <v>367198.36</v>
      </c>
      <c r="Q334" s="13"/>
      <c r="R334" s="13"/>
      <c r="S334" s="13"/>
      <c r="T334" s="13"/>
      <c r="U334" s="13"/>
      <c r="V334" s="13"/>
      <c r="W334" s="13">
        <v>6516.39</v>
      </c>
      <c r="X334" s="13">
        <v>1</v>
      </c>
      <c r="Y334" s="13">
        <v>6516.39</v>
      </c>
      <c r="Z334" s="13">
        <v>367198.36</v>
      </c>
      <c r="AA334" s="13">
        <v>1</v>
      </c>
      <c r="AB334" s="13">
        <v>367198.36</v>
      </c>
    </row>
    <row r="335" spans="1:28" x14ac:dyDescent="0.2">
      <c r="A335" s="13">
        <v>50</v>
      </c>
      <c r="B335" s="13">
        <v>0</v>
      </c>
      <c r="C335" s="13">
        <v>0</v>
      </c>
      <c r="D335" s="13">
        <v>1</v>
      </c>
      <c r="E335" s="13">
        <v>211</v>
      </c>
      <c r="F335" s="13">
        <f>ROUND(Source!Y308,O335)</f>
        <v>3354.55</v>
      </c>
      <c r="G335" s="13" t="s">
        <v>143</v>
      </c>
      <c r="H335" s="13" t="s">
        <v>144</v>
      </c>
      <c r="I335" s="13"/>
      <c r="J335" s="13"/>
      <c r="K335" s="13">
        <v>211</v>
      </c>
      <c r="L335" s="13">
        <v>26</v>
      </c>
      <c r="M335" s="13">
        <v>3</v>
      </c>
      <c r="N335" s="13" t="s">
        <v>3</v>
      </c>
      <c r="O335" s="13">
        <v>2</v>
      </c>
      <c r="P335" s="13">
        <f>ROUND(Source!DQ308,O335)</f>
        <v>189028.57</v>
      </c>
      <c r="Q335" s="13"/>
      <c r="R335" s="13"/>
      <c r="S335" s="13"/>
      <c r="T335" s="13"/>
      <c r="U335" s="13"/>
      <c r="V335" s="13"/>
      <c r="W335" s="13">
        <v>3354.55</v>
      </c>
      <c r="X335" s="13">
        <v>1</v>
      </c>
      <c r="Y335" s="13">
        <v>3354.55</v>
      </c>
      <c r="Z335" s="13">
        <v>189028.57</v>
      </c>
      <c r="AA335" s="13">
        <v>1</v>
      </c>
      <c r="AB335" s="13">
        <v>189028.57</v>
      </c>
    </row>
    <row r="336" spans="1:28" x14ac:dyDescent="0.2">
      <c r="A336" s="13">
        <v>50</v>
      </c>
      <c r="B336" s="13">
        <v>0</v>
      </c>
      <c r="C336" s="13">
        <v>0</v>
      </c>
      <c r="D336" s="13">
        <v>1</v>
      </c>
      <c r="E336" s="13">
        <v>224</v>
      </c>
      <c r="F336" s="13">
        <f>ROUND(Source!AR308,O336)</f>
        <v>78102.17</v>
      </c>
      <c r="G336" s="13" t="s">
        <v>145</v>
      </c>
      <c r="H336" s="13" t="s">
        <v>146</v>
      </c>
      <c r="I336" s="13"/>
      <c r="J336" s="13"/>
      <c r="K336" s="13">
        <v>224</v>
      </c>
      <c r="L336" s="13">
        <v>27</v>
      </c>
      <c r="M336" s="13">
        <v>3</v>
      </c>
      <c r="N336" s="13" t="s">
        <v>3</v>
      </c>
      <c r="O336" s="13">
        <v>2</v>
      </c>
      <c r="P336" s="13">
        <f>ROUND(Source!EJ308,O336)</f>
        <v>1372268.48</v>
      </c>
      <c r="Q336" s="13"/>
      <c r="R336" s="13"/>
      <c r="S336" s="13"/>
      <c r="T336" s="13"/>
      <c r="U336" s="13"/>
      <c r="V336" s="13"/>
      <c r="W336" s="13">
        <v>78102.17</v>
      </c>
      <c r="X336" s="13">
        <v>1</v>
      </c>
      <c r="Y336" s="13">
        <v>78102.17</v>
      </c>
      <c r="Z336" s="13">
        <v>1372268.48</v>
      </c>
      <c r="AA336" s="13">
        <v>1</v>
      </c>
      <c r="AB336" s="13">
        <v>1372268.48</v>
      </c>
    </row>
    <row r="338" spans="1:255" x14ac:dyDescent="0.2">
      <c r="A338" s="10">
        <v>4</v>
      </c>
      <c r="B338" s="10">
        <v>1</v>
      </c>
      <c r="C338" s="10"/>
      <c r="D338" s="10">
        <f>ROW(A355)</f>
        <v>355</v>
      </c>
      <c r="E338" s="10"/>
      <c r="F338" s="10" t="s">
        <v>44</v>
      </c>
      <c r="G338" s="10" t="s">
        <v>285</v>
      </c>
      <c r="H338" s="10" t="s">
        <v>3</v>
      </c>
      <c r="I338" s="10">
        <v>0</v>
      </c>
      <c r="J338" s="10"/>
      <c r="K338" s="10">
        <v>-1</v>
      </c>
      <c r="L338" s="10"/>
      <c r="M338" s="10" t="s">
        <v>3</v>
      </c>
      <c r="N338" s="10"/>
      <c r="O338" s="10"/>
      <c r="P338" s="10"/>
      <c r="Q338" s="10"/>
      <c r="R338" s="10"/>
      <c r="S338" s="10">
        <v>0</v>
      </c>
      <c r="T338" s="10">
        <v>0</v>
      </c>
      <c r="U338" s="10" t="s">
        <v>3</v>
      </c>
      <c r="V338" s="10">
        <v>0</v>
      </c>
      <c r="W338" s="10"/>
      <c r="X338" s="10"/>
      <c r="Y338" s="10"/>
      <c r="Z338" s="10"/>
      <c r="AA338" s="10"/>
      <c r="AB338" s="10" t="s">
        <v>3</v>
      </c>
      <c r="AC338" s="10" t="s">
        <v>3</v>
      </c>
      <c r="AD338" s="10" t="s">
        <v>3</v>
      </c>
      <c r="AE338" s="10" t="s">
        <v>3</v>
      </c>
      <c r="AF338" s="10" t="s">
        <v>3</v>
      </c>
      <c r="AG338" s="10" t="s">
        <v>3</v>
      </c>
      <c r="AH338" s="10"/>
      <c r="AI338" s="10"/>
      <c r="AJ338" s="10"/>
      <c r="AK338" s="10"/>
      <c r="AL338" s="10"/>
      <c r="AM338" s="10"/>
      <c r="AN338" s="10"/>
      <c r="AO338" s="10"/>
      <c r="AP338" s="10" t="s">
        <v>3</v>
      </c>
      <c r="AQ338" s="10" t="s">
        <v>3</v>
      </c>
      <c r="AR338" s="10" t="s">
        <v>3</v>
      </c>
      <c r="AS338" s="10"/>
      <c r="AT338" s="10"/>
      <c r="AU338" s="10"/>
      <c r="AV338" s="10"/>
      <c r="AW338" s="10"/>
      <c r="AX338" s="10"/>
      <c r="AY338" s="10"/>
      <c r="AZ338" s="10" t="s">
        <v>3</v>
      </c>
      <c r="BA338" s="10"/>
      <c r="BB338" s="10" t="s">
        <v>3</v>
      </c>
      <c r="BC338" s="10" t="s">
        <v>3</v>
      </c>
      <c r="BD338" s="10" t="s">
        <v>3</v>
      </c>
      <c r="BE338" s="10" t="s">
        <v>3</v>
      </c>
      <c r="BF338" s="10" t="s">
        <v>3</v>
      </c>
      <c r="BG338" s="10" t="s">
        <v>3</v>
      </c>
      <c r="BH338" s="10" t="s">
        <v>3</v>
      </c>
      <c r="BI338" s="10" t="s">
        <v>3</v>
      </c>
      <c r="BJ338" s="10" t="s">
        <v>3</v>
      </c>
      <c r="BK338" s="10" t="s">
        <v>3</v>
      </c>
      <c r="BL338" s="10" t="s">
        <v>3</v>
      </c>
      <c r="BM338" s="10" t="s">
        <v>3</v>
      </c>
      <c r="BN338" s="10" t="s">
        <v>3</v>
      </c>
      <c r="BO338" s="10" t="s">
        <v>3</v>
      </c>
      <c r="BP338" s="10" t="s">
        <v>3</v>
      </c>
      <c r="BQ338" s="10"/>
      <c r="BR338" s="10"/>
      <c r="BS338" s="10"/>
      <c r="BT338" s="10"/>
      <c r="BU338" s="10"/>
      <c r="BV338" s="10"/>
      <c r="BW338" s="10"/>
      <c r="BX338" s="10">
        <v>0</v>
      </c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>
        <v>0</v>
      </c>
    </row>
    <row r="340" spans="1:255" x14ac:dyDescent="0.2">
      <c r="A340" s="11">
        <v>52</v>
      </c>
      <c r="B340" s="11">
        <f t="shared" ref="B340:G340" si="289">B355</f>
        <v>1</v>
      </c>
      <c r="C340" s="11">
        <f t="shared" si="289"/>
        <v>4</v>
      </c>
      <c r="D340" s="11">
        <f t="shared" si="289"/>
        <v>338</v>
      </c>
      <c r="E340" s="11">
        <f t="shared" si="289"/>
        <v>0</v>
      </c>
      <c r="F340" s="11" t="str">
        <f t="shared" si="289"/>
        <v>6</v>
      </c>
      <c r="G340" s="11" t="str">
        <f t="shared" si="289"/>
        <v>АРМ</v>
      </c>
      <c r="H340" s="11"/>
      <c r="I340" s="11"/>
      <c r="J340" s="11"/>
      <c r="K340" s="11"/>
      <c r="L340" s="11"/>
      <c r="M340" s="11"/>
      <c r="N340" s="11"/>
      <c r="O340" s="11">
        <f t="shared" ref="O340:AT340" si="290">O355</f>
        <v>21181.119999999999</v>
      </c>
      <c r="P340" s="11">
        <f t="shared" si="290"/>
        <v>21070.13</v>
      </c>
      <c r="Q340" s="11">
        <f t="shared" si="290"/>
        <v>0</v>
      </c>
      <c r="R340" s="11">
        <f t="shared" si="290"/>
        <v>0</v>
      </c>
      <c r="S340" s="11">
        <f t="shared" si="290"/>
        <v>110.99</v>
      </c>
      <c r="T340" s="11">
        <f t="shared" si="290"/>
        <v>0</v>
      </c>
      <c r="U340" s="11">
        <f t="shared" si="290"/>
        <v>8.7948000000000004</v>
      </c>
      <c r="V340" s="11">
        <f t="shared" si="290"/>
        <v>0</v>
      </c>
      <c r="W340" s="11">
        <f t="shared" si="290"/>
        <v>0</v>
      </c>
      <c r="X340" s="11">
        <f t="shared" si="290"/>
        <v>105.44</v>
      </c>
      <c r="Y340" s="11">
        <f t="shared" si="290"/>
        <v>58.82</v>
      </c>
      <c r="Z340" s="11">
        <f t="shared" si="290"/>
        <v>0</v>
      </c>
      <c r="AA340" s="11">
        <f t="shared" si="290"/>
        <v>0</v>
      </c>
      <c r="AB340" s="11">
        <f t="shared" si="290"/>
        <v>21181.119999999999</v>
      </c>
      <c r="AC340" s="11">
        <f t="shared" si="290"/>
        <v>21070.13</v>
      </c>
      <c r="AD340" s="11">
        <f t="shared" si="290"/>
        <v>0</v>
      </c>
      <c r="AE340" s="11">
        <f t="shared" si="290"/>
        <v>0</v>
      </c>
      <c r="AF340" s="11">
        <f t="shared" si="290"/>
        <v>110.99</v>
      </c>
      <c r="AG340" s="11">
        <f t="shared" si="290"/>
        <v>0</v>
      </c>
      <c r="AH340" s="11">
        <f t="shared" si="290"/>
        <v>8.7948000000000004</v>
      </c>
      <c r="AI340" s="11">
        <f t="shared" si="290"/>
        <v>0</v>
      </c>
      <c r="AJ340" s="11">
        <f t="shared" si="290"/>
        <v>0</v>
      </c>
      <c r="AK340" s="11">
        <f t="shared" si="290"/>
        <v>105.44</v>
      </c>
      <c r="AL340" s="11">
        <f t="shared" si="290"/>
        <v>58.82</v>
      </c>
      <c r="AM340" s="11">
        <f t="shared" si="290"/>
        <v>0</v>
      </c>
      <c r="AN340" s="11">
        <f t="shared" si="290"/>
        <v>0</v>
      </c>
      <c r="AO340" s="11">
        <f t="shared" si="290"/>
        <v>0</v>
      </c>
      <c r="AP340" s="11">
        <f t="shared" si="290"/>
        <v>21035.26</v>
      </c>
      <c r="AQ340" s="11">
        <f t="shared" si="290"/>
        <v>0</v>
      </c>
      <c r="AR340" s="11">
        <f t="shared" si="290"/>
        <v>21345.38</v>
      </c>
      <c r="AS340" s="11">
        <f t="shared" si="290"/>
        <v>0</v>
      </c>
      <c r="AT340" s="11">
        <f t="shared" si="290"/>
        <v>310.12</v>
      </c>
      <c r="AU340" s="11">
        <f t="shared" ref="AU340:BZ340" si="291">AU355</f>
        <v>0</v>
      </c>
      <c r="AV340" s="11">
        <f t="shared" si="291"/>
        <v>21070.13</v>
      </c>
      <c r="AW340" s="11">
        <f t="shared" si="291"/>
        <v>34.869999999999997</v>
      </c>
      <c r="AX340" s="11">
        <f t="shared" si="291"/>
        <v>0</v>
      </c>
      <c r="AY340" s="11">
        <f t="shared" si="291"/>
        <v>34.869999999999997</v>
      </c>
      <c r="AZ340" s="11">
        <f t="shared" si="291"/>
        <v>21035.26</v>
      </c>
      <c r="BA340" s="11">
        <f t="shared" si="291"/>
        <v>0</v>
      </c>
      <c r="BB340" s="11">
        <f t="shared" si="291"/>
        <v>0</v>
      </c>
      <c r="BC340" s="11">
        <f t="shared" si="291"/>
        <v>0</v>
      </c>
      <c r="BD340" s="11">
        <f t="shared" si="291"/>
        <v>0</v>
      </c>
      <c r="BE340" s="11">
        <f t="shared" si="291"/>
        <v>0</v>
      </c>
      <c r="BF340" s="11">
        <f t="shared" si="291"/>
        <v>0</v>
      </c>
      <c r="BG340" s="11">
        <f t="shared" si="291"/>
        <v>0</v>
      </c>
      <c r="BH340" s="11">
        <f t="shared" si="291"/>
        <v>0</v>
      </c>
      <c r="BI340" s="11">
        <f t="shared" si="291"/>
        <v>0</v>
      </c>
      <c r="BJ340" s="11">
        <f t="shared" si="291"/>
        <v>0</v>
      </c>
      <c r="BK340" s="11">
        <f t="shared" si="291"/>
        <v>0</v>
      </c>
      <c r="BL340" s="11">
        <f t="shared" si="291"/>
        <v>0</v>
      </c>
      <c r="BM340" s="11">
        <f t="shared" si="291"/>
        <v>0</v>
      </c>
      <c r="BN340" s="11">
        <f t="shared" si="291"/>
        <v>0</v>
      </c>
      <c r="BO340" s="11">
        <f t="shared" si="291"/>
        <v>0</v>
      </c>
      <c r="BP340" s="11">
        <f t="shared" si="291"/>
        <v>0</v>
      </c>
      <c r="BQ340" s="11">
        <f t="shared" si="291"/>
        <v>0</v>
      </c>
      <c r="BR340" s="11">
        <f t="shared" si="291"/>
        <v>0</v>
      </c>
      <c r="BS340" s="11">
        <f t="shared" si="291"/>
        <v>0</v>
      </c>
      <c r="BT340" s="11">
        <f t="shared" si="291"/>
        <v>0</v>
      </c>
      <c r="BU340" s="11">
        <f t="shared" si="291"/>
        <v>0</v>
      </c>
      <c r="BV340" s="11">
        <f t="shared" si="291"/>
        <v>0</v>
      </c>
      <c r="BW340" s="11">
        <f t="shared" si="291"/>
        <v>0</v>
      </c>
      <c r="BX340" s="11">
        <f t="shared" si="291"/>
        <v>0</v>
      </c>
      <c r="BY340" s="11">
        <f t="shared" si="291"/>
        <v>21035.26</v>
      </c>
      <c r="BZ340" s="11">
        <f t="shared" si="291"/>
        <v>0</v>
      </c>
      <c r="CA340" s="11">
        <f t="shared" ref="CA340:DF340" si="292">CA355</f>
        <v>21345.38</v>
      </c>
      <c r="CB340" s="11">
        <f t="shared" si="292"/>
        <v>0</v>
      </c>
      <c r="CC340" s="11">
        <f t="shared" si="292"/>
        <v>310.12</v>
      </c>
      <c r="CD340" s="11">
        <f t="shared" si="292"/>
        <v>0</v>
      </c>
      <c r="CE340" s="11">
        <f t="shared" si="292"/>
        <v>21070.13</v>
      </c>
      <c r="CF340" s="11">
        <f t="shared" si="292"/>
        <v>34.870000000002619</v>
      </c>
      <c r="CG340" s="11">
        <f t="shared" si="292"/>
        <v>0</v>
      </c>
      <c r="CH340" s="11">
        <f t="shared" si="292"/>
        <v>34.870000000002619</v>
      </c>
      <c r="CI340" s="11">
        <f t="shared" si="292"/>
        <v>21035.26</v>
      </c>
      <c r="CJ340" s="11">
        <f t="shared" si="292"/>
        <v>0</v>
      </c>
      <c r="CK340" s="11">
        <f t="shared" si="292"/>
        <v>0</v>
      </c>
      <c r="CL340" s="11">
        <f t="shared" si="292"/>
        <v>0</v>
      </c>
      <c r="CM340" s="11">
        <f t="shared" si="292"/>
        <v>0</v>
      </c>
      <c r="CN340" s="11">
        <f t="shared" si="292"/>
        <v>0</v>
      </c>
      <c r="CO340" s="11">
        <f t="shared" si="292"/>
        <v>0</v>
      </c>
      <c r="CP340" s="11">
        <f t="shared" si="292"/>
        <v>0</v>
      </c>
      <c r="CQ340" s="11">
        <f t="shared" si="292"/>
        <v>0</v>
      </c>
      <c r="CR340" s="11">
        <f t="shared" si="292"/>
        <v>0</v>
      </c>
      <c r="CS340" s="11">
        <f t="shared" si="292"/>
        <v>0</v>
      </c>
      <c r="CT340" s="11">
        <f t="shared" si="292"/>
        <v>0</v>
      </c>
      <c r="CU340" s="11">
        <f t="shared" si="292"/>
        <v>0</v>
      </c>
      <c r="CV340" s="11">
        <f t="shared" si="292"/>
        <v>0</v>
      </c>
      <c r="CW340" s="11">
        <f t="shared" si="292"/>
        <v>0</v>
      </c>
      <c r="CX340" s="11">
        <f t="shared" si="292"/>
        <v>0</v>
      </c>
      <c r="CY340" s="11">
        <f t="shared" si="292"/>
        <v>0</v>
      </c>
      <c r="CZ340" s="11">
        <f t="shared" si="292"/>
        <v>0</v>
      </c>
      <c r="DA340" s="11">
        <f t="shared" si="292"/>
        <v>0</v>
      </c>
      <c r="DB340" s="11">
        <f t="shared" si="292"/>
        <v>0</v>
      </c>
      <c r="DC340" s="11">
        <f t="shared" si="292"/>
        <v>0</v>
      </c>
      <c r="DD340" s="11">
        <f t="shared" si="292"/>
        <v>0</v>
      </c>
      <c r="DE340" s="11">
        <f t="shared" si="292"/>
        <v>0</v>
      </c>
      <c r="DF340" s="11">
        <f t="shared" si="292"/>
        <v>0</v>
      </c>
      <c r="DG340" s="12">
        <f t="shared" ref="DG340:EL340" si="293">DG355</f>
        <v>212539.4</v>
      </c>
      <c r="DH340" s="12">
        <f t="shared" si="293"/>
        <v>206285.11</v>
      </c>
      <c r="DI340" s="12">
        <f t="shared" si="293"/>
        <v>0</v>
      </c>
      <c r="DJ340" s="12">
        <f t="shared" si="293"/>
        <v>0</v>
      </c>
      <c r="DK340" s="12">
        <f t="shared" si="293"/>
        <v>6254.29</v>
      </c>
      <c r="DL340" s="12">
        <f t="shared" si="293"/>
        <v>0</v>
      </c>
      <c r="DM340" s="12">
        <f t="shared" si="293"/>
        <v>8.7948000000000004</v>
      </c>
      <c r="DN340" s="12">
        <f t="shared" si="293"/>
        <v>0</v>
      </c>
      <c r="DO340" s="12">
        <f t="shared" si="293"/>
        <v>0</v>
      </c>
      <c r="DP340" s="12">
        <f t="shared" si="293"/>
        <v>5941.58</v>
      </c>
      <c r="DQ340" s="12">
        <f t="shared" si="293"/>
        <v>3314.77</v>
      </c>
      <c r="DR340" s="12">
        <f t="shared" si="293"/>
        <v>0</v>
      </c>
      <c r="DS340" s="12">
        <f t="shared" si="293"/>
        <v>0</v>
      </c>
      <c r="DT340" s="12">
        <f t="shared" si="293"/>
        <v>212539.4</v>
      </c>
      <c r="DU340" s="12">
        <f t="shared" si="293"/>
        <v>206285.11</v>
      </c>
      <c r="DV340" s="12">
        <f t="shared" si="293"/>
        <v>0</v>
      </c>
      <c r="DW340" s="12">
        <f t="shared" si="293"/>
        <v>0</v>
      </c>
      <c r="DX340" s="12">
        <f t="shared" si="293"/>
        <v>6254.29</v>
      </c>
      <c r="DY340" s="12">
        <f t="shared" si="293"/>
        <v>0</v>
      </c>
      <c r="DZ340" s="12">
        <f t="shared" si="293"/>
        <v>8.7948000000000004</v>
      </c>
      <c r="EA340" s="12">
        <f t="shared" si="293"/>
        <v>0</v>
      </c>
      <c r="EB340" s="12">
        <f t="shared" si="293"/>
        <v>0</v>
      </c>
      <c r="EC340" s="12">
        <f t="shared" si="293"/>
        <v>5941.58</v>
      </c>
      <c r="ED340" s="12">
        <f t="shared" si="293"/>
        <v>3314.77</v>
      </c>
      <c r="EE340" s="12">
        <f t="shared" si="293"/>
        <v>0</v>
      </c>
      <c r="EF340" s="12">
        <f t="shared" si="293"/>
        <v>0</v>
      </c>
      <c r="EG340" s="12">
        <f t="shared" si="293"/>
        <v>0</v>
      </c>
      <c r="EH340" s="12">
        <f t="shared" si="293"/>
        <v>205926.65</v>
      </c>
      <c r="EI340" s="12">
        <f t="shared" si="293"/>
        <v>0</v>
      </c>
      <c r="EJ340" s="12">
        <f t="shared" si="293"/>
        <v>221795.75</v>
      </c>
      <c r="EK340" s="12">
        <f t="shared" si="293"/>
        <v>0</v>
      </c>
      <c r="EL340" s="12">
        <f t="shared" si="293"/>
        <v>15869.1</v>
      </c>
      <c r="EM340" s="12">
        <f t="shared" ref="EM340:FR340" si="294">EM355</f>
        <v>0</v>
      </c>
      <c r="EN340" s="12">
        <f t="shared" si="294"/>
        <v>206285.11</v>
      </c>
      <c r="EO340" s="12">
        <f t="shared" si="294"/>
        <v>358.46</v>
      </c>
      <c r="EP340" s="12">
        <f t="shared" si="294"/>
        <v>0</v>
      </c>
      <c r="EQ340" s="12">
        <f t="shared" si="294"/>
        <v>358.46</v>
      </c>
      <c r="ER340" s="12">
        <f t="shared" si="294"/>
        <v>205926.65</v>
      </c>
      <c r="ES340" s="12">
        <f t="shared" si="294"/>
        <v>0</v>
      </c>
      <c r="ET340" s="12">
        <f t="shared" si="294"/>
        <v>0</v>
      </c>
      <c r="EU340" s="12">
        <f t="shared" si="294"/>
        <v>0</v>
      </c>
      <c r="EV340" s="12">
        <f t="shared" si="294"/>
        <v>0</v>
      </c>
      <c r="EW340" s="12">
        <f t="shared" si="294"/>
        <v>0</v>
      </c>
      <c r="EX340" s="12">
        <f t="shared" si="294"/>
        <v>0</v>
      </c>
      <c r="EY340" s="12">
        <f t="shared" si="294"/>
        <v>0</v>
      </c>
      <c r="EZ340" s="12">
        <f t="shared" si="294"/>
        <v>0</v>
      </c>
      <c r="FA340" s="12">
        <f t="shared" si="294"/>
        <v>0</v>
      </c>
      <c r="FB340" s="12">
        <f t="shared" si="294"/>
        <v>0</v>
      </c>
      <c r="FC340" s="12">
        <f t="shared" si="294"/>
        <v>0</v>
      </c>
      <c r="FD340" s="12">
        <f t="shared" si="294"/>
        <v>0</v>
      </c>
      <c r="FE340" s="12">
        <f t="shared" si="294"/>
        <v>0</v>
      </c>
      <c r="FF340" s="12">
        <f t="shared" si="294"/>
        <v>0</v>
      </c>
      <c r="FG340" s="12">
        <f t="shared" si="294"/>
        <v>0</v>
      </c>
      <c r="FH340" s="12">
        <f t="shared" si="294"/>
        <v>0</v>
      </c>
      <c r="FI340" s="12">
        <f t="shared" si="294"/>
        <v>0</v>
      </c>
      <c r="FJ340" s="12">
        <f t="shared" si="294"/>
        <v>0</v>
      </c>
      <c r="FK340" s="12">
        <f t="shared" si="294"/>
        <v>0</v>
      </c>
      <c r="FL340" s="12">
        <f t="shared" si="294"/>
        <v>0</v>
      </c>
      <c r="FM340" s="12">
        <f t="shared" si="294"/>
        <v>0</v>
      </c>
      <c r="FN340" s="12">
        <f t="shared" si="294"/>
        <v>0</v>
      </c>
      <c r="FO340" s="12">
        <f t="shared" si="294"/>
        <v>0</v>
      </c>
      <c r="FP340" s="12">
        <f t="shared" si="294"/>
        <v>0</v>
      </c>
      <c r="FQ340" s="12">
        <f t="shared" si="294"/>
        <v>205926.65</v>
      </c>
      <c r="FR340" s="12">
        <f t="shared" si="294"/>
        <v>0</v>
      </c>
      <c r="FS340" s="12">
        <f t="shared" ref="FS340:GX340" si="295">FS355</f>
        <v>221795.75</v>
      </c>
      <c r="FT340" s="12">
        <f t="shared" si="295"/>
        <v>0</v>
      </c>
      <c r="FU340" s="12">
        <f t="shared" si="295"/>
        <v>15869.1</v>
      </c>
      <c r="FV340" s="12">
        <f t="shared" si="295"/>
        <v>0</v>
      </c>
      <c r="FW340" s="12">
        <f t="shared" si="295"/>
        <v>206285.11</v>
      </c>
      <c r="FX340" s="12">
        <f t="shared" si="295"/>
        <v>358.45999999999185</v>
      </c>
      <c r="FY340" s="12">
        <f t="shared" si="295"/>
        <v>0</v>
      </c>
      <c r="FZ340" s="12">
        <f t="shared" si="295"/>
        <v>358.45999999999185</v>
      </c>
      <c r="GA340" s="12">
        <f t="shared" si="295"/>
        <v>205926.65</v>
      </c>
      <c r="GB340" s="12">
        <f t="shared" si="295"/>
        <v>0</v>
      </c>
      <c r="GC340" s="12">
        <f t="shared" si="295"/>
        <v>0</v>
      </c>
      <c r="GD340" s="12">
        <f t="shared" si="295"/>
        <v>0</v>
      </c>
      <c r="GE340" s="12">
        <f t="shared" si="295"/>
        <v>0</v>
      </c>
      <c r="GF340" s="12">
        <f t="shared" si="295"/>
        <v>0</v>
      </c>
      <c r="GG340" s="12">
        <f t="shared" si="295"/>
        <v>0</v>
      </c>
      <c r="GH340" s="12">
        <f t="shared" si="295"/>
        <v>0</v>
      </c>
      <c r="GI340" s="12">
        <f t="shared" si="295"/>
        <v>0</v>
      </c>
      <c r="GJ340" s="12">
        <f t="shared" si="295"/>
        <v>0</v>
      </c>
      <c r="GK340" s="12">
        <f t="shared" si="295"/>
        <v>0</v>
      </c>
      <c r="GL340" s="12">
        <f t="shared" si="295"/>
        <v>0</v>
      </c>
      <c r="GM340" s="12">
        <f t="shared" si="295"/>
        <v>0</v>
      </c>
      <c r="GN340" s="12">
        <f t="shared" si="295"/>
        <v>0</v>
      </c>
      <c r="GO340" s="12">
        <f t="shared" si="295"/>
        <v>0</v>
      </c>
      <c r="GP340" s="12">
        <f t="shared" si="295"/>
        <v>0</v>
      </c>
      <c r="GQ340" s="12">
        <f t="shared" si="295"/>
        <v>0</v>
      </c>
      <c r="GR340" s="12">
        <f t="shared" si="295"/>
        <v>0</v>
      </c>
      <c r="GS340" s="12">
        <f t="shared" si="295"/>
        <v>0</v>
      </c>
      <c r="GT340" s="12">
        <f t="shared" si="295"/>
        <v>0</v>
      </c>
      <c r="GU340" s="12">
        <f t="shared" si="295"/>
        <v>0</v>
      </c>
      <c r="GV340" s="12">
        <f t="shared" si="295"/>
        <v>0</v>
      </c>
      <c r="GW340" s="12">
        <f t="shared" si="295"/>
        <v>0</v>
      </c>
      <c r="GX340" s="12">
        <f t="shared" si="295"/>
        <v>0</v>
      </c>
    </row>
    <row r="342" spans="1:255" x14ac:dyDescent="0.2">
      <c r="A342" s="2">
        <v>17</v>
      </c>
      <c r="B342" s="2">
        <v>1</v>
      </c>
      <c r="C342" s="2">
        <f>ROW(SmtRes!A153)</f>
        <v>153</v>
      </c>
      <c r="D342" s="2">
        <f>ROW(EtalonRes!A181)</f>
        <v>181</v>
      </c>
      <c r="E342" s="2" t="s">
        <v>286</v>
      </c>
      <c r="F342" s="2" t="s">
        <v>287</v>
      </c>
      <c r="G342" s="2" t="s">
        <v>288</v>
      </c>
      <c r="H342" s="2" t="s">
        <v>22</v>
      </c>
      <c r="I342" s="2">
        <v>1</v>
      </c>
      <c r="J342" s="2">
        <v>0</v>
      </c>
      <c r="K342" s="2">
        <v>1</v>
      </c>
      <c r="L342" s="2"/>
      <c r="M342" s="2"/>
      <c r="N342" s="2"/>
      <c r="O342" s="2">
        <f t="shared" ref="O342:O353" si="296">ROUND(CP342,2)</f>
        <v>145.86000000000001</v>
      </c>
      <c r="P342" s="2">
        <f>ROUND((ROUND((AC342*AW342*I342),2)*BC342),2)</f>
        <v>34.869999999999997</v>
      </c>
      <c r="Q342" s="2">
        <f>(ROUND((ROUND((((ET342*1.2))*AV342*I342),2)*BB342),2)+ROUND((ROUND(((AE342-((EU342*1.2)))*AV342*I342),2)*BS342),2))</f>
        <v>0</v>
      </c>
      <c r="R342" s="2">
        <f>(ROUND((ROUND((((EU342*1.2))*AV342*I342),2)*BS342),2)+ROUND((ROUND(((AE342-((EU342*1.2)))*AV342*I342),2)*BS342),2))</f>
        <v>0</v>
      </c>
      <c r="S342" s="2">
        <f t="shared" ref="S342:S353" si="297">ROUND((ROUND((AF342*AV342*I342),2)*BA342),2)</f>
        <v>110.99</v>
      </c>
      <c r="T342" s="2">
        <f t="shared" ref="T342:T353" si="298">ROUND(CU342*I342,2)</f>
        <v>0</v>
      </c>
      <c r="U342" s="2">
        <f t="shared" ref="U342:U353" si="299">CV342*I342</f>
        <v>8.7948000000000004</v>
      </c>
      <c r="V342" s="2">
        <f t="shared" ref="V342:V353" si="300">CW342*I342</f>
        <v>0</v>
      </c>
      <c r="W342" s="2">
        <f t="shared" ref="W342:W353" si="301">ROUND(CX342*I342,2)</f>
        <v>0</v>
      </c>
      <c r="X342" s="2">
        <f>(ROUND((((S342+ROUND((ROUND((((EU342*1.2))*AV342*I342),2)*BS342),2))*AT342)/100),2)+ROUND(((ROUND((ROUND(((AE342-((EU342*1.2)))*AV342*I342),2)*BS342),2)*AT342)/100),2))</f>
        <v>105.44</v>
      </c>
      <c r="Y342" s="2">
        <f>(ROUND((((S342+ROUND((ROUND((((EU342*1.2))*AV342*I342),2)*BS342),2))*AU342)/100),2)+ROUND(((ROUND((ROUND(((AE342-((EU342*1.2)))*AV342*I342),2)*BS342),2)*AU342)/100),2))</f>
        <v>58.82</v>
      </c>
      <c r="Z342" s="2"/>
      <c r="AA342" s="2">
        <v>55915256</v>
      </c>
      <c r="AB342" s="2">
        <f t="shared" ref="AB342:AB353" si="302">ROUND((AC342+AD342+AF342),6)</f>
        <v>140.87799999999999</v>
      </c>
      <c r="AC342" s="2">
        <f>ROUND(((ES342*1)),6)</f>
        <v>34.869999999999997</v>
      </c>
      <c r="AD342" s="2">
        <f>ROUND(((((ET342*1.2))-((EU342*1.2)))+AE342),6)</f>
        <v>0</v>
      </c>
      <c r="AE342" s="2">
        <f>ROUND(((EU342*1.2)),6)</f>
        <v>0</v>
      </c>
      <c r="AF342" s="2">
        <f>ROUND(((EV342*1.2)),6)</f>
        <v>106.008</v>
      </c>
      <c r="AG342" s="2">
        <f t="shared" ref="AG342:AG353" si="303">ROUND((AP342),6)</f>
        <v>0</v>
      </c>
      <c r="AH342" s="2">
        <f>((EW342*1.2))</f>
        <v>8.4</v>
      </c>
      <c r="AI342" s="2">
        <f>((EX342*1.2))</f>
        <v>0</v>
      </c>
      <c r="AJ342" s="2">
        <f t="shared" ref="AJ342:AJ353" si="304">(AS342)</f>
        <v>0</v>
      </c>
      <c r="AK342" s="2">
        <v>123.21</v>
      </c>
      <c r="AL342" s="2">
        <v>34.869999999999997</v>
      </c>
      <c r="AM342" s="2">
        <v>0</v>
      </c>
      <c r="AN342" s="2">
        <v>0</v>
      </c>
      <c r="AO342" s="2">
        <v>88.34</v>
      </c>
      <c r="AP342" s="2">
        <v>0</v>
      </c>
      <c r="AQ342" s="2">
        <v>7</v>
      </c>
      <c r="AR342" s="2">
        <v>0</v>
      </c>
      <c r="AS342" s="2">
        <v>0</v>
      </c>
      <c r="AT342" s="2">
        <v>95</v>
      </c>
      <c r="AU342" s="2">
        <v>53</v>
      </c>
      <c r="AV342" s="2">
        <v>1.0469999999999999</v>
      </c>
      <c r="AW342" s="2">
        <v>1</v>
      </c>
      <c r="AX342" s="2"/>
      <c r="AY342" s="2"/>
      <c r="AZ342" s="2">
        <v>1</v>
      </c>
      <c r="BA342" s="2">
        <v>1</v>
      </c>
      <c r="BB342" s="2">
        <v>1</v>
      </c>
      <c r="BC342" s="2">
        <v>1</v>
      </c>
      <c r="BD342" s="2" t="s">
        <v>3</v>
      </c>
      <c r="BE342" s="2" t="s">
        <v>3</v>
      </c>
      <c r="BF342" s="2" t="s">
        <v>3</v>
      </c>
      <c r="BG342" s="2" t="s">
        <v>3</v>
      </c>
      <c r="BH342" s="2">
        <v>0</v>
      </c>
      <c r="BI342" s="2">
        <v>2</v>
      </c>
      <c r="BJ342" s="2" t="s">
        <v>289</v>
      </c>
      <c r="BK342" s="2"/>
      <c r="BL342" s="2"/>
      <c r="BM342" s="2">
        <v>69</v>
      </c>
      <c r="BN342" s="2">
        <v>0</v>
      </c>
      <c r="BO342" s="2" t="s">
        <v>287</v>
      </c>
      <c r="BP342" s="2">
        <v>1</v>
      </c>
      <c r="BQ342" s="2">
        <v>40</v>
      </c>
      <c r="BR342" s="2">
        <v>0</v>
      </c>
      <c r="BS342" s="2">
        <v>1</v>
      </c>
      <c r="BT342" s="2">
        <v>1</v>
      </c>
      <c r="BU342" s="2">
        <v>1</v>
      </c>
      <c r="BV342" s="2">
        <v>1</v>
      </c>
      <c r="BW342" s="2">
        <v>1</v>
      </c>
      <c r="BX342" s="2">
        <v>1</v>
      </c>
      <c r="BY342" s="2" t="s">
        <v>3</v>
      </c>
      <c r="BZ342" s="2">
        <v>95</v>
      </c>
      <c r="CA342" s="2">
        <v>53</v>
      </c>
      <c r="CB342" s="2" t="s">
        <v>3</v>
      </c>
      <c r="CC342" s="2"/>
      <c r="CD342" s="2"/>
      <c r="CE342" s="2">
        <v>1566</v>
      </c>
      <c r="CF342" s="2">
        <v>0</v>
      </c>
      <c r="CG342" s="2">
        <v>0</v>
      </c>
      <c r="CH342" s="2"/>
      <c r="CI342" s="2"/>
      <c r="CJ342" s="2"/>
      <c r="CK342" s="2"/>
      <c r="CL342" s="2"/>
      <c r="CM342" s="2">
        <v>0</v>
      </c>
      <c r="CN342" s="2" t="s">
        <v>605</v>
      </c>
      <c r="CO342" s="2">
        <v>0</v>
      </c>
      <c r="CP342" s="2">
        <f t="shared" ref="CP342:CP353" si="305">(P342+Q342+S342)</f>
        <v>145.85999999999999</v>
      </c>
      <c r="CQ342" s="2">
        <f>ROUND((ROUND((AC342*AW342*1),2)*BC342),2)</f>
        <v>34.869999999999997</v>
      </c>
      <c r="CR342" s="2">
        <f>(ROUND((ROUND((((ET342*1.2))*AV342*1),2)*BB342),2)+ROUND((ROUND(((AE342-((EU342*1.2)))*AV342*1),2)*BS342),2))</f>
        <v>0</v>
      </c>
      <c r="CS342" s="2">
        <f>(ROUND((ROUND((((EU342*1.2))*AV342*1),2)*BS342),2)+ROUND((ROUND(((AE342-((EU342*1.2)))*AV342*1),2)*BS342),2))</f>
        <v>0</v>
      </c>
      <c r="CT342" s="2">
        <f t="shared" ref="CT342:CT353" si="306">ROUND((ROUND((AF342*AV342*1),2)*BA342),2)</f>
        <v>110.99</v>
      </c>
      <c r="CU342" s="2">
        <f t="shared" ref="CU342:CU353" si="307">AG342</f>
        <v>0</v>
      </c>
      <c r="CV342" s="2">
        <f t="shared" ref="CV342:CV353" si="308">(AH342*AV342)</f>
        <v>8.7948000000000004</v>
      </c>
      <c r="CW342" s="2">
        <f t="shared" ref="CW342:CW353" si="309">AI342</f>
        <v>0</v>
      </c>
      <c r="CX342" s="2">
        <f t="shared" ref="CX342:CX353" si="310">AJ342</f>
        <v>0</v>
      </c>
      <c r="CY342" s="2">
        <f>(ROUND((((S342+ROUND((ROUND((((EU342*1.2))*AV342*1),2)*BS342),2))*AT342)/100),2)+ROUND(((ROUND((ROUND(((AE342-((EU342*1.2)))*AV342*1),2)*BS342),2)*AT342)/100),2))</f>
        <v>105.44</v>
      </c>
      <c r="CZ342" s="2">
        <f>(ROUND((((S342+ROUND((ROUND((((EU342*1.2))*AV342*1),2)*BS342),2))*AU342)/100),2)+ROUND(((ROUND((ROUND(((AE342-((EU342*1.2)))*AV342*1),2)*BS342),2)*AU342)/100),2))</f>
        <v>58.82</v>
      </c>
      <c r="DA342" s="2"/>
      <c r="DB342" s="2">
        <v>83</v>
      </c>
      <c r="DC342" s="2" t="s">
        <v>3</v>
      </c>
      <c r="DD342" s="2" t="s">
        <v>77</v>
      </c>
      <c r="DE342" s="2" t="s">
        <v>78</v>
      </c>
      <c r="DF342" s="2" t="s">
        <v>78</v>
      </c>
      <c r="DG342" s="2" t="s">
        <v>78</v>
      </c>
      <c r="DH342" s="2" t="s">
        <v>3</v>
      </c>
      <c r="DI342" s="2" t="s">
        <v>78</v>
      </c>
      <c r="DJ342" s="2" t="s">
        <v>78</v>
      </c>
      <c r="DK342" s="2" t="s">
        <v>3</v>
      </c>
      <c r="DL342" s="2" t="s">
        <v>3</v>
      </c>
      <c r="DM342" s="2" t="s">
        <v>3</v>
      </c>
      <c r="DN342" s="2">
        <v>0</v>
      </c>
      <c r="DO342" s="2">
        <v>0</v>
      </c>
      <c r="DP342" s="2">
        <v>1</v>
      </c>
      <c r="DQ342" s="2">
        <v>1</v>
      </c>
      <c r="DR342" s="2"/>
      <c r="DS342" s="2"/>
      <c r="DT342" s="2"/>
      <c r="DU342" s="2">
        <v>1013</v>
      </c>
      <c r="DV342" s="2" t="s">
        <v>22</v>
      </c>
      <c r="DW342" s="2" t="s">
        <v>22</v>
      </c>
      <c r="DX342" s="2">
        <v>1</v>
      </c>
      <c r="DY342" s="2"/>
      <c r="DZ342" s="2" t="s">
        <v>3</v>
      </c>
      <c r="EA342" s="2" t="s">
        <v>3</v>
      </c>
      <c r="EB342" s="2" t="s">
        <v>3</v>
      </c>
      <c r="EC342" s="2" t="s">
        <v>3</v>
      </c>
      <c r="ED342" s="2"/>
      <c r="EE342" s="2">
        <v>55393701</v>
      </c>
      <c r="EF342" s="2">
        <v>40</v>
      </c>
      <c r="EG342" s="2" t="s">
        <v>26</v>
      </c>
      <c r="EH342" s="2">
        <v>0</v>
      </c>
      <c r="EI342" s="2" t="s">
        <v>3</v>
      </c>
      <c r="EJ342" s="2">
        <v>2</v>
      </c>
      <c r="EK342" s="2">
        <v>69</v>
      </c>
      <c r="EL342" s="2" t="s">
        <v>60</v>
      </c>
      <c r="EM342" s="2" t="s">
        <v>61</v>
      </c>
      <c r="EN342" s="2"/>
      <c r="EO342" s="2" t="s">
        <v>82</v>
      </c>
      <c r="EP342" s="2"/>
      <c r="EQ342" s="2">
        <v>0</v>
      </c>
      <c r="ER342" s="2">
        <v>123.21</v>
      </c>
      <c r="ES342" s="2">
        <v>34.869999999999997</v>
      </c>
      <c r="ET342" s="2">
        <v>0</v>
      </c>
      <c r="EU342" s="2">
        <v>0</v>
      </c>
      <c r="EV342" s="2">
        <v>88.34</v>
      </c>
      <c r="EW342" s="2">
        <v>7</v>
      </c>
      <c r="EX342" s="2">
        <v>0</v>
      </c>
      <c r="EY342" s="2">
        <v>0</v>
      </c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>
        <v>0</v>
      </c>
      <c r="FR342" s="2">
        <v>0</v>
      </c>
      <c r="FS342" s="2">
        <v>0</v>
      </c>
      <c r="FT342" s="2"/>
      <c r="FU342" s="2"/>
      <c r="FV342" s="2"/>
      <c r="FW342" s="2"/>
      <c r="FX342" s="2">
        <v>95</v>
      </c>
      <c r="FY342" s="2">
        <v>53</v>
      </c>
      <c r="FZ342" s="2"/>
      <c r="GA342" s="2" t="s">
        <v>3</v>
      </c>
      <c r="GB342" s="2"/>
      <c r="GC342" s="2"/>
      <c r="GD342" s="2">
        <v>1</v>
      </c>
      <c r="GE342" s="2"/>
      <c r="GF342" s="2">
        <v>-1417908180</v>
      </c>
      <c r="GG342" s="2">
        <v>2</v>
      </c>
      <c r="GH342" s="2">
        <v>1</v>
      </c>
      <c r="GI342" s="2">
        <v>2</v>
      </c>
      <c r="GJ342" s="2">
        <v>0</v>
      </c>
      <c r="GK342" s="2">
        <v>0</v>
      </c>
      <c r="GL342" s="2">
        <f t="shared" ref="GL342:GL353" si="311">ROUND(IF(AND(BH342=3,BI342=3,FS342&lt;&gt;0),P342,0),2)</f>
        <v>0</v>
      </c>
      <c r="GM342" s="2">
        <f t="shared" ref="GM342:GM353" si="312">ROUND(O342+X342+Y342,2)+GX342</f>
        <v>310.12</v>
      </c>
      <c r="GN342" s="2">
        <f t="shared" ref="GN342:GN353" si="313">IF(OR(BI342=0,BI342=1),GM342-GX342,0)</f>
        <v>0</v>
      </c>
      <c r="GO342" s="2">
        <f t="shared" ref="GO342:GO353" si="314">IF(BI342=2,GM342-GX342,0)</f>
        <v>310.12</v>
      </c>
      <c r="GP342" s="2">
        <f t="shared" ref="GP342:GP353" si="315">IF(BI342=4,GM342-GX342,0)</f>
        <v>0</v>
      </c>
      <c r="GQ342" s="2"/>
      <c r="GR342" s="2">
        <v>0</v>
      </c>
      <c r="GS342" s="2">
        <v>3</v>
      </c>
      <c r="GT342" s="2">
        <v>0</v>
      </c>
      <c r="GU342" s="2" t="s">
        <v>3</v>
      </c>
      <c r="GV342" s="2">
        <f t="shared" ref="GV342:GV353" si="316">ROUND((GT342),6)</f>
        <v>0</v>
      </c>
      <c r="GW342" s="2">
        <v>1</v>
      </c>
      <c r="GX342" s="2">
        <f t="shared" ref="GX342:GX353" si="317">ROUND(HC342*I342,2)</f>
        <v>0</v>
      </c>
      <c r="GY342" s="2"/>
      <c r="GZ342" s="2"/>
      <c r="HA342" s="2">
        <v>0</v>
      </c>
      <c r="HB342" s="2">
        <v>0</v>
      </c>
      <c r="HC342" s="2">
        <f t="shared" ref="HC342:HC353" si="318">GV342*GW342</f>
        <v>0</v>
      </c>
      <c r="HD342" s="2"/>
      <c r="HE342" s="2" t="s">
        <v>3</v>
      </c>
      <c r="HF342" s="2" t="s">
        <v>3</v>
      </c>
      <c r="HG342" s="2"/>
      <c r="HH342" s="2"/>
      <c r="HI342" s="2"/>
      <c r="HJ342" s="2"/>
      <c r="HK342" s="2"/>
      <c r="HL342" s="2"/>
      <c r="HM342" s="2" t="s">
        <v>3</v>
      </c>
      <c r="HN342" s="2" t="s">
        <v>3</v>
      </c>
      <c r="HO342" s="2" t="s">
        <v>3</v>
      </c>
      <c r="HP342" s="2" t="s">
        <v>3</v>
      </c>
      <c r="HQ342" s="2" t="s">
        <v>3</v>
      </c>
      <c r="HR342" s="2"/>
      <c r="HS342" s="2">
        <v>0</v>
      </c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>
        <v>0</v>
      </c>
      <c r="IL342" s="2"/>
      <c r="IM342" s="2"/>
      <c r="IN342" s="2"/>
      <c r="IO342" s="2"/>
      <c r="IP342" s="2"/>
      <c r="IQ342" s="2"/>
      <c r="IR342" s="2"/>
      <c r="IS342" s="2"/>
      <c r="IT342" s="2"/>
      <c r="IU342" s="2"/>
    </row>
    <row r="343" spans="1:255" x14ac:dyDescent="0.2">
      <c r="A343" s="3">
        <v>17</v>
      </c>
      <c r="B343" s="3">
        <v>1</v>
      </c>
      <c r="C343" s="3">
        <f>ROW(SmtRes!A160)</f>
        <v>160</v>
      </c>
      <c r="D343" s="3">
        <f>ROW(EtalonRes!A188)</f>
        <v>188</v>
      </c>
      <c r="E343" s="3" t="s">
        <v>286</v>
      </c>
      <c r="F343" s="3" t="s">
        <v>287</v>
      </c>
      <c r="G343" s="3" t="s">
        <v>288</v>
      </c>
      <c r="H343" s="3" t="s">
        <v>22</v>
      </c>
      <c r="I343" s="3">
        <v>1</v>
      </c>
      <c r="J343" s="3">
        <v>0</v>
      </c>
      <c r="K343" s="3">
        <v>1</v>
      </c>
      <c r="O343" s="3">
        <f t="shared" si="296"/>
        <v>6612.75</v>
      </c>
      <c r="P343" s="3">
        <f>ROUND((ROUND((AC343*AW343*I343),2)*BC343),2)</f>
        <v>358.46</v>
      </c>
      <c r="Q343" s="3">
        <f>(ROUND((ROUND((((ET343*1.2))*AV343*I343),2)*BB343),2)+ROUND((ROUND(((AE343-((EU343*1.2)))*AV343*I343),2)*BS343),2))</f>
        <v>0</v>
      </c>
      <c r="R343" s="3">
        <f>(ROUND((ROUND((((EU343*1.2))*AV343*I343),2)*BS343),2)+ROUND((ROUND(((AE343-((EU343*1.2)))*AV343*I343),2)*BS343),2))</f>
        <v>0</v>
      </c>
      <c r="S343" s="3">
        <f t="shared" si="297"/>
        <v>6254.29</v>
      </c>
      <c r="T343" s="3">
        <f t="shared" si="298"/>
        <v>0</v>
      </c>
      <c r="U343" s="3">
        <f t="shared" si="299"/>
        <v>8.7948000000000004</v>
      </c>
      <c r="V343" s="3">
        <f t="shared" si="300"/>
        <v>0</v>
      </c>
      <c r="W343" s="3">
        <f t="shared" si="301"/>
        <v>0</v>
      </c>
      <c r="X343" s="3">
        <f>(ROUND((((S343+ROUND((ROUND((((EU343*1.2))*AV343*I343),2)*BS343),2))*AT343)/100),2)+ROUND(((ROUND((ROUND(((AE343-((EU343*1.2)))*AV343*I343),2)*BS343),2)*AT343)/100),2))</f>
        <v>5941.58</v>
      </c>
      <c r="Y343" s="3">
        <f>(ROUND((((S343+ROUND((ROUND((((EU343*1.2))*AV343*I343),2)*BS343),2))*AU343)/100),2)+ROUND(((ROUND((ROUND(((AE343-((EU343*1.2)))*AV343*I343),2)*BS343),2)*AU343)/100),2))</f>
        <v>3314.77</v>
      </c>
      <c r="AA343" s="3">
        <v>55915258</v>
      </c>
      <c r="AB343" s="3">
        <f t="shared" si="302"/>
        <v>140.87799999999999</v>
      </c>
      <c r="AC343" s="3">
        <f>ROUND(((ES343*1)),6)</f>
        <v>34.869999999999997</v>
      </c>
      <c r="AD343" s="3">
        <f>ROUND(((((ET343*1.2))-((EU343*1.2)))+AE343),6)</f>
        <v>0</v>
      </c>
      <c r="AE343" s="3">
        <f>ROUND(((EU343*1.2)),6)</f>
        <v>0</v>
      </c>
      <c r="AF343" s="3">
        <f>ROUND(((EV343*1.2)),6)</f>
        <v>106.008</v>
      </c>
      <c r="AG343" s="3">
        <f t="shared" si="303"/>
        <v>0</v>
      </c>
      <c r="AH343" s="3">
        <f>((EW343*1.2))</f>
        <v>8.4</v>
      </c>
      <c r="AI343" s="3">
        <f>((EX343*1.2))</f>
        <v>0</v>
      </c>
      <c r="AJ343" s="3">
        <f t="shared" si="304"/>
        <v>0</v>
      </c>
      <c r="AK343" s="3">
        <v>123.21</v>
      </c>
      <c r="AL343" s="3">
        <v>34.869999999999997</v>
      </c>
      <c r="AM343" s="3">
        <v>0</v>
      </c>
      <c r="AN343" s="3">
        <v>0</v>
      </c>
      <c r="AO343" s="3">
        <v>88.34</v>
      </c>
      <c r="AP343" s="3">
        <v>0</v>
      </c>
      <c r="AQ343" s="3">
        <v>7</v>
      </c>
      <c r="AR343" s="3">
        <v>0</v>
      </c>
      <c r="AS343" s="3">
        <v>0</v>
      </c>
      <c r="AT343" s="3">
        <v>95</v>
      </c>
      <c r="AU343" s="3">
        <v>53</v>
      </c>
      <c r="AV343" s="3">
        <v>1.0469999999999999</v>
      </c>
      <c r="AW343" s="3">
        <v>1</v>
      </c>
      <c r="AZ343" s="3">
        <v>1</v>
      </c>
      <c r="BA343" s="3">
        <v>56.35</v>
      </c>
      <c r="BB343" s="3">
        <v>1</v>
      </c>
      <c r="BC343" s="3">
        <v>10.28</v>
      </c>
      <c r="BD343" s="3" t="s">
        <v>3</v>
      </c>
      <c r="BE343" s="3" t="s">
        <v>3</v>
      </c>
      <c r="BF343" s="3" t="s">
        <v>3</v>
      </c>
      <c r="BG343" s="3" t="s">
        <v>3</v>
      </c>
      <c r="BH343" s="3">
        <v>0</v>
      </c>
      <c r="BI343" s="3">
        <v>2</v>
      </c>
      <c r="BJ343" s="3" t="s">
        <v>289</v>
      </c>
      <c r="BM343" s="3">
        <v>69</v>
      </c>
      <c r="BN343" s="3">
        <v>0</v>
      </c>
      <c r="BO343" s="3" t="s">
        <v>287</v>
      </c>
      <c r="BP343" s="3">
        <v>1</v>
      </c>
      <c r="BQ343" s="3">
        <v>40</v>
      </c>
      <c r="BR343" s="3">
        <v>0</v>
      </c>
      <c r="BS343" s="3">
        <v>56.35</v>
      </c>
      <c r="BT343" s="3">
        <v>1</v>
      </c>
      <c r="BU343" s="3">
        <v>1</v>
      </c>
      <c r="BV343" s="3">
        <v>1</v>
      </c>
      <c r="BW343" s="3">
        <v>1</v>
      </c>
      <c r="BX343" s="3">
        <v>1</v>
      </c>
      <c r="BY343" s="3" t="s">
        <v>3</v>
      </c>
      <c r="BZ343" s="3">
        <v>95</v>
      </c>
      <c r="CA343" s="3">
        <v>53</v>
      </c>
      <c r="CB343" s="3" t="s">
        <v>3</v>
      </c>
      <c r="CE343" s="3">
        <v>1566</v>
      </c>
      <c r="CF343" s="3">
        <v>0</v>
      </c>
      <c r="CG343" s="3">
        <v>0</v>
      </c>
      <c r="CM343" s="3">
        <v>0</v>
      </c>
      <c r="CN343" s="3" t="s">
        <v>605</v>
      </c>
      <c r="CO343" s="3">
        <v>0</v>
      </c>
      <c r="CP343" s="3">
        <f t="shared" si="305"/>
        <v>6612.75</v>
      </c>
      <c r="CQ343" s="3">
        <f>ROUND((ROUND((AC343*AW343*1),2)*BC343),2)</f>
        <v>358.46</v>
      </c>
      <c r="CR343" s="3">
        <f>(ROUND((ROUND((((ET343*1.2))*AV343*1),2)*BB343),2)+ROUND((ROUND(((AE343-((EU343*1.2)))*AV343*1),2)*BS343),2))</f>
        <v>0</v>
      </c>
      <c r="CS343" s="3">
        <f>(ROUND((ROUND((((EU343*1.2))*AV343*1),2)*BS343),2)+ROUND((ROUND(((AE343-((EU343*1.2)))*AV343*1),2)*BS343),2))</f>
        <v>0</v>
      </c>
      <c r="CT343" s="3">
        <f t="shared" si="306"/>
        <v>6254.29</v>
      </c>
      <c r="CU343" s="3">
        <f t="shared" si="307"/>
        <v>0</v>
      </c>
      <c r="CV343" s="3">
        <f t="shared" si="308"/>
        <v>8.7948000000000004</v>
      </c>
      <c r="CW343" s="3">
        <f t="shared" si="309"/>
        <v>0</v>
      </c>
      <c r="CX343" s="3">
        <f t="shared" si="310"/>
        <v>0</v>
      </c>
      <c r="CY343" s="3">
        <f>(ROUND((((S343+ROUND((ROUND((((EU343*1.2))*AV343*1),2)*BS343),2))*AT343)/100),2)+ROUND(((ROUND((ROUND(((AE343-((EU343*1.2)))*AV343*1),2)*BS343),2)*AT343)/100),2))</f>
        <v>5941.58</v>
      </c>
      <c r="CZ343" s="3">
        <f>(ROUND((((S343+ROUND((ROUND((((EU343*1.2))*AV343*1),2)*BS343),2))*AU343)/100),2)+ROUND(((ROUND((ROUND(((AE343-((EU343*1.2)))*AV343*1),2)*BS343),2)*AU343)/100),2))</f>
        <v>3314.77</v>
      </c>
      <c r="DB343" s="3">
        <v>84</v>
      </c>
      <c r="DC343" s="3" t="s">
        <v>3</v>
      </c>
      <c r="DD343" s="3" t="s">
        <v>77</v>
      </c>
      <c r="DE343" s="3" t="s">
        <v>78</v>
      </c>
      <c r="DF343" s="3" t="s">
        <v>78</v>
      </c>
      <c r="DG343" s="3" t="s">
        <v>78</v>
      </c>
      <c r="DH343" s="3" t="s">
        <v>3</v>
      </c>
      <c r="DI343" s="3" t="s">
        <v>78</v>
      </c>
      <c r="DJ343" s="3" t="s">
        <v>78</v>
      </c>
      <c r="DK343" s="3" t="s">
        <v>3</v>
      </c>
      <c r="DL343" s="3" t="s">
        <v>3</v>
      </c>
      <c r="DM343" s="3" t="s">
        <v>3</v>
      </c>
      <c r="DN343" s="3">
        <v>0</v>
      </c>
      <c r="DO343" s="3">
        <v>0</v>
      </c>
      <c r="DP343" s="3">
        <v>1</v>
      </c>
      <c r="DQ343" s="3">
        <v>1</v>
      </c>
      <c r="DU343" s="3">
        <v>1013</v>
      </c>
      <c r="DV343" s="3" t="s">
        <v>22</v>
      </c>
      <c r="DW343" s="3" t="s">
        <v>22</v>
      </c>
      <c r="DX343" s="3">
        <v>1</v>
      </c>
      <c r="DZ343" s="3" t="s">
        <v>3</v>
      </c>
      <c r="EA343" s="3" t="s">
        <v>3</v>
      </c>
      <c r="EB343" s="3" t="s">
        <v>3</v>
      </c>
      <c r="EC343" s="3" t="s">
        <v>3</v>
      </c>
      <c r="EE343" s="3">
        <v>55393701</v>
      </c>
      <c r="EF343" s="3">
        <v>40</v>
      </c>
      <c r="EG343" s="3" t="s">
        <v>26</v>
      </c>
      <c r="EH343" s="3">
        <v>0</v>
      </c>
      <c r="EI343" s="3" t="s">
        <v>3</v>
      </c>
      <c r="EJ343" s="3">
        <v>2</v>
      </c>
      <c r="EK343" s="3">
        <v>69</v>
      </c>
      <c r="EL343" s="3" t="s">
        <v>60</v>
      </c>
      <c r="EM343" s="3" t="s">
        <v>61</v>
      </c>
      <c r="EO343" s="3" t="s">
        <v>82</v>
      </c>
      <c r="EQ343" s="3">
        <v>0</v>
      </c>
      <c r="ER343" s="3">
        <v>123.21</v>
      </c>
      <c r="ES343" s="3">
        <v>34.869999999999997</v>
      </c>
      <c r="ET343" s="3">
        <v>0</v>
      </c>
      <c r="EU343" s="3">
        <v>0</v>
      </c>
      <c r="EV343" s="3">
        <v>88.34</v>
      </c>
      <c r="EW343" s="3">
        <v>7</v>
      </c>
      <c r="EX343" s="3">
        <v>0</v>
      </c>
      <c r="EY343" s="3">
        <v>0</v>
      </c>
      <c r="FQ343" s="3">
        <v>0</v>
      </c>
      <c r="FR343" s="3">
        <v>0</v>
      </c>
      <c r="FS343" s="3">
        <v>0</v>
      </c>
      <c r="FX343" s="3">
        <v>95</v>
      </c>
      <c r="FY343" s="3">
        <v>53</v>
      </c>
      <c r="GA343" s="3" t="s">
        <v>3</v>
      </c>
      <c r="GD343" s="3">
        <v>1</v>
      </c>
      <c r="GF343" s="3">
        <v>-1417908180</v>
      </c>
      <c r="GG343" s="3">
        <v>2</v>
      </c>
      <c r="GH343" s="3">
        <v>1</v>
      </c>
      <c r="GI343" s="3">
        <v>2</v>
      </c>
      <c r="GJ343" s="3">
        <v>0</v>
      </c>
      <c r="GK343" s="3">
        <v>0</v>
      </c>
      <c r="GL343" s="3">
        <f t="shared" si="311"/>
        <v>0</v>
      </c>
      <c r="GM343" s="3">
        <f t="shared" si="312"/>
        <v>15869.1</v>
      </c>
      <c r="GN343" s="3">
        <f t="shared" si="313"/>
        <v>0</v>
      </c>
      <c r="GO343" s="3">
        <f t="shared" si="314"/>
        <v>15869.1</v>
      </c>
      <c r="GP343" s="3">
        <f t="shared" si="315"/>
        <v>0</v>
      </c>
      <c r="GR343" s="3">
        <v>0</v>
      </c>
      <c r="GS343" s="3">
        <v>3</v>
      </c>
      <c r="GT343" s="3">
        <v>0</v>
      </c>
      <c r="GU343" s="3" t="s">
        <v>3</v>
      </c>
      <c r="GV343" s="3">
        <f t="shared" si="316"/>
        <v>0</v>
      </c>
      <c r="GW343" s="3">
        <v>1</v>
      </c>
      <c r="GX343" s="3">
        <f t="shared" si="317"/>
        <v>0</v>
      </c>
      <c r="HA343" s="3">
        <v>0</v>
      </c>
      <c r="HB343" s="3">
        <v>0</v>
      </c>
      <c r="HC343" s="3">
        <f t="shared" si="318"/>
        <v>0</v>
      </c>
      <c r="HE343" s="3" t="s">
        <v>3</v>
      </c>
      <c r="HF343" s="3" t="s">
        <v>3</v>
      </c>
      <c r="HM343" s="3" t="s">
        <v>3</v>
      </c>
      <c r="HN343" s="3" t="s">
        <v>3</v>
      </c>
      <c r="HO343" s="3" t="s">
        <v>3</v>
      </c>
      <c r="HP343" s="3" t="s">
        <v>3</v>
      </c>
      <c r="HQ343" s="3" t="s">
        <v>3</v>
      </c>
      <c r="HS343" s="3">
        <v>0</v>
      </c>
      <c r="IK343" s="3">
        <v>0</v>
      </c>
    </row>
    <row r="344" spans="1:255" x14ac:dyDescent="0.2">
      <c r="A344" s="2">
        <v>18</v>
      </c>
      <c r="B344" s="2">
        <v>1</v>
      </c>
      <c r="C344" s="2">
        <v>152</v>
      </c>
      <c r="D344" s="2"/>
      <c r="E344" s="2" t="s">
        <v>290</v>
      </c>
      <c r="F344" s="2" t="s">
        <v>291</v>
      </c>
      <c r="G344" s="2" t="s">
        <v>292</v>
      </c>
      <c r="H344" s="2" t="s">
        <v>191</v>
      </c>
      <c r="I344" s="2">
        <f>I342*J344</f>
        <v>1</v>
      </c>
      <c r="J344" s="2">
        <v>1</v>
      </c>
      <c r="K344" s="2">
        <v>1</v>
      </c>
      <c r="L344" s="2"/>
      <c r="M344" s="2"/>
      <c r="N344" s="2"/>
      <c r="O344" s="2">
        <f t="shared" si="296"/>
        <v>148.71</v>
      </c>
      <c r="P344" s="2">
        <f>ROUND((ROUND((AC344*I344),2)*BC344),2)</f>
        <v>148.71</v>
      </c>
      <c r="Q344" s="2">
        <f t="shared" ref="Q344:Q353" si="319">(ROUND((ROUND(((ET344)*AV344*I344),2)*BB344),2)+ROUND((ROUND(((AE344-(EU344))*AV344*I344),2)*BS344),2))</f>
        <v>0</v>
      </c>
      <c r="R344" s="2">
        <f t="shared" ref="R344:R353" si="320">(ROUND((ROUND(((EU344)*AV344*I344),2)*BS344),2)+ROUND((ROUND(((AE344-(EU344))*AV344*I344),2)*BS344),2))</f>
        <v>0</v>
      </c>
      <c r="S344" s="2">
        <f t="shared" si="297"/>
        <v>0</v>
      </c>
      <c r="T344" s="2">
        <f t="shared" si="298"/>
        <v>0</v>
      </c>
      <c r="U344" s="2">
        <f t="shared" si="299"/>
        <v>0</v>
      </c>
      <c r="V344" s="2">
        <f t="shared" si="300"/>
        <v>0</v>
      </c>
      <c r="W344" s="2">
        <f t="shared" si="301"/>
        <v>0</v>
      </c>
      <c r="X344" s="2">
        <f t="shared" ref="X344:X353" si="321">(ROUND((((S344+ROUND((ROUND(((EU344)*AV344*I344),2)*BS344),2))*AT344)/100),2)+ROUND(((ROUND((ROUND(((AE344-(EU344))*AV344*I344),2)*BS344),2)*AT344)/100),2))</f>
        <v>0</v>
      </c>
      <c r="Y344" s="2">
        <f t="shared" ref="Y344:Y353" si="322">(ROUND((((S344+ROUND((ROUND(((EU344)*AV344*I344),2)*BS344),2))*AU344)/100),2)+ROUND(((ROUND((ROUND(((AE344-(EU344))*AV344*I344),2)*BS344),2)*AU344)/100),2))</f>
        <v>0</v>
      </c>
      <c r="Z344" s="2"/>
      <c r="AA344" s="2">
        <v>55915256</v>
      </c>
      <c r="AB344" s="2">
        <f t="shared" si="302"/>
        <v>148.71</v>
      </c>
      <c r="AC344" s="2">
        <f t="shared" ref="AC344:AC353" si="323">ROUND((ES344),6)</f>
        <v>148.71</v>
      </c>
      <c r="AD344" s="2">
        <f t="shared" ref="AD344:AD353" si="324">ROUND((((ET344)-(EU344))+AE344),6)</f>
        <v>0</v>
      </c>
      <c r="AE344" s="2">
        <f t="shared" ref="AE344:AE353" si="325">ROUND((EU344),6)</f>
        <v>0</v>
      </c>
      <c r="AF344" s="2">
        <f t="shared" ref="AF344:AF353" si="326">ROUND((EV344),6)</f>
        <v>0</v>
      </c>
      <c r="AG344" s="2">
        <f t="shared" si="303"/>
        <v>0</v>
      </c>
      <c r="AH344" s="2">
        <f t="shared" ref="AH344:AH353" si="327">(EW344)</f>
        <v>0</v>
      </c>
      <c r="AI344" s="2">
        <f t="shared" ref="AI344:AI353" si="328">(EX344)</f>
        <v>0</v>
      </c>
      <c r="AJ344" s="2">
        <f t="shared" si="304"/>
        <v>0</v>
      </c>
      <c r="AK344" s="2">
        <v>148.71</v>
      </c>
      <c r="AL344" s="2">
        <v>148.71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1</v>
      </c>
      <c r="AW344" s="2">
        <v>1</v>
      </c>
      <c r="AX344" s="2"/>
      <c r="AY344" s="2"/>
      <c r="AZ344" s="2">
        <v>1</v>
      </c>
      <c r="BA344" s="2">
        <v>1</v>
      </c>
      <c r="BB344" s="2">
        <v>1</v>
      </c>
      <c r="BC344" s="2">
        <v>1</v>
      </c>
      <c r="BD344" s="2" t="s">
        <v>3</v>
      </c>
      <c r="BE344" s="2" t="s">
        <v>3</v>
      </c>
      <c r="BF344" s="2" t="s">
        <v>3</v>
      </c>
      <c r="BG344" s="2" t="s">
        <v>3</v>
      </c>
      <c r="BH344" s="2">
        <v>3</v>
      </c>
      <c r="BI344" s="2">
        <v>3</v>
      </c>
      <c r="BJ344" s="2" t="s">
        <v>293</v>
      </c>
      <c r="BK344" s="2"/>
      <c r="BL344" s="2"/>
      <c r="BM344" s="2">
        <v>746</v>
      </c>
      <c r="BN344" s="2">
        <v>0</v>
      </c>
      <c r="BO344" s="2" t="s">
        <v>3</v>
      </c>
      <c r="BP344" s="2">
        <v>0</v>
      </c>
      <c r="BQ344" s="2">
        <v>130</v>
      </c>
      <c r="BR344" s="2">
        <v>0</v>
      </c>
      <c r="BS344" s="2">
        <v>1</v>
      </c>
      <c r="BT344" s="2">
        <v>1</v>
      </c>
      <c r="BU344" s="2">
        <v>1</v>
      </c>
      <c r="BV344" s="2">
        <v>1</v>
      </c>
      <c r="BW344" s="2">
        <v>1</v>
      </c>
      <c r="BX344" s="2">
        <v>1</v>
      </c>
      <c r="BY344" s="2" t="s">
        <v>3</v>
      </c>
      <c r="BZ344" s="2">
        <v>95</v>
      </c>
      <c r="CA344" s="2">
        <v>53</v>
      </c>
      <c r="CB344" s="2" t="s">
        <v>3</v>
      </c>
      <c r="CC344" s="2"/>
      <c r="CD344" s="2"/>
      <c r="CE344" s="2">
        <v>1566</v>
      </c>
      <c r="CF344" s="2">
        <v>0</v>
      </c>
      <c r="CG344" s="2">
        <v>0</v>
      </c>
      <c r="CH344" s="2"/>
      <c r="CI344" s="2"/>
      <c r="CJ344" s="2"/>
      <c r="CK344" s="2"/>
      <c r="CL344" s="2"/>
      <c r="CM344" s="2">
        <v>0</v>
      </c>
      <c r="CN344" s="2" t="s">
        <v>607</v>
      </c>
      <c r="CO344" s="2">
        <v>0</v>
      </c>
      <c r="CP344" s="2">
        <f t="shared" si="305"/>
        <v>148.71</v>
      </c>
      <c r="CQ344" s="2">
        <f>ROUND((ROUND((AC344*1),2)*BC344),2)</f>
        <v>148.71</v>
      </c>
      <c r="CR344" s="2">
        <f t="shared" ref="CR344:CR353" si="329">(ROUND((ROUND(((ET344)*AV344*1),2)*BB344),2)+ROUND((ROUND(((AE344-(EU344))*AV344*1),2)*BS344),2))</f>
        <v>0</v>
      </c>
      <c r="CS344" s="2">
        <f t="shared" ref="CS344:CS353" si="330">(ROUND((ROUND(((EU344)*AV344*1),2)*BS344),2)+ROUND((ROUND(((AE344-(EU344))*AV344*1),2)*BS344),2))</f>
        <v>0</v>
      </c>
      <c r="CT344" s="2">
        <f t="shared" si="306"/>
        <v>0</v>
      </c>
      <c r="CU344" s="2">
        <f t="shared" si="307"/>
        <v>0</v>
      </c>
      <c r="CV344" s="2">
        <f t="shared" si="308"/>
        <v>0</v>
      </c>
      <c r="CW344" s="2">
        <f t="shared" si="309"/>
        <v>0</v>
      </c>
      <c r="CX344" s="2">
        <f t="shared" si="310"/>
        <v>0</v>
      </c>
      <c r="CY344" s="2">
        <f t="shared" ref="CY344:CY353" si="331">(ROUND((((S344+ROUND((ROUND(((EU344)*AV344*1),2)*BS344),2))*AT344)/100),2)+ROUND(((ROUND((ROUND(((AE344-(EU344))*AV344*1),2)*BS344),2)*AT344)/100),2))</f>
        <v>0</v>
      </c>
      <c r="CZ344" s="2">
        <f t="shared" ref="CZ344:CZ353" si="332">(ROUND((((S344+ROUND((ROUND(((EU344)*AV344*1),2)*BS344),2))*AU344)/100),2)+ROUND(((ROUND((ROUND(((AE344-(EU344))*AV344*1),2)*BS344),2)*AU344)/100),2))</f>
        <v>0</v>
      </c>
      <c r="DA344" s="2"/>
      <c r="DB344" s="2"/>
      <c r="DC344" s="2" t="s">
        <v>3</v>
      </c>
      <c r="DD344" s="2" t="s">
        <v>3</v>
      </c>
      <c r="DE344" s="2" t="s">
        <v>3</v>
      </c>
      <c r="DF344" s="2" t="s">
        <v>3</v>
      </c>
      <c r="DG344" s="2" t="s">
        <v>3</v>
      </c>
      <c r="DH344" s="2" t="s">
        <v>3</v>
      </c>
      <c r="DI344" s="2" t="s">
        <v>3</v>
      </c>
      <c r="DJ344" s="2" t="s">
        <v>3</v>
      </c>
      <c r="DK344" s="2" t="s">
        <v>3</v>
      </c>
      <c r="DL344" s="2" t="s">
        <v>3</v>
      </c>
      <c r="DM344" s="2" t="s">
        <v>3</v>
      </c>
      <c r="DN344" s="2">
        <v>0</v>
      </c>
      <c r="DO344" s="2">
        <v>0</v>
      </c>
      <c r="DP344" s="2">
        <v>1</v>
      </c>
      <c r="DQ344" s="2">
        <v>1</v>
      </c>
      <c r="DR344" s="2"/>
      <c r="DS344" s="2"/>
      <c r="DT344" s="2"/>
      <c r="DU344" s="2">
        <v>1010</v>
      </c>
      <c r="DV344" s="2" t="s">
        <v>191</v>
      </c>
      <c r="DW344" s="2" t="s">
        <v>191</v>
      </c>
      <c r="DX344" s="2">
        <v>1</v>
      </c>
      <c r="DY344" s="2"/>
      <c r="DZ344" s="2" t="s">
        <v>3</v>
      </c>
      <c r="EA344" s="2" t="s">
        <v>3</v>
      </c>
      <c r="EB344" s="2" t="s">
        <v>3</v>
      </c>
      <c r="EC344" s="2" t="s">
        <v>3</v>
      </c>
      <c r="ED344" s="2"/>
      <c r="EE344" s="2">
        <v>55393806</v>
      </c>
      <c r="EF344" s="2">
        <v>130</v>
      </c>
      <c r="EG344" s="2" t="s">
        <v>193</v>
      </c>
      <c r="EH344" s="2">
        <v>0</v>
      </c>
      <c r="EI344" s="2" t="s">
        <v>3</v>
      </c>
      <c r="EJ344" s="2">
        <v>3</v>
      </c>
      <c r="EK344" s="2">
        <v>746</v>
      </c>
      <c r="EL344" s="2" t="s">
        <v>194</v>
      </c>
      <c r="EM344" s="2" t="s">
        <v>195</v>
      </c>
      <c r="EN344" s="2"/>
      <c r="EO344" s="2" t="s">
        <v>82</v>
      </c>
      <c r="EP344" s="2"/>
      <c r="EQ344" s="2">
        <v>0</v>
      </c>
      <c r="ER344" s="2">
        <v>148.71</v>
      </c>
      <c r="ES344" s="2">
        <v>148.71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>
        <v>0</v>
      </c>
      <c r="FR344" s="2">
        <f t="shared" ref="FR344:FR353" si="333">P344</f>
        <v>148.71</v>
      </c>
      <c r="FS344" s="2">
        <v>0</v>
      </c>
      <c r="FT344" s="2"/>
      <c r="FU344" s="2"/>
      <c r="FV344" s="2"/>
      <c r="FW344" s="2"/>
      <c r="FX344" s="2">
        <v>95</v>
      </c>
      <c r="FY344" s="2">
        <v>53</v>
      </c>
      <c r="FZ344" s="2"/>
      <c r="GA344" s="2" t="s">
        <v>3</v>
      </c>
      <c r="GB344" s="2"/>
      <c r="GC344" s="2"/>
      <c r="GD344" s="2">
        <v>1</v>
      </c>
      <c r="GE344" s="2"/>
      <c r="GF344" s="2">
        <v>-1510544928</v>
      </c>
      <c r="GG344" s="2">
        <v>2</v>
      </c>
      <c r="GH344" s="2">
        <v>1</v>
      </c>
      <c r="GI344" s="2">
        <v>-2</v>
      </c>
      <c r="GJ344" s="2">
        <v>0</v>
      </c>
      <c r="GK344" s="2">
        <v>0</v>
      </c>
      <c r="GL344" s="2">
        <f t="shared" si="311"/>
        <v>0</v>
      </c>
      <c r="GM344" s="2">
        <f t="shared" si="312"/>
        <v>148.71</v>
      </c>
      <c r="GN344" s="2">
        <f t="shared" si="313"/>
        <v>0</v>
      </c>
      <c r="GO344" s="2">
        <f t="shared" si="314"/>
        <v>0</v>
      </c>
      <c r="GP344" s="2">
        <f t="shared" si="315"/>
        <v>0</v>
      </c>
      <c r="GQ344" s="2"/>
      <c r="GR344" s="2">
        <v>0</v>
      </c>
      <c r="GS344" s="2">
        <v>3</v>
      </c>
      <c r="GT344" s="2">
        <v>0</v>
      </c>
      <c r="GU344" s="2" t="s">
        <v>3</v>
      </c>
      <c r="GV344" s="2">
        <f t="shared" si="316"/>
        <v>0</v>
      </c>
      <c r="GW344" s="2">
        <v>1</v>
      </c>
      <c r="GX344" s="2">
        <f t="shared" si="317"/>
        <v>0</v>
      </c>
      <c r="GY344" s="2"/>
      <c r="GZ344" s="2"/>
      <c r="HA344" s="2">
        <v>0</v>
      </c>
      <c r="HB344" s="2">
        <v>0</v>
      </c>
      <c r="HC344" s="2">
        <f t="shared" si="318"/>
        <v>0</v>
      </c>
      <c r="HD344" s="2"/>
      <c r="HE344" s="2" t="s">
        <v>3</v>
      </c>
      <c r="HF344" s="2" t="s">
        <v>3</v>
      </c>
      <c r="HG344" s="2"/>
      <c r="HH344" s="2"/>
      <c r="HI344" s="2"/>
      <c r="HJ344" s="2"/>
      <c r="HK344" s="2"/>
      <c r="HL344" s="2"/>
      <c r="HM344" s="2" t="s">
        <v>3</v>
      </c>
      <c r="HN344" s="2" t="s">
        <v>3</v>
      </c>
      <c r="HO344" s="2" t="s">
        <v>3</v>
      </c>
      <c r="HP344" s="2" t="s">
        <v>3</v>
      </c>
      <c r="HQ344" s="2" t="s">
        <v>3</v>
      </c>
      <c r="HR344" s="2"/>
      <c r="HS344" s="2">
        <v>0</v>
      </c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>
        <v>0</v>
      </c>
      <c r="IL344" s="2"/>
      <c r="IM344" s="2"/>
      <c r="IN344" s="2"/>
      <c r="IO344" s="2"/>
      <c r="IP344" s="2"/>
      <c r="IQ344" s="2"/>
      <c r="IR344" s="2"/>
      <c r="IS344" s="2"/>
      <c r="IT344" s="2"/>
      <c r="IU344" s="2"/>
    </row>
    <row r="345" spans="1:255" x14ac:dyDescent="0.2">
      <c r="A345" s="3">
        <v>18</v>
      </c>
      <c r="B345" s="3">
        <v>1</v>
      </c>
      <c r="C345" s="3">
        <v>159</v>
      </c>
      <c r="E345" s="3" t="s">
        <v>290</v>
      </c>
      <c r="F345" s="3" t="s">
        <v>291</v>
      </c>
      <c r="G345" s="3" t="s">
        <v>292</v>
      </c>
      <c r="H345" s="3" t="s">
        <v>191</v>
      </c>
      <c r="I345" s="3">
        <f>I343*J345</f>
        <v>1</v>
      </c>
      <c r="J345" s="3">
        <v>1</v>
      </c>
      <c r="K345" s="3">
        <v>1</v>
      </c>
      <c r="O345" s="3">
        <f t="shared" si="296"/>
        <v>840.21</v>
      </c>
      <c r="P345" s="3">
        <f>ROUND((ROUND((AC345*I345),2)*BC345),2)</f>
        <v>840.21</v>
      </c>
      <c r="Q345" s="3">
        <f t="shared" si="319"/>
        <v>0</v>
      </c>
      <c r="R345" s="3">
        <f t="shared" si="320"/>
        <v>0</v>
      </c>
      <c r="S345" s="3">
        <f t="shared" si="297"/>
        <v>0</v>
      </c>
      <c r="T345" s="3">
        <f t="shared" si="298"/>
        <v>0</v>
      </c>
      <c r="U345" s="3">
        <f t="shared" si="299"/>
        <v>0</v>
      </c>
      <c r="V345" s="3">
        <f t="shared" si="300"/>
        <v>0</v>
      </c>
      <c r="W345" s="3">
        <f t="shared" si="301"/>
        <v>0</v>
      </c>
      <c r="X345" s="3">
        <f t="shared" si="321"/>
        <v>0</v>
      </c>
      <c r="Y345" s="3">
        <f t="shared" si="322"/>
        <v>0</v>
      </c>
      <c r="AA345" s="3">
        <v>55915258</v>
      </c>
      <c r="AB345" s="3">
        <f t="shared" si="302"/>
        <v>148.71</v>
      </c>
      <c r="AC345" s="3">
        <f t="shared" si="323"/>
        <v>148.71</v>
      </c>
      <c r="AD345" s="3">
        <f t="shared" si="324"/>
        <v>0</v>
      </c>
      <c r="AE345" s="3">
        <f t="shared" si="325"/>
        <v>0</v>
      </c>
      <c r="AF345" s="3">
        <f t="shared" si="326"/>
        <v>0</v>
      </c>
      <c r="AG345" s="3">
        <f t="shared" si="303"/>
        <v>0</v>
      </c>
      <c r="AH345" s="3">
        <f t="shared" si="327"/>
        <v>0</v>
      </c>
      <c r="AI345" s="3">
        <f t="shared" si="328"/>
        <v>0</v>
      </c>
      <c r="AJ345" s="3">
        <f t="shared" si="304"/>
        <v>0</v>
      </c>
      <c r="AK345" s="3">
        <v>148.71</v>
      </c>
      <c r="AL345" s="3">
        <v>148.71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1</v>
      </c>
      <c r="AW345" s="3">
        <v>1</v>
      </c>
      <c r="AZ345" s="3">
        <v>1</v>
      </c>
      <c r="BA345" s="3">
        <v>1</v>
      </c>
      <c r="BB345" s="3">
        <v>1</v>
      </c>
      <c r="BC345" s="3">
        <v>5.65</v>
      </c>
      <c r="BD345" s="3" t="s">
        <v>3</v>
      </c>
      <c r="BE345" s="3" t="s">
        <v>3</v>
      </c>
      <c r="BF345" s="3" t="s">
        <v>3</v>
      </c>
      <c r="BG345" s="3" t="s">
        <v>3</v>
      </c>
      <c r="BH345" s="3">
        <v>3</v>
      </c>
      <c r="BI345" s="3">
        <v>3</v>
      </c>
      <c r="BJ345" s="3" t="s">
        <v>293</v>
      </c>
      <c r="BM345" s="3">
        <v>746</v>
      </c>
      <c r="BN345" s="3">
        <v>0</v>
      </c>
      <c r="BO345" s="3" t="s">
        <v>3</v>
      </c>
      <c r="BP345" s="3">
        <v>0</v>
      </c>
      <c r="BQ345" s="3">
        <v>130</v>
      </c>
      <c r="BR345" s="3">
        <v>0</v>
      </c>
      <c r="BS345" s="3">
        <v>1</v>
      </c>
      <c r="BT345" s="3">
        <v>1</v>
      </c>
      <c r="BU345" s="3">
        <v>1</v>
      </c>
      <c r="BV345" s="3">
        <v>1</v>
      </c>
      <c r="BW345" s="3">
        <v>1</v>
      </c>
      <c r="BX345" s="3">
        <v>1</v>
      </c>
      <c r="BY345" s="3" t="s">
        <v>3</v>
      </c>
      <c r="BZ345" s="3">
        <v>95</v>
      </c>
      <c r="CA345" s="3">
        <v>53</v>
      </c>
      <c r="CB345" s="3" t="s">
        <v>3</v>
      </c>
      <c r="CE345" s="3">
        <v>1566</v>
      </c>
      <c r="CF345" s="3">
        <v>0</v>
      </c>
      <c r="CG345" s="3">
        <v>0</v>
      </c>
      <c r="CM345" s="3">
        <v>0</v>
      </c>
      <c r="CN345" s="3" t="s">
        <v>607</v>
      </c>
      <c r="CO345" s="3">
        <v>0</v>
      </c>
      <c r="CP345" s="3">
        <f t="shared" si="305"/>
        <v>840.21</v>
      </c>
      <c r="CQ345" s="3">
        <f>ROUND((ROUND((AC345*1),2)*BC345),2)</f>
        <v>840.21</v>
      </c>
      <c r="CR345" s="3">
        <f t="shared" si="329"/>
        <v>0</v>
      </c>
      <c r="CS345" s="3">
        <f t="shared" si="330"/>
        <v>0</v>
      </c>
      <c r="CT345" s="3">
        <f t="shared" si="306"/>
        <v>0</v>
      </c>
      <c r="CU345" s="3">
        <f t="shared" si="307"/>
        <v>0</v>
      </c>
      <c r="CV345" s="3">
        <f t="shared" si="308"/>
        <v>0</v>
      </c>
      <c r="CW345" s="3">
        <f t="shared" si="309"/>
        <v>0</v>
      </c>
      <c r="CX345" s="3">
        <f t="shared" si="310"/>
        <v>0</v>
      </c>
      <c r="CY345" s="3">
        <f t="shared" si="331"/>
        <v>0</v>
      </c>
      <c r="CZ345" s="3">
        <f t="shared" si="332"/>
        <v>0</v>
      </c>
      <c r="DC345" s="3" t="s">
        <v>3</v>
      </c>
      <c r="DD345" s="3" t="s">
        <v>3</v>
      </c>
      <c r="DE345" s="3" t="s">
        <v>3</v>
      </c>
      <c r="DF345" s="3" t="s">
        <v>3</v>
      </c>
      <c r="DG345" s="3" t="s">
        <v>3</v>
      </c>
      <c r="DH345" s="3" t="s">
        <v>3</v>
      </c>
      <c r="DI345" s="3" t="s">
        <v>3</v>
      </c>
      <c r="DJ345" s="3" t="s">
        <v>3</v>
      </c>
      <c r="DK345" s="3" t="s">
        <v>3</v>
      </c>
      <c r="DL345" s="3" t="s">
        <v>3</v>
      </c>
      <c r="DM345" s="3" t="s">
        <v>3</v>
      </c>
      <c r="DN345" s="3">
        <v>0</v>
      </c>
      <c r="DO345" s="3">
        <v>0</v>
      </c>
      <c r="DP345" s="3">
        <v>1</v>
      </c>
      <c r="DQ345" s="3">
        <v>1</v>
      </c>
      <c r="DU345" s="3">
        <v>1010</v>
      </c>
      <c r="DV345" s="3" t="s">
        <v>191</v>
      </c>
      <c r="DW345" s="3" t="s">
        <v>191</v>
      </c>
      <c r="DX345" s="3">
        <v>1</v>
      </c>
      <c r="DZ345" s="3" t="s">
        <v>3</v>
      </c>
      <c r="EA345" s="3" t="s">
        <v>3</v>
      </c>
      <c r="EB345" s="3" t="s">
        <v>3</v>
      </c>
      <c r="EC345" s="3" t="s">
        <v>3</v>
      </c>
      <c r="EE345" s="3">
        <v>55393806</v>
      </c>
      <c r="EF345" s="3">
        <v>130</v>
      </c>
      <c r="EG345" s="3" t="s">
        <v>193</v>
      </c>
      <c r="EH345" s="3">
        <v>0</v>
      </c>
      <c r="EI345" s="3" t="s">
        <v>3</v>
      </c>
      <c r="EJ345" s="3">
        <v>3</v>
      </c>
      <c r="EK345" s="3">
        <v>746</v>
      </c>
      <c r="EL345" s="3" t="s">
        <v>194</v>
      </c>
      <c r="EM345" s="3" t="s">
        <v>195</v>
      </c>
      <c r="EO345" s="3" t="s">
        <v>82</v>
      </c>
      <c r="EQ345" s="3">
        <v>0</v>
      </c>
      <c r="ER345" s="3">
        <v>148.71</v>
      </c>
      <c r="ES345" s="3">
        <v>148.71</v>
      </c>
      <c r="ET345" s="3">
        <v>0</v>
      </c>
      <c r="EU345" s="3">
        <v>0</v>
      </c>
      <c r="EV345" s="3">
        <v>0</v>
      </c>
      <c r="EW345" s="3">
        <v>0</v>
      </c>
      <c r="EX345" s="3">
        <v>0</v>
      </c>
      <c r="FQ345" s="3">
        <v>0</v>
      </c>
      <c r="FR345" s="3">
        <f t="shared" si="333"/>
        <v>840.21</v>
      </c>
      <c r="FS345" s="3">
        <v>0</v>
      </c>
      <c r="FX345" s="3">
        <v>95</v>
      </c>
      <c r="FY345" s="3">
        <v>53</v>
      </c>
      <c r="GA345" s="3" t="s">
        <v>3</v>
      </c>
      <c r="GD345" s="3">
        <v>1</v>
      </c>
      <c r="GF345" s="3">
        <v>-1510544928</v>
      </c>
      <c r="GG345" s="3">
        <v>2</v>
      </c>
      <c r="GH345" s="3">
        <v>1</v>
      </c>
      <c r="GI345" s="3">
        <v>2</v>
      </c>
      <c r="GJ345" s="3">
        <v>0</v>
      </c>
      <c r="GK345" s="3">
        <v>0</v>
      </c>
      <c r="GL345" s="3">
        <f t="shared" si="311"/>
        <v>0</v>
      </c>
      <c r="GM345" s="3">
        <f t="shared" si="312"/>
        <v>840.21</v>
      </c>
      <c r="GN345" s="3">
        <f t="shared" si="313"/>
        <v>0</v>
      </c>
      <c r="GO345" s="3">
        <f t="shared" si="314"/>
        <v>0</v>
      </c>
      <c r="GP345" s="3">
        <f t="shared" si="315"/>
        <v>0</v>
      </c>
      <c r="GR345" s="3">
        <v>0</v>
      </c>
      <c r="GS345" s="3">
        <v>3</v>
      </c>
      <c r="GT345" s="3">
        <v>0</v>
      </c>
      <c r="GU345" s="3" t="s">
        <v>3</v>
      </c>
      <c r="GV345" s="3">
        <f t="shared" si="316"/>
        <v>0</v>
      </c>
      <c r="GW345" s="3">
        <v>1</v>
      </c>
      <c r="GX345" s="3">
        <f t="shared" si="317"/>
        <v>0</v>
      </c>
      <c r="HA345" s="3">
        <v>0</v>
      </c>
      <c r="HB345" s="3">
        <v>0</v>
      </c>
      <c r="HC345" s="3">
        <f t="shared" si="318"/>
        <v>0</v>
      </c>
      <c r="HE345" s="3" t="s">
        <v>3</v>
      </c>
      <c r="HF345" s="3" t="s">
        <v>3</v>
      </c>
      <c r="HM345" s="3" t="s">
        <v>3</v>
      </c>
      <c r="HN345" s="3" t="s">
        <v>3</v>
      </c>
      <c r="HO345" s="3" t="s">
        <v>3</v>
      </c>
      <c r="HP345" s="3" t="s">
        <v>3</v>
      </c>
      <c r="HQ345" s="3" t="s">
        <v>3</v>
      </c>
      <c r="HS345" s="3">
        <v>0</v>
      </c>
      <c r="IK345" s="3">
        <v>0</v>
      </c>
    </row>
    <row r="346" spans="1:255" x14ac:dyDescent="0.2">
      <c r="A346" s="2">
        <v>18</v>
      </c>
      <c r="B346" s="2">
        <v>1</v>
      </c>
      <c r="C346" s="2">
        <v>153</v>
      </c>
      <c r="D346" s="2"/>
      <c r="E346" s="2" t="s">
        <v>294</v>
      </c>
      <c r="F346" s="2" t="s">
        <v>295</v>
      </c>
      <c r="G346" s="2" t="s">
        <v>296</v>
      </c>
      <c r="H346" s="2" t="s">
        <v>191</v>
      </c>
      <c r="I346" s="2">
        <f>I342*J346</f>
        <v>1</v>
      </c>
      <c r="J346" s="2">
        <v>1</v>
      </c>
      <c r="K346" s="2">
        <v>1</v>
      </c>
      <c r="L346" s="2"/>
      <c r="M346" s="2"/>
      <c r="N346" s="2"/>
      <c r="O346" s="2">
        <f t="shared" si="296"/>
        <v>77.11</v>
      </c>
      <c r="P346" s="2">
        <f>ROUND((ROUND((AC346*I346),2)*BC346),2)</f>
        <v>77.11</v>
      </c>
      <c r="Q346" s="2">
        <f t="shared" si="319"/>
        <v>0</v>
      </c>
      <c r="R346" s="2">
        <f t="shared" si="320"/>
        <v>0</v>
      </c>
      <c r="S346" s="2">
        <f t="shared" si="297"/>
        <v>0</v>
      </c>
      <c r="T346" s="2">
        <f t="shared" si="298"/>
        <v>0</v>
      </c>
      <c r="U346" s="2">
        <f t="shared" si="299"/>
        <v>0</v>
      </c>
      <c r="V346" s="2">
        <f t="shared" si="300"/>
        <v>0</v>
      </c>
      <c r="W346" s="2">
        <f t="shared" si="301"/>
        <v>0</v>
      </c>
      <c r="X346" s="2">
        <f t="shared" si="321"/>
        <v>0</v>
      </c>
      <c r="Y346" s="2">
        <f t="shared" si="322"/>
        <v>0</v>
      </c>
      <c r="Z346" s="2"/>
      <c r="AA346" s="2">
        <v>55915256</v>
      </c>
      <c r="AB346" s="2">
        <f t="shared" si="302"/>
        <v>77.11</v>
      </c>
      <c r="AC346" s="2">
        <f t="shared" si="323"/>
        <v>77.11</v>
      </c>
      <c r="AD346" s="2">
        <f t="shared" si="324"/>
        <v>0</v>
      </c>
      <c r="AE346" s="2">
        <f t="shared" si="325"/>
        <v>0</v>
      </c>
      <c r="AF346" s="2">
        <f t="shared" si="326"/>
        <v>0</v>
      </c>
      <c r="AG346" s="2">
        <f t="shared" si="303"/>
        <v>0</v>
      </c>
      <c r="AH346" s="2">
        <f t="shared" si="327"/>
        <v>0</v>
      </c>
      <c r="AI346" s="2">
        <f t="shared" si="328"/>
        <v>0</v>
      </c>
      <c r="AJ346" s="2">
        <f t="shared" si="304"/>
        <v>0</v>
      </c>
      <c r="AK346" s="2">
        <v>77.11</v>
      </c>
      <c r="AL346" s="2">
        <v>77.11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1</v>
      </c>
      <c r="AW346" s="2">
        <v>1</v>
      </c>
      <c r="AX346" s="2"/>
      <c r="AY346" s="2"/>
      <c r="AZ346" s="2">
        <v>1</v>
      </c>
      <c r="BA346" s="2">
        <v>1</v>
      </c>
      <c r="BB346" s="2">
        <v>1</v>
      </c>
      <c r="BC346" s="2">
        <v>1</v>
      </c>
      <c r="BD346" s="2" t="s">
        <v>3</v>
      </c>
      <c r="BE346" s="2" t="s">
        <v>3</v>
      </c>
      <c r="BF346" s="2" t="s">
        <v>3</v>
      </c>
      <c r="BG346" s="2" t="s">
        <v>3</v>
      </c>
      <c r="BH346" s="2">
        <v>3</v>
      </c>
      <c r="BI346" s="2">
        <v>3</v>
      </c>
      <c r="BJ346" s="2" t="s">
        <v>297</v>
      </c>
      <c r="BK346" s="2"/>
      <c r="BL346" s="2"/>
      <c r="BM346" s="2">
        <v>746</v>
      </c>
      <c r="BN346" s="2">
        <v>0</v>
      </c>
      <c r="BO346" s="2" t="s">
        <v>3</v>
      </c>
      <c r="BP346" s="2">
        <v>0</v>
      </c>
      <c r="BQ346" s="2">
        <v>130</v>
      </c>
      <c r="BR346" s="2">
        <v>0</v>
      </c>
      <c r="BS346" s="2">
        <v>1</v>
      </c>
      <c r="BT346" s="2">
        <v>1</v>
      </c>
      <c r="BU346" s="2">
        <v>1</v>
      </c>
      <c r="BV346" s="2">
        <v>1</v>
      </c>
      <c r="BW346" s="2">
        <v>1</v>
      </c>
      <c r="BX346" s="2">
        <v>1</v>
      </c>
      <c r="BY346" s="2" t="s">
        <v>3</v>
      </c>
      <c r="BZ346" s="2">
        <v>95</v>
      </c>
      <c r="CA346" s="2">
        <v>53</v>
      </c>
      <c r="CB346" s="2" t="s">
        <v>3</v>
      </c>
      <c r="CC346" s="2"/>
      <c r="CD346" s="2"/>
      <c r="CE346" s="2">
        <v>1566</v>
      </c>
      <c r="CF346" s="2">
        <v>0</v>
      </c>
      <c r="CG346" s="2">
        <v>0</v>
      </c>
      <c r="CH346" s="2"/>
      <c r="CI346" s="2"/>
      <c r="CJ346" s="2"/>
      <c r="CK346" s="2"/>
      <c r="CL346" s="2"/>
      <c r="CM346" s="2">
        <v>0</v>
      </c>
      <c r="CN346" s="2" t="s">
        <v>607</v>
      </c>
      <c r="CO346" s="2">
        <v>0</v>
      </c>
      <c r="CP346" s="2">
        <f t="shared" si="305"/>
        <v>77.11</v>
      </c>
      <c r="CQ346" s="2">
        <f>ROUND((ROUND((AC346*1),2)*BC346),2)</f>
        <v>77.11</v>
      </c>
      <c r="CR346" s="2">
        <f t="shared" si="329"/>
        <v>0</v>
      </c>
      <c r="CS346" s="2">
        <f t="shared" si="330"/>
        <v>0</v>
      </c>
      <c r="CT346" s="2">
        <f t="shared" si="306"/>
        <v>0</v>
      </c>
      <c r="CU346" s="2">
        <f t="shared" si="307"/>
        <v>0</v>
      </c>
      <c r="CV346" s="2">
        <f t="shared" si="308"/>
        <v>0</v>
      </c>
      <c r="CW346" s="2">
        <f t="shared" si="309"/>
        <v>0</v>
      </c>
      <c r="CX346" s="2">
        <f t="shared" si="310"/>
        <v>0</v>
      </c>
      <c r="CY346" s="2">
        <f t="shared" si="331"/>
        <v>0</v>
      </c>
      <c r="CZ346" s="2">
        <f t="shared" si="332"/>
        <v>0</v>
      </c>
      <c r="DA346" s="2"/>
      <c r="DB346" s="2"/>
      <c r="DC346" s="2" t="s">
        <v>3</v>
      </c>
      <c r="DD346" s="2" t="s">
        <v>3</v>
      </c>
      <c r="DE346" s="2" t="s">
        <v>3</v>
      </c>
      <c r="DF346" s="2" t="s">
        <v>3</v>
      </c>
      <c r="DG346" s="2" t="s">
        <v>3</v>
      </c>
      <c r="DH346" s="2" t="s">
        <v>3</v>
      </c>
      <c r="DI346" s="2" t="s">
        <v>3</v>
      </c>
      <c r="DJ346" s="2" t="s">
        <v>3</v>
      </c>
      <c r="DK346" s="2" t="s">
        <v>3</v>
      </c>
      <c r="DL346" s="2" t="s">
        <v>3</v>
      </c>
      <c r="DM346" s="2" t="s">
        <v>3</v>
      </c>
      <c r="DN346" s="2">
        <v>0</v>
      </c>
      <c r="DO346" s="2">
        <v>0</v>
      </c>
      <c r="DP346" s="2">
        <v>1</v>
      </c>
      <c r="DQ346" s="2">
        <v>1</v>
      </c>
      <c r="DR346" s="2"/>
      <c r="DS346" s="2"/>
      <c r="DT346" s="2"/>
      <c r="DU346" s="2">
        <v>1010</v>
      </c>
      <c r="DV346" s="2" t="s">
        <v>191</v>
      </c>
      <c r="DW346" s="2" t="s">
        <v>191</v>
      </c>
      <c r="DX346" s="2">
        <v>1</v>
      </c>
      <c r="DY346" s="2"/>
      <c r="DZ346" s="2" t="s">
        <v>3</v>
      </c>
      <c r="EA346" s="2" t="s">
        <v>3</v>
      </c>
      <c r="EB346" s="2" t="s">
        <v>3</v>
      </c>
      <c r="EC346" s="2" t="s">
        <v>3</v>
      </c>
      <c r="ED346" s="2"/>
      <c r="EE346" s="2">
        <v>55393806</v>
      </c>
      <c r="EF346" s="2">
        <v>130</v>
      </c>
      <c r="EG346" s="2" t="s">
        <v>193</v>
      </c>
      <c r="EH346" s="2">
        <v>0</v>
      </c>
      <c r="EI346" s="2" t="s">
        <v>3</v>
      </c>
      <c r="EJ346" s="2">
        <v>3</v>
      </c>
      <c r="EK346" s="2">
        <v>746</v>
      </c>
      <c r="EL346" s="2" t="s">
        <v>194</v>
      </c>
      <c r="EM346" s="2" t="s">
        <v>195</v>
      </c>
      <c r="EN346" s="2"/>
      <c r="EO346" s="2" t="s">
        <v>82</v>
      </c>
      <c r="EP346" s="2"/>
      <c r="EQ346" s="2">
        <v>0</v>
      </c>
      <c r="ER346" s="2">
        <v>77.11</v>
      </c>
      <c r="ES346" s="2">
        <v>77.11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>
        <v>0</v>
      </c>
      <c r="FR346" s="2">
        <f t="shared" si="333"/>
        <v>77.11</v>
      </c>
      <c r="FS346" s="2">
        <v>0</v>
      </c>
      <c r="FT346" s="2"/>
      <c r="FU346" s="2"/>
      <c r="FV346" s="2"/>
      <c r="FW346" s="2"/>
      <c r="FX346" s="2">
        <v>95</v>
      </c>
      <c r="FY346" s="2">
        <v>53</v>
      </c>
      <c r="FZ346" s="2"/>
      <c r="GA346" s="2" t="s">
        <v>3</v>
      </c>
      <c r="GB346" s="2"/>
      <c r="GC346" s="2"/>
      <c r="GD346" s="2">
        <v>1</v>
      </c>
      <c r="GE346" s="2"/>
      <c r="GF346" s="2">
        <v>-887699203</v>
      </c>
      <c r="GG346" s="2">
        <v>2</v>
      </c>
      <c r="GH346" s="2">
        <v>1</v>
      </c>
      <c r="GI346" s="2">
        <v>-2</v>
      </c>
      <c r="GJ346" s="2">
        <v>0</v>
      </c>
      <c r="GK346" s="2">
        <v>0</v>
      </c>
      <c r="GL346" s="2">
        <f t="shared" si="311"/>
        <v>0</v>
      </c>
      <c r="GM346" s="2">
        <f t="shared" si="312"/>
        <v>77.11</v>
      </c>
      <c r="GN346" s="2">
        <f t="shared" si="313"/>
        <v>0</v>
      </c>
      <c r="GO346" s="2">
        <f t="shared" si="314"/>
        <v>0</v>
      </c>
      <c r="GP346" s="2">
        <f t="shared" si="315"/>
        <v>0</v>
      </c>
      <c r="GQ346" s="2"/>
      <c r="GR346" s="2">
        <v>0</v>
      </c>
      <c r="GS346" s="2">
        <v>3</v>
      </c>
      <c r="GT346" s="2">
        <v>0</v>
      </c>
      <c r="GU346" s="2" t="s">
        <v>3</v>
      </c>
      <c r="GV346" s="2">
        <f t="shared" si="316"/>
        <v>0</v>
      </c>
      <c r="GW346" s="2">
        <v>1</v>
      </c>
      <c r="GX346" s="2">
        <f t="shared" si="317"/>
        <v>0</v>
      </c>
      <c r="GY346" s="2"/>
      <c r="GZ346" s="2"/>
      <c r="HA346" s="2">
        <v>0</v>
      </c>
      <c r="HB346" s="2">
        <v>0</v>
      </c>
      <c r="HC346" s="2">
        <f t="shared" si="318"/>
        <v>0</v>
      </c>
      <c r="HD346" s="2"/>
      <c r="HE346" s="2" t="s">
        <v>3</v>
      </c>
      <c r="HF346" s="2" t="s">
        <v>3</v>
      </c>
      <c r="HG346" s="2"/>
      <c r="HH346" s="2"/>
      <c r="HI346" s="2"/>
      <c r="HJ346" s="2"/>
      <c r="HK346" s="2"/>
      <c r="HL346" s="2"/>
      <c r="HM346" s="2" t="s">
        <v>77</v>
      </c>
      <c r="HN346" s="2" t="s">
        <v>3</v>
      </c>
      <c r="HO346" s="2" t="s">
        <v>3</v>
      </c>
      <c r="HP346" s="2" t="s">
        <v>3</v>
      </c>
      <c r="HQ346" s="2" t="s">
        <v>3</v>
      </c>
      <c r="HR346" s="2"/>
      <c r="HS346" s="2">
        <v>0</v>
      </c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>
        <v>0</v>
      </c>
      <c r="IL346" s="2"/>
      <c r="IM346" s="2"/>
      <c r="IN346" s="2"/>
      <c r="IO346" s="2"/>
      <c r="IP346" s="2"/>
      <c r="IQ346" s="2"/>
      <c r="IR346" s="2"/>
      <c r="IS346" s="2"/>
      <c r="IT346" s="2"/>
      <c r="IU346" s="2"/>
    </row>
    <row r="347" spans="1:255" x14ac:dyDescent="0.2">
      <c r="A347" s="3">
        <v>18</v>
      </c>
      <c r="B347" s="3">
        <v>1</v>
      </c>
      <c r="C347" s="3">
        <v>160</v>
      </c>
      <c r="E347" s="3" t="s">
        <v>294</v>
      </c>
      <c r="F347" s="3" t="s">
        <v>295</v>
      </c>
      <c r="G347" s="3" t="s">
        <v>296</v>
      </c>
      <c r="H347" s="3" t="s">
        <v>191</v>
      </c>
      <c r="I347" s="3">
        <f>I343*J347</f>
        <v>1</v>
      </c>
      <c r="J347" s="3">
        <v>1</v>
      </c>
      <c r="K347" s="3">
        <v>1</v>
      </c>
      <c r="O347" s="3">
        <f t="shared" si="296"/>
        <v>321.55</v>
      </c>
      <c r="P347" s="3">
        <f>ROUND((ROUND((AC347*I347),2)*BC347),2)</f>
        <v>321.55</v>
      </c>
      <c r="Q347" s="3">
        <f t="shared" si="319"/>
        <v>0</v>
      </c>
      <c r="R347" s="3">
        <f t="shared" si="320"/>
        <v>0</v>
      </c>
      <c r="S347" s="3">
        <f t="shared" si="297"/>
        <v>0</v>
      </c>
      <c r="T347" s="3">
        <f t="shared" si="298"/>
        <v>0</v>
      </c>
      <c r="U347" s="3">
        <f t="shared" si="299"/>
        <v>0</v>
      </c>
      <c r="V347" s="3">
        <f t="shared" si="300"/>
        <v>0</v>
      </c>
      <c r="W347" s="3">
        <f t="shared" si="301"/>
        <v>0</v>
      </c>
      <c r="X347" s="3">
        <f t="shared" si="321"/>
        <v>0</v>
      </c>
      <c r="Y347" s="3">
        <f t="shared" si="322"/>
        <v>0</v>
      </c>
      <c r="AA347" s="3">
        <v>55915258</v>
      </c>
      <c r="AB347" s="3">
        <f t="shared" si="302"/>
        <v>77.11</v>
      </c>
      <c r="AC347" s="3">
        <f t="shared" si="323"/>
        <v>77.11</v>
      </c>
      <c r="AD347" s="3">
        <f t="shared" si="324"/>
        <v>0</v>
      </c>
      <c r="AE347" s="3">
        <f t="shared" si="325"/>
        <v>0</v>
      </c>
      <c r="AF347" s="3">
        <f t="shared" si="326"/>
        <v>0</v>
      </c>
      <c r="AG347" s="3">
        <f t="shared" si="303"/>
        <v>0</v>
      </c>
      <c r="AH347" s="3">
        <f t="shared" si="327"/>
        <v>0</v>
      </c>
      <c r="AI347" s="3">
        <f t="shared" si="328"/>
        <v>0</v>
      </c>
      <c r="AJ347" s="3">
        <f t="shared" si="304"/>
        <v>0</v>
      </c>
      <c r="AK347" s="3">
        <v>77.11</v>
      </c>
      <c r="AL347" s="3">
        <v>77.11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1</v>
      </c>
      <c r="AW347" s="3">
        <v>1</v>
      </c>
      <c r="AZ347" s="3">
        <v>1</v>
      </c>
      <c r="BA347" s="3">
        <v>1</v>
      </c>
      <c r="BB347" s="3">
        <v>1</v>
      </c>
      <c r="BC347" s="3">
        <v>4.17</v>
      </c>
      <c r="BD347" s="3" t="s">
        <v>3</v>
      </c>
      <c r="BE347" s="3" t="s">
        <v>3</v>
      </c>
      <c r="BF347" s="3" t="s">
        <v>3</v>
      </c>
      <c r="BG347" s="3" t="s">
        <v>3</v>
      </c>
      <c r="BH347" s="3">
        <v>3</v>
      </c>
      <c r="BI347" s="3">
        <v>3</v>
      </c>
      <c r="BJ347" s="3" t="s">
        <v>297</v>
      </c>
      <c r="BM347" s="3">
        <v>746</v>
      </c>
      <c r="BN347" s="3">
        <v>0</v>
      </c>
      <c r="BO347" s="3" t="s">
        <v>3</v>
      </c>
      <c r="BP347" s="3">
        <v>0</v>
      </c>
      <c r="BQ347" s="3">
        <v>130</v>
      </c>
      <c r="BR347" s="3">
        <v>0</v>
      </c>
      <c r="BS347" s="3">
        <v>1</v>
      </c>
      <c r="BT347" s="3">
        <v>1</v>
      </c>
      <c r="BU347" s="3">
        <v>1</v>
      </c>
      <c r="BV347" s="3">
        <v>1</v>
      </c>
      <c r="BW347" s="3">
        <v>1</v>
      </c>
      <c r="BX347" s="3">
        <v>1</v>
      </c>
      <c r="BY347" s="3" t="s">
        <v>3</v>
      </c>
      <c r="BZ347" s="3">
        <v>95</v>
      </c>
      <c r="CA347" s="3">
        <v>53</v>
      </c>
      <c r="CB347" s="3" t="s">
        <v>3</v>
      </c>
      <c r="CE347" s="3">
        <v>1566</v>
      </c>
      <c r="CF347" s="3">
        <v>0</v>
      </c>
      <c r="CG347" s="3">
        <v>0</v>
      </c>
      <c r="CM347" s="3">
        <v>0</v>
      </c>
      <c r="CN347" s="3" t="s">
        <v>607</v>
      </c>
      <c r="CO347" s="3">
        <v>0</v>
      </c>
      <c r="CP347" s="3">
        <f t="shared" si="305"/>
        <v>321.55</v>
      </c>
      <c r="CQ347" s="3">
        <f>ROUND((ROUND((AC347*1),2)*BC347),2)</f>
        <v>321.55</v>
      </c>
      <c r="CR347" s="3">
        <f t="shared" si="329"/>
        <v>0</v>
      </c>
      <c r="CS347" s="3">
        <f t="shared" si="330"/>
        <v>0</v>
      </c>
      <c r="CT347" s="3">
        <f t="shared" si="306"/>
        <v>0</v>
      </c>
      <c r="CU347" s="3">
        <f t="shared" si="307"/>
        <v>0</v>
      </c>
      <c r="CV347" s="3">
        <f t="shared" si="308"/>
        <v>0</v>
      </c>
      <c r="CW347" s="3">
        <f t="shared" si="309"/>
        <v>0</v>
      </c>
      <c r="CX347" s="3">
        <f t="shared" si="310"/>
        <v>0</v>
      </c>
      <c r="CY347" s="3">
        <f t="shared" si="331"/>
        <v>0</v>
      </c>
      <c r="CZ347" s="3">
        <f t="shared" si="332"/>
        <v>0</v>
      </c>
      <c r="DC347" s="3" t="s">
        <v>3</v>
      </c>
      <c r="DD347" s="3" t="s">
        <v>3</v>
      </c>
      <c r="DE347" s="3" t="s">
        <v>3</v>
      </c>
      <c r="DF347" s="3" t="s">
        <v>3</v>
      </c>
      <c r="DG347" s="3" t="s">
        <v>3</v>
      </c>
      <c r="DH347" s="3" t="s">
        <v>3</v>
      </c>
      <c r="DI347" s="3" t="s">
        <v>3</v>
      </c>
      <c r="DJ347" s="3" t="s">
        <v>3</v>
      </c>
      <c r="DK347" s="3" t="s">
        <v>3</v>
      </c>
      <c r="DL347" s="3" t="s">
        <v>3</v>
      </c>
      <c r="DM347" s="3" t="s">
        <v>3</v>
      </c>
      <c r="DN347" s="3">
        <v>0</v>
      </c>
      <c r="DO347" s="3">
        <v>0</v>
      </c>
      <c r="DP347" s="3">
        <v>1</v>
      </c>
      <c r="DQ347" s="3">
        <v>1</v>
      </c>
      <c r="DU347" s="3">
        <v>1010</v>
      </c>
      <c r="DV347" s="3" t="s">
        <v>191</v>
      </c>
      <c r="DW347" s="3" t="s">
        <v>191</v>
      </c>
      <c r="DX347" s="3">
        <v>1</v>
      </c>
      <c r="DZ347" s="3" t="s">
        <v>3</v>
      </c>
      <c r="EA347" s="3" t="s">
        <v>3</v>
      </c>
      <c r="EB347" s="3" t="s">
        <v>3</v>
      </c>
      <c r="EC347" s="3" t="s">
        <v>3</v>
      </c>
      <c r="EE347" s="3">
        <v>55393806</v>
      </c>
      <c r="EF347" s="3">
        <v>130</v>
      </c>
      <c r="EG347" s="3" t="s">
        <v>193</v>
      </c>
      <c r="EH347" s="3">
        <v>0</v>
      </c>
      <c r="EI347" s="3" t="s">
        <v>3</v>
      </c>
      <c r="EJ347" s="3">
        <v>3</v>
      </c>
      <c r="EK347" s="3">
        <v>746</v>
      </c>
      <c r="EL347" s="3" t="s">
        <v>194</v>
      </c>
      <c r="EM347" s="3" t="s">
        <v>195</v>
      </c>
      <c r="EO347" s="3" t="s">
        <v>82</v>
      </c>
      <c r="EQ347" s="3">
        <v>0</v>
      </c>
      <c r="ER347" s="3">
        <v>77.11</v>
      </c>
      <c r="ES347" s="3">
        <v>77.11</v>
      </c>
      <c r="ET347" s="3">
        <v>0</v>
      </c>
      <c r="EU347" s="3">
        <v>0</v>
      </c>
      <c r="EV347" s="3">
        <v>0</v>
      </c>
      <c r="EW347" s="3">
        <v>0</v>
      </c>
      <c r="EX347" s="3">
        <v>0</v>
      </c>
      <c r="FQ347" s="3">
        <v>0</v>
      </c>
      <c r="FR347" s="3">
        <f t="shared" si="333"/>
        <v>321.55</v>
      </c>
      <c r="FS347" s="3">
        <v>0</v>
      </c>
      <c r="FX347" s="3">
        <v>95</v>
      </c>
      <c r="FY347" s="3">
        <v>53</v>
      </c>
      <c r="GA347" s="3" t="s">
        <v>3</v>
      </c>
      <c r="GD347" s="3">
        <v>1</v>
      </c>
      <c r="GF347" s="3">
        <v>-887699203</v>
      </c>
      <c r="GG347" s="3">
        <v>2</v>
      </c>
      <c r="GH347" s="3">
        <v>1</v>
      </c>
      <c r="GI347" s="3">
        <v>2</v>
      </c>
      <c r="GJ347" s="3">
        <v>0</v>
      </c>
      <c r="GK347" s="3">
        <v>0</v>
      </c>
      <c r="GL347" s="3">
        <f t="shared" si="311"/>
        <v>0</v>
      </c>
      <c r="GM347" s="3">
        <f t="shared" si="312"/>
        <v>321.55</v>
      </c>
      <c r="GN347" s="3">
        <f t="shared" si="313"/>
        <v>0</v>
      </c>
      <c r="GO347" s="3">
        <f t="shared" si="314"/>
        <v>0</v>
      </c>
      <c r="GP347" s="3">
        <f t="shared" si="315"/>
        <v>0</v>
      </c>
      <c r="GR347" s="3">
        <v>0</v>
      </c>
      <c r="GS347" s="3">
        <v>3</v>
      </c>
      <c r="GT347" s="3">
        <v>0</v>
      </c>
      <c r="GU347" s="3" t="s">
        <v>3</v>
      </c>
      <c r="GV347" s="3">
        <f t="shared" si="316"/>
        <v>0</v>
      </c>
      <c r="GW347" s="3">
        <v>1</v>
      </c>
      <c r="GX347" s="3">
        <f t="shared" si="317"/>
        <v>0</v>
      </c>
      <c r="HA347" s="3">
        <v>0</v>
      </c>
      <c r="HB347" s="3">
        <v>0</v>
      </c>
      <c r="HC347" s="3">
        <f t="shared" si="318"/>
        <v>0</v>
      </c>
      <c r="HE347" s="3" t="s">
        <v>3</v>
      </c>
      <c r="HF347" s="3" t="s">
        <v>3</v>
      </c>
      <c r="HM347" s="3" t="s">
        <v>77</v>
      </c>
      <c r="HN347" s="3" t="s">
        <v>3</v>
      </c>
      <c r="HO347" s="3" t="s">
        <v>3</v>
      </c>
      <c r="HP347" s="3" t="s">
        <v>3</v>
      </c>
      <c r="HQ347" s="3" t="s">
        <v>3</v>
      </c>
      <c r="HS347" s="3">
        <v>0</v>
      </c>
      <c r="IK347" s="3">
        <v>0</v>
      </c>
    </row>
    <row r="348" spans="1:255" x14ac:dyDescent="0.2">
      <c r="A348" s="2">
        <v>17</v>
      </c>
      <c r="B348" s="2">
        <v>1</v>
      </c>
      <c r="C348" s="2"/>
      <c r="D348" s="2"/>
      <c r="E348" s="2" t="s">
        <v>298</v>
      </c>
      <c r="F348" s="2" t="s">
        <v>299</v>
      </c>
      <c r="G348" s="2" t="s">
        <v>300</v>
      </c>
      <c r="H348" s="2" t="s">
        <v>153</v>
      </c>
      <c r="I348" s="2">
        <v>1</v>
      </c>
      <c r="J348" s="2">
        <v>0</v>
      </c>
      <c r="K348" s="2">
        <v>1</v>
      </c>
      <c r="L348" s="2"/>
      <c r="M348" s="2"/>
      <c r="N348" s="2"/>
      <c r="O348" s="2">
        <f t="shared" si="296"/>
        <v>5089.46</v>
      </c>
      <c r="P348" s="2">
        <f t="shared" ref="P348:P353" si="334">ROUND((ROUND((AC348*AW348*I348),2)*BC348),2)</f>
        <v>5089.46</v>
      </c>
      <c r="Q348" s="2">
        <f t="shared" si="319"/>
        <v>0</v>
      </c>
      <c r="R348" s="2">
        <f t="shared" si="320"/>
        <v>0</v>
      </c>
      <c r="S348" s="2">
        <f t="shared" si="297"/>
        <v>0</v>
      </c>
      <c r="T348" s="2">
        <f t="shared" si="298"/>
        <v>0</v>
      </c>
      <c r="U348" s="2">
        <f t="shared" si="299"/>
        <v>0</v>
      </c>
      <c r="V348" s="2">
        <f t="shared" si="300"/>
        <v>0</v>
      </c>
      <c r="W348" s="2">
        <f t="shared" si="301"/>
        <v>0</v>
      </c>
      <c r="X348" s="2">
        <f t="shared" si="321"/>
        <v>0</v>
      </c>
      <c r="Y348" s="2">
        <f t="shared" si="322"/>
        <v>0</v>
      </c>
      <c r="Z348" s="2"/>
      <c r="AA348" s="2">
        <v>55915256</v>
      </c>
      <c r="AB348" s="2">
        <f t="shared" si="302"/>
        <v>5089.46</v>
      </c>
      <c r="AC348" s="2">
        <f t="shared" si="323"/>
        <v>5089.46</v>
      </c>
      <c r="AD348" s="2">
        <f t="shared" si="324"/>
        <v>0</v>
      </c>
      <c r="AE348" s="2">
        <f t="shared" si="325"/>
        <v>0</v>
      </c>
      <c r="AF348" s="2">
        <f t="shared" si="326"/>
        <v>0</v>
      </c>
      <c r="AG348" s="2">
        <f t="shared" si="303"/>
        <v>0</v>
      </c>
      <c r="AH348" s="2">
        <f t="shared" si="327"/>
        <v>0</v>
      </c>
      <c r="AI348" s="2">
        <f t="shared" si="328"/>
        <v>0</v>
      </c>
      <c r="AJ348" s="2">
        <f t="shared" si="304"/>
        <v>0</v>
      </c>
      <c r="AK348" s="2">
        <v>5089.46</v>
      </c>
      <c r="AL348" s="2">
        <v>5089.46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1</v>
      </c>
      <c r="AW348" s="2">
        <v>1</v>
      </c>
      <c r="AX348" s="2"/>
      <c r="AY348" s="2"/>
      <c r="AZ348" s="2">
        <v>1</v>
      </c>
      <c r="BA348" s="2">
        <v>1</v>
      </c>
      <c r="BB348" s="2">
        <v>1</v>
      </c>
      <c r="BC348" s="2">
        <v>1</v>
      </c>
      <c r="BD348" s="2" t="s">
        <v>3</v>
      </c>
      <c r="BE348" s="2" t="s">
        <v>3</v>
      </c>
      <c r="BF348" s="2" t="s">
        <v>3</v>
      </c>
      <c r="BG348" s="2" t="s">
        <v>3</v>
      </c>
      <c r="BH348" s="2">
        <v>3</v>
      </c>
      <c r="BI348" s="2">
        <v>3</v>
      </c>
      <c r="BJ348" s="2" t="s">
        <v>299</v>
      </c>
      <c r="BK348" s="2"/>
      <c r="BL348" s="2"/>
      <c r="BM348" s="2">
        <v>400007</v>
      </c>
      <c r="BN348" s="2">
        <v>0</v>
      </c>
      <c r="BO348" s="2" t="s">
        <v>3</v>
      </c>
      <c r="BP348" s="2">
        <v>0</v>
      </c>
      <c r="BQ348" s="2">
        <v>214</v>
      </c>
      <c r="BR348" s="2">
        <v>0</v>
      </c>
      <c r="BS348" s="2">
        <v>1</v>
      </c>
      <c r="BT348" s="2">
        <v>1</v>
      </c>
      <c r="BU348" s="2">
        <v>1</v>
      </c>
      <c r="BV348" s="2">
        <v>1</v>
      </c>
      <c r="BW348" s="2">
        <v>1</v>
      </c>
      <c r="BX348" s="2">
        <v>1</v>
      </c>
      <c r="BY348" s="2" t="s">
        <v>3</v>
      </c>
      <c r="BZ348" s="2">
        <v>0</v>
      </c>
      <c r="CA348" s="2">
        <v>0</v>
      </c>
      <c r="CB348" s="2" t="s">
        <v>3</v>
      </c>
      <c r="CC348" s="2"/>
      <c r="CD348" s="2"/>
      <c r="CE348" s="2">
        <v>1566</v>
      </c>
      <c r="CF348" s="2">
        <v>0</v>
      </c>
      <c r="CG348" s="2">
        <v>0</v>
      </c>
      <c r="CH348" s="2"/>
      <c r="CI348" s="2"/>
      <c r="CJ348" s="2"/>
      <c r="CK348" s="2"/>
      <c r="CL348" s="2"/>
      <c r="CM348" s="2">
        <v>0</v>
      </c>
      <c r="CN348" s="2" t="s">
        <v>3</v>
      </c>
      <c r="CO348" s="2">
        <v>0</v>
      </c>
      <c r="CP348" s="2">
        <f t="shared" si="305"/>
        <v>5089.46</v>
      </c>
      <c r="CQ348" s="2">
        <f t="shared" ref="CQ348:CQ353" si="335">ROUND((ROUND((AC348*AW348*1),2)*BC348),2)</f>
        <v>5089.46</v>
      </c>
      <c r="CR348" s="2">
        <f t="shared" si="329"/>
        <v>0</v>
      </c>
      <c r="CS348" s="2">
        <f t="shared" si="330"/>
        <v>0</v>
      </c>
      <c r="CT348" s="2">
        <f t="shared" si="306"/>
        <v>0</v>
      </c>
      <c r="CU348" s="2">
        <f t="shared" si="307"/>
        <v>0</v>
      </c>
      <c r="CV348" s="2">
        <f t="shared" si="308"/>
        <v>0</v>
      </c>
      <c r="CW348" s="2">
        <f t="shared" si="309"/>
        <v>0</v>
      </c>
      <c r="CX348" s="2">
        <f t="shared" si="310"/>
        <v>0</v>
      </c>
      <c r="CY348" s="2">
        <f t="shared" si="331"/>
        <v>0</v>
      </c>
      <c r="CZ348" s="2">
        <f t="shared" si="332"/>
        <v>0</v>
      </c>
      <c r="DA348" s="2"/>
      <c r="DB348" s="2"/>
      <c r="DC348" s="2" t="s">
        <v>3</v>
      </c>
      <c r="DD348" s="2" t="s">
        <v>3</v>
      </c>
      <c r="DE348" s="2" t="s">
        <v>3</v>
      </c>
      <c r="DF348" s="2" t="s">
        <v>3</v>
      </c>
      <c r="DG348" s="2" t="s">
        <v>3</v>
      </c>
      <c r="DH348" s="2" t="s">
        <v>3</v>
      </c>
      <c r="DI348" s="2" t="s">
        <v>3</v>
      </c>
      <c r="DJ348" s="2" t="s">
        <v>3</v>
      </c>
      <c r="DK348" s="2" t="s">
        <v>3</v>
      </c>
      <c r="DL348" s="2" t="s">
        <v>3</v>
      </c>
      <c r="DM348" s="2" t="s">
        <v>3</v>
      </c>
      <c r="DN348" s="2">
        <v>0</v>
      </c>
      <c r="DO348" s="2">
        <v>0</v>
      </c>
      <c r="DP348" s="2">
        <v>1</v>
      </c>
      <c r="DQ348" s="2">
        <v>1</v>
      </c>
      <c r="DR348" s="2"/>
      <c r="DS348" s="2"/>
      <c r="DT348" s="2"/>
      <c r="DU348" s="2">
        <v>1013</v>
      </c>
      <c r="DV348" s="2" t="s">
        <v>153</v>
      </c>
      <c r="DW348" s="2" t="s">
        <v>153</v>
      </c>
      <c r="DX348" s="2">
        <v>1</v>
      </c>
      <c r="DY348" s="2"/>
      <c r="DZ348" s="2" t="s">
        <v>3</v>
      </c>
      <c r="EA348" s="2" t="s">
        <v>3</v>
      </c>
      <c r="EB348" s="2" t="s">
        <v>3</v>
      </c>
      <c r="EC348" s="2" t="s">
        <v>3</v>
      </c>
      <c r="ED348" s="2"/>
      <c r="EE348" s="2">
        <v>55393630</v>
      </c>
      <c r="EF348" s="2">
        <v>214</v>
      </c>
      <c r="EG348" s="2" t="s">
        <v>154</v>
      </c>
      <c r="EH348" s="2">
        <v>0</v>
      </c>
      <c r="EI348" s="2" t="s">
        <v>3</v>
      </c>
      <c r="EJ348" s="2">
        <v>3</v>
      </c>
      <c r="EK348" s="2">
        <v>400007</v>
      </c>
      <c r="EL348" s="2" t="s">
        <v>154</v>
      </c>
      <c r="EM348" s="2" t="s">
        <v>155</v>
      </c>
      <c r="EN348" s="2"/>
      <c r="EO348" s="2" t="s">
        <v>3</v>
      </c>
      <c r="EP348" s="2"/>
      <c r="EQ348" s="2">
        <v>16</v>
      </c>
      <c r="ER348" s="2">
        <v>0</v>
      </c>
      <c r="ES348" s="2">
        <v>5089.46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>
        <v>0</v>
      </c>
      <c r="FR348" s="2">
        <f t="shared" si="333"/>
        <v>5089.46</v>
      </c>
      <c r="FS348" s="2">
        <v>0</v>
      </c>
      <c r="FT348" s="2"/>
      <c r="FU348" s="2"/>
      <c r="FV348" s="2"/>
      <c r="FW348" s="2"/>
      <c r="FX348" s="2">
        <v>0</v>
      </c>
      <c r="FY348" s="2">
        <v>0</v>
      </c>
      <c r="FZ348" s="2"/>
      <c r="GA348" s="2" t="s">
        <v>301</v>
      </c>
      <c r="GB348" s="2"/>
      <c r="GC348" s="2"/>
      <c r="GD348" s="2">
        <v>1</v>
      </c>
      <c r="GE348" s="2"/>
      <c r="GF348" s="2">
        <v>-255733605</v>
      </c>
      <c r="GG348" s="2">
        <v>2</v>
      </c>
      <c r="GH348" s="2">
        <v>4</v>
      </c>
      <c r="GI348" s="2">
        <v>-2</v>
      </c>
      <c r="GJ348" s="2">
        <v>0</v>
      </c>
      <c r="GK348" s="2">
        <v>0</v>
      </c>
      <c r="GL348" s="2">
        <f t="shared" si="311"/>
        <v>0</v>
      </c>
      <c r="GM348" s="2">
        <f t="shared" si="312"/>
        <v>5089.46</v>
      </c>
      <c r="GN348" s="2">
        <f t="shared" si="313"/>
        <v>0</v>
      </c>
      <c r="GO348" s="2">
        <f t="shared" si="314"/>
        <v>0</v>
      </c>
      <c r="GP348" s="2">
        <f t="shared" si="315"/>
        <v>0</v>
      </c>
      <c r="GQ348" s="2"/>
      <c r="GR348" s="2">
        <v>1</v>
      </c>
      <c r="GS348" s="2">
        <v>2</v>
      </c>
      <c r="GT348" s="2">
        <v>0</v>
      </c>
      <c r="GU348" s="2" t="s">
        <v>3</v>
      </c>
      <c r="GV348" s="2">
        <f t="shared" si="316"/>
        <v>0</v>
      </c>
      <c r="GW348" s="2">
        <v>1</v>
      </c>
      <c r="GX348" s="2">
        <f t="shared" si="317"/>
        <v>0</v>
      </c>
      <c r="GY348" s="2"/>
      <c r="GZ348" s="2"/>
      <c r="HA348" s="2">
        <v>0</v>
      </c>
      <c r="HB348" s="2">
        <v>0</v>
      </c>
      <c r="HC348" s="2">
        <f t="shared" si="318"/>
        <v>0</v>
      </c>
      <c r="HD348" s="2"/>
      <c r="HE348" s="2" t="s">
        <v>34</v>
      </c>
      <c r="HF348" s="2" t="s">
        <v>157</v>
      </c>
      <c r="HG348" s="2"/>
      <c r="HH348" s="2"/>
      <c r="HI348" s="2"/>
      <c r="HJ348" s="2"/>
      <c r="HK348" s="2"/>
      <c r="HL348" s="2"/>
      <c r="HM348" s="2" t="s">
        <v>3</v>
      </c>
      <c r="HN348" s="2" t="s">
        <v>3</v>
      </c>
      <c r="HO348" s="2" t="s">
        <v>3</v>
      </c>
      <c r="HP348" s="2" t="s">
        <v>3</v>
      </c>
      <c r="HQ348" s="2" t="s">
        <v>3</v>
      </c>
      <c r="HR348" s="2"/>
      <c r="HS348" s="2">
        <v>0</v>
      </c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>
        <v>0</v>
      </c>
      <c r="IL348" s="2"/>
      <c r="IM348" s="2"/>
      <c r="IN348" s="2"/>
      <c r="IO348" s="2"/>
      <c r="IP348" s="2"/>
      <c r="IQ348" s="2"/>
      <c r="IR348" s="2"/>
      <c r="IS348" s="2"/>
      <c r="IT348" s="2"/>
      <c r="IU348" s="2"/>
    </row>
    <row r="349" spans="1:255" x14ac:dyDescent="0.2">
      <c r="A349" s="3">
        <v>17</v>
      </c>
      <c r="B349" s="3">
        <v>1</v>
      </c>
      <c r="E349" s="3" t="s">
        <v>298</v>
      </c>
      <c r="F349" s="3" t="s">
        <v>299</v>
      </c>
      <c r="G349" s="3" t="s">
        <v>300</v>
      </c>
      <c r="H349" s="3" t="s">
        <v>153</v>
      </c>
      <c r="I349" s="3">
        <v>1</v>
      </c>
      <c r="J349" s="3">
        <v>0</v>
      </c>
      <c r="K349" s="3">
        <v>1</v>
      </c>
      <c r="O349" s="3">
        <f t="shared" si="296"/>
        <v>50080.29</v>
      </c>
      <c r="P349" s="3">
        <f t="shared" si="334"/>
        <v>50080.29</v>
      </c>
      <c r="Q349" s="3">
        <f t="shared" si="319"/>
        <v>0</v>
      </c>
      <c r="R349" s="3">
        <f t="shared" si="320"/>
        <v>0</v>
      </c>
      <c r="S349" s="3">
        <f t="shared" si="297"/>
        <v>0</v>
      </c>
      <c r="T349" s="3">
        <f t="shared" si="298"/>
        <v>0</v>
      </c>
      <c r="U349" s="3">
        <f t="shared" si="299"/>
        <v>0</v>
      </c>
      <c r="V349" s="3">
        <f t="shared" si="300"/>
        <v>0</v>
      </c>
      <c r="W349" s="3">
        <f t="shared" si="301"/>
        <v>0</v>
      </c>
      <c r="X349" s="3">
        <f t="shared" si="321"/>
        <v>0</v>
      </c>
      <c r="Y349" s="3">
        <f t="shared" si="322"/>
        <v>0</v>
      </c>
      <c r="AA349" s="3">
        <v>55915258</v>
      </c>
      <c r="AB349" s="3">
        <f t="shared" si="302"/>
        <v>5089.46</v>
      </c>
      <c r="AC349" s="3">
        <f t="shared" si="323"/>
        <v>5089.46</v>
      </c>
      <c r="AD349" s="3">
        <f t="shared" si="324"/>
        <v>0</v>
      </c>
      <c r="AE349" s="3">
        <f t="shared" si="325"/>
        <v>0</v>
      </c>
      <c r="AF349" s="3">
        <f t="shared" si="326"/>
        <v>0</v>
      </c>
      <c r="AG349" s="3">
        <f t="shared" si="303"/>
        <v>0</v>
      </c>
      <c r="AH349" s="3">
        <f t="shared" si="327"/>
        <v>0</v>
      </c>
      <c r="AI349" s="3">
        <f t="shared" si="328"/>
        <v>0</v>
      </c>
      <c r="AJ349" s="3">
        <f t="shared" si="304"/>
        <v>0</v>
      </c>
      <c r="AK349" s="3">
        <v>5089.46</v>
      </c>
      <c r="AL349" s="3">
        <v>5089.46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1</v>
      </c>
      <c r="AW349" s="3">
        <v>1</v>
      </c>
      <c r="AZ349" s="3">
        <v>1</v>
      </c>
      <c r="BA349" s="3">
        <v>1</v>
      </c>
      <c r="BB349" s="3">
        <v>1</v>
      </c>
      <c r="BC349" s="3">
        <v>9.84</v>
      </c>
      <c r="BD349" s="3" t="s">
        <v>3</v>
      </c>
      <c r="BE349" s="3" t="s">
        <v>3</v>
      </c>
      <c r="BF349" s="3" t="s">
        <v>3</v>
      </c>
      <c r="BG349" s="3" t="s">
        <v>3</v>
      </c>
      <c r="BH349" s="3">
        <v>3</v>
      </c>
      <c r="BI349" s="3">
        <v>3</v>
      </c>
      <c r="BJ349" s="3" t="s">
        <v>299</v>
      </c>
      <c r="BM349" s="3">
        <v>400007</v>
      </c>
      <c r="BN349" s="3">
        <v>0</v>
      </c>
      <c r="BO349" s="3" t="s">
        <v>3</v>
      </c>
      <c r="BP349" s="3">
        <v>0</v>
      </c>
      <c r="BQ349" s="3">
        <v>214</v>
      </c>
      <c r="BR349" s="3">
        <v>0</v>
      </c>
      <c r="BS349" s="3">
        <v>1</v>
      </c>
      <c r="BT349" s="3">
        <v>1</v>
      </c>
      <c r="BU349" s="3">
        <v>1</v>
      </c>
      <c r="BV349" s="3">
        <v>1</v>
      </c>
      <c r="BW349" s="3">
        <v>1</v>
      </c>
      <c r="BX349" s="3">
        <v>1</v>
      </c>
      <c r="BY349" s="3" t="s">
        <v>3</v>
      </c>
      <c r="BZ349" s="3">
        <v>0</v>
      </c>
      <c r="CA349" s="3">
        <v>0</v>
      </c>
      <c r="CB349" s="3" t="s">
        <v>3</v>
      </c>
      <c r="CE349" s="3">
        <v>1566</v>
      </c>
      <c r="CF349" s="3">
        <v>0</v>
      </c>
      <c r="CG349" s="3">
        <v>0</v>
      </c>
      <c r="CM349" s="3">
        <v>0</v>
      </c>
      <c r="CN349" s="3" t="s">
        <v>3</v>
      </c>
      <c r="CO349" s="3">
        <v>0</v>
      </c>
      <c r="CP349" s="3">
        <f t="shared" si="305"/>
        <v>50080.29</v>
      </c>
      <c r="CQ349" s="3">
        <f t="shared" si="335"/>
        <v>50080.29</v>
      </c>
      <c r="CR349" s="3">
        <f t="shared" si="329"/>
        <v>0</v>
      </c>
      <c r="CS349" s="3">
        <f t="shared" si="330"/>
        <v>0</v>
      </c>
      <c r="CT349" s="3">
        <f t="shared" si="306"/>
        <v>0</v>
      </c>
      <c r="CU349" s="3">
        <f t="shared" si="307"/>
        <v>0</v>
      </c>
      <c r="CV349" s="3">
        <f t="shared" si="308"/>
        <v>0</v>
      </c>
      <c r="CW349" s="3">
        <f t="shared" si="309"/>
        <v>0</v>
      </c>
      <c r="CX349" s="3">
        <f t="shared" si="310"/>
        <v>0</v>
      </c>
      <c r="CY349" s="3">
        <f t="shared" si="331"/>
        <v>0</v>
      </c>
      <c r="CZ349" s="3">
        <f t="shared" si="332"/>
        <v>0</v>
      </c>
      <c r="DC349" s="3" t="s">
        <v>3</v>
      </c>
      <c r="DD349" s="3" t="s">
        <v>3</v>
      </c>
      <c r="DE349" s="3" t="s">
        <v>3</v>
      </c>
      <c r="DF349" s="3" t="s">
        <v>3</v>
      </c>
      <c r="DG349" s="3" t="s">
        <v>3</v>
      </c>
      <c r="DH349" s="3" t="s">
        <v>3</v>
      </c>
      <c r="DI349" s="3" t="s">
        <v>3</v>
      </c>
      <c r="DJ349" s="3" t="s">
        <v>3</v>
      </c>
      <c r="DK349" s="3" t="s">
        <v>3</v>
      </c>
      <c r="DL349" s="3" t="s">
        <v>3</v>
      </c>
      <c r="DM349" s="3" t="s">
        <v>3</v>
      </c>
      <c r="DN349" s="3">
        <v>0</v>
      </c>
      <c r="DO349" s="3">
        <v>0</v>
      </c>
      <c r="DP349" s="3">
        <v>1</v>
      </c>
      <c r="DQ349" s="3">
        <v>1</v>
      </c>
      <c r="DU349" s="3">
        <v>1013</v>
      </c>
      <c r="DV349" s="3" t="s">
        <v>153</v>
      </c>
      <c r="DW349" s="3" t="s">
        <v>153</v>
      </c>
      <c r="DX349" s="3">
        <v>1</v>
      </c>
      <c r="DZ349" s="3" t="s">
        <v>3</v>
      </c>
      <c r="EA349" s="3" t="s">
        <v>3</v>
      </c>
      <c r="EB349" s="3" t="s">
        <v>3</v>
      </c>
      <c r="EC349" s="3" t="s">
        <v>3</v>
      </c>
      <c r="EE349" s="3">
        <v>55393630</v>
      </c>
      <c r="EF349" s="3">
        <v>214</v>
      </c>
      <c r="EG349" s="3" t="s">
        <v>154</v>
      </c>
      <c r="EH349" s="3">
        <v>0</v>
      </c>
      <c r="EI349" s="3" t="s">
        <v>3</v>
      </c>
      <c r="EJ349" s="3">
        <v>3</v>
      </c>
      <c r="EK349" s="3">
        <v>400007</v>
      </c>
      <c r="EL349" s="3" t="s">
        <v>154</v>
      </c>
      <c r="EM349" s="3" t="s">
        <v>155</v>
      </c>
      <c r="EO349" s="3" t="s">
        <v>3</v>
      </c>
      <c r="EQ349" s="3">
        <v>16</v>
      </c>
      <c r="ER349" s="3">
        <v>0</v>
      </c>
      <c r="ES349" s="3">
        <v>5089.46</v>
      </c>
      <c r="ET349" s="3">
        <v>0</v>
      </c>
      <c r="EU349" s="3">
        <v>0</v>
      </c>
      <c r="EV349" s="3">
        <v>0</v>
      </c>
      <c r="EW349" s="3">
        <v>0</v>
      </c>
      <c r="EX349" s="3">
        <v>0</v>
      </c>
      <c r="EY349" s="3">
        <v>0</v>
      </c>
      <c r="EZ349" s="3">
        <v>5</v>
      </c>
      <c r="FC349" s="3">
        <v>1</v>
      </c>
      <c r="FD349" s="3">
        <v>18</v>
      </c>
      <c r="FF349" s="3">
        <v>58615</v>
      </c>
      <c r="FQ349" s="3">
        <v>0</v>
      </c>
      <c r="FR349" s="3">
        <f t="shared" si="333"/>
        <v>50080.29</v>
      </c>
      <c r="FS349" s="3">
        <v>0</v>
      </c>
      <c r="FX349" s="3">
        <v>0</v>
      </c>
      <c r="FY349" s="3">
        <v>0</v>
      </c>
      <c r="GA349" s="3" t="s">
        <v>301</v>
      </c>
      <c r="GD349" s="3">
        <v>1</v>
      </c>
      <c r="GF349" s="3">
        <v>-255733605</v>
      </c>
      <c r="GG349" s="3">
        <v>2</v>
      </c>
      <c r="GH349" s="3">
        <v>3</v>
      </c>
      <c r="GI349" s="3">
        <v>5</v>
      </c>
      <c r="GJ349" s="3">
        <v>0</v>
      </c>
      <c r="GK349" s="3">
        <v>0</v>
      </c>
      <c r="GL349" s="3">
        <f t="shared" si="311"/>
        <v>0</v>
      </c>
      <c r="GM349" s="3">
        <f t="shared" si="312"/>
        <v>50080.29</v>
      </c>
      <c r="GN349" s="3">
        <f t="shared" si="313"/>
        <v>0</v>
      </c>
      <c r="GO349" s="3">
        <f t="shared" si="314"/>
        <v>0</v>
      </c>
      <c r="GP349" s="3">
        <f t="shared" si="315"/>
        <v>0</v>
      </c>
      <c r="GR349" s="3">
        <v>1</v>
      </c>
      <c r="GS349" s="3">
        <v>1</v>
      </c>
      <c r="GT349" s="3">
        <v>0</v>
      </c>
      <c r="GU349" s="3" t="s">
        <v>3</v>
      </c>
      <c r="GV349" s="3">
        <f t="shared" si="316"/>
        <v>0</v>
      </c>
      <c r="GW349" s="3">
        <v>1</v>
      </c>
      <c r="GX349" s="3">
        <f t="shared" si="317"/>
        <v>0</v>
      </c>
      <c r="HA349" s="3">
        <v>0</v>
      </c>
      <c r="HB349" s="3">
        <v>0</v>
      </c>
      <c r="HC349" s="3">
        <f t="shared" si="318"/>
        <v>0</v>
      </c>
      <c r="HE349" s="3" t="s">
        <v>34</v>
      </c>
      <c r="HF349" s="3" t="s">
        <v>157</v>
      </c>
      <c r="HM349" s="3" t="s">
        <v>3</v>
      </c>
      <c r="HN349" s="3" t="s">
        <v>3</v>
      </c>
      <c r="HO349" s="3" t="s">
        <v>3</v>
      </c>
      <c r="HP349" s="3" t="s">
        <v>3</v>
      </c>
      <c r="HQ349" s="3" t="s">
        <v>3</v>
      </c>
      <c r="HS349" s="3">
        <v>0</v>
      </c>
      <c r="IK349" s="3">
        <v>0</v>
      </c>
    </row>
    <row r="350" spans="1:255" x14ac:dyDescent="0.2">
      <c r="A350" s="2">
        <v>17</v>
      </c>
      <c r="B350" s="2">
        <v>1</v>
      </c>
      <c r="C350" s="2"/>
      <c r="D350" s="2"/>
      <c r="E350" s="2" t="s">
        <v>302</v>
      </c>
      <c r="F350" s="2" t="s">
        <v>303</v>
      </c>
      <c r="G350" s="2" t="s">
        <v>304</v>
      </c>
      <c r="H350" s="2" t="s">
        <v>153</v>
      </c>
      <c r="I350" s="2">
        <v>1</v>
      </c>
      <c r="J350" s="2">
        <v>0</v>
      </c>
      <c r="K350" s="2">
        <v>1</v>
      </c>
      <c r="L350" s="2"/>
      <c r="M350" s="2"/>
      <c r="N350" s="2"/>
      <c r="O350" s="2">
        <f t="shared" si="296"/>
        <v>1952.61</v>
      </c>
      <c r="P350" s="2">
        <f t="shared" si="334"/>
        <v>1952.61</v>
      </c>
      <c r="Q350" s="2">
        <f t="shared" si="319"/>
        <v>0</v>
      </c>
      <c r="R350" s="2">
        <f t="shared" si="320"/>
        <v>0</v>
      </c>
      <c r="S350" s="2">
        <f t="shared" si="297"/>
        <v>0</v>
      </c>
      <c r="T350" s="2">
        <f t="shared" si="298"/>
        <v>0</v>
      </c>
      <c r="U350" s="2">
        <f t="shared" si="299"/>
        <v>0</v>
      </c>
      <c r="V350" s="2">
        <f t="shared" si="300"/>
        <v>0</v>
      </c>
      <c r="W350" s="2">
        <f t="shared" si="301"/>
        <v>0</v>
      </c>
      <c r="X350" s="2">
        <f t="shared" si="321"/>
        <v>0</v>
      </c>
      <c r="Y350" s="2">
        <f t="shared" si="322"/>
        <v>0</v>
      </c>
      <c r="Z350" s="2"/>
      <c r="AA350" s="2">
        <v>55915256</v>
      </c>
      <c r="AB350" s="2">
        <f t="shared" si="302"/>
        <v>1952.61</v>
      </c>
      <c r="AC350" s="2">
        <f t="shared" si="323"/>
        <v>1952.61</v>
      </c>
      <c r="AD350" s="2">
        <f t="shared" si="324"/>
        <v>0</v>
      </c>
      <c r="AE350" s="2">
        <f t="shared" si="325"/>
        <v>0</v>
      </c>
      <c r="AF350" s="2">
        <f t="shared" si="326"/>
        <v>0</v>
      </c>
      <c r="AG350" s="2">
        <f t="shared" si="303"/>
        <v>0</v>
      </c>
      <c r="AH350" s="2">
        <f t="shared" si="327"/>
        <v>0</v>
      </c>
      <c r="AI350" s="2">
        <f t="shared" si="328"/>
        <v>0</v>
      </c>
      <c r="AJ350" s="2">
        <f t="shared" si="304"/>
        <v>0</v>
      </c>
      <c r="AK350" s="2">
        <v>1952.6100000000001</v>
      </c>
      <c r="AL350" s="2">
        <v>1952.6100000000001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1</v>
      </c>
      <c r="AW350" s="2">
        <v>1</v>
      </c>
      <c r="AX350" s="2"/>
      <c r="AY350" s="2"/>
      <c r="AZ350" s="2">
        <v>1</v>
      </c>
      <c r="BA350" s="2">
        <v>1</v>
      </c>
      <c r="BB350" s="2">
        <v>1</v>
      </c>
      <c r="BC350" s="2">
        <v>1</v>
      </c>
      <c r="BD350" s="2" t="s">
        <v>3</v>
      </c>
      <c r="BE350" s="2" t="s">
        <v>3</v>
      </c>
      <c r="BF350" s="2" t="s">
        <v>3</v>
      </c>
      <c r="BG350" s="2" t="s">
        <v>3</v>
      </c>
      <c r="BH350" s="2">
        <v>3</v>
      </c>
      <c r="BI350" s="2">
        <v>3</v>
      </c>
      <c r="BJ350" s="2" t="s">
        <v>303</v>
      </c>
      <c r="BK350" s="2"/>
      <c r="BL350" s="2"/>
      <c r="BM350" s="2">
        <v>400007</v>
      </c>
      <c r="BN350" s="2">
        <v>0</v>
      </c>
      <c r="BO350" s="2" t="s">
        <v>3</v>
      </c>
      <c r="BP350" s="2">
        <v>0</v>
      </c>
      <c r="BQ350" s="2">
        <v>214</v>
      </c>
      <c r="BR350" s="2">
        <v>0</v>
      </c>
      <c r="BS350" s="2">
        <v>1</v>
      </c>
      <c r="BT350" s="2">
        <v>1</v>
      </c>
      <c r="BU350" s="2">
        <v>1</v>
      </c>
      <c r="BV350" s="2">
        <v>1</v>
      </c>
      <c r="BW350" s="2">
        <v>1</v>
      </c>
      <c r="BX350" s="2">
        <v>1</v>
      </c>
      <c r="BY350" s="2" t="s">
        <v>3</v>
      </c>
      <c r="BZ350" s="2">
        <v>0</v>
      </c>
      <c r="CA350" s="2">
        <v>0</v>
      </c>
      <c r="CB350" s="2" t="s">
        <v>3</v>
      </c>
      <c r="CC350" s="2"/>
      <c r="CD350" s="2"/>
      <c r="CE350" s="2">
        <v>1566</v>
      </c>
      <c r="CF350" s="2">
        <v>0</v>
      </c>
      <c r="CG350" s="2">
        <v>0</v>
      </c>
      <c r="CH350" s="2"/>
      <c r="CI350" s="2"/>
      <c r="CJ350" s="2"/>
      <c r="CK350" s="2"/>
      <c r="CL350" s="2"/>
      <c r="CM350" s="2">
        <v>0</v>
      </c>
      <c r="CN350" s="2" t="s">
        <v>3</v>
      </c>
      <c r="CO350" s="2">
        <v>0</v>
      </c>
      <c r="CP350" s="2">
        <f t="shared" si="305"/>
        <v>1952.61</v>
      </c>
      <c r="CQ350" s="2">
        <f t="shared" si="335"/>
        <v>1952.61</v>
      </c>
      <c r="CR350" s="2">
        <f t="shared" si="329"/>
        <v>0</v>
      </c>
      <c r="CS350" s="2">
        <f t="shared" si="330"/>
        <v>0</v>
      </c>
      <c r="CT350" s="2">
        <f t="shared" si="306"/>
        <v>0</v>
      </c>
      <c r="CU350" s="2">
        <f t="shared" si="307"/>
        <v>0</v>
      </c>
      <c r="CV350" s="2">
        <f t="shared" si="308"/>
        <v>0</v>
      </c>
      <c r="CW350" s="2">
        <f t="shared" si="309"/>
        <v>0</v>
      </c>
      <c r="CX350" s="2">
        <f t="shared" si="310"/>
        <v>0</v>
      </c>
      <c r="CY350" s="2">
        <f t="shared" si="331"/>
        <v>0</v>
      </c>
      <c r="CZ350" s="2">
        <f t="shared" si="332"/>
        <v>0</v>
      </c>
      <c r="DA350" s="2"/>
      <c r="DB350" s="2"/>
      <c r="DC350" s="2" t="s">
        <v>3</v>
      </c>
      <c r="DD350" s="2" t="s">
        <v>3</v>
      </c>
      <c r="DE350" s="2" t="s">
        <v>3</v>
      </c>
      <c r="DF350" s="2" t="s">
        <v>3</v>
      </c>
      <c r="DG350" s="2" t="s">
        <v>3</v>
      </c>
      <c r="DH350" s="2" t="s">
        <v>3</v>
      </c>
      <c r="DI350" s="2" t="s">
        <v>3</v>
      </c>
      <c r="DJ350" s="2" t="s">
        <v>3</v>
      </c>
      <c r="DK350" s="2" t="s">
        <v>3</v>
      </c>
      <c r="DL350" s="2" t="s">
        <v>3</v>
      </c>
      <c r="DM350" s="2" t="s">
        <v>3</v>
      </c>
      <c r="DN350" s="2">
        <v>0</v>
      </c>
      <c r="DO350" s="2">
        <v>0</v>
      </c>
      <c r="DP350" s="2">
        <v>1</v>
      </c>
      <c r="DQ350" s="2">
        <v>1</v>
      </c>
      <c r="DR350" s="2"/>
      <c r="DS350" s="2"/>
      <c r="DT350" s="2"/>
      <c r="DU350" s="2">
        <v>1013</v>
      </c>
      <c r="DV350" s="2" t="s">
        <v>153</v>
      </c>
      <c r="DW350" s="2" t="s">
        <v>153</v>
      </c>
      <c r="DX350" s="2">
        <v>1</v>
      </c>
      <c r="DY350" s="2"/>
      <c r="DZ350" s="2" t="s">
        <v>3</v>
      </c>
      <c r="EA350" s="2" t="s">
        <v>3</v>
      </c>
      <c r="EB350" s="2" t="s">
        <v>3</v>
      </c>
      <c r="EC350" s="2" t="s">
        <v>3</v>
      </c>
      <c r="ED350" s="2"/>
      <c r="EE350" s="2">
        <v>55393630</v>
      </c>
      <c r="EF350" s="2">
        <v>214</v>
      </c>
      <c r="EG350" s="2" t="s">
        <v>154</v>
      </c>
      <c r="EH350" s="2">
        <v>0</v>
      </c>
      <c r="EI350" s="2" t="s">
        <v>3</v>
      </c>
      <c r="EJ350" s="2">
        <v>3</v>
      </c>
      <c r="EK350" s="2">
        <v>400007</v>
      </c>
      <c r="EL350" s="2" t="s">
        <v>154</v>
      </c>
      <c r="EM350" s="2" t="s">
        <v>155</v>
      </c>
      <c r="EN350" s="2"/>
      <c r="EO350" s="2" t="s">
        <v>3</v>
      </c>
      <c r="EP350" s="2"/>
      <c r="EQ350" s="2">
        <v>16</v>
      </c>
      <c r="ER350" s="2">
        <v>0</v>
      </c>
      <c r="ES350" s="2">
        <v>1952.6100000000001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>
        <v>0</v>
      </c>
      <c r="FR350" s="2">
        <f t="shared" si="333"/>
        <v>1952.61</v>
      </c>
      <c r="FS350" s="2">
        <v>0</v>
      </c>
      <c r="FT350" s="2"/>
      <c r="FU350" s="2"/>
      <c r="FV350" s="2"/>
      <c r="FW350" s="2"/>
      <c r="FX350" s="2">
        <v>0</v>
      </c>
      <c r="FY350" s="2">
        <v>0</v>
      </c>
      <c r="FZ350" s="2"/>
      <c r="GA350" s="2" t="s">
        <v>305</v>
      </c>
      <c r="GB350" s="2"/>
      <c r="GC350" s="2"/>
      <c r="GD350" s="2">
        <v>1</v>
      </c>
      <c r="GE350" s="2"/>
      <c r="GF350" s="2">
        <v>214591524</v>
      </c>
      <c r="GG350" s="2">
        <v>2</v>
      </c>
      <c r="GH350" s="2">
        <v>4</v>
      </c>
      <c r="GI350" s="2">
        <v>-2</v>
      </c>
      <c r="GJ350" s="2">
        <v>0</v>
      </c>
      <c r="GK350" s="2">
        <v>0</v>
      </c>
      <c r="GL350" s="2">
        <f t="shared" si="311"/>
        <v>0</v>
      </c>
      <c r="GM350" s="2">
        <f t="shared" si="312"/>
        <v>1952.61</v>
      </c>
      <c r="GN350" s="2">
        <f t="shared" si="313"/>
        <v>0</v>
      </c>
      <c r="GO350" s="2">
        <f t="shared" si="314"/>
        <v>0</v>
      </c>
      <c r="GP350" s="2">
        <f t="shared" si="315"/>
        <v>0</v>
      </c>
      <c r="GQ350" s="2"/>
      <c r="GR350" s="2">
        <v>1</v>
      </c>
      <c r="GS350" s="2">
        <v>2</v>
      </c>
      <c r="GT350" s="2">
        <v>0</v>
      </c>
      <c r="GU350" s="2" t="s">
        <v>3</v>
      </c>
      <c r="GV350" s="2">
        <f t="shared" si="316"/>
        <v>0</v>
      </c>
      <c r="GW350" s="2">
        <v>1</v>
      </c>
      <c r="GX350" s="2">
        <f t="shared" si="317"/>
        <v>0</v>
      </c>
      <c r="GY350" s="2"/>
      <c r="GZ350" s="2"/>
      <c r="HA350" s="2">
        <v>0</v>
      </c>
      <c r="HB350" s="2">
        <v>0</v>
      </c>
      <c r="HC350" s="2">
        <f t="shared" si="318"/>
        <v>0</v>
      </c>
      <c r="HD350" s="2"/>
      <c r="HE350" s="2" t="s">
        <v>34</v>
      </c>
      <c r="HF350" s="2" t="s">
        <v>157</v>
      </c>
      <c r="HG350" s="2"/>
      <c r="HH350" s="2"/>
      <c r="HI350" s="2"/>
      <c r="HJ350" s="2"/>
      <c r="HK350" s="2"/>
      <c r="HL350" s="2"/>
      <c r="HM350" s="2" t="s">
        <v>3</v>
      </c>
      <c r="HN350" s="2" t="s">
        <v>3</v>
      </c>
      <c r="HO350" s="2" t="s">
        <v>3</v>
      </c>
      <c r="HP350" s="2" t="s">
        <v>3</v>
      </c>
      <c r="HQ350" s="2" t="s">
        <v>3</v>
      </c>
      <c r="HR350" s="2"/>
      <c r="HS350" s="2">
        <v>0</v>
      </c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>
        <v>0</v>
      </c>
      <c r="IL350" s="2"/>
      <c r="IM350" s="2"/>
      <c r="IN350" s="2"/>
      <c r="IO350" s="2"/>
      <c r="IP350" s="2"/>
      <c r="IQ350" s="2"/>
      <c r="IR350" s="2"/>
      <c r="IS350" s="2"/>
      <c r="IT350" s="2"/>
      <c r="IU350" s="2"/>
    </row>
    <row r="351" spans="1:255" x14ac:dyDescent="0.2">
      <c r="A351" s="3">
        <v>17</v>
      </c>
      <c r="B351" s="3">
        <v>1</v>
      </c>
      <c r="E351" s="3" t="s">
        <v>302</v>
      </c>
      <c r="F351" s="3" t="s">
        <v>303</v>
      </c>
      <c r="G351" s="3" t="s">
        <v>304</v>
      </c>
      <c r="H351" s="3" t="s">
        <v>153</v>
      </c>
      <c r="I351" s="3">
        <v>1</v>
      </c>
      <c r="J351" s="3">
        <v>0</v>
      </c>
      <c r="K351" s="3">
        <v>1</v>
      </c>
      <c r="O351" s="3">
        <f t="shared" si="296"/>
        <v>19213.68</v>
      </c>
      <c r="P351" s="3">
        <f t="shared" si="334"/>
        <v>19213.68</v>
      </c>
      <c r="Q351" s="3">
        <f t="shared" si="319"/>
        <v>0</v>
      </c>
      <c r="R351" s="3">
        <f t="shared" si="320"/>
        <v>0</v>
      </c>
      <c r="S351" s="3">
        <f t="shared" si="297"/>
        <v>0</v>
      </c>
      <c r="T351" s="3">
        <f t="shared" si="298"/>
        <v>0</v>
      </c>
      <c r="U351" s="3">
        <f t="shared" si="299"/>
        <v>0</v>
      </c>
      <c r="V351" s="3">
        <f t="shared" si="300"/>
        <v>0</v>
      </c>
      <c r="W351" s="3">
        <f t="shared" si="301"/>
        <v>0</v>
      </c>
      <c r="X351" s="3">
        <f t="shared" si="321"/>
        <v>0</v>
      </c>
      <c r="Y351" s="3">
        <f t="shared" si="322"/>
        <v>0</v>
      </c>
      <c r="AA351" s="3">
        <v>55915258</v>
      </c>
      <c r="AB351" s="3">
        <f t="shared" si="302"/>
        <v>1952.61</v>
      </c>
      <c r="AC351" s="3">
        <f t="shared" si="323"/>
        <v>1952.61</v>
      </c>
      <c r="AD351" s="3">
        <f t="shared" si="324"/>
        <v>0</v>
      </c>
      <c r="AE351" s="3">
        <f t="shared" si="325"/>
        <v>0</v>
      </c>
      <c r="AF351" s="3">
        <f t="shared" si="326"/>
        <v>0</v>
      </c>
      <c r="AG351" s="3">
        <f t="shared" si="303"/>
        <v>0</v>
      </c>
      <c r="AH351" s="3">
        <f t="shared" si="327"/>
        <v>0</v>
      </c>
      <c r="AI351" s="3">
        <f t="shared" si="328"/>
        <v>0</v>
      </c>
      <c r="AJ351" s="3">
        <f t="shared" si="304"/>
        <v>0</v>
      </c>
      <c r="AK351" s="3">
        <v>1952.6100000000001</v>
      </c>
      <c r="AL351" s="3">
        <v>1952.6100000000001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1</v>
      </c>
      <c r="AW351" s="3">
        <v>1</v>
      </c>
      <c r="AZ351" s="3">
        <v>1</v>
      </c>
      <c r="BA351" s="3">
        <v>1</v>
      </c>
      <c r="BB351" s="3">
        <v>1</v>
      </c>
      <c r="BC351" s="3">
        <v>9.84</v>
      </c>
      <c r="BD351" s="3" t="s">
        <v>3</v>
      </c>
      <c r="BE351" s="3" t="s">
        <v>3</v>
      </c>
      <c r="BF351" s="3" t="s">
        <v>3</v>
      </c>
      <c r="BG351" s="3" t="s">
        <v>3</v>
      </c>
      <c r="BH351" s="3">
        <v>3</v>
      </c>
      <c r="BI351" s="3">
        <v>3</v>
      </c>
      <c r="BJ351" s="3" t="s">
        <v>303</v>
      </c>
      <c r="BM351" s="3">
        <v>400007</v>
      </c>
      <c r="BN351" s="3">
        <v>0</v>
      </c>
      <c r="BO351" s="3" t="s">
        <v>3</v>
      </c>
      <c r="BP351" s="3">
        <v>0</v>
      </c>
      <c r="BQ351" s="3">
        <v>214</v>
      </c>
      <c r="BR351" s="3">
        <v>0</v>
      </c>
      <c r="BS351" s="3">
        <v>1</v>
      </c>
      <c r="BT351" s="3">
        <v>1</v>
      </c>
      <c r="BU351" s="3">
        <v>1</v>
      </c>
      <c r="BV351" s="3">
        <v>1</v>
      </c>
      <c r="BW351" s="3">
        <v>1</v>
      </c>
      <c r="BX351" s="3">
        <v>1</v>
      </c>
      <c r="BY351" s="3" t="s">
        <v>3</v>
      </c>
      <c r="BZ351" s="3">
        <v>0</v>
      </c>
      <c r="CA351" s="3">
        <v>0</v>
      </c>
      <c r="CB351" s="3" t="s">
        <v>3</v>
      </c>
      <c r="CE351" s="3">
        <v>1566</v>
      </c>
      <c r="CF351" s="3">
        <v>0</v>
      </c>
      <c r="CG351" s="3">
        <v>0</v>
      </c>
      <c r="CM351" s="3">
        <v>0</v>
      </c>
      <c r="CN351" s="3" t="s">
        <v>3</v>
      </c>
      <c r="CO351" s="3">
        <v>0</v>
      </c>
      <c r="CP351" s="3">
        <f t="shared" si="305"/>
        <v>19213.68</v>
      </c>
      <c r="CQ351" s="3">
        <f t="shared" si="335"/>
        <v>19213.68</v>
      </c>
      <c r="CR351" s="3">
        <f t="shared" si="329"/>
        <v>0</v>
      </c>
      <c r="CS351" s="3">
        <f t="shared" si="330"/>
        <v>0</v>
      </c>
      <c r="CT351" s="3">
        <f t="shared" si="306"/>
        <v>0</v>
      </c>
      <c r="CU351" s="3">
        <f t="shared" si="307"/>
        <v>0</v>
      </c>
      <c r="CV351" s="3">
        <f t="shared" si="308"/>
        <v>0</v>
      </c>
      <c r="CW351" s="3">
        <f t="shared" si="309"/>
        <v>0</v>
      </c>
      <c r="CX351" s="3">
        <f t="shared" si="310"/>
        <v>0</v>
      </c>
      <c r="CY351" s="3">
        <f t="shared" si="331"/>
        <v>0</v>
      </c>
      <c r="CZ351" s="3">
        <f t="shared" si="332"/>
        <v>0</v>
      </c>
      <c r="DC351" s="3" t="s">
        <v>3</v>
      </c>
      <c r="DD351" s="3" t="s">
        <v>3</v>
      </c>
      <c r="DE351" s="3" t="s">
        <v>3</v>
      </c>
      <c r="DF351" s="3" t="s">
        <v>3</v>
      </c>
      <c r="DG351" s="3" t="s">
        <v>3</v>
      </c>
      <c r="DH351" s="3" t="s">
        <v>3</v>
      </c>
      <c r="DI351" s="3" t="s">
        <v>3</v>
      </c>
      <c r="DJ351" s="3" t="s">
        <v>3</v>
      </c>
      <c r="DK351" s="3" t="s">
        <v>3</v>
      </c>
      <c r="DL351" s="3" t="s">
        <v>3</v>
      </c>
      <c r="DM351" s="3" t="s">
        <v>3</v>
      </c>
      <c r="DN351" s="3">
        <v>0</v>
      </c>
      <c r="DO351" s="3">
        <v>0</v>
      </c>
      <c r="DP351" s="3">
        <v>1</v>
      </c>
      <c r="DQ351" s="3">
        <v>1</v>
      </c>
      <c r="DU351" s="3">
        <v>1013</v>
      </c>
      <c r="DV351" s="3" t="s">
        <v>153</v>
      </c>
      <c r="DW351" s="3" t="s">
        <v>153</v>
      </c>
      <c r="DX351" s="3">
        <v>1</v>
      </c>
      <c r="DZ351" s="3" t="s">
        <v>3</v>
      </c>
      <c r="EA351" s="3" t="s">
        <v>3</v>
      </c>
      <c r="EB351" s="3" t="s">
        <v>3</v>
      </c>
      <c r="EC351" s="3" t="s">
        <v>3</v>
      </c>
      <c r="EE351" s="3">
        <v>55393630</v>
      </c>
      <c r="EF351" s="3">
        <v>214</v>
      </c>
      <c r="EG351" s="3" t="s">
        <v>154</v>
      </c>
      <c r="EH351" s="3">
        <v>0</v>
      </c>
      <c r="EI351" s="3" t="s">
        <v>3</v>
      </c>
      <c r="EJ351" s="3">
        <v>3</v>
      </c>
      <c r="EK351" s="3">
        <v>400007</v>
      </c>
      <c r="EL351" s="3" t="s">
        <v>154</v>
      </c>
      <c r="EM351" s="3" t="s">
        <v>155</v>
      </c>
      <c r="EO351" s="3" t="s">
        <v>3</v>
      </c>
      <c r="EQ351" s="3">
        <v>16</v>
      </c>
      <c r="ER351" s="3">
        <v>0</v>
      </c>
      <c r="ES351" s="3">
        <v>1952.6100000000001</v>
      </c>
      <c r="ET351" s="3">
        <v>0</v>
      </c>
      <c r="EU351" s="3">
        <v>0</v>
      </c>
      <c r="EV351" s="3">
        <v>0</v>
      </c>
      <c r="EW351" s="3">
        <v>0</v>
      </c>
      <c r="EX351" s="3">
        <v>0</v>
      </c>
      <c r="EY351" s="3">
        <v>0</v>
      </c>
      <c r="EZ351" s="3">
        <v>5</v>
      </c>
      <c r="FC351" s="3">
        <v>1</v>
      </c>
      <c r="FD351" s="3">
        <v>18</v>
      </c>
      <c r="FF351" s="3">
        <v>22488.13</v>
      </c>
      <c r="FQ351" s="3">
        <v>0</v>
      </c>
      <c r="FR351" s="3">
        <f t="shared" si="333"/>
        <v>19213.68</v>
      </c>
      <c r="FS351" s="3">
        <v>0</v>
      </c>
      <c r="FX351" s="3">
        <v>0</v>
      </c>
      <c r="FY351" s="3">
        <v>0</v>
      </c>
      <c r="GA351" s="3" t="s">
        <v>305</v>
      </c>
      <c r="GD351" s="3">
        <v>1</v>
      </c>
      <c r="GF351" s="3">
        <v>214591524</v>
      </c>
      <c r="GG351" s="3">
        <v>2</v>
      </c>
      <c r="GH351" s="3">
        <v>3</v>
      </c>
      <c r="GI351" s="3">
        <v>5</v>
      </c>
      <c r="GJ351" s="3">
        <v>0</v>
      </c>
      <c r="GK351" s="3">
        <v>0</v>
      </c>
      <c r="GL351" s="3">
        <f t="shared" si="311"/>
        <v>0</v>
      </c>
      <c r="GM351" s="3">
        <f t="shared" si="312"/>
        <v>19213.68</v>
      </c>
      <c r="GN351" s="3">
        <f t="shared" si="313"/>
        <v>0</v>
      </c>
      <c r="GO351" s="3">
        <f t="shared" si="314"/>
        <v>0</v>
      </c>
      <c r="GP351" s="3">
        <f t="shared" si="315"/>
        <v>0</v>
      </c>
      <c r="GR351" s="3">
        <v>1</v>
      </c>
      <c r="GS351" s="3">
        <v>1</v>
      </c>
      <c r="GT351" s="3">
        <v>0</v>
      </c>
      <c r="GU351" s="3" t="s">
        <v>3</v>
      </c>
      <c r="GV351" s="3">
        <f t="shared" si="316"/>
        <v>0</v>
      </c>
      <c r="GW351" s="3">
        <v>1</v>
      </c>
      <c r="GX351" s="3">
        <f t="shared" si="317"/>
        <v>0</v>
      </c>
      <c r="HA351" s="3">
        <v>0</v>
      </c>
      <c r="HB351" s="3">
        <v>0</v>
      </c>
      <c r="HC351" s="3">
        <f t="shared" si="318"/>
        <v>0</v>
      </c>
      <c r="HE351" s="3" t="s">
        <v>34</v>
      </c>
      <c r="HF351" s="3" t="s">
        <v>157</v>
      </c>
      <c r="HM351" s="3" t="s">
        <v>3</v>
      </c>
      <c r="HN351" s="3" t="s">
        <v>3</v>
      </c>
      <c r="HO351" s="3" t="s">
        <v>3</v>
      </c>
      <c r="HP351" s="3" t="s">
        <v>3</v>
      </c>
      <c r="HQ351" s="3" t="s">
        <v>3</v>
      </c>
      <c r="HS351" s="3">
        <v>0</v>
      </c>
      <c r="IK351" s="3">
        <v>0</v>
      </c>
    </row>
    <row r="352" spans="1:255" x14ac:dyDescent="0.2">
      <c r="A352" s="2">
        <v>17</v>
      </c>
      <c r="B352" s="2">
        <v>1</v>
      </c>
      <c r="C352" s="2"/>
      <c r="D352" s="2"/>
      <c r="E352" s="2" t="s">
        <v>306</v>
      </c>
      <c r="F352" s="2" t="s">
        <v>307</v>
      </c>
      <c r="G352" s="2" t="s">
        <v>308</v>
      </c>
      <c r="H352" s="2" t="s">
        <v>153</v>
      </c>
      <c r="I352" s="2">
        <v>1</v>
      </c>
      <c r="J352" s="2">
        <v>0</v>
      </c>
      <c r="K352" s="2">
        <v>1</v>
      </c>
      <c r="L352" s="2"/>
      <c r="M352" s="2"/>
      <c r="N352" s="2"/>
      <c r="O352" s="2">
        <f t="shared" si="296"/>
        <v>13767.37</v>
      </c>
      <c r="P352" s="2">
        <f t="shared" si="334"/>
        <v>13767.37</v>
      </c>
      <c r="Q352" s="2">
        <f t="shared" si="319"/>
        <v>0</v>
      </c>
      <c r="R352" s="2">
        <f t="shared" si="320"/>
        <v>0</v>
      </c>
      <c r="S352" s="2">
        <f t="shared" si="297"/>
        <v>0</v>
      </c>
      <c r="T352" s="2">
        <f t="shared" si="298"/>
        <v>0</v>
      </c>
      <c r="U352" s="2">
        <f t="shared" si="299"/>
        <v>0</v>
      </c>
      <c r="V352" s="2">
        <f t="shared" si="300"/>
        <v>0</v>
      </c>
      <c r="W352" s="2">
        <f t="shared" si="301"/>
        <v>0</v>
      </c>
      <c r="X352" s="2">
        <f t="shared" si="321"/>
        <v>0</v>
      </c>
      <c r="Y352" s="2">
        <f t="shared" si="322"/>
        <v>0</v>
      </c>
      <c r="Z352" s="2"/>
      <c r="AA352" s="2">
        <v>55915256</v>
      </c>
      <c r="AB352" s="2">
        <f t="shared" si="302"/>
        <v>13767.37</v>
      </c>
      <c r="AC352" s="2">
        <f t="shared" si="323"/>
        <v>13767.37</v>
      </c>
      <c r="AD352" s="2">
        <f t="shared" si="324"/>
        <v>0</v>
      </c>
      <c r="AE352" s="2">
        <f t="shared" si="325"/>
        <v>0</v>
      </c>
      <c r="AF352" s="2">
        <f t="shared" si="326"/>
        <v>0</v>
      </c>
      <c r="AG352" s="2">
        <f t="shared" si="303"/>
        <v>0</v>
      </c>
      <c r="AH352" s="2">
        <f t="shared" si="327"/>
        <v>0</v>
      </c>
      <c r="AI352" s="2">
        <f t="shared" si="328"/>
        <v>0</v>
      </c>
      <c r="AJ352" s="2">
        <f t="shared" si="304"/>
        <v>0</v>
      </c>
      <c r="AK352" s="2">
        <v>13767.369999999999</v>
      </c>
      <c r="AL352" s="2">
        <v>13767.369999999999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1</v>
      </c>
      <c r="AW352" s="2">
        <v>1</v>
      </c>
      <c r="AX352" s="2"/>
      <c r="AY352" s="2"/>
      <c r="AZ352" s="2">
        <v>1</v>
      </c>
      <c r="BA352" s="2">
        <v>1</v>
      </c>
      <c r="BB352" s="2">
        <v>1</v>
      </c>
      <c r="BC352" s="2">
        <v>1</v>
      </c>
      <c r="BD352" s="2" t="s">
        <v>3</v>
      </c>
      <c r="BE352" s="2" t="s">
        <v>3</v>
      </c>
      <c r="BF352" s="2" t="s">
        <v>3</v>
      </c>
      <c r="BG352" s="2" t="s">
        <v>3</v>
      </c>
      <c r="BH352" s="2">
        <v>3</v>
      </c>
      <c r="BI352" s="2">
        <v>3</v>
      </c>
      <c r="BJ352" s="2" t="s">
        <v>307</v>
      </c>
      <c r="BK352" s="2"/>
      <c r="BL352" s="2"/>
      <c r="BM352" s="2">
        <v>400007</v>
      </c>
      <c r="BN352" s="2">
        <v>0</v>
      </c>
      <c r="BO352" s="2" t="s">
        <v>3</v>
      </c>
      <c r="BP352" s="2">
        <v>0</v>
      </c>
      <c r="BQ352" s="2">
        <v>214</v>
      </c>
      <c r="BR352" s="2">
        <v>0</v>
      </c>
      <c r="BS352" s="2">
        <v>1</v>
      </c>
      <c r="BT352" s="2">
        <v>1</v>
      </c>
      <c r="BU352" s="2">
        <v>1</v>
      </c>
      <c r="BV352" s="2">
        <v>1</v>
      </c>
      <c r="BW352" s="2">
        <v>1</v>
      </c>
      <c r="BX352" s="2">
        <v>1</v>
      </c>
      <c r="BY352" s="2" t="s">
        <v>3</v>
      </c>
      <c r="BZ352" s="2">
        <v>0</v>
      </c>
      <c r="CA352" s="2">
        <v>0</v>
      </c>
      <c r="CB352" s="2" t="s">
        <v>3</v>
      </c>
      <c r="CC352" s="2"/>
      <c r="CD352" s="2"/>
      <c r="CE352" s="2">
        <v>1566</v>
      </c>
      <c r="CF352" s="2">
        <v>0</v>
      </c>
      <c r="CG352" s="2">
        <v>0</v>
      </c>
      <c r="CH352" s="2"/>
      <c r="CI352" s="2"/>
      <c r="CJ352" s="2"/>
      <c r="CK352" s="2"/>
      <c r="CL352" s="2"/>
      <c r="CM352" s="2">
        <v>0</v>
      </c>
      <c r="CN352" s="2" t="s">
        <v>3</v>
      </c>
      <c r="CO352" s="2">
        <v>0</v>
      </c>
      <c r="CP352" s="2">
        <f t="shared" si="305"/>
        <v>13767.37</v>
      </c>
      <c r="CQ352" s="2">
        <f t="shared" si="335"/>
        <v>13767.37</v>
      </c>
      <c r="CR352" s="2">
        <f t="shared" si="329"/>
        <v>0</v>
      </c>
      <c r="CS352" s="2">
        <f t="shared" si="330"/>
        <v>0</v>
      </c>
      <c r="CT352" s="2">
        <f t="shared" si="306"/>
        <v>0</v>
      </c>
      <c r="CU352" s="2">
        <f t="shared" si="307"/>
        <v>0</v>
      </c>
      <c r="CV352" s="2">
        <f t="shared" si="308"/>
        <v>0</v>
      </c>
      <c r="CW352" s="2">
        <f t="shared" si="309"/>
        <v>0</v>
      </c>
      <c r="CX352" s="2">
        <f t="shared" si="310"/>
        <v>0</v>
      </c>
      <c r="CY352" s="2">
        <f t="shared" si="331"/>
        <v>0</v>
      </c>
      <c r="CZ352" s="2">
        <f t="shared" si="332"/>
        <v>0</v>
      </c>
      <c r="DA352" s="2"/>
      <c r="DB352" s="2"/>
      <c r="DC352" s="2" t="s">
        <v>3</v>
      </c>
      <c r="DD352" s="2" t="s">
        <v>3</v>
      </c>
      <c r="DE352" s="2" t="s">
        <v>3</v>
      </c>
      <c r="DF352" s="2" t="s">
        <v>3</v>
      </c>
      <c r="DG352" s="2" t="s">
        <v>3</v>
      </c>
      <c r="DH352" s="2" t="s">
        <v>3</v>
      </c>
      <c r="DI352" s="2" t="s">
        <v>3</v>
      </c>
      <c r="DJ352" s="2" t="s">
        <v>3</v>
      </c>
      <c r="DK352" s="2" t="s">
        <v>3</v>
      </c>
      <c r="DL352" s="2" t="s">
        <v>3</v>
      </c>
      <c r="DM352" s="2" t="s">
        <v>3</v>
      </c>
      <c r="DN352" s="2">
        <v>0</v>
      </c>
      <c r="DO352" s="2">
        <v>0</v>
      </c>
      <c r="DP352" s="2">
        <v>1</v>
      </c>
      <c r="DQ352" s="2">
        <v>1</v>
      </c>
      <c r="DR352" s="2"/>
      <c r="DS352" s="2"/>
      <c r="DT352" s="2"/>
      <c r="DU352" s="2">
        <v>1013</v>
      </c>
      <c r="DV352" s="2" t="s">
        <v>153</v>
      </c>
      <c r="DW352" s="2" t="s">
        <v>153</v>
      </c>
      <c r="DX352" s="2">
        <v>1</v>
      </c>
      <c r="DY352" s="2"/>
      <c r="DZ352" s="2" t="s">
        <v>3</v>
      </c>
      <c r="EA352" s="2" t="s">
        <v>3</v>
      </c>
      <c r="EB352" s="2" t="s">
        <v>3</v>
      </c>
      <c r="EC352" s="2" t="s">
        <v>3</v>
      </c>
      <c r="ED352" s="2"/>
      <c r="EE352" s="2">
        <v>55393630</v>
      </c>
      <c r="EF352" s="2">
        <v>214</v>
      </c>
      <c r="EG352" s="2" t="s">
        <v>154</v>
      </c>
      <c r="EH352" s="2">
        <v>0</v>
      </c>
      <c r="EI352" s="2" t="s">
        <v>3</v>
      </c>
      <c r="EJ352" s="2">
        <v>3</v>
      </c>
      <c r="EK352" s="2">
        <v>400007</v>
      </c>
      <c r="EL352" s="2" t="s">
        <v>154</v>
      </c>
      <c r="EM352" s="2" t="s">
        <v>155</v>
      </c>
      <c r="EN352" s="2"/>
      <c r="EO352" s="2" t="s">
        <v>3</v>
      </c>
      <c r="EP352" s="2"/>
      <c r="EQ352" s="2">
        <v>16</v>
      </c>
      <c r="ER352" s="2">
        <v>0</v>
      </c>
      <c r="ES352" s="2">
        <v>13767.369999999999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>
        <v>0</v>
      </c>
      <c r="FR352" s="2">
        <f t="shared" si="333"/>
        <v>13767.37</v>
      </c>
      <c r="FS352" s="2">
        <v>0</v>
      </c>
      <c r="FT352" s="2"/>
      <c r="FU352" s="2"/>
      <c r="FV352" s="2"/>
      <c r="FW352" s="2"/>
      <c r="FX352" s="2">
        <v>0</v>
      </c>
      <c r="FY352" s="2">
        <v>0</v>
      </c>
      <c r="FZ352" s="2"/>
      <c r="GA352" s="2" t="s">
        <v>309</v>
      </c>
      <c r="GB352" s="2"/>
      <c r="GC352" s="2"/>
      <c r="GD352" s="2">
        <v>1</v>
      </c>
      <c r="GE352" s="2"/>
      <c r="GF352" s="2">
        <v>-697089038</v>
      </c>
      <c r="GG352" s="2">
        <v>2</v>
      </c>
      <c r="GH352" s="2">
        <v>4</v>
      </c>
      <c r="GI352" s="2">
        <v>-2</v>
      </c>
      <c r="GJ352" s="2">
        <v>0</v>
      </c>
      <c r="GK352" s="2">
        <v>0</v>
      </c>
      <c r="GL352" s="2">
        <f t="shared" si="311"/>
        <v>0</v>
      </c>
      <c r="GM352" s="2">
        <f t="shared" si="312"/>
        <v>13767.37</v>
      </c>
      <c r="GN352" s="2">
        <f t="shared" si="313"/>
        <v>0</v>
      </c>
      <c r="GO352" s="2">
        <f t="shared" si="314"/>
        <v>0</v>
      </c>
      <c r="GP352" s="2">
        <f t="shared" si="315"/>
        <v>0</v>
      </c>
      <c r="GQ352" s="2"/>
      <c r="GR352" s="2">
        <v>1</v>
      </c>
      <c r="GS352" s="2">
        <v>2</v>
      </c>
      <c r="GT352" s="2">
        <v>0</v>
      </c>
      <c r="GU352" s="2" t="s">
        <v>3</v>
      </c>
      <c r="GV352" s="2">
        <f t="shared" si="316"/>
        <v>0</v>
      </c>
      <c r="GW352" s="2">
        <v>1</v>
      </c>
      <c r="GX352" s="2">
        <f t="shared" si="317"/>
        <v>0</v>
      </c>
      <c r="GY352" s="2"/>
      <c r="GZ352" s="2"/>
      <c r="HA352" s="2">
        <v>0</v>
      </c>
      <c r="HB352" s="2">
        <v>0</v>
      </c>
      <c r="HC352" s="2">
        <f t="shared" si="318"/>
        <v>0</v>
      </c>
      <c r="HD352" s="2"/>
      <c r="HE352" s="2" t="s">
        <v>34</v>
      </c>
      <c r="HF352" s="2" t="s">
        <v>157</v>
      </c>
      <c r="HG352" s="2"/>
      <c r="HH352" s="2"/>
      <c r="HI352" s="2"/>
      <c r="HJ352" s="2"/>
      <c r="HK352" s="2"/>
      <c r="HL352" s="2"/>
      <c r="HM352" s="2" t="s">
        <v>3</v>
      </c>
      <c r="HN352" s="2" t="s">
        <v>3</v>
      </c>
      <c r="HO352" s="2" t="s">
        <v>3</v>
      </c>
      <c r="HP352" s="2" t="s">
        <v>3</v>
      </c>
      <c r="HQ352" s="2" t="s">
        <v>3</v>
      </c>
      <c r="HR352" s="2"/>
      <c r="HS352" s="2">
        <v>0</v>
      </c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>
        <v>0</v>
      </c>
      <c r="IL352" s="2"/>
      <c r="IM352" s="2"/>
      <c r="IN352" s="2"/>
      <c r="IO352" s="2"/>
      <c r="IP352" s="2"/>
      <c r="IQ352" s="2"/>
      <c r="IR352" s="2"/>
      <c r="IS352" s="2"/>
      <c r="IT352" s="2"/>
      <c r="IU352" s="2"/>
    </row>
    <row r="353" spans="1:245" x14ac:dyDescent="0.2">
      <c r="A353" s="3">
        <v>17</v>
      </c>
      <c r="B353" s="3">
        <v>1</v>
      </c>
      <c r="E353" s="3" t="s">
        <v>306</v>
      </c>
      <c r="F353" s="3" t="s">
        <v>307</v>
      </c>
      <c r="G353" s="3" t="s">
        <v>308</v>
      </c>
      <c r="H353" s="3" t="s">
        <v>153</v>
      </c>
      <c r="I353" s="3">
        <v>1</v>
      </c>
      <c r="J353" s="3">
        <v>0</v>
      </c>
      <c r="K353" s="3">
        <v>1</v>
      </c>
      <c r="O353" s="3">
        <f t="shared" si="296"/>
        <v>135470.92000000001</v>
      </c>
      <c r="P353" s="3">
        <f t="shared" si="334"/>
        <v>135470.92000000001</v>
      </c>
      <c r="Q353" s="3">
        <f t="shared" si="319"/>
        <v>0</v>
      </c>
      <c r="R353" s="3">
        <f t="shared" si="320"/>
        <v>0</v>
      </c>
      <c r="S353" s="3">
        <f t="shared" si="297"/>
        <v>0</v>
      </c>
      <c r="T353" s="3">
        <f t="shared" si="298"/>
        <v>0</v>
      </c>
      <c r="U353" s="3">
        <f t="shared" si="299"/>
        <v>0</v>
      </c>
      <c r="V353" s="3">
        <f t="shared" si="300"/>
        <v>0</v>
      </c>
      <c r="W353" s="3">
        <f t="shared" si="301"/>
        <v>0</v>
      </c>
      <c r="X353" s="3">
        <f t="shared" si="321"/>
        <v>0</v>
      </c>
      <c r="Y353" s="3">
        <f t="shared" si="322"/>
        <v>0</v>
      </c>
      <c r="AA353" s="3">
        <v>55915258</v>
      </c>
      <c r="AB353" s="3">
        <f t="shared" si="302"/>
        <v>13767.37</v>
      </c>
      <c r="AC353" s="3">
        <f t="shared" si="323"/>
        <v>13767.37</v>
      </c>
      <c r="AD353" s="3">
        <f t="shared" si="324"/>
        <v>0</v>
      </c>
      <c r="AE353" s="3">
        <f t="shared" si="325"/>
        <v>0</v>
      </c>
      <c r="AF353" s="3">
        <f t="shared" si="326"/>
        <v>0</v>
      </c>
      <c r="AG353" s="3">
        <f t="shared" si="303"/>
        <v>0</v>
      </c>
      <c r="AH353" s="3">
        <f t="shared" si="327"/>
        <v>0</v>
      </c>
      <c r="AI353" s="3">
        <f t="shared" si="328"/>
        <v>0</v>
      </c>
      <c r="AJ353" s="3">
        <f t="shared" si="304"/>
        <v>0</v>
      </c>
      <c r="AK353" s="3">
        <v>13767.369999999999</v>
      </c>
      <c r="AL353" s="3">
        <v>13767.369999999999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1</v>
      </c>
      <c r="AW353" s="3">
        <v>1</v>
      </c>
      <c r="AZ353" s="3">
        <v>1</v>
      </c>
      <c r="BA353" s="3">
        <v>1</v>
      </c>
      <c r="BB353" s="3">
        <v>1</v>
      </c>
      <c r="BC353" s="3">
        <v>9.84</v>
      </c>
      <c r="BD353" s="3" t="s">
        <v>3</v>
      </c>
      <c r="BE353" s="3" t="s">
        <v>3</v>
      </c>
      <c r="BF353" s="3" t="s">
        <v>3</v>
      </c>
      <c r="BG353" s="3" t="s">
        <v>3</v>
      </c>
      <c r="BH353" s="3">
        <v>3</v>
      </c>
      <c r="BI353" s="3">
        <v>3</v>
      </c>
      <c r="BJ353" s="3" t="s">
        <v>307</v>
      </c>
      <c r="BM353" s="3">
        <v>400007</v>
      </c>
      <c r="BN353" s="3">
        <v>0</v>
      </c>
      <c r="BO353" s="3" t="s">
        <v>3</v>
      </c>
      <c r="BP353" s="3">
        <v>0</v>
      </c>
      <c r="BQ353" s="3">
        <v>214</v>
      </c>
      <c r="BR353" s="3">
        <v>0</v>
      </c>
      <c r="BS353" s="3">
        <v>1</v>
      </c>
      <c r="BT353" s="3">
        <v>1</v>
      </c>
      <c r="BU353" s="3">
        <v>1</v>
      </c>
      <c r="BV353" s="3">
        <v>1</v>
      </c>
      <c r="BW353" s="3">
        <v>1</v>
      </c>
      <c r="BX353" s="3">
        <v>1</v>
      </c>
      <c r="BY353" s="3" t="s">
        <v>3</v>
      </c>
      <c r="BZ353" s="3">
        <v>0</v>
      </c>
      <c r="CA353" s="3">
        <v>0</v>
      </c>
      <c r="CB353" s="3" t="s">
        <v>3</v>
      </c>
      <c r="CE353" s="3">
        <v>1566</v>
      </c>
      <c r="CF353" s="3">
        <v>0</v>
      </c>
      <c r="CG353" s="3">
        <v>0</v>
      </c>
      <c r="CM353" s="3">
        <v>0</v>
      </c>
      <c r="CN353" s="3" t="s">
        <v>3</v>
      </c>
      <c r="CO353" s="3">
        <v>0</v>
      </c>
      <c r="CP353" s="3">
        <f t="shared" si="305"/>
        <v>135470.92000000001</v>
      </c>
      <c r="CQ353" s="3">
        <f t="shared" si="335"/>
        <v>135470.92000000001</v>
      </c>
      <c r="CR353" s="3">
        <f t="shared" si="329"/>
        <v>0</v>
      </c>
      <c r="CS353" s="3">
        <f t="shared" si="330"/>
        <v>0</v>
      </c>
      <c r="CT353" s="3">
        <f t="shared" si="306"/>
        <v>0</v>
      </c>
      <c r="CU353" s="3">
        <f t="shared" si="307"/>
        <v>0</v>
      </c>
      <c r="CV353" s="3">
        <f t="shared" si="308"/>
        <v>0</v>
      </c>
      <c r="CW353" s="3">
        <f t="shared" si="309"/>
        <v>0</v>
      </c>
      <c r="CX353" s="3">
        <f t="shared" si="310"/>
        <v>0</v>
      </c>
      <c r="CY353" s="3">
        <f t="shared" si="331"/>
        <v>0</v>
      </c>
      <c r="CZ353" s="3">
        <f t="shared" si="332"/>
        <v>0</v>
      </c>
      <c r="DC353" s="3" t="s">
        <v>3</v>
      </c>
      <c r="DD353" s="3" t="s">
        <v>3</v>
      </c>
      <c r="DE353" s="3" t="s">
        <v>3</v>
      </c>
      <c r="DF353" s="3" t="s">
        <v>3</v>
      </c>
      <c r="DG353" s="3" t="s">
        <v>3</v>
      </c>
      <c r="DH353" s="3" t="s">
        <v>3</v>
      </c>
      <c r="DI353" s="3" t="s">
        <v>3</v>
      </c>
      <c r="DJ353" s="3" t="s">
        <v>3</v>
      </c>
      <c r="DK353" s="3" t="s">
        <v>3</v>
      </c>
      <c r="DL353" s="3" t="s">
        <v>3</v>
      </c>
      <c r="DM353" s="3" t="s">
        <v>3</v>
      </c>
      <c r="DN353" s="3">
        <v>0</v>
      </c>
      <c r="DO353" s="3">
        <v>0</v>
      </c>
      <c r="DP353" s="3">
        <v>1</v>
      </c>
      <c r="DQ353" s="3">
        <v>1</v>
      </c>
      <c r="DU353" s="3">
        <v>1013</v>
      </c>
      <c r="DV353" s="3" t="s">
        <v>153</v>
      </c>
      <c r="DW353" s="3" t="s">
        <v>153</v>
      </c>
      <c r="DX353" s="3">
        <v>1</v>
      </c>
      <c r="DZ353" s="3" t="s">
        <v>3</v>
      </c>
      <c r="EA353" s="3" t="s">
        <v>3</v>
      </c>
      <c r="EB353" s="3" t="s">
        <v>3</v>
      </c>
      <c r="EC353" s="3" t="s">
        <v>3</v>
      </c>
      <c r="EE353" s="3">
        <v>55393630</v>
      </c>
      <c r="EF353" s="3">
        <v>214</v>
      </c>
      <c r="EG353" s="3" t="s">
        <v>154</v>
      </c>
      <c r="EH353" s="3">
        <v>0</v>
      </c>
      <c r="EI353" s="3" t="s">
        <v>3</v>
      </c>
      <c r="EJ353" s="3">
        <v>3</v>
      </c>
      <c r="EK353" s="3">
        <v>400007</v>
      </c>
      <c r="EL353" s="3" t="s">
        <v>154</v>
      </c>
      <c r="EM353" s="3" t="s">
        <v>155</v>
      </c>
      <c r="EO353" s="3" t="s">
        <v>3</v>
      </c>
      <c r="EQ353" s="3">
        <v>16</v>
      </c>
      <c r="ER353" s="3">
        <v>0</v>
      </c>
      <c r="ES353" s="3">
        <v>13767.369999999999</v>
      </c>
      <c r="ET353" s="3">
        <v>0</v>
      </c>
      <c r="EU353" s="3">
        <v>0</v>
      </c>
      <c r="EV353" s="3">
        <v>0</v>
      </c>
      <c r="EW353" s="3">
        <v>0</v>
      </c>
      <c r="EX353" s="3">
        <v>0</v>
      </c>
      <c r="EY353" s="3">
        <v>0</v>
      </c>
      <c r="EZ353" s="3">
        <v>5</v>
      </c>
      <c r="FC353" s="3">
        <v>1</v>
      </c>
      <c r="FD353" s="3">
        <v>18</v>
      </c>
      <c r="FF353" s="3">
        <v>158558</v>
      </c>
      <c r="FQ353" s="3">
        <v>0</v>
      </c>
      <c r="FR353" s="3">
        <f t="shared" si="333"/>
        <v>135470.92000000001</v>
      </c>
      <c r="FS353" s="3">
        <v>0</v>
      </c>
      <c r="FX353" s="3">
        <v>0</v>
      </c>
      <c r="FY353" s="3">
        <v>0</v>
      </c>
      <c r="GA353" s="3" t="s">
        <v>309</v>
      </c>
      <c r="GD353" s="3">
        <v>1</v>
      </c>
      <c r="GF353" s="3">
        <v>-697089038</v>
      </c>
      <c r="GG353" s="3">
        <v>2</v>
      </c>
      <c r="GH353" s="3">
        <v>3</v>
      </c>
      <c r="GI353" s="3">
        <v>5</v>
      </c>
      <c r="GJ353" s="3">
        <v>0</v>
      </c>
      <c r="GK353" s="3">
        <v>0</v>
      </c>
      <c r="GL353" s="3">
        <f t="shared" si="311"/>
        <v>0</v>
      </c>
      <c r="GM353" s="3">
        <f t="shared" si="312"/>
        <v>135470.92000000001</v>
      </c>
      <c r="GN353" s="3">
        <f t="shared" si="313"/>
        <v>0</v>
      </c>
      <c r="GO353" s="3">
        <f t="shared" si="314"/>
        <v>0</v>
      </c>
      <c r="GP353" s="3">
        <f t="shared" si="315"/>
        <v>0</v>
      </c>
      <c r="GR353" s="3">
        <v>1</v>
      </c>
      <c r="GS353" s="3">
        <v>1</v>
      </c>
      <c r="GT353" s="3">
        <v>0</v>
      </c>
      <c r="GU353" s="3" t="s">
        <v>3</v>
      </c>
      <c r="GV353" s="3">
        <f t="shared" si="316"/>
        <v>0</v>
      </c>
      <c r="GW353" s="3">
        <v>1</v>
      </c>
      <c r="GX353" s="3">
        <f t="shared" si="317"/>
        <v>0</v>
      </c>
      <c r="HA353" s="3">
        <v>0</v>
      </c>
      <c r="HB353" s="3">
        <v>0</v>
      </c>
      <c r="HC353" s="3">
        <f t="shared" si="318"/>
        <v>0</v>
      </c>
      <c r="HE353" s="3" t="s">
        <v>34</v>
      </c>
      <c r="HF353" s="3" t="s">
        <v>157</v>
      </c>
      <c r="HM353" s="3" t="s">
        <v>3</v>
      </c>
      <c r="HN353" s="3" t="s">
        <v>3</v>
      </c>
      <c r="HO353" s="3" t="s">
        <v>3</v>
      </c>
      <c r="HP353" s="3" t="s">
        <v>3</v>
      </c>
      <c r="HQ353" s="3" t="s">
        <v>3</v>
      </c>
      <c r="HS353" s="3">
        <v>0</v>
      </c>
      <c r="IK353" s="3">
        <v>0</v>
      </c>
    </row>
    <row r="355" spans="1:245" x14ac:dyDescent="0.2">
      <c r="A355" s="11">
        <v>51</v>
      </c>
      <c r="B355" s="11">
        <f>B338</f>
        <v>1</v>
      </c>
      <c r="C355" s="11">
        <f>A338</f>
        <v>4</v>
      </c>
      <c r="D355" s="11">
        <f>ROW(A338)</f>
        <v>338</v>
      </c>
      <c r="E355" s="11"/>
      <c r="F355" s="11" t="str">
        <f>IF(F338&lt;&gt;"",F338,"")</f>
        <v>6</v>
      </c>
      <c r="G355" s="11" t="str">
        <f>IF(G338&lt;&gt;"",G338,"")</f>
        <v>АРМ</v>
      </c>
      <c r="H355" s="11">
        <v>0</v>
      </c>
      <c r="I355" s="11"/>
      <c r="J355" s="11"/>
      <c r="K355" s="11"/>
      <c r="L355" s="11"/>
      <c r="M355" s="11"/>
      <c r="N355" s="11"/>
      <c r="O355" s="11">
        <f t="shared" ref="O355:T355" si="336">ROUND(AB355,2)</f>
        <v>21181.119999999999</v>
      </c>
      <c r="P355" s="11">
        <f t="shared" si="336"/>
        <v>21070.13</v>
      </c>
      <c r="Q355" s="11">
        <f t="shared" si="336"/>
        <v>0</v>
      </c>
      <c r="R355" s="11">
        <f t="shared" si="336"/>
        <v>0</v>
      </c>
      <c r="S355" s="11">
        <f t="shared" si="336"/>
        <v>110.99</v>
      </c>
      <c r="T355" s="11">
        <f t="shared" si="336"/>
        <v>0</v>
      </c>
      <c r="U355" s="11">
        <f>AH355</f>
        <v>8.7948000000000004</v>
      </c>
      <c r="V355" s="11">
        <f>AI355</f>
        <v>0</v>
      </c>
      <c r="W355" s="11">
        <f>ROUND(AJ355,2)</f>
        <v>0</v>
      </c>
      <c r="X355" s="11">
        <f>ROUND(AK355,2)</f>
        <v>105.44</v>
      </c>
      <c r="Y355" s="11">
        <f>ROUND(AL355,2)</f>
        <v>58.82</v>
      </c>
      <c r="Z355" s="11"/>
      <c r="AA355" s="11"/>
      <c r="AB355" s="11">
        <f>ROUND(SUMIF(AA342:AA353,"=55915256",O342:O353),2)</f>
        <v>21181.119999999999</v>
      </c>
      <c r="AC355" s="11">
        <f>ROUND(SUMIF(AA342:AA353,"=55915256",P342:P353),2)</f>
        <v>21070.13</v>
      </c>
      <c r="AD355" s="11">
        <f>ROUND(SUMIF(AA342:AA353,"=55915256",Q342:Q353),2)</f>
        <v>0</v>
      </c>
      <c r="AE355" s="11">
        <f>ROUND(SUMIF(AA342:AA353,"=55915256",R342:R353),2)</f>
        <v>0</v>
      </c>
      <c r="AF355" s="11">
        <f>ROUND(SUMIF(AA342:AA353,"=55915256",S342:S353),2)</f>
        <v>110.99</v>
      </c>
      <c r="AG355" s="11">
        <f>ROUND(SUMIF(AA342:AA353,"=55915256",T342:T353),2)</f>
        <v>0</v>
      </c>
      <c r="AH355" s="11">
        <f>SUMIF(AA342:AA353,"=55915256",U342:U353)</f>
        <v>8.7948000000000004</v>
      </c>
      <c r="AI355" s="11">
        <f>SUMIF(AA342:AA353,"=55915256",V342:V353)</f>
        <v>0</v>
      </c>
      <c r="AJ355" s="11">
        <f>ROUND(SUMIF(AA342:AA353,"=55915256",W342:W353),2)</f>
        <v>0</v>
      </c>
      <c r="AK355" s="11">
        <f>ROUND(SUMIF(AA342:AA353,"=55915256",X342:X353),2)</f>
        <v>105.44</v>
      </c>
      <c r="AL355" s="11">
        <f>ROUND(SUMIF(AA342:AA353,"=55915256",Y342:Y353),2)</f>
        <v>58.82</v>
      </c>
      <c r="AM355" s="11"/>
      <c r="AN355" s="11"/>
      <c r="AO355" s="11">
        <f t="shared" ref="AO355:BD355" si="337">ROUND(BX355,2)</f>
        <v>0</v>
      </c>
      <c r="AP355" s="11">
        <f t="shared" si="337"/>
        <v>21035.26</v>
      </c>
      <c r="AQ355" s="11">
        <f t="shared" si="337"/>
        <v>0</v>
      </c>
      <c r="AR355" s="11">
        <f t="shared" si="337"/>
        <v>21345.38</v>
      </c>
      <c r="AS355" s="11">
        <f t="shared" si="337"/>
        <v>0</v>
      </c>
      <c r="AT355" s="11">
        <f t="shared" si="337"/>
        <v>310.12</v>
      </c>
      <c r="AU355" s="11">
        <f t="shared" si="337"/>
        <v>0</v>
      </c>
      <c r="AV355" s="11">
        <f t="shared" si="337"/>
        <v>21070.13</v>
      </c>
      <c r="AW355" s="11">
        <f t="shared" si="337"/>
        <v>34.869999999999997</v>
      </c>
      <c r="AX355" s="11">
        <f t="shared" si="337"/>
        <v>0</v>
      </c>
      <c r="AY355" s="11">
        <f t="shared" si="337"/>
        <v>34.869999999999997</v>
      </c>
      <c r="AZ355" s="11">
        <f t="shared" si="337"/>
        <v>21035.26</v>
      </c>
      <c r="BA355" s="11">
        <f t="shared" si="337"/>
        <v>0</v>
      </c>
      <c r="BB355" s="11">
        <f t="shared" si="337"/>
        <v>0</v>
      </c>
      <c r="BC355" s="11">
        <f t="shared" si="337"/>
        <v>0</v>
      </c>
      <c r="BD355" s="11">
        <f t="shared" si="337"/>
        <v>0</v>
      </c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>
        <f>ROUND(SUMIF(AA342:AA353,"=55915256",FQ342:FQ353),2)</f>
        <v>0</v>
      </c>
      <c r="BY355" s="11">
        <f>ROUND(SUMIF(AA342:AA353,"=55915256",FR342:FR353),2)</f>
        <v>21035.26</v>
      </c>
      <c r="BZ355" s="11">
        <f>ROUND(SUMIF(AA342:AA353,"=55915256",GL342:GL353),2)</f>
        <v>0</v>
      </c>
      <c r="CA355" s="11">
        <f>ROUND(SUMIF(AA342:AA353,"=55915256",GM342:GM353),2)</f>
        <v>21345.38</v>
      </c>
      <c r="CB355" s="11">
        <f>ROUND(SUMIF(AA342:AA353,"=55915256",GN342:GN353),2)</f>
        <v>0</v>
      </c>
      <c r="CC355" s="11">
        <f>ROUND(SUMIF(AA342:AA353,"=55915256",GO342:GO353),2)</f>
        <v>310.12</v>
      </c>
      <c r="CD355" s="11">
        <f>ROUND(SUMIF(AA342:AA353,"=55915256",GP342:GP353),2)</f>
        <v>0</v>
      </c>
      <c r="CE355" s="11">
        <f>AC355-BX355</f>
        <v>21070.13</v>
      </c>
      <c r="CF355" s="11">
        <f>AC355-BY355</f>
        <v>34.870000000002619</v>
      </c>
      <c r="CG355" s="11">
        <f>BX355-BZ355</f>
        <v>0</v>
      </c>
      <c r="CH355" s="11">
        <f>AC355-BX355-BY355+BZ355</f>
        <v>34.870000000002619</v>
      </c>
      <c r="CI355" s="11">
        <f>BY355-BZ355</f>
        <v>21035.26</v>
      </c>
      <c r="CJ355" s="11">
        <f>ROUND(SUMIF(AA342:AA353,"=55915256",GX342:GX353),2)</f>
        <v>0</v>
      </c>
      <c r="CK355" s="11">
        <f>ROUND(SUMIF(AA342:AA353,"=55915256",GY342:GY353),2)</f>
        <v>0</v>
      </c>
      <c r="CL355" s="11">
        <f>ROUND(SUMIF(AA342:AA353,"=55915256",GZ342:GZ353),2)</f>
        <v>0</v>
      </c>
      <c r="CM355" s="11">
        <f>ROUND(SUMIF(AA342:AA353,"=55915256",HD342:HD353),2)</f>
        <v>0</v>
      </c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2">
        <f t="shared" ref="DG355:DL355" si="338">ROUND(DT355,2)</f>
        <v>212539.4</v>
      </c>
      <c r="DH355" s="12">
        <f t="shared" si="338"/>
        <v>206285.11</v>
      </c>
      <c r="DI355" s="12">
        <f t="shared" si="338"/>
        <v>0</v>
      </c>
      <c r="DJ355" s="12">
        <f t="shared" si="338"/>
        <v>0</v>
      </c>
      <c r="DK355" s="12">
        <f t="shared" si="338"/>
        <v>6254.29</v>
      </c>
      <c r="DL355" s="12">
        <f t="shared" si="338"/>
        <v>0</v>
      </c>
      <c r="DM355" s="12">
        <f>DZ355</f>
        <v>8.7948000000000004</v>
      </c>
      <c r="DN355" s="12">
        <f>EA355</f>
        <v>0</v>
      </c>
      <c r="DO355" s="12">
        <f>ROUND(EB355,2)</f>
        <v>0</v>
      </c>
      <c r="DP355" s="12">
        <f>ROUND(EC355,2)</f>
        <v>5941.58</v>
      </c>
      <c r="DQ355" s="12">
        <f>ROUND(ED355,2)</f>
        <v>3314.77</v>
      </c>
      <c r="DR355" s="12"/>
      <c r="DS355" s="12"/>
      <c r="DT355" s="12">
        <f>ROUND(SUMIF(AA342:AA353,"=55915258",O342:O353),2)</f>
        <v>212539.4</v>
      </c>
      <c r="DU355" s="12">
        <f>ROUND(SUMIF(AA342:AA353,"=55915258",P342:P353),2)</f>
        <v>206285.11</v>
      </c>
      <c r="DV355" s="12">
        <f>ROUND(SUMIF(AA342:AA353,"=55915258",Q342:Q353),2)</f>
        <v>0</v>
      </c>
      <c r="DW355" s="12">
        <f>ROUND(SUMIF(AA342:AA353,"=55915258",R342:R353),2)</f>
        <v>0</v>
      </c>
      <c r="DX355" s="12">
        <f>ROUND(SUMIF(AA342:AA353,"=55915258",S342:S353),2)</f>
        <v>6254.29</v>
      </c>
      <c r="DY355" s="12">
        <f>ROUND(SUMIF(AA342:AA353,"=55915258",T342:T353),2)</f>
        <v>0</v>
      </c>
      <c r="DZ355" s="12">
        <f>SUMIF(AA342:AA353,"=55915258",U342:U353)</f>
        <v>8.7948000000000004</v>
      </c>
      <c r="EA355" s="12">
        <f>SUMIF(AA342:AA353,"=55915258",V342:V353)</f>
        <v>0</v>
      </c>
      <c r="EB355" s="12">
        <f>ROUND(SUMIF(AA342:AA353,"=55915258",W342:W353),2)</f>
        <v>0</v>
      </c>
      <c r="EC355" s="12">
        <f>ROUND(SUMIF(AA342:AA353,"=55915258",X342:X353),2)</f>
        <v>5941.58</v>
      </c>
      <c r="ED355" s="12">
        <f>ROUND(SUMIF(AA342:AA353,"=55915258",Y342:Y353),2)</f>
        <v>3314.77</v>
      </c>
      <c r="EE355" s="12"/>
      <c r="EF355" s="12"/>
      <c r="EG355" s="12">
        <f t="shared" ref="EG355:EV355" si="339">ROUND(FP355,2)</f>
        <v>0</v>
      </c>
      <c r="EH355" s="12">
        <f t="shared" si="339"/>
        <v>205926.65</v>
      </c>
      <c r="EI355" s="12">
        <f t="shared" si="339"/>
        <v>0</v>
      </c>
      <c r="EJ355" s="12">
        <f t="shared" si="339"/>
        <v>221795.75</v>
      </c>
      <c r="EK355" s="12">
        <f t="shared" si="339"/>
        <v>0</v>
      </c>
      <c r="EL355" s="12">
        <f t="shared" si="339"/>
        <v>15869.1</v>
      </c>
      <c r="EM355" s="12">
        <f t="shared" si="339"/>
        <v>0</v>
      </c>
      <c r="EN355" s="12">
        <f t="shared" si="339"/>
        <v>206285.11</v>
      </c>
      <c r="EO355" s="12">
        <f t="shared" si="339"/>
        <v>358.46</v>
      </c>
      <c r="EP355" s="12">
        <f t="shared" si="339"/>
        <v>0</v>
      </c>
      <c r="EQ355" s="12">
        <f t="shared" si="339"/>
        <v>358.46</v>
      </c>
      <c r="ER355" s="12">
        <f t="shared" si="339"/>
        <v>205926.65</v>
      </c>
      <c r="ES355" s="12">
        <f t="shared" si="339"/>
        <v>0</v>
      </c>
      <c r="ET355" s="12">
        <f t="shared" si="339"/>
        <v>0</v>
      </c>
      <c r="EU355" s="12">
        <f t="shared" si="339"/>
        <v>0</v>
      </c>
      <c r="EV355" s="12">
        <f t="shared" si="339"/>
        <v>0</v>
      </c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>
        <f>ROUND(SUMIF(AA342:AA353,"=55915258",FQ342:FQ353),2)</f>
        <v>0</v>
      </c>
      <c r="FQ355" s="12">
        <f>ROUND(SUMIF(AA342:AA353,"=55915258",FR342:FR353),2)</f>
        <v>205926.65</v>
      </c>
      <c r="FR355" s="12">
        <f>ROUND(SUMIF(AA342:AA353,"=55915258",GL342:GL353),2)</f>
        <v>0</v>
      </c>
      <c r="FS355" s="12">
        <f>ROUND(SUMIF(AA342:AA353,"=55915258",GM342:GM353),2)</f>
        <v>221795.75</v>
      </c>
      <c r="FT355" s="12">
        <f>ROUND(SUMIF(AA342:AA353,"=55915258",GN342:GN353),2)</f>
        <v>0</v>
      </c>
      <c r="FU355" s="12">
        <f>ROUND(SUMIF(AA342:AA353,"=55915258",GO342:GO353),2)</f>
        <v>15869.1</v>
      </c>
      <c r="FV355" s="12">
        <f>ROUND(SUMIF(AA342:AA353,"=55915258",GP342:GP353),2)</f>
        <v>0</v>
      </c>
      <c r="FW355" s="12">
        <f>DU355-FP355</f>
        <v>206285.11</v>
      </c>
      <c r="FX355" s="12">
        <f>DU355-FQ355</f>
        <v>358.45999999999185</v>
      </c>
      <c r="FY355" s="12">
        <f>FP355-FR355</f>
        <v>0</v>
      </c>
      <c r="FZ355" s="12">
        <f>DU355-FP355-FQ355+FR355</f>
        <v>358.45999999999185</v>
      </c>
      <c r="GA355" s="12">
        <f>FQ355-FR355</f>
        <v>205926.65</v>
      </c>
      <c r="GB355" s="12">
        <f>ROUND(SUMIF(AA342:AA353,"=55915258",GX342:GX353),2)</f>
        <v>0</v>
      </c>
      <c r="GC355" s="12">
        <f>ROUND(SUMIF(AA342:AA353,"=55915258",GY342:GY353),2)</f>
        <v>0</v>
      </c>
      <c r="GD355" s="12">
        <f>ROUND(SUMIF(AA342:AA353,"=55915258",GZ342:GZ353),2)</f>
        <v>0</v>
      </c>
      <c r="GE355" s="12">
        <f>ROUND(SUMIF(AA342:AA353,"=55915258",HD342:HD353),2)</f>
        <v>0</v>
      </c>
      <c r="GF355" s="12"/>
      <c r="GG355" s="12"/>
      <c r="GH355" s="12"/>
      <c r="GI355" s="12"/>
      <c r="GJ355" s="12"/>
      <c r="GK355" s="12"/>
      <c r="GL355" s="12"/>
      <c r="GM355" s="12"/>
      <c r="GN355" s="12"/>
      <c r="GO355" s="12"/>
      <c r="GP355" s="12"/>
      <c r="GQ355" s="12"/>
      <c r="GR355" s="12"/>
      <c r="GS355" s="12"/>
      <c r="GT355" s="12"/>
      <c r="GU355" s="12"/>
      <c r="GV355" s="12"/>
      <c r="GW355" s="12"/>
      <c r="GX355" s="12">
        <v>0</v>
      </c>
    </row>
    <row r="357" spans="1:245" x14ac:dyDescent="0.2">
      <c r="A357" s="13">
        <v>50</v>
      </c>
      <c r="B357" s="13">
        <v>0</v>
      </c>
      <c r="C357" s="13">
        <v>0</v>
      </c>
      <c r="D357" s="13">
        <v>1</v>
      </c>
      <c r="E357" s="13">
        <v>201</v>
      </c>
      <c r="F357" s="13">
        <f>ROUND(Source!O355,O357)</f>
        <v>21181.119999999999</v>
      </c>
      <c r="G357" s="13" t="s">
        <v>93</v>
      </c>
      <c r="H357" s="13" t="s">
        <v>94</v>
      </c>
      <c r="I357" s="13"/>
      <c r="J357" s="13"/>
      <c r="K357" s="13">
        <v>201</v>
      </c>
      <c r="L357" s="13">
        <v>1</v>
      </c>
      <c r="M357" s="13">
        <v>3</v>
      </c>
      <c r="N357" s="13" t="s">
        <v>3</v>
      </c>
      <c r="O357" s="13">
        <v>2</v>
      </c>
      <c r="P357" s="13">
        <f>ROUND(Source!DG355,O357)</f>
        <v>212539.4</v>
      </c>
      <c r="Q357" s="13"/>
      <c r="R357" s="13"/>
      <c r="S357" s="13"/>
      <c r="T357" s="13"/>
      <c r="U357" s="13"/>
      <c r="V357" s="13"/>
      <c r="W357" s="13">
        <v>21181.119999999999</v>
      </c>
      <c r="X357" s="13">
        <v>1</v>
      </c>
      <c r="Y357" s="13">
        <v>21181.119999999999</v>
      </c>
      <c r="Z357" s="13">
        <v>212539.4</v>
      </c>
      <c r="AA357" s="13">
        <v>1</v>
      </c>
      <c r="AB357" s="13">
        <v>212539.4</v>
      </c>
    </row>
    <row r="358" spans="1:245" x14ac:dyDescent="0.2">
      <c r="A358" s="13">
        <v>50</v>
      </c>
      <c r="B358" s="13">
        <v>0</v>
      </c>
      <c r="C358" s="13">
        <v>0</v>
      </c>
      <c r="D358" s="13">
        <v>1</v>
      </c>
      <c r="E358" s="13">
        <v>202</v>
      </c>
      <c r="F358" s="13">
        <f>ROUND(Source!P355,O358)</f>
        <v>21070.13</v>
      </c>
      <c r="G358" s="13" t="s">
        <v>95</v>
      </c>
      <c r="H358" s="13" t="s">
        <v>96</v>
      </c>
      <c r="I358" s="13"/>
      <c r="J358" s="13"/>
      <c r="K358" s="13">
        <v>202</v>
      </c>
      <c r="L358" s="13">
        <v>2</v>
      </c>
      <c r="M358" s="13">
        <v>3</v>
      </c>
      <c r="N358" s="13" t="s">
        <v>3</v>
      </c>
      <c r="O358" s="13">
        <v>2</v>
      </c>
      <c r="P358" s="13">
        <f>ROUND(Source!DH355,O358)</f>
        <v>206285.11</v>
      </c>
      <c r="Q358" s="13"/>
      <c r="R358" s="13"/>
      <c r="S358" s="13"/>
      <c r="T358" s="13"/>
      <c r="U358" s="13"/>
      <c r="V358" s="13"/>
      <c r="W358" s="13">
        <v>21070.13</v>
      </c>
      <c r="X358" s="13">
        <v>1</v>
      </c>
      <c r="Y358" s="13">
        <v>21070.13</v>
      </c>
      <c r="Z358" s="13">
        <v>206285.11</v>
      </c>
      <c r="AA358" s="13">
        <v>1</v>
      </c>
      <c r="AB358" s="13">
        <v>206285.11</v>
      </c>
    </row>
    <row r="359" spans="1:245" x14ac:dyDescent="0.2">
      <c r="A359" s="13">
        <v>50</v>
      </c>
      <c r="B359" s="13">
        <v>0</v>
      </c>
      <c r="C359" s="13">
        <v>0</v>
      </c>
      <c r="D359" s="13">
        <v>1</v>
      </c>
      <c r="E359" s="13">
        <v>222</v>
      </c>
      <c r="F359" s="13">
        <f>ROUND(Source!AO355,O359)</f>
        <v>0</v>
      </c>
      <c r="G359" s="13" t="s">
        <v>97</v>
      </c>
      <c r="H359" s="13" t="s">
        <v>98</v>
      </c>
      <c r="I359" s="13"/>
      <c r="J359" s="13"/>
      <c r="K359" s="13">
        <v>222</v>
      </c>
      <c r="L359" s="13">
        <v>3</v>
      </c>
      <c r="M359" s="13">
        <v>3</v>
      </c>
      <c r="N359" s="13" t="s">
        <v>3</v>
      </c>
      <c r="O359" s="13">
        <v>2</v>
      </c>
      <c r="P359" s="13">
        <f>ROUND(Source!EG355,O359)</f>
        <v>0</v>
      </c>
      <c r="Q359" s="13"/>
      <c r="R359" s="13"/>
      <c r="S359" s="13"/>
      <c r="T359" s="13"/>
      <c r="U359" s="13"/>
      <c r="V359" s="13"/>
      <c r="W359" s="13">
        <v>0</v>
      </c>
      <c r="X359" s="13">
        <v>1</v>
      </c>
      <c r="Y359" s="13">
        <v>0</v>
      </c>
      <c r="Z359" s="13">
        <v>0</v>
      </c>
      <c r="AA359" s="13">
        <v>1</v>
      </c>
      <c r="AB359" s="13">
        <v>0</v>
      </c>
    </row>
    <row r="360" spans="1:245" x14ac:dyDescent="0.2">
      <c r="A360" s="13">
        <v>50</v>
      </c>
      <c r="B360" s="13">
        <v>0</v>
      </c>
      <c r="C360" s="13">
        <v>0</v>
      </c>
      <c r="D360" s="13">
        <v>1</v>
      </c>
      <c r="E360" s="13">
        <v>225</v>
      </c>
      <c r="F360" s="13">
        <f>ROUND(Source!AV355,O360)</f>
        <v>21070.13</v>
      </c>
      <c r="G360" s="13" t="s">
        <v>99</v>
      </c>
      <c r="H360" s="13" t="s">
        <v>100</v>
      </c>
      <c r="I360" s="13"/>
      <c r="J360" s="13"/>
      <c r="K360" s="13">
        <v>225</v>
      </c>
      <c r="L360" s="13">
        <v>4</v>
      </c>
      <c r="M360" s="13">
        <v>3</v>
      </c>
      <c r="N360" s="13" t="s">
        <v>3</v>
      </c>
      <c r="O360" s="13">
        <v>2</v>
      </c>
      <c r="P360" s="13">
        <f>ROUND(Source!EN355,O360)</f>
        <v>206285.11</v>
      </c>
      <c r="Q360" s="13"/>
      <c r="R360" s="13"/>
      <c r="S360" s="13"/>
      <c r="T360" s="13"/>
      <c r="U360" s="13"/>
      <c r="V360" s="13"/>
      <c r="W360" s="13">
        <v>21070.13</v>
      </c>
      <c r="X360" s="13">
        <v>1</v>
      </c>
      <c r="Y360" s="13">
        <v>21070.13</v>
      </c>
      <c r="Z360" s="13">
        <v>206285.11</v>
      </c>
      <c r="AA360" s="13">
        <v>1</v>
      </c>
      <c r="AB360" s="13">
        <v>206285.11</v>
      </c>
    </row>
    <row r="361" spans="1:245" x14ac:dyDescent="0.2">
      <c r="A361" s="13">
        <v>50</v>
      </c>
      <c r="B361" s="13">
        <v>0</v>
      </c>
      <c r="C361" s="13">
        <v>0</v>
      </c>
      <c r="D361" s="13">
        <v>1</v>
      </c>
      <c r="E361" s="13">
        <v>226</v>
      </c>
      <c r="F361" s="13">
        <f>ROUND(Source!AW355,O361)</f>
        <v>34.869999999999997</v>
      </c>
      <c r="G361" s="13" t="s">
        <v>101</v>
      </c>
      <c r="H361" s="13" t="s">
        <v>102</v>
      </c>
      <c r="I361" s="13"/>
      <c r="J361" s="13"/>
      <c r="K361" s="13">
        <v>226</v>
      </c>
      <c r="L361" s="13">
        <v>5</v>
      </c>
      <c r="M361" s="13">
        <v>3</v>
      </c>
      <c r="N361" s="13" t="s">
        <v>3</v>
      </c>
      <c r="O361" s="13">
        <v>2</v>
      </c>
      <c r="P361" s="13">
        <f>ROUND(Source!EO355,O361)</f>
        <v>358.46</v>
      </c>
      <c r="Q361" s="13"/>
      <c r="R361" s="13"/>
      <c r="S361" s="13"/>
      <c r="T361" s="13"/>
      <c r="U361" s="13"/>
      <c r="V361" s="13"/>
      <c r="W361" s="13">
        <v>34.869999999999997</v>
      </c>
      <c r="X361" s="13">
        <v>1</v>
      </c>
      <c r="Y361" s="13">
        <v>34.869999999999997</v>
      </c>
      <c r="Z361" s="13">
        <v>358.46</v>
      </c>
      <c r="AA361" s="13">
        <v>1</v>
      </c>
      <c r="AB361" s="13">
        <v>358.46</v>
      </c>
    </row>
    <row r="362" spans="1:245" x14ac:dyDescent="0.2">
      <c r="A362" s="13">
        <v>50</v>
      </c>
      <c r="B362" s="13">
        <v>0</v>
      </c>
      <c r="C362" s="13">
        <v>0</v>
      </c>
      <c r="D362" s="13">
        <v>1</v>
      </c>
      <c r="E362" s="13">
        <v>227</v>
      </c>
      <c r="F362" s="13">
        <f>ROUND(Source!AX355,O362)</f>
        <v>0</v>
      </c>
      <c r="G362" s="13" t="s">
        <v>103</v>
      </c>
      <c r="H362" s="13" t="s">
        <v>104</v>
      </c>
      <c r="I362" s="13"/>
      <c r="J362" s="13"/>
      <c r="K362" s="13">
        <v>227</v>
      </c>
      <c r="L362" s="13">
        <v>6</v>
      </c>
      <c r="M362" s="13">
        <v>3</v>
      </c>
      <c r="N362" s="13" t="s">
        <v>3</v>
      </c>
      <c r="O362" s="13">
        <v>2</v>
      </c>
      <c r="P362" s="13">
        <f>ROUND(Source!EP355,O362)</f>
        <v>0</v>
      </c>
      <c r="Q362" s="13"/>
      <c r="R362" s="13"/>
      <c r="S362" s="13"/>
      <c r="T362" s="13"/>
      <c r="U362" s="13"/>
      <c r="V362" s="13"/>
      <c r="W362" s="13">
        <v>0</v>
      </c>
      <c r="X362" s="13">
        <v>1</v>
      </c>
      <c r="Y362" s="13">
        <v>0</v>
      </c>
      <c r="Z362" s="13">
        <v>0</v>
      </c>
      <c r="AA362" s="13">
        <v>1</v>
      </c>
      <c r="AB362" s="13">
        <v>0</v>
      </c>
    </row>
    <row r="363" spans="1:245" x14ac:dyDescent="0.2">
      <c r="A363" s="13">
        <v>50</v>
      </c>
      <c r="B363" s="13">
        <v>0</v>
      </c>
      <c r="C363" s="13">
        <v>0</v>
      </c>
      <c r="D363" s="13">
        <v>1</v>
      </c>
      <c r="E363" s="13">
        <v>228</v>
      </c>
      <c r="F363" s="13">
        <f>ROUND(Source!AY355,O363)</f>
        <v>34.869999999999997</v>
      </c>
      <c r="G363" s="13" t="s">
        <v>105</v>
      </c>
      <c r="H363" s="13" t="s">
        <v>106</v>
      </c>
      <c r="I363" s="13"/>
      <c r="J363" s="13"/>
      <c r="K363" s="13">
        <v>228</v>
      </c>
      <c r="L363" s="13">
        <v>7</v>
      </c>
      <c r="M363" s="13">
        <v>3</v>
      </c>
      <c r="N363" s="13" t="s">
        <v>3</v>
      </c>
      <c r="O363" s="13">
        <v>2</v>
      </c>
      <c r="P363" s="13">
        <f>ROUND(Source!EQ355,O363)</f>
        <v>358.46</v>
      </c>
      <c r="Q363" s="13"/>
      <c r="R363" s="13"/>
      <c r="S363" s="13"/>
      <c r="T363" s="13"/>
      <c r="U363" s="13"/>
      <c r="V363" s="13"/>
      <c r="W363" s="13">
        <v>34.869999999999997</v>
      </c>
      <c r="X363" s="13">
        <v>1</v>
      </c>
      <c r="Y363" s="13">
        <v>34.869999999999997</v>
      </c>
      <c r="Z363" s="13">
        <v>358.46</v>
      </c>
      <c r="AA363" s="13">
        <v>1</v>
      </c>
      <c r="AB363" s="13">
        <v>358.46</v>
      </c>
    </row>
    <row r="364" spans="1:245" x14ac:dyDescent="0.2">
      <c r="A364" s="13">
        <v>50</v>
      </c>
      <c r="B364" s="13">
        <v>0</v>
      </c>
      <c r="C364" s="13">
        <v>0</v>
      </c>
      <c r="D364" s="13">
        <v>1</v>
      </c>
      <c r="E364" s="13">
        <v>216</v>
      </c>
      <c r="F364" s="13">
        <f>ROUND(Source!AP355,O364)</f>
        <v>21035.26</v>
      </c>
      <c r="G364" s="13" t="s">
        <v>107</v>
      </c>
      <c r="H364" s="13" t="s">
        <v>108</v>
      </c>
      <c r="I364" s="13"/>
      <c r="J364" s="13"/>
      <c r="K364" s="13">
        <v>216</v>
      </c>
      <c r="L364" s="13">
        <v>8</v>
      </c>
      <c r="M364" s="13">
        <v>3</v>
      </c>
      <c r="N364" s="13" t="s">
        <v>3</v>
      </c>
      <c r="O364" s="13">
        <v>2</v>
      </c>
      <c r="P364" s="13">
        <f>ROUND(Source!EH355,O364)</f>
        <v>205926.65</v>
      </c>
      <c r="Q364" s="13"/>
      <c r="R364" s="13"/>
      <c r="S364" s="13"/>
      <c r="T364" s="13"/>
      <c r="U364" s="13"/>
      <c r="V364" s="13"/>
      <c r="W364" s="13">
        <v>21035.26</v>
      </c>
      <c r="X364" s="13">
        <v>1</v>
      </c>
      <c r="Y364" s="13">
        <v>21035.26</v>
      </c>
      <c r="Z364" s="13">
        <v>205926.65</v>
      </c>
      <c r="AA364" s="13">
        <v>1</v>
      </c>
      <c r="AB364" s="13">
        <v>205926.65</v>
      </c>
    </row>
    <row r="365" spans="1:245" x14ac:dyDescent="0.2">
      <c r="A365" s="13">
        <v>50</v>
      </c>
      <c r="B365" s="13">
        <v>0</v>
      </c>
      <c r="C365" s="13">
        <v>0</v>
      </c>
      <c r="D365" s="13">
        <v>1</v>
      </c>
      <c r="E365" s="13">
        <v>223</v>
      </c>
      <c r="F365" s="13">
        <f>ROUND(Source!AQ355,O365)</f>
        <v>0</v>
      </c>
      <c r="G365" s="13" t="s">
        <v>109</v>
      </c>
      <c r="H365" s="13" t="s">
        <v>110</v>
      </c>
      <c r="I365" s="13"/>
      <c r="J365" s="13"/>
      <c r="K365" s="13">
        <v>223</v>
      </c>
      <c r="L365" s="13">
        <v>9</v>
      </c>
      <c r="M365" s="13">
        <v>3</v>
      </c>
      <c r="N365" s="13" t="s">
        <v>3</v>
      </c>
      <c r="O365" s="13">
        <v>2</v>
      </c>
      <c r="P365" s="13">
        <f>ROUND(Source!EI355,O365)</f>
        <v>0</v>
      </c>
      <c r="Q365" s="13"/>
      <c r="R365" s="13"/>
      <c r="S365" s="13"/>
      <c r="T365" s="13"/>
      <c r="U365" s="13"/>
      <c r="V365" s="13"/>
      <c r="W365" s="13">
        <v>0</v>
      </c>
      <c r="X365" s="13">
        <v>1</v>
      </c>
      <c r="Y365" s="13">
        <v>0</v>
      </c>
      <c r="Z365" s="13">
        <v>0</v>
      </c>
      <c r="AA365" s="13">
        <v>1</v>
      </c>
      <c r="AB365" s="13">
        <v>0</v>
      </c>
    </row>
    <row r="366" spans="1:245" x14ac:dyDescent="0.2">
      <c r="A366" s="13">
        <v>50</v>
      </c>
      <c r="B366" s="13">
        <v>0</v>
      </c>
      <c r="C366" s="13">
        <v>0</v>
      </c>
      <c r="D366" s="13">
        <v>1</v>
      </c>
      <c r="E366" s="13">
        <v>229</v>
      </c>
      <c r="F366" s="13">
        <f>ROUND(Source!AZ355,O366)</f>
        <v>21035.26</v>
      </c>
      <c r="G366" s="13" t="s">
        <v>111</v>
      </c>
      <c r="H366" s="13" t="s">
        <v>112</v>
      </c>
      <c r="I366" s="13"/>
      <c r="J366" s="13"/>
      <c r="K366" s="13">
        <v>229</v>
      </c>
      <c r="L366" s="13">
        <v>10</v>
      </c>
      <c r="M366" s="13">
        <v>3</v>
      </c>
      <c r="N366" s="13" t="s">
        <v>3</v>
      </c>
      <c r="O366" s="13">
        <v>2</v>
      </c>
      <c r="P366" s="13">
        <f>ROUND(Source!ER355,O366)</f>
        <v>205926.65</v>
      </c>
      <c r="Q366" s="13"/>
      <c r="R366" s="13"/>
      <c r="S366" s="13"/>
      <c r="T366" s="13"/>
      <c r="U366" s="13"/>
      <c r="V366" s="13"/>
      <c r="W366" s="13">
        <v>21035.26</v>
      </c>
      <c r="X366" s="13">
        <v>1</v>
      </c>
      <c r="Y366" s="13">
        <v>21035.26</v>
      </c>
      <c r="Z366" s="13">
        <v>205926.65</v>
      </c>
      <c r="AA366" s="13">
        <v>1</v>
      </c>
      <c r="AB366" s="13">
        <v>205926.65</v>
      </c>
    </row>
    <row r="367" spans="1:245" x14ac:dyDescent="0.2">
      <c r="A367" s="13">
        <v>50</v>
      </c>
      <c r="B367" s="13">
        <v>0</v>
      </c>
      <c r="C367" s="13">
        <v>0</v>
      </c>
      <c r="D367" s="13">
        <v>1</v>
      </c>
      <c r="E367" s="13">
        <v>203</v>
      </c>
      <c r="F367" s="13">
        <f>ROUND(Source!Q355,O367)</f>
        <v>0</v>
      </c>
      <c r="G367" s="13" t="s">
        <v>113</v>
      </c>
      <c r="H367" s="13" t="s">
        <v>114</v>
      </c>
      <c r="I367" s="13"/>
      <c r="J367" s="13"/>
      <c r="K367" s="13">
        <v>203</v>
      </c>
      <c r="L367" s="13">
        <v>11</v>
      </c>
      <c r="M367" s="13">
        <v>3</v>
      </c>
      <c r="N367" s="13" t="s">
        <v>3</v>
      </c>
      <c r="O367" s="13">
        <v>2</v>
      </c>
      <c r="P367" s="13">
        <f>ROUND(Source!DI355,O367)</f>
        <v>0</v>
      </c>
      <c r="Q367" s="13"/>
      <c r="R367" s="13"/>
      <c r="S367" s="13"/>
      <c r="T367" s="13"/>
      <c r="U367" s="13"/>
      <c r="V367" s="13"/>
      <c r="W367" s="13">
        <v>0</v>
      </c>
      <c r="X367" s="13">
        <v>1</v>
      </c>
      <c r="Y367" s="13">
        <v>0</v>
      </c>
      <c r="Z367" s="13">
        <v>0</v>
      </c>
      <c r="AA367" s="13">
        <v>1</v>
      </c>
      <c r="AB367" s="13">
        <v>0</v>
      </c>
    </row>
    <row r="368" spans="1:245" x14ac:dyDescent="0.2">
      <c r="A368" s="13">
        <v>50</v>
      </c>
      <c r="B368" s="13">
        <v>0</v>
      </c>
      <c r="C368" s="13">
        <v>0</v>
      </c>
      <c r="D368" s="13">
        <v>1</v>
      </c>
      <c r="E368" s="13">
        <v>231</v>
      </c>
      <c r="F368" s="13">
        <f>ROUND(Source!BB355,O368)</f>
        <v>0</v>
      </c>
      <c r="G368" s="13" t="s">
        <v>115</v>
      </c>
      <c r="H368" s="13" t="s">
        <v>116</v>
      </c>
      <c r="I368" s="13"/>
      <c r="J368" s="13"/>
      <c r="K368" s="13">
        <v>231</v>
      </c>
      <c r="L368" s="13">
        <v>12</v>
      </c>
      <c r="M368" s="13">
        <v>3</v>
      </c>
      <c r="N368" s="13" t="s">
        <v>3</v>
      </c>
      <c r="O368" s="13">
        <v>2</v>
      </c>
      <c r="P368" s="13">
        <f>ROUND(Source!ET355,O368)</f>
        <v>0</v>
      </c>
      <c r="Q368" s="13"/>
      <c r="R368" s="13"/>
      <c r="S368" s="13"/>
      <c r="T368" s="13"/>
      <c r="U368" s="13"/>
      <c r="V368" s="13"/>
      <c r="W368" s="13">
        <v>0</v>
      </c>
      <c r="X368" s="13">
        <v>1</v>
      </c>
      <c r="Y368" s="13">
        <v>0</v>
      </c>
      <c r="Z368" s="13">
        <v>0</v>
      </c>
      <c r="AA368" s="13">
        <v>1</v>
      </c>
      <c r="AB368" s="13">
        <v>0</v>
      </c>
    </row>
    <row r="369" spans="1:28" x14ac:dyDescent="0.2">
      <c r="A369" s="13">
        <v>50</v>
      </c>
      <c r="B369" s="13">
        <v>0</v>
      </c>
      <c r="C369" s="13">
        <v>0</v>
      </c>
      <c r="D369" s="13">
        <v>1</v>
      </c>
      <c r="E369" s="13">
        <v>204</v>
      </c>
      <c r="F369" s="13">
        <f>ROUND(Source!R355,O369)</f>
        <v>0</v>
      </c>
      <c r="G369" s="13" t="s">
        <v>117</v>
      </c>
      <c r="H369" s="13" t="s">
        <v>118</v>
      </c>
      <c r="I369" s="13"/>
      <c r="J369" s="13"/>
      <c r="K369" s="13">
        <v>204</v>
      </c>
      <c r="L369" s="13">
        <v>13</v>
      </c>
      <c r="M369" s="13">
        <v>3</v>
      </c>
      <c r="N369" s="13" t="s">
        <v>3</v>
      </c>
      <c r="O369" s="13">
        <v>2</v>
      </c>
      <c r="P369" s="13">
        <f>ROUND(Source!DJ355,O369)</f>
        <v>0</v>
      </c>
      <c r="Q369" s="13"/>
      <c r="R369" s="13"/>
      <c r="S369" s="13"/>
      <c r="T369" s="13"/>
      <c r="U369" s="13"/>
      <c r="V369" s="13"/>
      <c r="W369" s="13">
        <v>0</v>
      </c>
      <c r="X369" s="13">
        <v>1</v>
      </c>
      <c r="Y369" s="13">
        <v>0</v>
      </c>
      <c r="Z369" s="13">
        <v>0</v>
      </c>
      <c r="AA369" s="13">
        <v>1</v>
      </c>
      <c r="AB369" s="13">
        <v>0</v>
      </c>
    </row>
    <row r="370" spans="1:28" x14ac:dyDescent="0.2">
      <c r="A370" s="13">
        <v>50</v>
      </c>
      <c r="B370" s="13">
        <v>0</v>
      </c>
      <c r="C370" s="13">
        <v>0</v>
      </c>
      <c r="D370" s="13">
        <v>1</v>
      </c>
      <c r="E370" s="13">
        <v>205</v>
      </c>
      <c r="F370" s="13">
        <f>ROUND(Source!S355,O370)</f>
        <v>110.99</v>
      </c>
      <c r="G370" s="13" t="s">
        <v>119</v>
      </c>
      <c r="H370" s="13" t="s">
        <v>120</v>
      </c>
      <c r="I370" s="13"/>
      <c r="J370" s="13"/>
      <c r="K370" s="13">
        <v>205</v>
      </c>
      <c r="L370" s="13">
        <v>14</v>
      </c>
      <c r="M370" s="13">
        <v>3</v>
      </c>
      <c r="N370" s="13" t="s">
        <v>3</v>
      </c>
      <c r="O370" s="13">
        <v>2</v>
      </c>
      <c r="P370" s="13">
        <f>ROUND(Source!DK355,O370)</f>
        <v>6254.29</v>
      </c>
      <c r="Q370" s="13"/>
      <c r="R370" s="13"/>
      <c r="S370" s="13"/>
      <c r="T370" s="13"/>
      <c r="U370" s="13"/>
      <c r="V370" s="13"/>
      <c r="W370" s="13">
        <v>110.99</v>
      </c>
      <c r="X370" s="13">
        <v>1</v>
      </c>
      <c r="Y370" s="13">
        <v>110.99</v>
      </c>
      <c r="Z370" s="13">
        <v>6254.29</v>
      </c>
      <c r="AA370" s="13">
        <v>1</v>
      </c>
      <c r="AB370" s="13">
        <v>6254.29</v>
      </c>
    </row>
    <row r="371" spans="1:28" x14ac:dyDescent="0.2">
      <c r="A371" s="13">
        <v>50</v>
      </c>
      <c r="B371" s="13">
        <v>0</v>
      </c>
      <c r="C371" s="13">
        <v>0</v>
      </c>
      <c r="D371" s="13">
        <v>1</v>
      </c>
      <c r="E371" s="13">
        <v>232</v>
      </c>
      <c r="F371" s="13">
        <f>ROUND(Source!BC355,O371)</f>
        <v>0</v>
      </c>
      <c r="G371" s="13" t="s">
        <v>121</v>
      </c>
      <c r="H371" s="13" t="s">
        <v>122</v>
      </c>
      <c r="I371" s="13"/>
      <c r="J371" s="13"/>
      <c r="K371" s="13">
        <v>232</v>
      </c>
      <c r="L371" s="13">
        <v>15</v>
      </c>
      <c r="M371" s="13">
        <v>3</v>
      </c>
      <c r="N371" s="13" t="s">
        <v>3</v>
      </c>
      <c r="O371" s="13">
        <v>2</v>
      </c>
      <c r="P371" s="13">
        <f>ROUND(Source!EU355,O371)</f>
        <v>0</v>
      </c>
      <c r="Q371" s="13"/>
      <c r="R371" s="13"/>
      <c r="S371" s="13"/>
      <c r="T371" s="13"/>
      <c r="U371" s="13"/>
      <c r="V371" s="13"/>
      <c r="W371" s="13">
        <v>0</v>
      </c>
      <c r="X371" s="13">
        <v>1</v>
      </c>
      <c r="Y371" s="13">
        <v>0</v>
      </c>
      <c r="Z371" s="13">
        <v>0</v>
      </c>
      <c r="AA371" s="13">
        <v>1</v>
      </c>
      <c r="AB371" s="13">
        <v>0</v>
      </c>
    </row>
    <row r="372" spans="1:28" x14ac:dyDescent="0.2">
      <c r="A372" s="13">
        <v>50</v>
      </c>
      <c r="B372" s="13">
        <v>0</v>
      </c>
      <c r="C372" s="13">
        <v>0</v>
      </c>
      <c r="D372" s="13">
        <v>1</v>
      </c>
      <c r="E372" s="13">
        <v>214</v>
      </c>
      <c r="F372" s="13">
        <f>ROUND(Source!AS355,O372)</f>
        <v>0</v>
      </c>
      <c r="G372" s="13" t="s">
        <v>123</v>
      </c>
      <c r="H372" s="13" t="s">
        <v>124</v>
      </c>
      <c r="I372" s="13"/>
      <c r="J372" s="13"/>
      <c r="K372" s="13">
        <v>214</v>
      </c>
      <c r="L372" s="13">
        <v>16</v>
      </c>
      <c r="M372" s="13">
        <v>3</v>
      </c>
      <c r="N372" s="13" t="s">
        <v>3</v>
      </c>
      <c r="O372" s="13">
        <v>2</v>
      </c>
      <c r="P372" s="13">
        <f>ROUND(Source!EK355,O372)</f>
        <v>0</v>
      </c>
      <c r="Q372" s="13"/>
      <c r="R372" s="13"/>
      <c r="S372" s="13"/>
      <c r="T372" s="13"/>
      <c r="U372" s="13"/>
      <c r="V372" s="13"/>
      <c r="W372" s="13">
        <v>0</v>
      </c>
      <c r="X372" s="13">
        <v>1</v>
      </c>
      <c r="Y372" s="13">
        <v>0</v>
      </c>
      <c r="Z372" s="13">
        <v>0</v>
      </c>
      <c r="AA372" s="13">
        <v>1</v>
      </c>
      <c r="AB372" s="13">
        <v>0</v>
      </c>
    </row>
    <row r="373" spans="1:28" x14ac:dyDescent="0.2">
      <c r="A373" s="13">
        <v>50</v>
      </c>
      <c r="B373" s="13">
        <v>0</v>
      </c>
      <c r="C373" s="13">
        <v>0</v>
      </c>
      <c r="D373" s="13">
        <v>1</v>
      </c>
      <c r="E373" s="13">
        <v>215</v>
      </c>
      <c r="F373" s="13">
        <f>ROUND(Source!AT355,O373)</f>
        <v>310.12</v>
      </c>
      <c r="G373" s="13" t="s">
        <v>125</v>
      </c>
      <c r="H373" s="13" t="s">
        <v>126</v>
      </c>
      <c r="I373" s="13"/>
      <c r="J373" s="13"/>
      <c r="K373" s="13">
        <v>215</v>
      </c>
      <c r="L373" s="13">
        <v>17</v>
      </c>
      <c r="M373" s="13">
        <v>3</v>
      </c>
      <c r="N373" s="13" t="s">
        <v>3</v>
      </c>
      <c r="O373" s="13">
        <v>2</v>
      </c>
      <c r="P373" s="13">
        <f>ROUND(Source!EL355,O373)</f>
        <v>15869.1</v>
      </c>
      <c r="Q373" s="13"/>
      <c r="R373" s="13"/>
      <c r="S373" s="13"/>
      <c r="T373" s="13"/>
      <c r="U373" s="13"/>
      <c r="V373" s="13"/>
      <c r="W373" s="13">
        <v>310.12</v>
      </c>
      <c r="X373" s="13">
        <v>1</v>
      </c>
      <c r="Y373" s="13">
        <v>310.12</v>
      </c>
      <c r="Z373" s="13">
        <v>15869.1</v>
      </c>
      <c r="AA373" s="13">
        <v>1</v>
      </c>
      <c r="AB373" s="13">
        <v>15869.1</v>
      </c>
    </row>
    <row r="374" spans="1:28" x14ac:dyDescent="0.2">
      <c r="A374" s="13">
        <v>50</v>
      </c>
      <c r="B374" s="13">
        <v>0</v>
      </c>
      <c r="C374" s="13">
        <v>0</v>
      </c>
      <c r="D374" s="13">
        <v>1</v>
      </c>
      <c r="E374" s="13">
        <v>217</v>
      </c>
      <c r="F374" s="13">
        <f>ROUND(Source!AU355,O374)</f>
        <v>0</v>
      </c>
      <c r="G374" s="13" t="s">
        <v>127</v>
      </c>
      <c r="H374" s="13" t="s">
        <v>128</v>
      </c>
      <c r="I374" s="13"/>
      <c r="J374" s="13"/>
      <c r="K374" s="13">
        <v>217</v>
      </c>
      <c r="L374" s="13">
        <v>18</v>
      </c>
      <c r="M374" s="13">
        <v>3</v>
      </c>
      <c r="N374" s="13" t="s">
        <v>3</v>
      </c>
      <c r="O374" s="13">
        <v>2</v>
      </c>
      <c r="P374" s="13">
        <f>ROUND(Source!EM355,O374)</f>
        <v>0</v>
      </c>
      <c r="Q374" s="13"/>
      <c r="R374" s="13"/>
      <c r="S374" s="13"/>
      <c r="T374" s="13"/>
      <c r="U374" s="13"/>
      <c r="V374" s="13"/>
      <c r="W374" s="13">
        <v>0</v>
      </c>
      <c r="X374" s="13">
        <v>1</v>
      </c>
      <c r="Y374" s="13">
        <v>0</v>
      </c>
      <c r="Z374" s="13">
        <v>0</v>
      </c>
      <c r="AA374" s="13">
        <v>1</v>
      </c>
      <c r="AB374" s="13">
        <v>0</v>
      </c>
    </row>
    <row r="375" spans="1:28" x14ac:dyDescent="0.2">
      <c r="A375" s="13">
        <v>50</v>
      </c>
      <c r="B375" s="13">
        <v>0</v>
      </c>
      <c r="C375" s="13">
        <v>0</v>
      </c>
      <c r="D375" s="13">
        <v>1</v>
      </c>
      <c r="E375" s="13">
        <v>230</v>
      </c>
      <c r="F375" s="13">
        <f>ROUND(Source!BA355,O375)</f>
        <v>0</v>
      </c>
      <c r="G375" s="13" t="s">
        <v>129</v>
      </c>
      <c r="H375" s="13" t="s">
        <v>130</v>
      </c>
      <c r="I375" s="13"/>
      <c r="J375" s="13"/>
      <c r="K375" s="13">
        <v>230</v>
      </c>
      <c r="L375" s="13">
        <v>19</v>
      </c>
      <c r="M375" s="13">
        <v>3</v>
      </c>
      <c r="N375" s="13" t="s">
        <v>3</v>
      </c>
      <c r="O375" s="13">
        <v>2</v>
      </c>
      <c r="P375" s="13">
        <f>ROUND(Source!ES355,O375)</f>
        <v>0</v>
      </c>
      <c r="Q375" s="13"/>
      <c r="R375" s="13"/>
      <c r="S375" s="13"/>
      <c r="T375" s="13"/>
      <c r="U375" s="13"/>
      <c r="V375" s="13"/>
      <c r="W375" s="13">
        <v>0</v>
      </c>
      <c r="X375" s="13">
        <v>1</v>
      </c>
      <c r="Y375" s="13">
        <v>0</v>
      </c>
      <c r="Z375" s="13">
        <v>0</v>
      </c>
      <c r="AA375" s="13">
        <v>1</v>
      </c>
      <c r="AB375" s="13">
        <v>0</v>
      </c>
    </row>
    <row r="376" spans="1:28" x14ac:dyDescent="0.2">
      <c r="A376" s="13">
        <v>50</v>
      </c>
      <c r="B376" s="13">
        <v>0</v>
      </c>
      <c r="C376" s="13">
        <v>0</v>
      </c>
      <c r="D376" s="13">
        <v>1</v>
      </c>
      <c r="E376" s="13">
        <v>206</v>
      </c>
      <c r="F376" s="13">
        <f>ROUND(Source!T355,O376)</f>
        <v>0</v>
      </c>
      <c r="G376" s="13" t="s">
        <v>131</v>
      </c>
      <c r="H376" s="13" t="s">
        <v>132</v>
      </c>
      <c r="I376" s="13"/>
      <c r="J376" s="13"/>
      <c r="K376" s="13">
        <v>206</v>
      </c>
      <c r="L376" s="13">
        <v>20</v>
      </c>
      <c r="M376" s="13">
        <v>3</v>
      </c>
      <c r="N376" s="13" t="s">
        <v>3</v>
      </c>
      <c r="O376" s="13">
        <v>2</v>
      </c>
      <c r="P376" s="13">
        <f>ROUND(Source!DL355,O376)</f>
        <v>0</v>
      </c>
      <c r="Q376" s="13"/>
      <c r="R376" s="13"/>
      <c r="S376" s="13"/>
      <c r="T376" s="13"/>
      <c r="U376" s="13"/>
      <c r="V376" s="13"/>
      <c r="W376" s="13">
        <v>0</v>
      </c>
      <c r="X376" s="13">
        <v>1</v>
      </c>
      <c r="Y376" s="13">
        <v>0</v>
      </c>
      <c r="Z376" s="13">
        <v>0</v>
      </c>
      <c r="AA376" s="13">
        <v>1</v>
      </c>
      <c r="AB376" s="13">
        <v>0</v>
      </c>
    </row>
    <row r="377" spans="1:28" x14ac:dyDescent="0.2">
      <c r="A377" s="13">
        <v>50</v>
      </c>
      <c r="B377" s="13">
        <v>0</v>
      </c>
      <c r="C377" s="13">
        <v>0</v>
      </c>
      <c r="D377" s="13">
        <v>1</v>
      </c>
      <c r="E377" s="13">
        <v>207</v>
      </c>
      <c r="F377" s="13">
        <f>Source!U355</f>
        <v>8.7948000000000004</v>
      </c>
      <c r="G377" s="13" t="s">
        <v>133</v>
      </c>
      <c r="H377" s="13" t="s">
        <v>134</v>
      </c>
      <c r="I377" s="13"/>
      <c r="J377" s="13"/>
      <c r="K377" s="13">
        <v>207</v>
      </c>
      <c r="L377" s="13">
        <v>21</v>
      </c>
      <c r="M377" s="13">
        <v>3</v>
      </c>
      <c r="N377" s="13" t="s">
        <v>3</v>
      </c>
      <c r="O377" s="13">
        <v>-1</v>
      </c>
      <c r="P377" s="13">
        <f>Source!DM355</f>
        <v>8.7948000000000004</v>
      </c>
      <c r="Q377" s="13"/>
      <c r="R377" s="13"/>
      <c r="S377" s="13"/>
      <c r="T377" s="13"/>
      <c r="U377" s="13"/>
      <c r="V377" s="13"/>
      <c r="W377" s="13">
        <v>8.7948000000000004</v>
      </c>
      <c r="X377" s="13">
        <v>1</v>
      </c>
      <c r="Y377" s="13">
        <v>8.7948000000000004</v>
      </c>
      <c r="Z377" s="13">
        <v>8.7948000000000004</v>
      </c>
      <c r="AA377" s="13">
        <v>1</v>
      </c>
      <c r="AB377" s="13">
        <v>8.7948000000000004</v>
      </c>
    </row>
    <row r="378" spans="1:28" x14ac:dyDescent="0.2">
      <c r="A378" s="13">
        <v>50</v>
      </c>
      <c r="B378" s="13">
        <v>0</v>
      </c>
      <c r="C378" s="13">
        <v>0</v>
      </c>
      <c r="D378" s="13">
        <v>1</v>
      </c>
      <c r="E378" s="13">
        <v>208</v>
      </c>
      <c r="F378" s="13">
        <f>Source!V355</f>
        <v>0</v>
      </c>
      <c r="G378" s="13" t="s">
        <v>135</v>
      </c>
      <c r="H378" s="13" t="s">
        <v>136</v>
      </c>
      <c r="I378" s="13"/>
      <c r="J378" s="13"/>
      <c r="K378" s="13">
        <v>208</v>
      </c>
      <c r="L378" s="13">
        <v>22</v>
      </c>
      <c r="M378" s="13">
        <v>3</v>
      </c>
      <c r="N378" s="13" t="s">
        <v>3</v>
      </c>
      <c r="O378" s="13">
        <v>-1</v>
      </c>
      <c r="P378" s="13">
        <f>Source!DN355</f>
        <v>0</v>
      </c>
      <c r="Q378" s="13"/>
      <c r="R378" s="13"/>
      <c r="S378" s="13"/>
      <c r="T378" s="13"/>
      <c r="U378" s="13"/>
      <c r="V378" s="13"/>
      <c r="W378" s="13">
        <v>0</v>
      </c>
      <c r="X378" s="13">
        <v>1</v>
      </c>
      <c r="Y378" s="13">
        <v>0</v>
      </c>
      <c r="Z378" s="13">
        <v>0</v>
      </c>
      <c r="AA378" s="13">
        <v>1</v>
      </c>
      <c r="AB378" s="13">
        <v>0</v>
      </c>
    </row>
    <row r="379" spans="1:28" x14ac:dyDescent="0.2">
      <c r="A379" s="13">
        <v>50</v>
      </c>
      <c r="B379" s="13">
        <v>0</v>
      </c>
      <c r="C379" s="13">
        <v>0</v>
      </c>
      <c r="D379" s="13">
        <v>1</v>
      </c>
      <c r="E379" s="13">
        <v>209</v>
      </c>
      <c r="F379" s="13">
        <f>ROUND(Source!W355,O379)</f>
        <v>0</v>
      </c>
      <c r="G379" s="13" t="s">
        <v>137</v>
      </c>
      <c r="H379" s="13" t="s">
        <v>138</v>
      </c>
      <c r="I379" s="13"/>
      <c r="J379" s="13"/>
      <c r="K379" s="13">
        <v>209</v>
      </c>
      <c r="L379" s="13">
        <v>23</v>
      </c>
      <c r="M379" s="13">
        <v>3</v>
      </c>
      <c r="N379" s="13" t="s">
        <v>3</v>
      </c>
      <c r="O379" s="13">
        <v>2</v>
      </c>
      <c r="P379" s="13">
        <f>ROUND(Source!DO355,O379)</f>
        <v>0</v>
      </c>
      <c r="Q379" s="13"/>
      <c r="R379" s="13"/>
      <c r="S379" s="13"/>
      <c r="T379" s="13"/>
      <c r="U379" s="13"/>
      <c r="V379" s="13"/>
      <c r="W379" s="13">
        <v>0</v>
      </c>
      <c r="X379" s="13">
        <v>1</v>
      </c>
      <c r="Y379" s="13">
        <v>0</v>
      </c>
      <c r="Z379" s="13">
        <v>0</v>
      </c>
      <c r="AA379" s="13">
        <v>1</v>
      </c>
      <c r="AB379" s="13">
        <v>0</v>
      </c>
    </row>
    <row r="380" spans="1:28" x14ac:dyDescent="0.2">
      <c r="A380" s="13">
        <v>50</v>
      </c>
      <c r="B380" s="13">
        <v>0</v>
      </c>
      <c r="C380" s="13">
        <v>0</v>
      </c>
      <c r="D380" s="13">
        <v>1</v>
      </c>
      <c r="E380" s="13">
        <v>233</v>
      </c>
      <c r="F380" s="13">
        <f>ROUND(Source!BD355,O380)</f>
        <v>0</v>
      </c>
      <c r="G380" s="13" t="s">
        <v>139</v>
      </c>
      <c r="H380" s="13" t="s">
        <v>140</v>
      </c>
      <c r="I380" s="13"/>
      <c r="J380" s="13"/>
      <c r="K380" s="13">
        <v>233</v>
      </c>
      <c r="L380" s="13">
        <v>24</v>
      </c>
      <c r="M380" s="13">
        <v>3</v>
      </c>
      <c r="N380" s="13" t="s">
        <v>3</v>
      </c>
      <c r="O380" s="13">
        <v>2</v>
      </c>
      <c r="P380" s="13">
        <f>ROUND(Source!EV355,O380)</f>
        <v>0</v>
      </c>
      <c r="Q380" s="13"/>
      <c r="R380" s="13"/>
      <c r="S380" s="13"/>
      <c r="T380" s="13"/>
      <c r="U380" s="13"/>
      <c r="V380" s="13"/>
      <c r="W380" s="13">
        <v>0</v>
      </c>
      <c r="X380" s="13">
        <v>1</v>
      </c>
      <c r="Y380" s="13">
        <v>0</v>
      </c>
      <c r="Z380" s="13">
        <v>0</v>
      </c>
      <c r="AA380" s="13">
        <v>1</v>
      </c>
      <c r="AB380" s="13">
        <v>0</v>
      </c>
    </row>
    <row r="381" spans="1:28" x14ac:dyDescent="0.2">
      <c r="A381" s="13">
        <v>50</v>
      </c>
      <c r="B381" s="13">
        <v>0</v>
      </c>
      <c r="C381" s="13">
        <v>0</v>
      </c>
      <c r="D381" s="13">
        <v>1</v>
      </c>
      <c r="E381" s="13">
        <v>210</v>
      </c>
      <c r="F381" s="13">
        <f>ROUND(Source!X355,O381)</f>
        <v>105.44</v>
      </c>
      <c r="G381" s="13" t="s">
        <v>141</v>
      </c>
      <c r="H381" s="13" t="s">
        <v>142</v>
      </c>
      <c r="I381" s="13"/>
      <c r="J381" s="13"/>
      <c r="K381" s="13">
        <v>210</v>
      </c>
      <c r="L381" s="13">
        <v>25</v>
      </c>
      <c r="M381" s="13">
        <v>3</v>
      </c>
      <c r="N381" s="13" t="s">
        <v>3</v>
      </c>
      <c r="O381" s="13">
        <v>2</v>
      </c>
      <c r="P381" s="13">
        <f>ROUND(Source!DP355,O381)</f>
        <v>5941.58</v>
      </c>
      <c r="Q381" s="13"/>
      <c r="R381" s="13"/>
      <c r="S381" s="13"/>
      <c r="T381" s="13"/>
      <c r="U381" s="13"/>
      <c r="V381" s="13"/>
      <c r="W381" s="13">
        <v>105.44</v>
      </c>
      <c r="X381" s="13">
        <v>1</v>
      </c>
      <c r="Y381" s="13">
        <v>105.44</v>
      </c>
      <c r="Z381" s="13">
        <v>5941.58</v>
      </c>
      <c r="AA381" s="13">
        <v>1</v>
      </c>
      <c r="AB381" s="13">
        <v>5941.58</v>
      </c>
    </row>
    <row r="382" spans="1:28" x14ac:dyDescent="0.2">
      <c r="A382" s="13">
        <v>50</v>
      </c>
      <c r="B382" s="13">
        <v>0</v>
      </c>
      <c r="C382" s="13">
        <v>0</v>
      </c>
      <c r="D382" s="13">
        <v>1</v>
      </c>
      <c r="E382" s="13">
        <v>211</v>
      </c>
      <c r="F382" s="13">
        <f>ROUND(Source!Y355,O382)</f>
        <v>58.82</v>
      </c>
      <c r="G382" s="13" t="s">
        <v>143</v>
      </c>
      <c r="H382" s="13" t="s">
        <v>144</v>
      </c>
      <c r="I382" s="13"/>
      <c r="J382" s="13"/>
      <c r="K382" s="13">
        <v>211</v>
      </c>
      <c r="L382" s="13">
        <v>26</v>
      </c>
      <c r="M382" s="13">
        <v>3</v>
      </c>
      <c r="N382" s="13" t="s">
        <v>3</v>
      </c>
      <c r="O382" s="13">
        <v>2</v>
      </c>
      <c r="P382" s="13">
        <f>ROUND(Source!DQ355,O382)</f>
        <v>3314.77</v>
      </c>
      <c r="Q382" s="13"/>
      <c r="R382" s="13"/>
      <c r="S382" s="13"/>
      <c r="T382" s="13"/>
      <c r="U382" s="13"/>
      <c r="V382" s="13"/>
      <c r="W382" s="13">
        <v>58.82</v>
      </c>
      <c r="X382" s="13">
        <v>1</v>
      </c>
      <c r="Y382" s="13">
        <v>58.82</v>
      </c>
      <c r="Z382" s="13">
        <v>3314.77</v>
      </c>
      <c r="AA382" s="13">
        <v>1</v>
      </c>
      <c r="AB382" s="13">
        <v>3314.77</v>
      </c>
    </row>
    <row r="383" spans="1:28" x14ac:dyDescent="0.2">
      <c r="A383" s="13">
        <v>50</v>
      </c>
      <c r="B383" s="13">
        <v>0</v>
      </c>
      <c r="C383" s="13">
        <v>0</v>
      </c>
      <c r="D383" s="13">
        <v>1</v>
      </c>
      <c r="E383" s="13">
        <v>224</v>
      </c>
      <c r="F383" s="13">
        <f>ROUND(Source!AR355,O383)</f>
        <v>21345.38</v>
      </c>
      <c r="G383" s="13" t="s">
        <v>145</v>
      </c>
      <c r="H383" s="13" t="s">
        <v>146</v>
      </c>
      <c r="I383" s="13"/>
      <c r="J383" s="13"/>
      <c r="K383" s="13">
        <v>224</v>
      </c>
      <c r="L383" s="13">
        <v>27</v>
      </c>
      <c r="M383" s="13">
        <v>3</v>
      </c>
      <c r="N383" s="13" t="s">
        <v>3</v>
      </c>
      <c r="O383" s="13">
        <v>2</v>
      </c>
      <c r="P383" s="13">
        <f>ROUND(Source!EJ355,O383)</f>
        <v>221795.75</v>
      </c>
      <c r="Q383" s="13"/>
      <c r="R383" s="13"/>
      <c r="S383" s="13"/>
      <c r="T383" s="13"/>
      <c r="U383" s="13"/>
      <c r="V383" s="13"/>
      <c r="W383" s="13">
        <v>21345.38</v>
      </c>
      <c r="X383" s="13">
        <v>1</v>
      </c>
      <c r="Y383" s="13">
        <v>21345.38</v>
      </c>
      <c r="Z383" s="13">
        <v>221795.75</v>
      </c>
      <c r="AA383" s="13">
        <v>1</v>
      </c>
      <c r="AB383" s="13">
        <v>221795.75</v>
      </c>
    </row>
    <row r="385" spans="1:255" x14ac:dyDescent="0.2">
      <c r="A385" s="10">
        <v>4</v>
      </c>
      <c r="B385" s="10">
        <v>1</v>
      </c>
      <c r="C385" s="10"/>
      <c r="D385" s="10">
        <f>ROW(A400)</f>
        <v>400</v>
      </c>
      <c r="E385" s="10"/>
      <c r="F385" s="10" t="s">
        <v>48</v>
      </c>
      <c r="G385" s="10" t="s">
        <v>310</v>
      </c>
      <c r="H385" s="10" t="s">
        <v>3</v>
      </c>
      <c r="I385" s="10">
        <v>0</v>
      </c>
      <c r="J385" s="10"/>
      <c r="K385" s="10">
        <v>-1</v>
      </c>
      <c r="L385" s="10"/>
      <c r="M385" s="10" t="s">
        <v>3</v>
      </c>
      <c r="N385" s="10"/>
      <c r="O385" s="10"/>
      <c r="P385" s="10"/>
      <c r="Q385" s="10"/>
      <c r="R385" s="10"/>
      <c r="S385" s="10">
        <v>0</v>
      </c>
      <c r="T385" s="10">
        <v>0</v>
      </c>
      <c r="U385" s="10" t="s">
        <v>3</v>
      </c>
      <c r="V385" s="10">
        <v>0</v>
      </c>
      <c r="W385" s="10"/>
      <c r="X385" s="10"/>
      <c r="Y385" s="10"/>
      <c r="Z385" s="10"/>
      <c r="AA385" s="10"/>
      <c r="AB385" s="10" t="s">
        <v>3</v>
      </c>
      <c r="AC385" s="10" t="s">
        <v>3</v>
      </c>
      <c r="AD385" s="10" t="s">
        <v>3</v>
      </c>
      <c r="AE385" s="10" t="s">
        <v>3</v>
      </c>
      <c r="AF385" s="10" t="s">
        <v>3</v>
      </c>
      <c r="AG385" s="10" t="s">
        <v>3</v>
      </c>
      <c r="AH385" s="10"/>
      <c r="AI385" s="10"/>
      <c r="AJ385" s="10"/>
      <c r="AK385" s="10"/>
      <c r="AL385" s="10"/>
      <c r="AM385" s="10"/>
      <c r="AN385" s="10"/>
      <c r="AO385" s="10"/>
      <c r="AP385" s="10" t="s">
        <v>3</v>
      </c>
      <c r="AQ385" s="10" t="s">
        <v>3</v>
      </c>
      <c r="AR385" s="10" t="s">
        <v>3</v>
      </c>
      <c r="AS385" s="10"/>
      <c r="AT385" s="10"/>
      <c r="AU385" s="10"/>
      <c r="AV385" s="10"/>
      <c r="AW385" s="10"/>
      <c r="AX385" s="10"/>
      <c r="AY385" s="10"/>
      <c r="AZ385" s="10" t="s">
        <v>3</v>
      </c>
      <c r="BA385" s="10"/>
      <c r="BB385" s="10" t="s">
        <v>3</v>
      </c>
      <c r="BC385" s="10" t="s">
        <v>3</v>
      </c>
      <c r="BD385" s="10" t="s">
        <v>3</v>
      </c>
      <c r="BE385" s="10" t="s">
        <v>3</v>
      </c>
      <c r="BF385" s="10" t="s">
        <v>3</v>
      </c>
      <c r="BG385" s="10" t="s">
        <v>3</v>
      </c>
      <c r="BH385" s="10" t="s">
        <v>3</v>
      </c>
      <c r="BI385" s="10" t="s">
        <v>3</v>
      </c>
      <c r="BJ385" s="10" t="s">
        <v>3</v>
      </c>
      <c r="BK385" s="10" t="s">
        <v>3</v>
      </c>
      <c r="BL385" s="10" t="s">
        <v>3</v>
      </c>
      <c r="BM385" s="10" t="s">
        <v>3</v>
      </c>
      <c r="BN385" s="10" t="s">
        <v>3</v>
      </c>
      <c r="BO385" s="10" t="s">
        <v>3</v>
      </c>
      <c r="BP385" s="10" t="s">
        <v>3</v>
      </c>
      <c r="BQ385" s="10"/>
      <c r="BR385" s="10"/>
      <c r="BS385" s="10"/>
      <c r="BT385" s="10"/>
      <c r="BU385" s="10"/>
      <c r="BV385" s="10"/>
      <c r="BW385" s="10"/>
      <c r="BX385" s="10">
        <v>0</v>
      </c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>
        <v>0</v>
      </c>
    </row>
    <row r="387" spans="1:255" x14ac:dyDescent="0.2">
      <c r="A387" s="11">
        <v>52</v>
      </c>
      <c r="B387" s="11">
        <f t="shared" ref="B387:G387" si="340">B400</f>
        <v>1</v>
      </c>
      <c r="C387" s="11">
        <f t="shared" si="340"/>
        <v>4</v>
      </c>
      <c r="D387" s="11">
        <f t="shared" si="340"/>
        <v>385</v>
      </c>
      <c r="E387" s="11">
        <f t="shared" si="340"/>
        <v>0</v>
      </c>
      <c r="F387" s="11" t="str">
        <f t="shared" si="340"/>
        <v>7</v>
      </c>
      <c r="G387" s="11" t="str">
        <f t="shared" si="340"/>
        <v>Материалы</v>
      </c>
      <c r="H387" s="11"/>
      <c r="I387" s="11"/>
      <c r="J387" s="11"/>
      <c r="K387" s="11"/>
      <c r="L387" s="11"/>
      <c r="M387" s="11"/>
      <c r="N387" s="11"/>
      <c r="O387" s="11">
        <f t="shared" ref="O387:AT387" si="341">O400</f>
        <v>2738.38</v>
      </c>
      <c r="P387" s="11">
        <f t="shared" si="341"/>
        <v>1633.51</v>
      </c>
      <c r="Q387" s="11">
        <f t="shared" si="341"/>
        <v>240.63</v>
      </c>
      <c r="R387" s="11">
        <f t="shared" si="341"/>
        <v>14.78</v>
      </c>
      <c r="S387" s="11">
        <f t="shared" si="341"/>
        <v>864.24</v>
      </c>
      <c r="T387" s="11">
        <f t="shared" si="341"/>
        <v>0</v>
      </c>
      <c r="U387" s="11">
        <f t="shared" si="341"/>
        <v>69.697031039999985</v>
      </c>
      <c r="V387" s="11">
        <f t="shared" si="341"/>
        <v>0</v>
      </c>
      <c r="W387" s="11">
        <f t="shared" si="341"/>
        <v>0</v>
      </c>
      <c r="X387" s="11">
        <f t="shared" si="341"/>
        <v>835.29</v>
      </c>
      <c r="Y387" s="11">
        <f t="shared" si="341"/>
        <v>435.9</v>
      </c>
      <c r="Z387" s="11">
        <f t="shared" si="341"/>
        <v>0</v>
      </c>
      <c r="AA387" s="11">
        <f t="shared" si="341"/>
        <v>0</v>
      </c>
      <c r="AB387" s="11">
        <f t="shared" si="341"/>
        <v>2738.38</v>
      </c>
      <c r="AC387" s="11">
        <f t="shared" si="341"/>
        <v>1633.51</v>
      </c>
      <c r="AD387" s="11">
        <f t="shared" si="341"/>
        <v>240.63</v>
      </c>
      <c r="AE387" s="11">
        <f t="shared" si="341"/>
        <v>14.78</v>
      </c>
      <c r="AF387" s="11">
        <f t="shared" si="341"/>
        <v>864.24</v>
      </c>
      <c r="AG387" s="11">
        <f t="shared" si="341"/>
        <v>0</v>
      </c>
      <c r="AH387" s="11">
        <f t="shared" si="341"/>
        <v>69.697031039999985</v>
      </c>
      <c r="AI387" s="11">
        <f t="shared" si="341"/>
        <v>0</v>
      </c>
      <c r="AJ387" s="11">
        <f t="shared" si="341"/>
        <v>0</v>
      </c>
      <c r="AK387" s="11">
        <f t="shared" si="341"/>
        <v>835.29</v>
      </c>
      <c r="AL387" s="11">
        <f t="shared" si="341"/>
        <v>435.9</v>
      </c>
      <c r="AM387" s="11">
        <f t="shared" si="341"/>
        <v>0</v>
      </c>
      <c r="AN387" s="11">
        <f t="shared" si="341"/>
        <v>0</v>
      </c>
      <c r="AO387" s="11">
        <f t="shared" si="341"/>
        <v>0</v>
      </c>
      <c r="AP387" s="11">
        <f t="shared" si="341"/>
        <v>0</v>
      </c>
      <c r="AQ387" s="11">
        <f t="shared" si="341"/>
        <v>0</v>
      </c>
      <c r="AR387" s="11">
        <f t="shared" si="341"/>
        <v>4009.57</v>
      </c>
      <c r="AS387" s="11">
        <f t="shared" si="341"/>
        <v>0</v>
      </c>
      <c r="AT387" s="11">
        <f t="shared" si="341"/>
        <v>4009.57</v>
      </c>
      <c r="AU387" s="11">
        <f t="shared" ref="AU387:BZ387" si="342">AU400</f>
        <v>0</v>
      </c>
      <c r="AV387" s="11">
        <f t="shared" si="342"/>
        <v>1633.51</v>
      </c>
      <c r="AW387" s="11">
        <f t="shared" si="342"/>
        <v>1633.51</v>
      </c>
      <c r="AX387" s="11">
        <f t="shared" si="342"/>
        <v>0</v>
      </c>
      <c r="AY387" s="11">
        <f t="shared" si="342"/>
        <v>1633.51</v>
      </c>
      <c r="AZ387" s="11">
        <f t="shared" si="342"/>
        <v>0</v>
      </c>
      <c r="BA387" s="11">
        <f t="shared" si="342"/>
        <v>0</v>
      </c>
      <c r="BB387" s="11">
        <f t="shared" si="342"/>
        <v>0</v>
      </c>
      <c r="BC387" s="11">
        <f t="shared" si="342"/>
        <v>0</v>
      </c>
      <c r="BD387" s="11">
        <f t="shared" si="342"/>
        <v>0</v>
      </c>
      <c r="BE387" s="11">
        <f t="shared" si="342"/>
        <v>0</v>
      </c>
      <c r="BF387" s="11">
        <f t="shared" si="342"/>
        <v>0</v>
      </c>
      <c r="BG387" s="11">
        <f t="shared" si="342"/>
        <v>0</v>
      </c>
      <c r="BH387" s="11">
        <f t="shared" si="342"/>
        <v>0</v>
      </c>
      <c r="BI387" s="11">
        <f t="shared" si="342"/>
        <v>0</v>
      </c>
      <c r="BJ387" s="11">
        <f t="shared" si="342"/>
        <v>0</v>
      </c>
      <c r="BK387" s="11">
        <f t="shared" si="342"/>
        <v>0</v>
      </c>
      <c r="BL387" s="11">
        <f t="shared" si="342"/>
        <v>0</v>
      </c>
      <c r="BM387" s="11">
        <f t="shared" si="342"/>
        <v>0</v>
      </c>
      <c r="BN387" s="11">
        <f t="shared" si="342"/>
        <v>0</v>
      </c>
      <c r="BO387" s="11">
        <f t="shared" si="342"/>
        <v>0</v>
      </c>
      <c r="BP387" s="11">
        <f t="shared" si="342"/>
        <v>0</v>
      </c>
      <c r="BQ387" s="11">
        <f t="shared" si="342"/>
        <v>0</v>
      </c>
      <c r="BR387" s="11">
        <f t="shared" si="342"/>
        <v>0</v>
      </c>
      <c r="BS387" s="11">
        <f t="shared" si="342"/>
        <v>0</v>
      </c>
      <c r="BT387" s="11">
        <f t="shared" si="342"/>
        <v>0</v>
      </c>
      <c r="BU387" s="11">
        <f t="shared" si="342"/>
        <v>0</v>
      </c>
      <c r="BV387" s="11">
        <f t="shared" si="342"/>
        <v>0</v>
      </c>
      <c r="BW387" s="11">
        <f t="shared" si="342"/>
        <v>0</v>
      </c>
      <c r="BX387" s="11">
        <f t="shared" si="342"/>
        <v>0</v>
      </c>
      <c r="BY387" s="11">
        <f t="shared" si="342"/>
        <v>0</v>
      </c>
      <c r="BZ387" s="11">
        <f t="shared" si="342"/>
        <v>0</v>
      </c>
      <c r="CA387" s="11">
        <f t="shared" ref="CA387:DF387" si="343">CA400</f>
        <v>4009.57</v>
      </c>
      <c r="CB387" s="11">
        <f t="shared" si="343"/>
        <v>0</v>
      </c>
      <c r="CC387" s="11">
        <f t="shared" si="343"/>
        <v>4009.57</v>
      </c>
      <c r="CD387" s="11">
        <f t="shared" si="343"/>
        <v>0</v>
      </c>
      <c r="CE387" s="11">
        <f t="shared" si="343"/>
        <v>1633.51</v>
      </c>
      <c r="CF387" s="11">
        <f t="shared" si="343"/>
        <v>1633.51</v>
      </c>
      <c r="CG387" s="11">
        <f t="shared" si="343"/>
        <v>0</v>
      </c>
      <c r="CH387" s="11">
        <f t="shared" si="343"/>
        <v>1633.51</v>
      </c>
      <c r="CI387" s="11">
        <f t="shared" si="343"/>
        <v>0</v>
      </c>
      <c r="CJ387" s="11">
        <f t="shared" si="343"/>
        <v>0</v>
      </c>
      <c r="CK387" s="11">
        <f t="shared" si="343"/>
        <v>0</v>
      </c>
      <c r="CL387" s="11">
        <f t="shared" si="343"/>
        <v>0</v>
      </c>
      <c r="CM387" s="11">
        <f t="shared" si="343"/>
        <v>0</v>
      </c>
      <c r="CN387" s="11">
        <f t="shared" si="343"/>
        <v>0</v>
      </c>
      <c r="CO387" s="11">
        <f t="shared" si="343"/>
        <v>0</v>
      </c>
      <c r="CP387" s="11">
        <f t="shared" si="343"/>
        <v>0</v>
      </c>
      <c r="CQ387" s="11">
        <f t="shared" si="343"/>
        <v>0</v>
      </c>
      <c r="CR387" s="11">
        <f t="shared" si="343"/>
        <v>0</v>
      </c>
      <c r="CS387" s="11">
        <f t="shared" si="343"/>
        <v>0</v>
      </c>
      <c r="CT387" s="11">
        <f t="shared" si="343"/>
        <v>0</v>
      </c>
      <c r="CU387" s="11">
        <f t="shared" si="343"/>
        <v>0</v>
      </c>
      <c r="CV387" s="11">
        <f t="shared" si="343"/>
        <v>0</v>
      </c>
      <c r="CW387" s="11">
        <f t="shared" si="343"/>
        <v>0</v>
      </c>
      <c r="CX387" s="11">
        <f t="shared" si="343"/>
        <v>0</v>
      </c>
      <c r="CY387" s="11">
        <f t="shared" si="343"/>
        <v>0</v>
      </c>
      <c r="CZ387" s="11">
        <f t="shared" si="343"/>
        <v>0</v>
      </c>
      <c r="DA387" s="11">
        <f t="shared" si="343"/>
        <v>0</v>
      </c>
      <c r="DB387" s="11">
        <f t="shared" si="343"/>
        <v>0</v>
      </c>
      <c r="DC387" s="11">
        <f t="shared" si="343"/>
        <v>0</v>
      </c>
      <c r="DD387" s="11">
        <f t="shared" si="343"/>
        <v>0</v>
      </c>
      <c r="DE387" s="11">
        <f t="shared" si="343"/>
        <v>0</v>
      </c>
      <c r="DF387" s="11">
        <f t="shared" si="343"/>
        <v>0</v>
      </c>
      <c r="DG387" s="12">
        <f t="shared" ref="DG387:EL387" si="344">DG400</f>
        <v>64474.47</v>
      </c>
      <c r="DH387" s="12">
        <f t="shared" si="344"/>
        <v>12465.89</v>
      </c>
      <c r="DI387" s="12">
        <f t="shared" si="344"/>
        <v>3308.66</v>
      </c>
      <c r="DJ387" s="12">
        <f t="shared" si="344"/>
        <v>832.85</v>
      </c>
      <c r="DK387" s="12">
        <f t="shared" si="344"/>
        <v>48699.92</v>
      </c>
      <c r="DL387" s="12">
        <f t="shared" si="344"/>
        <v>0</v>
      </c>
      <c r="DM387" s="12">
        <f t="shared" si="344"/>
        <v>69.697031039999985</v>
      </c>
      <c r="DN387" s="12">
        <f t="shared" si="344"/>
        <v>0</v>
      </c>
      <c r="DO387" s="12">
        <f t="shared" si="344"/>
        <v>0</v>
      </c>
      <c r="DP387" s="12">
        <f t="shared" si="344"/>
        <v>47068.47</v>
      </c>
      <c r="DQ387" s="12">
        <f t="shared" si="344"/>
        <v>24562.91</v>
      </c>
      <c r="DR387" s="12">
        <f t="shared" si="344"/>
        <v>0</v>
      </c>
      <c r="DS387" s="12">
        <f t="shared" si="344"/>
        <v>0</v>
      </c>
      <c r="DT387" s="12">
        <f t="shared" si="344"/>
        <v>64474.47</v>
      </c>
      <c r="DU387" s="12">
        <f t="shared" si="344"/>
        <v>12465.89</v>
      </c>
      <c r="DV387" s="12">
        <f t="shared" si="344"/>
        <v>3308.66</v>
      </c>
      <c r="DW387" s="12">
        <f t="shared" si="344"/>
        <v>832.85</v>
      </c>
      <c r="DX387" s="12">
        <f t="shared" si="344"/>
        <v>48699.92</v>
      </c>
      <c r="DY387" s="12">
        <f t="shared" si="344"/>
        <v>0</v>
      </c>
      <c r="DZ387" s="12">
        <f t="shared" si="344"/>
        <v>69.697031039999985</v>
      </c>
      <c r="EA387" s="12">
        <f t="shared" si="344"/>
        <v>0</v>
      </c>
      <c r="EB387" s="12">
        <f t="shared" si="344"/>
        <v>0</v>
      </c>
      <c r="EC387" s="12">
        <f t="shared" si="344"/>
        <v>47068.47</v>
      </c>
      <c r="ED387" s="12">
        <f t="shared" si="344"/>
        <v>24562.91</v>
      </c>
      <c r="EE387" s="12">
        <f t="shared" si="344"/>
        <v>0</v>
      </c>
      <c r="EF387" s="12">
        <f t="shared" si="344"/>
        <v>0</v>
      </c>
      <c r="EG387" s="12">
        <f t="shared" si="344"/>
        <v>0</v>
      </c>
      <c r="EH387" s="12">
        <f t="shared" si="344"/>
        <v>0</v>
      </c>
      <c r="EI387" s="12">
        <f t="shared" si="344"/>
        <v>0</v>
      </c>
      <c r="EJ387" s="12">
        <f t="shared" si="344"/>
        <v>136105.85</v>
      </c>
      <c r="EK387" s="12">
        <f t="shared" si="344"/>
        <v>0</v>
      </c>
      <c r="EL387" s="12">
        <f t="shared" si="344"/>
        <v>136105.85</v>
      </c>
      <c r="EM387" s="12">
        <f t="shared" ref="EM387:FR387" si="345">EM400</f>
        <v>0</v>
      </c>
      <c r="EN387" s="12">
        <f t="shared" si="345"/>
        <v>12465.89</v>
      </c>
      <c r="EO387" s="12">
        <f t="shared" si="345"/>
        <v>12465.89</v>
      </c>
      <c r="EP387" s="12">
        <f t="shared" si="345"/>
        <v>0</v>
      </c>
      <c r="EQ387" s="12">
        <f t="shared" si="345"/>
        <v>12465.89</v>
      </c>
      <c r="ER387" s="12">
        <f t="shared" si="345"/>
        <v>0</v>
      </c>
      <c r="ES387" s="12">
        <f t="shared" si="345"/>
        <v>0</v>
      </c>
      <c r="ET387" s="12">
        <f t="shared" si="345"/>
        <v>0</v>
      </c>
      <c r="EU387" s="12">
        <f t="shared" si="345"/>
        <v>0</v>
      </c>
      <c r="EV387" s="12">
        <f t="shared" si="345"/>
        <v>0</v>
      </c>
      <c r="EW387" s="12">
        <f t="shared" si="345"/>
        <v>0</v>
      </c>
      <c r="EX387" s="12">
        <f t="shared" si="345"/>
        <v>0</v>
      </c>
      <c r="EY387" s="12">
        <f t="shared" si="345"/>
        <v>0</v>
      </c>
      <c r="EZ387" s="12">
        <f t="shared" si="345"/>
        <v>0</v>
      </c>
      <c r="FA387" s="12">
        <f t="shared" si="345"/>
        <v>0</v>
      </c>
      <c r="FB387" s="12">
        <f t="shared" si="345"/>
        <v>0</v>
      </c>
      <c r="FC387" s="12">
        <f t="shared" si="345"/>
        <v>0</v>
      </c>
      <c r="FD387" s="12">
        <f t="shared" si="345"/>
        <v>0</v>
      </c>
      <c r="FE387" s="12">
        <f t="shared" si="345"/>
        <v>0</v>
      </c>
      <c r="FF387" s="12">
        <f t="shared" si="345"/>
        <v>0</v>
      </c>
      <c r="FG387" s="12">
        <f t="shared" si="345"/>
        <v>0</v>
      </c>
      <c r="FH387" s="12">
        <f t="shared" si="345"/>
        <v>0</v>
      </c>
      <c r="FI387" s="12">
        <f t="shared" si="345"/>
        <v>0</v>
      </c>
      <c r="FJ387" s="12">
        <f t="shared" si="345"/>
        <v>0</v>
      </c>
      <c r="FK387" s="12">
        <f t="shared" si="345"/>
        <v>0</v>
      </c>
      <c r="FL387" s="12">
        <f t="shared" si="345"/>
        <v>0</v>
      </c>
      <c r="FM387" s="12">
        <f t="shared" si="345"/>
        <v>0</v>
      </c>
      <c r="FN387" s="12">
        <f t="shared" si="345"/>
        <v>0</v>
      </c>
      <c r="FO387" s="12">
        <f t="shared" si="345"/>
        <v>0</v>
      </c>
      <c r="FP387" s="12">
        <f t="shared" si="345"/>
        <v>0</v>
      </c>
      <c r="FQ387" s="12">
        <f t="shared" si="345"/>
        <v>0</v>
      </c>
      <c r="FR387" s="12">
        <f t="shared" si="345"/>
        <v>0</v>
      </c>
      <c r="FS387" s="12">
        <f t="shared" ref="FS387:GX387" si="346">FS400</f>
        <v>136105.85</v>
      </c>
      <c r="FT387" s="12">
        <f t="shared" si="346"/>
        <v>0</v>
      </c>
      <c r="FU387" s="12">
        <f t="shared" si="346"/>
        <v>136105.85</v>
      </c>
      <c r="FV387" s="12">
        <f t="shared" si="346"/>
        <v>0</v>
      </c>
      <c r="FW387" s="12">
        <f t="shared" si="346"/>
        <v>12465.89</v>
      </c>
      <c r="FX387" s="12">
        <f t="shared" si="346"/>
        <v>12465.89</v>
      </c>
      <c r="FY387" s="12">
        <f t="shared" si="346"/>
        <v>0</v>
      </c>
      <c r="FZ387" s="12">
        <f t="shared" si="346"/>
        <v>12465.89</v>
      </c>
      <c r="GA387" s="12">
        <f t="shared" si="346"/>
        <v>0</v>
      </c>
      <c r="GB387" s="12">
        <f t="shared" si="346"/>
        <v>0</v>
      </c>
      <c r="GC387" s="12">
        <f t="shared" si="346"/>
        <v>0</v>
      </c>
      <c r="GD387" s="12">
        <f t="shared" si="346"/>
        <v>0</v>
      </c>
      <c r="GE387" s="12">
        <f t="shared" si="346"/>
        <v>0</v>
      </c>
      <c r="GF387" s="12">
        <f t="shared" si="346"/>
        <v>0</v>
      </c>
      <c r="GG387" s="12">
        <f t="shared" si="346"/>
        <v>0</v>
      </c>
      <c r="GH387" s="12">
        <f t="shared" si="346"/>
        <v>0</v>
      </c>
      <c r="GI387" s="12">
        <f t="shared" si="346"/>
        <v>0</v>
      </c>
      <c r="GJ387" s="12">
        <f t="shared" si="346"/>
        <v>0</v>
      </c>
      <c r="GK387" s="12">
        <f t="shared" si="346"/>
        <v>0</v>
      </c>
      <c r="GL387" s="12">
        <f t="shared" si="346"/>
        <v>0</v>
      </c>
      <c r="GM387" s="12">
        <f t="shared" si="346"/>
        <v>0</v>
      </c>
      <c r="GN387" s="12">
        <f t="shared" si="346"/>
        <v>0</v>
      </c>
      <c r="GO387" s="12">
        <f t="shared" si="346"/>
        <v>0</v>
      </c>
      <c r="GP387" s="12">
        <f t="shared" si="346"/>
        <v>0</v>
      </c>
      <c r="GQ387" s="12">
        <f t="shared" si="346"/>
        <v>0</v>
      </c>
      <c r="GR387" s="12">
        <f t="shared" si="346"/>
        <v>0</v>
      </c>
      <c r="GS387" s="12">
        <f t="shared" si="346"/>
        <v>0</v>
      </c>
      <c r="GT387" s="12">
        <f t="shared" si="346"/>
        <v>0</v>
      </c>
      <c r="GU387" s="12">
        <f t="shared" si="346"/>
        <v>0</v>
      </c>
      <c r="GV387" s="12">
        <f t="shared" si="346"/>
        <v>0</v>
      </c>
      <c r="GW387" s="12">
        <f t="shared" si="346"/>
        <v>0</v>
      </c>
      <c r="GX387" s="12">
        <f t="shared" si="346"/>
        <v>0</v>
      </c>
    </row>
    <row r="389" spans="1:255" x14ac:dyDescent="0.2">
      <c r="A389" s="2">
        <v>17</v>
      </c>
      <c r="B389" s="2">
        <v>1</v>
      </c>
      <c r="C389" s="2">
        <f>ROW(SmtRes!A161)</f>
        <v>161</v>
      </c>
      <c r="D389" s="2">
        <f>ROW(EtalonRes!A189)</f>
        <v>189</v>
      </c>
      <c r="E389" s="2" t="s">
        <v>311</v>
      </c>
      <c r="F389" s="2" t="s">
        <v>63</v>
      </c>
      <c r="G389" s="2" t="s">
        <v>312</v>
      </c>
      <c r="H389" s="2" t="s">
        <v>22</v>
      </c>
      <c r="I389" s="2">
        <v>42</v>
      </c>
      <c r="J389" s="2">
        <v>0</v>
      </c>
      <c r="K389" s="2">
        <v>42</v>
      </c>
      <c r="L389" s="2"/>
      <c r="M389" s="2"/>
      <c r="N389" s="2"/>
      <c r="O389" s="2">
        <f t="shared" ref="O389:O398" si="347">ROUND(CP389,2)</f>
        <v>517.97</v>
      </c>
      <c r="P389" s="2">
        <f t="shared" ref="P389:P398" si="348">ROUND((ROUND((AC389*AW389*I389),2)*BC389),2)</f>
        <v>44.1</v>
      </c>
      <c r="Q389" s="2">
        <f>(ROUND((ROUND((((ET389*1.2))*AV389*I389),2)*BB389),2)+ROUND((ROUND(((AE389-((EU389*1.2)))*AV389*I389),2)*BS389),2))</f>
        <v>240.63</v>
      </c>
      <c r="R389" s="2">
        <f>(ROUND((ROUND((((EU389*1.2))*AV389*I389),2)*BS389),2)+ROUND((ROUND(((AE389-((EU389*1.2)))*AV389*I389),2)*BS389),2))</f>
        <v>14.78</v>
      </c>
      <c r="S389" s="2">
        <f t="shared" ref="S389:S398" si="349">ROUND((ROUND((AF389*AV389*I389),2)*BA389),2)</f>
        <v>233.24</v>
      </c>
      <c r="T389" s="2">
        <f t="shared" ref="T389:T398" si="350">ROUND(CU389*I389,2)</f>
        <v>0</v>
      </c>
      <c r="U389" s="2">
        <f t="shared" ref="U389:U398" si="351">CV389*I389</f>
        <v>18.469079999999998</v>
      </c>
      <c r="V389" s="2">
        <f t="shared" ref="V389:V398" si="352">CW389*I389</f>
        <v>0</v>
      </c>
      <c r="W389" s="2">
        <f t="shared" ref="W389:W398" si="353">ROUND(CX389*I389,2)</f>
        <v>0</v>
      </c>
      <c r="X389" s="2">
        <f>(ROUND((((S389+ROUND((ROUND((((EU389*1.2))*AV389*I389),2)*BS389),2))*AT389)/100),2)+ROUND(((ROUND((ROUND(((AE389-((EU389*1.2)))*AV389*I389),2)*BS389),2)*AT389)/100),2))</f>
        <v>223.22</v>
      </c>
      <c r="Y389" s="2">
        <f>(ROUND((((S389+ROUND((ROUND((((EU389*1.2))*AV389*I389),2)*BS389),2))*AU389)/100),2)+ROUND(((ROUND((ROUND(((AE389-((EU389*1.2)))*AV389*I389),2)*BS389),2)*AU389)/100),2))</f>
        <v>114.09</v>
      </c>
      <c r="Z389" s="2"/>
      <c r="AA389" s="2">
        <v>55915256</v>
      </c>
      <c r="AB389" s="2">
        <f t="shared" ref="AB389:AB398" si="354">ROUND((AC389+AD389+AF389),6)</f>
        <v>11.826000000000001</v>
      </c>
      <c r="AC389" s="2">
        <f>ROUND(((ES389*1)),6)</f>
        <v>1.05</v>
      </c>
      <c r="AD389" s="2">
        <f>ROUND(((((ET389*1.2))-((EU389*1.2)))+AE389),6)</f>
        <v>5.4720000000000004</v>
      </c>
      <c r="AE389" s="2">
        <f>ROUND(((EU389*1.2)),6)</f>
        <v>0.33600000000000002</v>
      </c>
      <c r="AF389" s="2">
        <f>ROUND(((EV389*1.2)),6)</f>
        <v>5.3040000000000003</v>
      </c>
      <c r="AG389" s="2">
        <f t="shared" ref="AG389:AG398" si="355">ROUND((AP389),6)</f>
        <v>0</v>
      </c>
      <c r="AH389" s="2">
        <f>((EW389*1.2))</f>
        <v>0.42</v>
      </c>
      <c r="AI389" s="2">
        <f>((EX389*1.2))</f>
        <v>0</v>
      </c>
      <c r="AJ389" s="2">
        <f t="shared" ref="AJ389:AJ398" si="356">(AS389)</f>
        <v>0</v>
      </c>
      <c r="AK389" s="2">
        <v>10.029999999999999</v>
      </c>
      <c r="AL389" s="2">
        <v>1.05</v>
      </c>
      <c r="AM389" s="2">
        <v>4.5599999999999996</v>
      </c>
      <c r="AN389" s="2">
        <v>0.28000000000000003</v>
      </c>
      <c r="AO389" s="2">
        <v>4.42</v>
      </c>
      <c r="AP389" s="2">
        <v>0</v>
      </c>
      <c r="AQ389" s="2">
        <v>0.35</v>
      </c>
      <c r="AR389" s="2">
        <v>0</v>
      </c>
      <c r="AS389" s="2">
        <v>0</v>
      </c>
      <c r="AT389" s="2">
        <v>90</v>
      </c>
      <c r="AU389" s="2">
        <v>46</v>
      </c>
      <c r="AV389" s="2">
        <v>1.0469999999999999</v>
      </c>
      <c r="AW389" s="2">
        <v>1</v>
      </c>
      <c r="AX389" s="2"/>
      <c r="AY389" s="2"/>
      <c r="AZ389" s="2">
        <v>1</v>
      </c>
      <c r="BA389" s="2">
        <v>1</v>
      </c>
      <c r="BB389" s="2">
        <v>1</v>
      </c>
      <c r="BC389" s="2">
        <v>1</v>
      </c>
      <c r="BD389" s="2" t="s">
        <v>3</v>
      </c>
      <c r="BE389" s="2" t="s">
        <v>3</v>
      </c>
      <c r="BF389" s="2" t="s">
        <v>3</v>
      </c>
      <c r="BG389" s="2" t="s">
        <v>3</v>
      </c>
      <c r="BH389" s="2">
        <v>0</v>
      </c>
      <c r="BI389" s="2">
        <v>2</v>
      </c>
      <c r="BJ389" s="2" t="s">
        <v>65</v>
      </c>
      <c r="BK389" s="2"/>
      <c r="BL389" s="2"/>
      <c r="BM389" s="2">
        <v>68</v>
      </c>
      <c r="BN389" s="2">
        <v>0</v>
      </c>
      <c r="BO389" s="2" t="s">
        <v>63</v>
      </c>
      <c r="BP389" s="2">
        <v>1</v>
      </c>
      <c r="BQ389" s="2">
        <v>40</v>
      </c>
      <c r="BR389" s="2">
        <v>0</v>
      </c>
      <c r="BS389" s="2">
        <v>1</v>
      </c>
      <c r="BT389" s="2">
        <v>1</v>
      </c>
      <c r="BU389" s="2">
        <v>1</v>
      </c>
      <c r="BV389" s="2">
        <v>1</v>
      </c>
      <c r="BW389" s="2">
        <v>1</v>
      </c>
      <c r="BX389" s="2">
        <v>1</v>
      </c>
      <c r="BY389" s="2" t="s">
        <v>3</v>
      </c>
      <c r="BZ389" s="2">
        <v>90</v>
      </c>
      <c r="CA389" s="2">
        <v>46</v>
      </c>
      <c r="CB389" s="2" t="s">
        <v>3</v>
      </c>
      <c r="CC389" s="2"/>
      <c r="CD389" s="2"/>
      <c r="CE389" s="2">
        <v>1566</v>
      </c>
      <c r="CF389" s="2">
        <v>0</v>
      </c>
      <c r="CG389" s="2">
        <v>0</v>
      </c>
      <c r="CH389" s="2"/>
      <c r="CI389" s="2"/>
      <c r="CJ389" s="2"/>
      <c r="CK389" s="2"/>
      <c r="CL389" s="2"/>
      <c r="CM389" s="2">
        <v>0</v>
      </c>
      <c r="CN389" s="2" t="s">
        <v>605</v>
      </c>
      <c r="CO389" s="2">
        <v>0</v>
      </c>
      <c r="CP389" s="2">
        <f t="shared" ref="CP389:CP398" si="357">(P389+Q389+S389)</f>
        <v>517.97</v>
      </c>
      <c r="CQ389" s="2">
        <f t="shared" ref="CQ389:CQ398" si="358">ROUND((ROUND((AC389*AW389*1),2)*BC389),2)</f>
        <v>1.05</v>
      </c>
      <c r="CR389" s="2">
        <f>(ROUND((ROUND((((ET389*1.2))*AV389*1),2)*BB389),2)+ROUND((ROUND(((AE389-((EU389*1.2)))*AV389*1),2)*BS389),2))</f>
        <v>5.73</v>
      </c>
      <c r="CS389" s="2">
        <f>(ROUND((ROUND((((EU389*1.2))*AV389*1),2)*BS389),2)+ROUND((ROUND(((AE389-((EU389*1.2)))*AV389*1),2)*BS389),2))</f>
        <v>0.35</v>
      </c>
      <c r="CT389" s="2">
        <f t="shared" ref="CT389:CT398" si="359">ROUND((ROUND((AF389*AV389*1),2)*BA389),2)</f>
        <v>5.55</v>
      </c>
      <c r="CU389" s="2">
        <f t="shared" ref="CU389:CU398" si="360">AG389</f>
        <v>0</v>
      </c>
      <c r="CV389" s="2">
        <f t="shared" ref="CV389:CV398" si="361">(AH389*AV389)</f>
        <v>0.43973999999999996</v>
      </c>
      <c r="CW389" s="2">
        <f t="shared" ref="CW389:CW398" si="362">AI389</f>
        <v>0</v>
      </c>
      <c r="CX389" s="2">
        <f t="shared" ref="CX389:CX398" si="363">AJ389</f>
        <v>0</v>
      </c>
      <c r="CY389" s="2">
        <f>(ROUND((((S389+ROUND((ROUND((((EU389*1.2))*AV389*1),2)*BS389),2))*AT389)/100),2)+ROUND(((ROUND((ROUND(((AE389-((EU389*1.2)))*AV389*1),2)*BS389),2)*AT389)/100),2))</f>
        <v>210.23</v>
      </c>
      <c r="CZ389" s="2">
        <f>(ROUND((((S389+ROUND((ROUND((((EU389*1.2))*AV389*1),2)*BS389),2))*AU389)/100),2)+ROUND(((ROUND((ROUND(((AE389-((EU389*1.2)))*AV389*1),2)*BS389),2)*AU389)/100),2))</f>
        <v>107.45</v>
      </c>
      <c r="DA389" s="2"/>
      <c r="DB389" s="2">
        <v>85</v>
      </c>
      <c r="DC389" s="2" t="s">
        <v>3</v>
      </c>
      <c r="DD389" s="2" t="s">
        <v>77</v>
      </c>
      <c r="DE389" s="2" t="s">
        <v>78</v>
      </c>
      <c r="DF389" s="2" t="s">
        <v>78</v>
      </c>
      <c r="DG389" s="2" t="s">
        <v>78</v>
      </c>
      <c r="DH389" s="2" t="s">
        <v>3</v>
      </c>
      <c r="DI389" s="2" t="s">
        <v>78</v>
      </c>
      <c r="DJ389" s="2" t="s">
        <v>78</v>
      </c>
      <c r="DK389" s="2" t="s">
        <v>3</v>
      </c>
      <c r="DL389" s="2" t="s">
        <v>3</v>
      </c>
      <c r="DM389" s="2" t="s">
        <v>3</v>
      </c>
      <c r="DN389" s="2">
        <v>0</v>
      </c>
      <c r="DO389" s="2">
        <v>0</v>
      </c>
      <c r="DP389" s="2">
        <v>1</v>
      </c>
      <c r="DQ389" s="2">
        <v>1</v>
      </c>
      <c r="DR389" s="2"/>
      <c r="DS389" s="2"/>
      <c r="DT389" s="2"/>
      <c r="DU389" s="2">
        <v>1013</v>
      </c>
      <c r="DV389" s="2" t="s">
        <v>22</v>
      </c>
      <c r="DW389" s="2" t="s">
        <v>22</v>
      </c>
      <c r="DX389" s="2">
        <v>1</v>
      </c>
      <c r="DY389" s="2"/>
      <c r="DZ389" s="2" t="s">
        <v>3</v>
      </c>
      <c r="EA389" s="2" t="s">
        <v>3</v>
      </c>
      <c r="EB389" s="2" t="s">
        <v>3</v>
      </c>
      <c r="EC389" s="2" t="s">
        <v>3</v>
      </c>
      <c r="ED389" s="2"/>
      <c r="EE389" s="2">
        <v>55393700</v>
      </c>
      <c r="EF389" s="2">
        <v>40</v>
      </c>
      <c r="EG389" s="2" t="s">
        <v>26</v>
      </c>
      <c r="EH389" s="2">
        <v>0</v>
      </c>
      <c r="EI389" s="2" t="s">
        <v>3</v>
      </c>
      <c r="EJ389" s="2">
        <v>2</v>
      </c>
      <c r="EK389" s="2">
        <v>68</v>
      </c>
      <c r="EL389" s="2" t="s">
        <v>27</v>
      </c>
      <c r="EM389" s="2" t="s">
        <v>28</v>
      </c>
      <c r="EN389" s="2"/>
      <c r="EO389" s="2" t="s">
        <v>82</v>
      </c>
      <c r="EP389" s="2"/>
      <c r="EQ389" s="2">
        <v>0</v>
      </c>
      <c r="ER389" s="2">
        <v>10.029999999999999</v>
      </c>
      <c r="ES389" s="2">
        <v>1.05</v>
      </c>
      <c r="ET389" s="2">
        <v>4.5599999999999996</v>
      </c>
      <c r="EU389" s="2">
        <v>0.28000000000000003</v>
      </c>
      <c r="EV389" s="2">
        <v>4.42</v>
      </c>
      <c r="EW389" s="2">
        <v>0.35</v>
      </c>
      <c r="EX389" s="2">
        <v>0</v>
      </c>
      <c r="EY389" s="2">
        <v>0</v>
      </c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>
        <v>0</v>
      </c>
      <c r="FR389" s="2">
        <v>0</v>
      </c>
      <c r="FS389" s="2">
        <v>0</v>
      </c>
      <c r="FT389" s="2"/>
      <c r="FU389" s="2"/>
      <c r="FV389" s="2"/>
      <c r="FW389" s="2"/>
      <c r="FX389" s="2">
        <v>90</v>
      </c>
      <c r="FY389" s="2">
        <v>46</v>
      </c>
      <c r="FZ389" s="2"/>
      <c r="GA389" s="2" t="s">
        <v>3</v>
      </c>
      <c r="GB389" s="2"/>
      <c r="GC389" s="2"/>
      <c r="GD389" s="2">
        <v>1</v>
      </c>
      <c r="GE389" s="2"/>
      <c r="GF389" s="2">
        <v>837617534</v>
      </c>
      <c r="GG389" s="2">
        <v>2</v>
      </c>
      <c r="GH389" s="2">
        <v>1</v>
      </c>
      <c r="GI389" s="2">
        <v>2</v>
      </c>
      <c r="GJ389" s="2">
        <v>0</v>
      </c>
      <c r="GK389" s="2">
        <v>0</v>
      </c>
      <c r="GL389" s="2">
        <f t="shared" ref="GL389:GL398" si="364">ROUND(IF(AND(BH389=3,BI389=3,FS389&lt;&gt;0),P389,0),2)</f>
        <v>0</v>
      </c>
      <c r="GM389" s="2">
        <f t="shared" ref="GM389:GM398" si="365">ROUND(O389+X389+Y389,2)+GX389</f>
        <v>855.28</v>
      </c>
      <c r="GN389" s="2">
        <f t="shared" ref="GN389:GN398" si="366">IF(OR(BI389=0,BI389=1),GM389-GX389,0)</f>
        <v>0</v>
      </c>
      <c r="GO389" s="2">
        <f t="shared" ref="GO389:GO398" si="367">IF(BI389=2,GM389-GX389,0)</f>
        <v>855.28</v>
      </c>
      <c r="GP389" s="2">
        <f t="shared" ref="GP389:GP398" si="368">IF(BI389=4,GM389-GX389,0)</f>
        <v>0</v>
      </c>
      <c r="GQ389" s="2"/>
      <c r="GR389" s="2">
        <v>0</v>
      </c>
      <c r="GS389" s="2">
        <v>3</v>
      </c>
      <c r="GT389" s="2">
        <v>0</v>
      </c>
      <c r="GU389" s="2" t="s">
        <v>3</v>
      </c>
      <c r="GV389" s="2">
        <f t="shared" ref="GV389:GV398" si="369">ROUND((GT389),6)</f>
        <v>0</v>
      </c>
      <c r="GW389" s="2">
        <v>1</v>
      </c>
      <c r="GX389" s="2">
        <f t="shared" ref="GX389:GX398" si="370">ROUND(HC389*I389,2)</f>
        <v>0</v>
      </c>
      <c r="GY389" s="2"/>
      <c r="GZ389" s="2"/>
      <c r="HA389" s="2">
        <v>0</v>
      </c>
      <c r="HB389" s="2">
        <v>0</v>
      </c>
      <c r="HC389" s="2">
        <f t="shared" ref="HC389:HC398" si="371">GV389*GW389</f>
        <v>0</v>
      </c>
      <c r="HD389" s="2"/>
      <c r="HE389" s="2" t="s">
        <v>3</v>
      </c>
      <c r="HF389" s="2" t="s">
        <v>3</v>
      </c>
      <c r="HG389" s="2"/>
      <c r="HH389" s="2"/>
      <c r="HI389" s="2"/>
      <c r="HJ389" s="2"/>
      <c r="HK389" s="2"/>
      <c r="HL389" s="2"/>
      <c r="HM389" s="2" t="s">
        <v>3</v>
      </c>
      <c r="HN389" s="2" t="s">
        <v>3</v>
      </c>
      <c r="HO389" s="2" t="s">
        <v>3</v>
      </c>
      <c r="HP389" s="2" t="s">
        <v>3</v>
      </c>
      <c r="HQ389" s="2" t="s">
        <v>3</v>
      </c>
      <c r="HR389" s="2"/>
      <c r="HS389" s="2">
        <v>0</v>
      </c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>
        <v>0</v>
      </c>
      <c r="IL389" s="2"/>
      <c r="IM389" s="2"/>
      <c r="IN389" s="2"/>
      <c r="IO389" s="2"/>
      <c r="IP389" s="2"/>
      <c r="IQ389" s="2"/>
      <c r="IR389" s="2"/>
      <c r="IS389" s="2"/>
      <c r="IT389" s="2"/>
      <c r="IU389" s="2"/>
    </row>
    <row r="390" spans="1:255" x14ac:dyDescent="0.2">
      <c r="A390" s="3">
        <v>17</v>
      </c>
      <c r="B390" s="3">
        <v>1</v>
      </c>
      <c r="C390" s="3">
        <f>ROW(SmtRes!A162)</f>
        <v>162</v>
      </c>
      <c r="D390" s="3">
        <f>ROW(EtalonRes!A190)</f>
        <v>190</v>
      </c>
      <c r="E390" s="3" t="s">
        <v>311</v>
      </c>
      <c r="F390" s="3" t="s">
        <v>63</v>
      </c>
      <c r="G390" s="3" t="s">
        <v>312</v>
      </c>
      <c r="H390" s="3" t="s">
        <v>22</v>
      </c>
      <c r="I390" s="3">
        <v>42</v>
      </c>
      <c r="J390" s="3">
        <v>0</v>
      </c>
      <c r="K390" s="3">
        <v>42</v>
      </c>
      <c r="O390" s="3">
        <f t="shared" si="347"/>
        <v>16885.669999999998</v>
      </c>
      <c r="P390" s="3">
        <f t="shared" si="348"/>
        <v>433.94</v>
      </c>
      <c r="Q390" s="3">
        <f>(ROUND((ROUND((((ET390*1.2))*AV390*I390),2)*BB390),2)+ROUND((ROUND(((AE390-((EU390*1.2)))*AV390*I390),2)*BS390),2))</f>
        <v>3308.66</v>
      </c>
      <c r="R390" s="3">
        <f>(ROUND((ROUND((((EU390*1.2))*AV390*I390),2)*BS390),2)+ROUND((ROUND(((AE390-((EU390*1.2)))*AV390*I390),2)*BS390),2))</f>
        <v>832.85</v>
      </c>
      <c r="S390" s="3">
        <f t="shared" si="349"/>
        <v>13143.07</v>
      </c>
      <c r="T390" s="3">
        <f t="shared" si="350"/>
        <v>0</v>
      </c>
      <c r="U390" s="3">
        <f t="shared" si="351"/>
        <v>18.469079999999998</v>
      </c>
      <c r="V390" s="3">
        <f t="shared" si="352"/>
        <v>0</v>
      </c>
      <c r="W390" s="3">
        <f t="shared" si="353"/>
        <v>0</v>
      </c>
      <c r="X390" s="3">
        <f>(ROUND((((S390+ROUND((ROUND((((EU390*1.2))*AV390*I390),2)*BS390),2))*AT390)/100),2)+ROUND(((ROUND((ROUND(((AE390-((EU390*1.2)))*AV390*I390),2)*BS390),2)*AT390)/100),2))</f>
        <v>12578.33</v>
      </c>
      <c r="Y390" s="3">
        <f>(ROUND((((S390+ROUND((ROUND((((EU390*1.2))*AV390*I390),2)*BS390),2))*AU390)/100),2)+ROUND(((ROUND((ROUND(((AE390-((EU390*1.2)))*AV390*I390),2)*BS390),2)*AU390)/100),2))</f>
        <v>6428.92</v>
      </c>
      <c r="AA390" s="3">
        <v>55915258</v>
      </c>
      <c r="AB390" s="3">
        <f t="shared" si="354"/>
        <v>11.826000000000001</v>
      </c>
      <c r="AC390" s="3">
        <f>ROUND(((ES390*1)),6)</f>
        <v>1.05</v>
      </c>
      <c r="AD390" s="3">
        <f>ROUND(((((ET390*1.2))-((EU390*1.2)))+AE390),6)</f>
        <v>5.4720000000000004</v>
      </c>
      <c r="AE390" s="3">
        <f>ROUND(((EU390*1.2)),6)</f>
        <v>0.33600000000000002</v>
      </c>
      <c r="AF390" s="3">
        <f>ROUND(((EV390*1.2)),6)</f>
        <v>5.3040000000000003</v>
      </c>
      <c r="AG390" s="3">
        <f t="shared" si="355"/>
        <v>0</v>
      </c>
      <c r="AH390" s="3">
        <f>((EW390*1.2))</f>
        <v>0.42</v>
      </c>
      <c r="AI390" s="3">
        <f>((EX390*1.2))</f>
        <v>0</v>
      </c>
      <c r="AJ390" s="3">
        <f t="shared" si="356"/>
        <v>0</v>
      </c>
      <c r="AK390" s="3">
        <v>10.029999999999999</v>
      </c>
      <c r="AL390" s="3">
        <v>1.05</v>
      </c>
      <c r="AM390" s="3">
        <v>4.5599999999999996</v>
      </c>
      <c r="AN390" s="3">
        <v>0.28000000000000003</v>
      </c>
      <c r="AO390" s="3">
        <v>4.42</v>
      </c>
      <c r="AP390" s="3">
        <v>0</v>
      </c>
      <c r="AQ390" s="3">
        <v>0.35</v>
      </c>
      <c r="AR390" s="3">
        <v>0</v>
      </c>
      <c r="AS390" s="3">
        <v>0</v>
      </c>
      <c r="AT390" s="3">
        <v>90</v>
      </c>
      <c r="AU390" s="3">
        <v>46</v>
      </c>
      <c r="AV390" s="3">
        <v>1.0469999999999999</v>
      </c>
      <c r="AW390" s="3">
        <v>1</v>
      </c>
      <c r="AZ390" s="3">
        <v>1</v>
      </c>
      <c r="BA390" s="3">
        <v>56.35</v>
      </c>
      <c r="BB390" s="3">
        <v>13.75</v>
      </c>
      <c r="BC390" s="3">
        <v>9.84</v>
      </c>
      <c r="BD390" s="3" t="s">
        <v>3</v>
      </c>
      <c r="BE390" s="3" t="s">
        <v>3</v>
      </c>
      <c r="BF390" s="3" t="s">
        <v>3</v>
      </c>
      <c r="BG390" s="3" t="s">
        <v>3</v>
      </c>
      <c r="BH390" s="3">
        <v>0</v>
      </c>
      <c r="BI390" s="3">
        <v>2</v>
      </c>
      <c r="BJ390" s="3" t="s">
        <v>65</v>
      </c>
      <c r="BM390" s="3">
        <v>68</v>
      </c>
      <c r="BN390" s="3">
        <v>0</v>
      </c>
      <c r="BO390" s="3" t="s">
        <v>63</v>
      </c>
      <c r="BP390" s="3">
        <v>1</v>
      </c>
      <c r="BQ390" s="3">
        <v>40</v>
      </c>
      <c r="BR390" s="3">
        <v>0</v>
      </c>
      <c r="BS390" s="3">
        <v>56.35</v>
      </c>
      <c r="BT390" s="3">
        <v>1</v>
      </c>
      <c r="BU390" s="3">
        <v>1</v>
      </c>
      <c r="BV390" s="3">
        <v>1</v>
      </c>
      <c r="BW390" s="3">
        <v>1</v>
      </c>
      <c r="BX390" s="3">
        <v>1</v>
      </c>
      <c r="BY390" s="3" t="s">
        <v>3</v>
      </c>
      <c r="BZ390" s="3">
        <v>90</v>
      </c>
      <c r="CA390" s="3">
        <v>46</v>
      </c>
      <c r="CB390" s="3" t="s">
        <v>3</v>
      </c>
      <c r="CE390" s="3">
        <v>1566</v>
      </c>
      <c r="CF390" s="3">
        <v>0</v>
      </c>
      <c r="CG390" s="3">
        <v>0</v>
      </c>
      <c r="CM390" s="3">
        <v>0</v>
      </c>
      <c r="CN390" s="3" t="s">
        <v>605</v>
      </c>
      <c r="CO390" s="3">
        <v>0</v>
      </c>
      <c r="CP390" s="3">
        <f t="shared" si="357"/>
        <v>16885.669999999998</v>
      </c>
      <c r="CQ390" s="3">
        <f t="shared" si="358"/>
        <v>10.33</v>
      </c>
      <c r="CR390" s="3">
        <f>(ROUND((ROUND((((ET390*1.2))*AV390*1),2)*BB390),2)+ROUND((ROUND(((AE390-((EU390*1.2)))*AV390*1),2)*BS390),2))</f>
        <v>78.790000000000006</v>
      </c>
      <c r="CS390" s="3">
        <f>(ROUND((ROUND((((EU390*1.2))*AV390*1),2)*BS390),2)+ROUND((ROUND(((AE390-((EU390*1.2)))*AV390*1),2)*BS390),2))</f>
        <v>19.72</v>
      </c>
      <c r="CT390" s="3">
        <f t="shared" si="359"/>
        <v>312.74</v>
      </c>
      <c r="CU390" s="3">
        <f t="shared" si="360"/>
        <v>0</v>
      </c>
      <c r="CV390" s="3">
        <f t="shared" si="361"/>
        <v>0.43973999999999996</v>
      </c>
      <c r="CW390" s="3">
        <f t="shared" si="362"/>
        <v>0</v>
      </c>
      <c r="CX390" s="3">
        <f t="shared" si="363"/>
        <v>0</v>
      </c>
      <c r="CY390" s="3">
        <f>(ROUND((((S390+ROUND((ROUND((((EU390*1.2))*AV390*1),2)*BS390),2))*AT390)/100),2)+ROUND(((ROUND((ROUND(((AE390-((EU390*1.2)))*AV390*1),2)*BS390),2)*AT390)/100),2))</f>
        <v>11846.51</v>
      </c>
      <c r="CZ390" s="3">
        <f>(ROUND((((S390+ROUND((ROUND((((EU390*1.2))*AV390*1),2)*BS390),2))*AU390)/100),2)+ROUND(((ROUND((ROUND(((AE390-((EU390*1.2)))*AV390*1),2)*BS390),2)*AU390)/100),2))</f>
        <v>6054.88</v>
      </c>
      <c r="DB390" s="3">
        <v>86</v>
      </c>
      <c r="DC390" s="3" t="s">
        <v>3</v>
      </c>
      <c r="DD390" s="3" t="s">
        <v>77</v>
      </c>
      <c r="DE390" s="3" t="s">
        <v>78</v>
      </c>
      <c r="DF390" s="3" t="s">
        <v>78</v>
      </c>
      <c r="DG390" s="3" t="s">
        <v>78</v>
      </c>
      <c r="DH390" s="3" t="s">
        <v>3</v>
      </c>
      <c r="DI390" s="3" t="s">
        <v>78</v>
      </c>
      <c r="DJ390" s="3" t="s">
        <v>78</v>
      </c>
      <c r="DK390" s="3" t="s">
        <v>3</v>
      </c>
      <c r="DL390" s="3" t="s">
        <v>3</v>
      </c>
      <c r="DM390" s="3" t="s">
        <v>3</v>
      </c>
      <c r="DN390" s="3">
        <v>0</v>
      </c>
      <c r="DO390" s="3">
        <v>0</v>
      </c>
      <c r="DP390" s="3">
        <v>1</v>
      </c>
      <c r="DQ390" s="3">
        <v>1</v>
      </c>
      <c r="DU390" s="3">
        <v>1013</v>
      </c>
      <c r="DV390" s="3" t="s">
        <v>22</v>
      </c>
      <c r="DW390" s="3" t="s">
        <v>22</v>
      </c>
      <c r="DX390" s="3">
        <v>1</v>
      </c>
      <c r="DZ390" s="3" t="s">
        <v>3</v>
      </c>
      <c r="EA390" s="3" t="s">
        <v>3</v>
      </c>
      <c r="EB390" s="3" t="s">
        <v>3</v>
      </c>
      <c r="EC390" s="3" t="s">
        <v>3</v>
      </c>
      <c r="EE390" s="3">
        <v>55393700</v>
      </c>
      <c r="EF390" s="3">
        <v>40</v>
      </c>
      <c r="EG390" s="3" t="s">
        <v>26</v>
      </c>
      <c r="EH390" s="3">
        <v>0</v>
      </c>
      <c r="EI390" s="3" t="s">
        <v>3</v>
      </c>
      <c r="EJ390" s="3">
        <v>2</v>
      </c>
      <c r="EK390" s="3">
        <v>68</v>
      </c>
      <c r="EL390" s="3" t="s">
        <v>27</v>
      </c>
      <c r="EM390" s="3" t="s">
        <v>28</v>
      </c>
      <c r="EO390" s="3" t="s">
        <v>82</v>
      </c>
      <c r="EQ390" s="3">
        <v>0</v>
      </c>
      <c r="ER390" s="3">
        <v>10.029999999999999</v>
      </c>
      <c r="ES390" s="3">
        <v>1.05</v>
      </c>
      <c r="ET390" s="3">
        <v>4.5599999999999996</v>
      </c>
      <c r="EU390" s="3">
        <v>0.28000000000000003</v>
      </c>
      <c r="EV390" s="3">
        <v>4.42</v>
      </c>
      <c r="EW390" s="3">
        <v>0.35</v>
      </c>
      <c r="EX390" s="3">
        <v>0</v>
      </c>
      <c r="EY390" s="3">
        <v>0</v>
      </c>
      <c r="FQ390" s="3">
        <v>0</v>
      </c>
      <c r="FR390" s="3">
        <v>0</v>
      </c>
      <c r="FS390" s="3">
        <v>0</v>
      </c>
      <c r="FX390" s="3">
        <v>90</v>
      </c>
      <c r="FY390" s="3">
        <v>46</v>
      </c>
      <c r="GA390" s="3" t="s">
        <v>3</v>
      </c>
      <c r="GD390" s="3">
        <v>1</v>
      </c>
      <c r="GF390" s="3">
        <v>837617534</v>
      </c>
      <c r="GG390" s="3">
        <v>2</v>
      </c>
      <c r="GH390" s="3">
        <v>1</v>
      </c>
      <c r="GI390" s="3">
        <v>2</v>
      </c>
      <c r="GJ390" s="3">
        <v>0</v>
      </c>
      <c r="GK390" s="3">
        <v>0</v>
      </c>
      <c r="GL390" s="3">
        <f t="shared" si="364"/>
        <v>0</v>
      </c>
      <c r="GM390" s="3">
        <f t="shared" si="365"/>
        <v>35892.92</v>
      </c>
      <c r="GN390" s="3">
        <f t="shared" si="366"/>
        <v>0</v>
      </c>
      <c r="GO390" s="3">
        <f t="shared" si="367"/>
        <v>35892.92</v>
      </c>
      <c r="GP390" s="3">
        <f t="shared" si="368"/>
        <v>0</v>
      </c>
      <c r="GR390" s="3">
        <v>0</v>
      </c>
      <c r="GS390" s="3">
        <v>3</v>
      </c>
      <c r="GT390" s="3">
        <v>0</v>
      </c>
      <c r="GU390" s="3" t="s">
        <v>3</v>
      </c>
      <c r="GV390" s="3">
        <f t="shared" si="369"/>
        <v>0</v>
      </c>
      <c r="GW390" s="3">
        <v>1</v>
      </c>
      <c r="GX390" s="3">
        <f t="shared" si="370"/>
        <v>0</v>
      </c>
      <c r="HA390" s="3">
        <v>0</v>
      </c>
      <c r="HB390" s="3">
        <v>0</v>
      </c>
      <c r="HC390" s="3">
        <f t="shared" si="371"/>
        <v>0</v>
      </c>
      <c r="HE390" s="3" t="s">
        <v>3</v>
      </c>
      <c r="HF390" s="3" t="s">
        <v>3</v>
      </c>
      <c r="HM390" s="3" t="s">
        <v>3</v>
      </c>
      <c r="HN390" s="3" t="s">
        <v>3</v>
      </c>
      <c r="HO390" s="3" t="s">
        <v>3</v>
      </c>
      <c r="HP390" s="3" t="s">
        <v>3</v>
      </c>
      <c r="HQ390" s="3" t="s">
        <v>3</v>
      </c>
      <c r="HS390" s="3">
        <v>0</v>
      </c>
      <c r="IK390" s="3">
        <v>0</v>
      </c>
    </row>
    <row r="391" spans="1:255" x14ac:dyDescent="0.2">
      <c r="A391" s="2">
        <v>17</v>
      </c>
      <c r="B391" s="2">
        <v>1</v>
      </c>
      <c r="C391" s="2"/>
      <c r="D391" s="2"/>
      <c r="E391" s="2" t="s">
        <v>313</v>
      </c>
      <c r="F391" s="2" t="s">
        <v>314</v>
      </c>
      <c r="G391" s="2" t="s">
        <v>315</v>
      </c>
      <c r="H391" s="2" t="s">
        <v>153</v>
      </c>
      <c r="I391" s="2">
        <v>42</v>
      </c>
      <c r="J391" s="2">
        <v>0</v>
      </c>
      <c r="K391" s="2">
        <v>42</v>
      </c>
      <c r="L391" s="2"/>
      <c r="M391" s="2"/>
      <c r="N391" s="2"/>
      <c r="O391" s="2">
        <f t="shared" si="347"/>
        <v>616.98</v>
      </c>
      <c r="P391" s="2">
        <f t="shared" si="348"/>
        <v>616.98</v>
      </c>
      <c r="Q391" s="2">
        <f>(ROUND((ROUND(((ET391)*AV391*I391),2)*BB391),2)+ROUND((ROUND(((AE391-(EU391))*AV391*I391),2)*BS391),2))</f>
        <v>0</v>
      </c>
      <c r="R391" s="2">
        <f>(ROUND((ROUND(((EU391)*AV391*I391),2)*BS391),2)+ROUND((ROUND(((AE391-(EU391))*AV391*I391),2)*BS391),2))</f>
        <v>0</v>
      </c>
      <c r="S391" s="2">
        <f t="shared" si="349"/>
        <v>0</v>
      </c>
      <c r="T391" s="2">
        <f t="shared" si="350"/>
        <v>0</v>
      </c>
      <c r="U391" s="2">
        <f t="shared" si="351"/>
        <v>0</v>
      </c>
      <c r="V391" s="2">
        <f t="shared" si="352"/>
        <v>0</v>
      </c>
      <c r="W391" s="2">
        <f t="shared" si="353"/>
        <v>0</v>
      </c>
      <c r="X391" s="2">
        <f>(ROUND((((S391+ROUND((ROUND(((EU391)*AV391*I391),2)*BS391),2))*AT391)/100),2)+ROUND(((ROUND((ROUND(((AE391-(EU391))*AV391*I391),2)*BS391),2)*AT391)/100),2))</f>
        <v>0</v>
      </c>
      <c r="Y391" s="2">
        <f>(ROUND((((S391+ROUND((ROUND(((EU391)*AV391*I391),2)*BS391),2))*AU391)/100),2)+ROUND(((ROUND((ROUND(((AE391-(EU391))*AV391*I391),2)*BS391),2)*AU391)/100),2))</f>
        <v>0</v>
      </c>
      <c r="Z391" s="2"/>
      <c r="AA391" s="2">
        <v>55915256</v>
      </c>
      <c r="AB391" s="2">
        <f t="shared" si="354"/>
        <v>14.69</v>
      </c>
      <c r="AC391" s="2">
        <f>ROUND((ES391),6)</f>
        <v>14.69</v>
      </c>
      <c r="AD391" s="2">
        <f>ROUND((((ET391)-(EU391))+AE391),6)</f>
        <v>0</v>
      </c>
      <c r="AE391" s="2">
        <f>ROUND((EU391),6)</f>
        <v>0</v>
      </c>
      <c r="AF391" s="2">
        <f>ROUND((EV391),6)</f>
        <v>0</v>
      </c>
      <c r="AG391" s="2">
        <f t="shared" si="355"/>
        <v>0</v>
      </c>
      <c r="AH391" s="2">
        <f>(EW391)</f>
        <v>0</v>
      </c>
      <c r="AI391" s="2">
        <f>(EX391)</f>
        <v>0</v>
      </c>
      <c r="AJ391" s="2">
        <f t="shared" si="356"/>
        <v>0</v>
      </c>
      <c r="AK391" s="2">
        <v>14.69</v>
      </c>
      <c r="AL391" s="2">
        <v>14.69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1</v>
      </c>
      <c r="AW391" s="2">
        <v>1</v>
      </c>
      <c r="AX391" s="2"/>
      <c r="AY391" s="2"/>
      <c r="AZ391" s="2">
        <v>1</v>
      </c>
      <c r="BA391" s="2">
        <v>1</v>
      </c>
      <c r="BB391" s="2">
        <v>1</v>
      </c>
      <c r="BC391" s="2">
        <v>1</v>
      </c>
      <c r="BD391" s="2" t="s">
        <v>3</v>
      </c>
      <c r="BE391" s="2" t="s">
        <v>3</v>
      </c>
      <c r="BF391" s="2" t="s">
        <v>3</v>
      </c>
      <c r="BG391" s="2" t="s">
        <v>3</v>
      </c>
      <c r="BH391" s="2">
        <v>3</v>
      </c>
      <c r="BI391" s="2">
        <v>2</v>
      </c>
      <c r="BJ391" s="2" t="s">
        <v>314</v>
      </c>
      <c r="BK391" s="2"/>
      <c r="BL391" s="2"/>
      <c r="BM391" s="2">
        <v>400005</v>
      </c>
      <c r="BN391" s="2">
        <v>0</v>
      </c>
      <c r="BO391" s="2" t="s">
        <v>3</v>
      </c>
      <c r="BP391" s="2">
        <v>0</v>
      </c>
      <c r="BQ391" s="2">
        <v>213</v>
      </c>
      <c r="BR391" s="2">
        <v>0</v>
      </c>
      <c r="BS391" s="2">
        <v>1</v>
      </c>
      <c r="BT391" s="2">
        <v>1</v>
      </c>
      <c r="BU391" s="2">
        <v>1</v>
      </c>
      <c r="BV391" s="2">
        <v>1</v>
      </c>
      <c r="BW391" s="2">
        <v>1</v>
      </c>
      <c r="BX391" s="2">
        <v>1</v>
      </c>
      <c r="BY391" s="2" t="s">
        <v>3</v>
      </c>
      <c r="BZ391" s="2">
        <v>0</v>
      </c>
      <c r="CA391" s="2">
        <v>0</v>
      </c>
      <c r="CB391" s="2" t="s">
        <v>3</v>
      </c>
      <c r="CC391" s="2"/>
      <c r="CD391" s="2"/>
      <c r="CE391" s="2">
        <v>1566</v>
      </c>
      <c r="CF391" s="2">
        <v>0</v>
      </c>
      <c r="CG391" s="2">
        <v>0</v>
      </c>
      <c r="CH391" s="2"/>
      <c r="CI391" s="2"/>
      <c r="CJ391" s="2"/>
      <c r="CK391" s="2"/>
      <c r="CL391" s="2"/>
      <c r="CM391" s="2">
        <v>0</v>
      </c>
      <c r="CN391" s="2" t="s">
        <v>3</v>
      </c>
      <c r="CO391" s="2">
        <v>0</v>
      </c>
      <c r="CP391" s="2">
        <f t="shared" si="357"/>
        <v>616.98</v>
      </c>
      <c r="CQ391" s="2">
        <f t="shared" si="358"/>
        <v>14.69</v>
      </c>
      <c r="CR391" s="2">
        <f>(ROUND((ROUND(((ET391)*AV391*1),2)*BB391),2)+ROUND((ROUND(((AE391-(EU391))*AV391*1),2)*BS391),2))</f>
        <v>0</v>
      </c>
      <c r="CS391" s="2">
        <f>(ROUND((ROUND(((EU391)*AV391*1),2)*BS391),2)+ROUND((ROUND(((AE391-(EU391))*AV391*1),2)*BS391),2))</f>
        <v>0</v>
      </c>
      <c r="CT391" s="2">
        <f t="shared" si="359"/>
        <v>0</v>
      </c>
      <c r="CU391" s="2">
        <f t="shared" si="360"/>
        <v>0</v>
      </c>
      <c r="CV391" s="2">
        <f t="shared" si="361"/>
        <v>0</v>
      </c>
      <c r="CW391" s="2">
        <f t="shared" si="362"/>
        <v>0</v>
      </c>
      <c r="CX391" s="2">
        <f t="shared" si="363"/>
        <v>0</v>
      </c>
      <c r="CY391" s="2">
        <f>(ROUND((((S391+ROUND((ROUND(((EU391)*AV391*1),2)*BS391),2))*AT391)/100),2)+ROUND(((ROUND((ROUND(((AE391-(EU391))*AV391*1),2)*BS391),2)*AT391)/100),2))</f>
        <v>0</v>
      </c>
      <c r="CZ391" s="2">
        <f>(ROUND((((S391+ROUND((ROUND(((EU391)*AV391*1),2)*BS391),2))*AU391)/100),2)+ROUND(((ROUND((ROUND(((AE391-(EU391))*AV391*1),2)*BS391),2)*AU391)/100),2))</f>
        <v>0</v>
      </c>
      <c r="DA391" s="2"/>
      <c r="DB391" s="2"/>
      <c r="DC391" s="2" t="s">
        <v>3</v>
      </c>
      <c r="DD391" s="2" t="s">
        <v>3</v>
      </c>
      <c r="DE391" s="2" t="s">
        <v>3</v>
      </c>
      <c r="DF391" s="2" t="s">
        <v>3</v>
      </c>
      <c r="DG391" s="2" t="s">
        <v>3</v>
      </c>
      <c r="DH391" s="2" t="s">
        <v>3</v>
      </c>
      <c r="DI391" s="2" t="s">
        <v>3</v>
      </c>
      <c r="DJ391" s="2" t="s">
        <v>3</v>
      </c>
      <c r="DK391" s="2" t="s">
        <v>3</v>
      </c>
      <c r="DL391" s="2" t="s">
        <v>3</v>
      </c>
      <c r="DM391" s="2" t="s">
        <v>3</v>
      </c>
      <c r="DN391" s="2">
        <v>0</v>
      </c>
      <c r="DO391" s="2">
        <v>0</v>
      </c>
      <c r="DP391" s="2">
        <v>1</v>
      </c>
      <c r="DQ391" s="2">
        <v>1</v>
      </c>
      <c r="DR391" s="2"/>
      <c r="DS391" s="2"/>
      <c r="DT391" s="2"/>
      <c r="DU391" s="2">
        <v>1013</v>
      </c>
      <c r="DV391" s="2" t="s">
        <v>153</v>
      </c>
      <c r="DW391" s="2" t="s">
        <v>153</v>
      </c>
      <c r="DX391" s="2">
        <v>1</v>
      </c>
      <c r="DY391" s="2"/>
      <c r="DZ391" s="2" t="s">
        <v>3</v>
      </c>
      <c r="EA391" s="2" t="s">
        <v>3</v>
      </c>
      <c r="EB391" s="2" t="s">
        <v>3</v>
      </c>
      <c r="EC391" s="2" t="s">
        <v>3</v>
      </c>
      <c r="ED391" s="2"/>
      <c r="EE391" s="2">
        <v>55393628</v>
      </c>
      <c r="EF391" s="2">
        <v>213</v>
      </c>
      <c r="EG391" s="2" t="s">
        <v>262</v>
      </c>
      <c r="EH391" s="2">
        <v>0</v>
      </c>
      <c r="EI391" s="2" t="s">
        <v>3</v>
      </c>
      <c r="EJ391" s="2">
        <v>1</v>
      </c>
      <c r="EK391" s="2">
        <v>400005</v>
      </c>
      <c r="EL391" s="2" t="s">
        <v>262</v>
      </c>
      <c r="EM391" s="2" t="s">
        <v>263</v>
      </c>
      <c r="EN391" s="2"/>
      <c r="EO391" s="2" t="s">
        <v>3</v>
      </c>
      <c r="EP391" s="2"/>
      <c r="EQ391" s="2">
        <v>16</v>
      </c>
      <c r="ER391" s="2">
        <v>0</v>
      </c>
      <c r="ES391" s="2">
        <v>14.69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>
        <v>0</v>
      </c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>
        <v>0</v>
      </c>
      <c r="FR391" s="2">
        <v>0</v>
      </c>
      <c r="FS391" s="2">
        <v>0</v>
      </c>
      <c r="FT391" s="2"/>
      <c r="FU391" s="2"/>
      <c r="FV391" s="2"/>
      <c r="FW391" s="2"/>
      <c r="FX391" s="2">
        <v>0</v>
      </c>
      <c r="FY391" s="2">
        <v>0</v>
      </c>
      <c r="FZ391" s="2"/>
      <c r="GA391" s="2" t="s">
        <v>264</v>
      </c>
      <c r="GB391" s="2"/>
      <c r="GC391" s="2"/>
      <c r="GD391" s="2">
        <v>1</v>
      </c>
      <c r="GE391" s="2"/>
      <c r="GF391" s="2">
        <v>-289801141</v>
      </c>
      <c r="GG391" s="2">
        <v>2</v>
      </c>
      <c r="GH391" s="2">
        <v>4</v>
      </c>
      <c r="GI391" s="2">
        <v>-2</v>
      </c>
      <c r="GJ391" s="2">
        <v>0</v>
      </c>
      <c r="GK391" s="2">
        <v>0</v>
      </c>
      <c r="GL391" s="2">
        <f t="shared" si="364"/>
        <v>0</v>
      </c>
      <c r="GM391" s="2">
        <f t="shared" si="365"/>
        <v>616.98</v>
      </c>
      <c r="GN391" s="2">
        <f t="shared" si="366"/>
        <v>0</v>
      </c>
      <c r="GO391" s="2">
        <f t="shared" si="367"/>
        <v>616.98</v>
      </c>
      <c r="GP391" s="2">
        <f t="shared" si="368"/>
        <v>0</v>
      </c>
      <c r="GQ391" s="2"/>
      <c r="GR391" s="2">
        <v>1</v>
      </c>
      <c r="GS391" s="2">
        <v>2</v>
      </c>
      <c r="GT391" s="2">
        <v>0</v>
      </c>
      <c r="GU391" s="2" t="s">
        <v>3</v>
      </c>
      <c r="GV391" s="2">
        <f t="shared" si="369"/>
        <v>0</v>
      </c>
      <c r="GW391" s="2">
        <v>1</v>
      </c>
      <c r="GX391" s="2">
        <f t="shared" si="370"/>
        <v>0</v>
      </c>
      <c r="GY391" s="2"/>
      <c r="GZ391" s="2"/>
      <c r="HA391" s="2">
        <v>0</v>
      </c>
      <c r="HB391" s="2">
        <v>0</v>
      </c>
      <c r="HC391" s="2">
        <f t="shared" si="371"/>
        <v>0</v>
      </c>
      <c r="HD391" s="2"/>
      <c r="HE391" s="2" t="s">
        <v>265</v>
      </c>
      <c r="HF391" s="2" t="s">
        <v>30</v>
      </c>
      <c r="HG391" s="2"/>
      <c r="HH391" s="2"/>
      <c r="HI391" s="2"/>
      <c r="HJ391" s="2"/>
      <c r="HK391" s="2"/>
      <c r="HL391" s="2"/>
      <c r="HM391" s="2" t="s">
        <v>3</v>
      </c>
      <c r="HN391" s="2" t="s">
        <v>3</v>
      </c>
      <c r="HO391" s="2" t="s">
        <v>3</v>
      </c>
      <c r="HP391" s="2" t="s">
        <v>3</v>
      </c>
      <c r="HQ391" s="2" t="s">
        <v>3</v>
      </c>
      <c r="HR391" s="2"/>
      <c r="HS391" s="2">
        <v>0</v>
      </c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>
        <v>0</v>
      </c>
      <c r="IL391" s="2"/>
      <c r="IM391" s="2"/>
      <c r="IN391" s="2"/>
      <c r="IO391" s="2"/>
      <c r="IP391" s="2"/>
      <c r="IQ391" s="2"/>
      <c r="IR391" s="2"/>
      <c r="IS391" s="2"/>
      <c r="IT391" s="2"/>
      <c r="IU391" s="2"/>
    </row>
    <row r="392" spans="1:255" x14ac:dyDescent="0.2">
      <c r="A392" s="3">
        <v>17</v>
      </c>
      <c r="B392" s="3">
        <v>1</v>
      </c>
      <c r="E392" s="3" t="s">
        <v>313</v>
      </c>
      <c r="F392" s="3" t="s">
        <v>314</v>
      </c>
      <c r="G392" s="3" t="s">
        <v>315</v>
      </c>
      <c r="H392" s="3" t="s">
        <v>153</v>
      </c>
      <c r="I392" s="3">
        <v>42</v>
      </c>
      <c r="J392" s="3">
        <v>0</v>
      </c>
      <c r="K392" s="3">
        <v>42</v>
      </c>
      <c r="O392" s="3">
        <f t="shared" si="347"/>
        <v>4670.54</v>
      </c>
      <c r="P392" s="3">
        <f t="shared" si="348"/>
        <v>4670.54</v>
      </c>
      <c r="Q392" s="3">
        <f>(ROUND((ROUND(((ET392)*AV392*I392),2)*BB392),2)+ROUND((ROUND(((AE392-(EU392))*AV392*I392),2)*BS392),2))</f>
        <v>0</v>
      </c>
      <c r="R392" s="3">
        <f>(ROUND((ROUND(((EU392)*AV392*I392),2)*BS392),2)+ROUND((ROUND(((AE392-(EU392))*AV392*I392),2)*BS392),2))</f>
        <v>0</v>
      </c>
      <c r="S392" s="3">
        <f t="shared" si="349"/>
        <v>0</v>
      </c>
      <c r="T392" s="3">
        <f t="shared" si="350"/>
        <v>0</v>
      </c>
      <c r="U392" s="3">
        <f t="shared" si="351"/>
        <v>0</v>
      </c>
      <c r="V392" s="3">
        <f t="shared" si="352"/>
        <v>0</v>
      </c>
      <c r="W392" s="3">
        <f t="shared" si="353"/>
        <v>0</v>
      </c>
      <c r="X392" s="3">
        <f>(ROUND((((S392+ROUND((ROUND(((EU392)*AV392*I392),2)*BS392),2))*AT392)/100),2)+ROUND(((ROUND((ROUND(((AE392-(EU392))*AV392*I392),2)*BS392),2)*AT392)/100),2))</f>
        <v>0</v>
      </c>
      <c r="Y392" s="3">
        <f>(ROUND((((S392+ROUND((ROUND(((EU392)*AV392*I392),2)*BS392),2))*AU392)/100),2)+ROUND(((ROUND((ROUND(((AE392-(EU392))*AV392*I392),2)*BS392),2)*AU392)/100),2))</f>
        <v>0</v>
      </c>
      <c r="AA392" s="3">
        <v>55915258</v>
      </c>
      <c r="AB392" s="3">
        <f t="shared" si="354"/>
        <v>14.69</v>
      </c>
      <c r="AC392" s="3">
        <f>ROUND((ES392),6)</f>
        <v>14.69</v>
      </c>
      <c r="AD392" s="3">
        <f>ROUND((((ET392)-(EU392))+AE392),6)</f>
        <v>0</v>
      </c>
      <c r="AE392" s="3">
        <f>ROUND((EU392),6)</f>
        <v>0</v>
      </c>
      <c r="AF392" s="3">
        <f>ROUND((EV392),6)</f>
        <v>0</v>
      </c>
      <c r="AG392" s="3">
        <f t="shared" si="355"/>
        <v>0</v>
      </c>
      <c r="AH392" s="3">
        <f>(EW392)</f>
        <v>0</v>
      </c>
      <c r="AI392" s="3">
        <f>(EX392)</f>
        <v>0</v>
      </c>
      <c r="AJ392" s="3">
        <f t="shared" si="356"/>
        <v>0</v>
      </c>
      <c r="AK392" s="3">
        <v>14.69</v>
      </c>
      <c r="AL392" s="3">
        <v>14.69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1</v>
      </c>
      <c r="AW392" s="3">
        <v>1</v>
      </c>
      <c r="AZ392" s="3">
        <v>1</v>
      </c>
      <c r="BA392" s="3">
        <v>1</v>
      </c>
      <c r="BB392" s="3">
        <v>1</v>
      </c>
      <c r="BC392" s="3">
        <v>7.57</v>
      </c>
      <c r="BD392" s="3" t="s">
        <v>3</v>
      </c>
      <c r="BE392" s="3" t="s">
        <v>3</v>
      </c>
      <c r="BF392" s="3" t="s">
        <v>3</v>
      </c>
      <c r="BG392" s="3" t="s">
        <v>3</v>
      </c>
      <c r="BH392" s="3">
        <v>3</v>
      </c>
      <c r="BI392" s="3">
        <v>2</v>
      </c>
      <c r="BJ392" s="3" t="s">
        <v>314</v>
      </c>
      <c r="BM392" s="3">
        <v>400005</v>
      </c>
      <c r="BN392" s="3">
        <v>0</v>
      </c>
      <c r="BO392" s="3" t="s">
        <v>3</v>
      </c>
      <c r="BP392" s="3">
        <v>0</v>
      </c>
      <c r="BQ392" s="3">
        <v>213</v>
      </c>
      <c r="BR392" s="3">
        <v>0</v>
      </c>
      <c r="BS392" s="3">
        <v>1</v>
      </c>
      <c r="BT392" s="3">
        <v>1</v>
      </c>
      <c r="BU392" s="3">
        <v>1</v>
      </c>
      <c r="BV392" s="3">
        <v>1</v>
      </c>
      <c r="BW392" s="3">
        <v>1</v>
      </c>
      <c r="BX392" s="3">
        <v>1</v>
      </c>
      <c r="BY392" s="3" t="s">
        <v>3</v>
      </c>
      <c r="BZ392" s="3">
        <v>0</v>
      </c>
      <c r="CA392" s="3">
        <v>0</v>
      </c>
      <c r="CB392" s="3" t="s">
        <v>3</v>
      </c>
      <c r="CE392" s="3">
        <v>1566</v>
      </c>
      <c r="CF392" s="3">
        <v>0</v>
      </c>
      <c r="CG392" s="3">
        <v>0</v>
      </c>
      <c r="CM392" s="3">
        <v>0</v>
      </c>
      <c r="CN392" s="3" t="s">
        <v>3</v>
      </c>
      <c r="CO392" s="3">
        <v>0</v>
      </c>
      <c r="CP392" s="3">
        <f t="shared" si="357"/>
        <v>4670.54</v>
      </c>
      <c r="CQ392" s="3">
        <f t="shared" si="358"/>
        <v>111.2</v>
      </c>
      <c r="CR392" s="3">
        <f>(ROUND((ROUND(((ET392)*AV392*1),2)*BB392),2)+ROUND((ROUND(((AE392-(EU392))*AV392*1),2)*BS392),2))</f>
        <v>0</v>
      </c>
      <c r="CS392" s="3">
        <f>(ROUND((ROUND(((EU392)*AV392*1),2)*BS392),2)+ROUND((ROUND(((AE392-(EU392))*AV392*1),2)*BS392),2))</f>
        <v>0</v>
      </c>
      <c r="CT392" s="3">
        <f t="shared" si="359"/>
        <v>0</v>
      </c>
      <c r="CU392" s="3">
        <f t="shared" si="360"/>
        <v>0</v>
      </c>
      <c r="CV392" s="3">
        <f t="shared" si="361"/>
        <v>0</v>
      </c>
      <c r="CW392" s="3">
        <f t="shared" si="362"/>
        <v>0</v>
      </c>
      <c r="CX392" s="3">
        <f t="shared" si="363"/>
        <v>0</v>
      </c>
      <c r="CY392" s="3">
        <f>(ROUND((((S392+ROUND((ROUND(((EU392)*AV392*1),2)*BS392),2))*AT392)/100),2)+ROUND(((ROUND((ROUND(((AE392-(EU392))*AV392*1),2)*BS392),2)*AT392)/100),2))</f>
        <v>0</v>
      </c>
      <c r="CZ392" s="3">
        <f>(ROUND((((S392+ROUND((ROUND(((EU392)*AV392*1),2)*BS392),2))*AU392)/100),2)+ROUND(((ROUND((ROUND(((AE392-(EU392))*AV392*1),2)*BS392),2)*AU392)/100),2))</f>
        <v>0</v>
      </c>
      <c r="DC392" s="3" t="s">
        <v>3</v>
      </c>
      <c r="DD392" s="3" t="s">
        <v>3</v>
      </c>
      <c r="DE392" s="3" t="s">
        <v>3</v>
      </c>
      <c r="DF392" s="3" t="s">
        <v>3</v>
      </c>
      <c r="DG392" s="3" t="s">
        <v>3</v>
      </c>
      <c r="DH392" s="3" t="s">
        <v>3</v>
      </c>
      <c r="DI392" s="3" t="s">
        <v>3</v>
      </c>
      <c r="DJ392" s="3" t="s">
        <v>3</v>
      </c>
      <c r="DK392" s="3" t="s">
        <v>3</v>
      </c>
      <c r="DL392" s="3" t="s">
        <v>3</v>
      </c>
      <c r="DM392" s="3" t="s">
        <v>3</v>
      </c>
      <c r="DN392" s="3">
        <v>0</v>
      </c>
      <c r="DO392" s="3">
        <v>0</v>
      </c>
      <c r="DP392" s="3">
        <v>1</v>
      </c>
      <c r="DQ392" s="3">
        <v>1</v>
      </c>
      <c r="DU392" s="3">
        <v>1013</v>
      </c>
      <c r="DV392" s="3" t="s">
        <v>153</v>
      </c>
      <c r="DW392" s="3" t="s">
        <v>153</v>
      </c>
      <c r="DX392" s="3">
        <v>1</v>
      </c>
      <c r="DZ392" s="3" t="s">
        <v>3</v>
      </c>
      <c r="EA392" s="3" t="s">
        <v>3</v>
      </c>
      <c r="EB392" s="3" t="s">
        <v>3</v>
      </c>
      <c r="EC392" s="3" t="s">
        <v>3</v>
      </c>
      <c r="EE392" s="3">
        <v>55393628</v>
      </c>
      <c r="EF392" s="3">
        <v>213</v>
      </c>
      <c r="EG392" s="3" t="s">
        <v>262</v>
      </c>
      <c r="EH392" s="3">
        <v>0</v>
      </c>
      <c r="EI392" s="3" t="s">
        <v>3</v>
      </c>
      <c r="EJ392" s="3">
        <v>1</v>
      </c>
      <c r="EK392" s="3">
        <v>400005</v>
      </c>
      <c r="EL392" s="3" t="s">
        <v>262</v>
      </c>
      <c r="EM392" s="3" t="s">
        <v>263</v>
      </c>
      <c r="EO392" s="3" t="s">
        <v>3</v>
      </c>
      <c r="EQ392" s="3">
        <v>16</v>
      </c>
      <c r="ER392" s="3">
        <v>0</v>
      </c>
      <c r="ES392" s="3">
        <v>14.69</v>
      </c>
      <c r="ET392" s="3">
        <v>0</v>
      </c>
      <c r="EU392" s="3">
        <v>0</v>
      </c>
      <c r="EV392" s="3">
        <v>0</v>
      </c>
      <c r="EW392" s="3">
        <v>0</v>
      </c>
      <c r="EX392" s="3">
        <v>0</v>
      </c>
      <c r="EY392" s="3">
        <v>0</v>
      </c>
      <c r="EZ392" s="3">
        <v>5</v>
      </c>
      <c r="FC392" s="3">
        <v>1</v>
      </c>
      <c r="FD392" s="3">
        <v>18</v>
      </c>
      <c r="FF392" s="3">
        <v>133</v>
      </c>
      <c r="FQ392" s="3">
        <v>0</v>
      </c>
      <c r="FR392" s="3">
        <v>0</v>
      </c>
      <c r="FS392" s="3">
        <v>0</v>
      </c>
      <c r="FX392" s="3">
        <v>0</v>
      </c>
      <c r="FY392" s="3">
        <v>0</v>
      </c>
      <c r="GA392" s="3" t="s">
        <v>264</v>
      </c>
      <c r="GD392" s="3">
        <v>1</v>
      </c>
      <c r="GF392" s="3">
        <v>-289801141</v>
      </c>
      <c r="GG392" s="3">
        <v>2</v>
      </c>
      <c r="GH392" s="3">
        <v>3</v>
      </c>
      <c r="GI392" s="3">
        <v>5</v>
      </c>
      <c r="GJ392" s="3">
        <v>0</v>
      </c>
      <c r="GK392" s="3">
        <v>0</v>
      </c>
      <c r="GL392" s="3">
        <f t="shared" si="364"/>
        <v>0</v>
      </c>
      <c r="GM392" s="3">
        <f t="shared" si="365"/>
        <v>4670.54</v>
      </c>
      <c r="GN392" s="3">
        <f t="shared" si="366"/>
        <v>0</v>
      </c>
      <c r="GO392" s="3">
        <f t="shared" si="367"/>
        <v>4670.54</v>
      </c>
      <c r="GP392" s="3">
        <f t="shared" si="368"/>
        <v>0</v>
      </c>
      <c r="GR392" s="3">
        <v>1</v>
      </c>
      <c r="GS392" s="3">
        <v>1</v>
      </c>
      <c r="GT392" s="3">
        <v>0</v>
      </c>
      <c r="GU392" s="3" t="s">
        <v>3</v>
      </c>
      <c r="GV392" s="3">
        <f t="shared" si="369"/>
        <v>0</v>
      </c>
      <c r="GW392" s="3">
        <v>1</v>
      </c>
      <c r="GX392" s="3">
        <f t="shared" si="370"/>
        <v>0</v>
      </c>
      <c r="HA392" s="3">
        <v>0</v>
      </c>
      <c r="HB392" s="3">
        <v>0</v>
      </c>
      <c r="HC392" s="3">
        <f t="shared" si="371"/>
        <v>0</v>
      </c>
      <c r="HE392" s="3" t="s">
        <v>265</v>
      </c>
      <c r="HF392" s="3" t="s">
        <v>30</v>
      </c>
      <c r="HM392" s="3" t="s">
        <v>3</v>
      </c>
      <c r="HN392" s="3" t="s">
        <v>3</v>
      </c>
      <c r="HO392" s="3" t="s">
        <v>3</v>
      </c>
      <c r="HP392" s="3" t="s">
        <v>3</v>
      </c>
      <c r="HQ392" s="3" t="s">
        <v>3</v>
      </c>
      <c r="HS392" s="3">
        <v>0</v>
      </c>
      <c r="IK392" s="3">
        <v>0</v>
      </c>
    </row>
    <row r="393" spans="1:255" x14ac:dyDescent="0.2">
      <c r="A393" s="2">
        <v>17</v>
      </c>
      <c r="B393" s="2">
        <v>1</v>
      </c>
      <c r="C393" s="2">
        <f>ROW(SmtRes!A163)</f>
        <v>163</v>
      </c>
      <c r="D393" s="2">
        <f>ROW(EtalonRes!A192)</f>
        <v>192</v>
      </c>
      <c r="E393" s="2" t="s">
        <v>316</v>
      </c>
      <c r="F393" s="2" t="s">
        <v>317</v>
      </c>
      <c r="G393" s="2" t="s">
        <v>318</v>
      </c>
      <c r="H393" s="2" t="s">
        <v>319</v>
      </c>
      <c r="I393" s="2">
        <f>ROUND((3181+55)/100,9)</f>
        <v>32.36</v>
      </c>
      <c r="J393" s="2">
        <v>0</v>
      </c>
      <c r="K393" s="2">
        <f>ROUND((3181+55)/100,9)</f>
        <v>32.36</v>
      </c>
      <c r="L393" s="2"/>
      <c r="M393" s="2"/>
      <c r="N393" s="2"/>
      <c r="O393" s="2">
        <f t="shared" si="347"/>
        <v>649.45000000000005</v>
      </c>
      <c r="P393" s="2">
        <f t="shared" si="348"/>
        <v>18.45</v>
      </c>
      <c r="Q393" s="2">
        <f>(ROUND((ROUND((((ET393*1.2))*AV393*I393),2)*BB393),2)+ROUND((ROUND(((AE393-((EU393*1.2)))*AV393*I393),2)*BS393),2))</f>
        <v>0</v>
      </c>
      <c r="R393" s="2">
        <f>(ROUND((ROUND((((EU393*1.2))*AV393*I393),2)*BS393),2)+ROUND((ROUND(((AE393-((EU393*1.2)))*AV393*I393),2)*BS393),2))</f>
        <v>0</v>
      </c>
      <c r="S393" s="2">
        <f t="shared" si="349"/>
        <v>631</v>
      </c>
      <c r="T393" s="2">
        <f t="shared" si="350"/>
        <v>0</v>
      </c>
      <c r="U393" s="2">
        <f t="shared" si="351"/>
        <v>51.227951039999994</v>
      </c>
      <c r="V393" s="2">
        <f t="shared" si="352"/>
        <v>0</v>
      </c>
      <c r="W393" s="2">
        <f t="shared" si="353"/>
        <v>0</v>
      </c>
      <c r="X393" s="2">
        <f>(ROUND((((S393+ROUND((ROUND((((EU393*1.2))*AV393*I393),2)*BS393),2))*AT393)/100),2)+ROUND(((ROUND((ROUND(((AE393-((EU393*1.2)))*AV393*I393),2)*BS393),2)*AT393)/100),2))</f>
        <v>612.07000000000005</v>
      </c>
      <c r="Y393" s="2">
        <f>(ROUND((((S393+ROUND((ROUND((((EU393*1.2))*AV393*I393),2)*BS393),2))*AU393)/100),2)+ROUND(((ROUND((ROUND(((AE393-((EU393*1.2)))*AV393*I393),2)*BS393),2)*AU393)/100),2))</f>
        <v>321.81</v>
      </c>
      <c r="Z393" s="2"/>
      <c r="AA393" s="2">
        <v>55915256</v>
      </c>
      <c r="AB393" s="2">
        <f t="shared" si="354"/>
        <v>19.193999999999999</v>
      </c>
      <c r="AC393" s="2">
        <f>ROUND(((ES393*1)),6)</f>
        <v>0.56999999999999995</v>
      </c>
      <c r="AD393" s="2">
        <f>ROUND(((((ET393*1.2))-((EU393*1.2)))+AE393),6)</f>
        <v>0</v>
      </c>
      <c r="AE393" s="2">
        <f>ROUND(((EU393*1.2)),6)</f>
        <v>0</v>
      </c>
      <c r="AF393" s="2">
        <f>ROUND(((EV393*1.2)),6)</f>
        <v>18.623999999999999</v>
      </c>
      <c r="AG393" s="2">
        <f t="shared" si="355"/>
        <v>0</v>
      </c>
      <c r="AH393" s="2">
        <f>((EW393*1.2))</f>
        <v>1.512</v>
      </c>
      <c r="AI393" s="2">
        <f>((EX393*1.2))</f>
        <v>0</v>
      </c>
      <c r="AJ393" s="2">
        <f t="shared" si="356"/>
        <v>0</v>
      </c>
      <c r="AK393" s="2">
        <v>16.09</v>
      </c>
      <c r="AL393" s="2">
        <v>0.56999999999999995</v>
      </c>
      <c r="AM393" s="2">
        <v>0</v>
      </c>
      <c r="AN393" s="2">
        <v>0</v>
      </c>
      <c r="AO393" s="2">
        <v>15.52</v>
      </c>
      <c r="AP393" s="2">
        <v>0</v>
      </c>
      <c r="AQ393" s="2">
        <v>1.26</v>
      </c>
      <c r="AR393" s="2">
        <v>0</v>
      </c>
      <c r="AS393" s="2">
        <v>0</v>
      </c>
      <c r="AT393" s="2">
        <v>97</v>
      </c>
      <c r="AU393" s="2">
        <v>51</v>
      </c>
      <c r="AV393" s="2">
        <v>1.0469999999999999</v>
      </c>
      <c r="AW393" s="2">
        <v>1</v>
      </c>
      <c r="AX393" s="2"/>
      <c r="AY393" s="2"/>
      <c r="AZ393" s="2">
        <v>1</v>
      </c>
      <c r="BA393" s="2">
        <v>1</v>
      </c>
      <c r="BB393" s="2">
        <v>1</v>
      </c>
      <c r="BC393" s="2">
        <v>1</v>
      </c>
      <c r="BD393" s="2" t="s">
        <v>3</v>
      </c>
      <c r="BE393" s="2" t="s">
        <v>3</v>
      </c>
      <c r="BF393" s="2" t="s">
        <v>3</v>
      </c>
      <c r="BG393" s="2" t="s">
        <v>3</v>
      </c>
      <c r="BH393" s="2">
        <v>0</v>
      </c>
      <c r="BI393" s="2">
        <v>2</v>
      </c>
      <c r="BJ393" s="2" t="s">
        <v>320</v>
      </c>
      <c r="BK393" s="2"/>
      <c r="BL393" s="2"/>
      <c r="BM393" s="2">
        <v>67</v>
      </c>
      <c r="BN393" s="2">
        <v>0</v>
      </c>
      <c r="BO393" s="2" t="s">
        <v>317</v>
      </c>
      <c r="BP393" s="2">
        <v>1</v>
      </c>
      <c r="BQ393" s="2">
        <v>40</v>
      </c>
      <c r="BR393" s="2">
        <v>0</v>
      </c>
      <c r="BS393" s="2">
        <v>1</v>
      </c>
      <c r="BT393" s="2">
        <v>1</v>
      </c>
      <c r="BU393" s="2">
        <v>1</v>
      </c>
      <c r="BV393" s="2">
        <v>1</v>
      </c>
      <c r="BW393" s="2">
        <v>1</v>
      </c>
      <c r="BX393" s="2">
        <v>1</v>
      </c>
      <c r="BY393" s="2" t="s">
        <v>3</v>
      </c>
      <c r="BZ393" s="2">
        <v>97</v>
      </c>
      <c r="CA393" s="2">
        <v>51</v>
      </c>
      <c r="CB393" s="2" t="s">
        <v>3</v>
      </c>
      <c r="CC393" s="2"/>
      <c r="CD393" s="2"/>
      <c r="CE393" s="2">
        <v>1566</v>
      </c>
      <c r="CF393" s="2">
        <v>0</v>
      </c>
      <c r="CG393" s="2">
        <v>0</v>
      </c>
      <c r="CH393" s="2"/>
      <c r="CI393" s="2"/>
      <c r="CJ393" s="2"/>
      <c r="CK393" s="2"/>
      <c r="CL393" s="2"/>
      <c r="CM393" s="2">
        <v>0</v>
      </c>
      <c r="CN393" s="2" t="s">
        <v>605</v>
      </c>
      <c r="CO393" s="2">
        <v>0</v>
      </c>
      <c r="CP393" s="2">
        <f t="shared" si="357"/>
        <v>649.45000000000005</v>
      </c>
      <c r="CQ393" s="2">
        <f t="shared" si="358"/>
        <v>0.56999999999999995</v>
      </c>
      <c r="CR393" s="2">
        <f>(ROUND((ROUND((((ET393*1.2))*AV393*1),2)*BB393),2)+ROUND((ROUND(((AE393-((EU393*1.2)))*AV393*1),2)*BS393),2))</f>
        <v>0</v>
      </c>
      <c r="CS393" s="2">
        <f>(ROUND((ROUND((((EU393*1.2))*AV393*1),2)*BS393),2)+ROUND((ROUND(((AE393-((EU393*1.2)))*AV393*1),2)*BS393),2))</f>
        <v>0</v>
      </c>
      <c r="CT393" s="2">
        <f t="shared" si="359"/>
        <v>19.5</v>
      </c>
      <c r="CU393" s="2">
        <f t="shared" si="360"/>
        <v>0</v>
      </c>
      <c r="CV393" s="2">
        <f t="shared" si="361"/>
        <v>1.5830639999999998</v>
      </c>
      <c r="CW393" s="2">
        <f t="shared" si="362"/>
        <v>0</v>
      </c>
      <c r="CX393" s="2">
        <f t="shared" si="363"/>
        <v>0</v>
      </c>
      <c r="CY393" s="2">
        <f>(ROUND((((S393+ROUND((ROUND((((EU393*1.2))*AV393*1),2)*BS393),2))*AT393)/100),2)+ROUND(((ROUND((ROUND(((AE393-((EU393*1.2)))*AV393*1),2)*BS393),2)*AT393)/100),2))</f>
        <v>612.07000000000005</v>
      </c>
      <c r="CZ393" s="2">
        <f>(ROUND((((S393+ROUND((ROUND((((EU393*1.2))*AV393*1),2)*BS393),2))*AU393)/100),2)+ROUND(((ROUND((ROUND(((AE393-((EU393*1.2)))*AV393*1),2)*BS393),2)*AU393)/100),2))</f>
        <v>321.81</v>
      </c>
      <c r="DA393" s="2"/>
      <c r="DB393" s="2">
        <v>87</v>
      </c>
      <c r="DC393" s="2" t="s">
        <v>3</v>
      </c>
      <c r="DD393" s="2" t="s">
        <v>77</v>
      </c>
      <c r="DE393" s="2" t="s">
        <v>78</v>
      </c>
      <c r="DF393" s="2" t="s">
        <v>78</v>
      </c>
      <c r="DG393" s="2" t="s">
        <v>78</v>
      </c>
      <c r="DH393" s="2" t="s">
        <v>3</v>
      </c>
      <c r="DI393" s="2" t="s">
        <v>78</v>
      </c>
      <c r="DJ393" s="2" t="s">
        <v>78</v>
      </c>
      <c r="DK393" s="2" t="s">
        <v>3</v>
      </c>
      <c r="DL393" s="2" t="s">
        <v>3</v>
      </c>
      <c r="DM393" s="2" t="s">
        <v>3</v>
      </c>
      <c r="DN393" s="2">
        <v>0</v>
      </c>
      <c r="DO393" s="2">
        <v>0</v>
      </c>
      <c r="DP393" s="2">
        <v>1</v>
      </c>
      <c r="DQ393" s="2">
        <v>1</v>
      </c>
      <c r="DR393" s="2"/>
      <c r="DS393" s="2"/>
      <c r="DT393" s="2"/>
      <c r="DU393" s="2">
        <v>1013</v>
      </c>
      <c r="DV393" s="2" t="s">
        <v>319</v>
      </c>
      <c r="DW393" s="2" t="s">
        <v>319</v>
      </c>
      <c r="DX393" s="2">
        <v>1</v>
      </c>
      <c r="DY393" s="2"/>
      <c r="DZ393" s="2" t="s">
        <v>3</v>
      </c>
      <c r="EA393" s="2" t="s">
        <v>3</v>
      </c>
      <c r="EB393" s="2" t="s">
        <v>3</v>
      </c>
      <c r="EC393" s="2" t="s">
        <v>3</v>
      </c>
      <c r="ED393" s="2"/>
      <c r="EE393" s="2">
        <v>55393699</v>
      </c>
      <c r="EF393" s="2">
        <v>40</v>
      </c>
      <c r="EG393" s="2" t="s">
        <v>26</v>
      </c>
      <c r="EH393" s="2">
        <v>0</v>
      </c>
      <c r="EI393" s="2" t="s">
        <v>3</v>
      </c>
      <c r="EJ393" s="2">
        <v>2</v>
      </c>
      <c r="EK393" s="2">
        <v>67</v>
      </c>
      <c r="EL393" s="2" t="s">
        <v>91</v>
      </c>
      <c r="EM393" s="2" t="s">
        <v>92</v>
      </c>
      <c r="EN393" s="2"/>
      <c r="EO393" s="2" t="s">
        <v>82</v>
      </c>
      <c r="EP393" s="2"/>
      <c r="EQ393" s="2">
        <v>0</v>
      </c>
      <c r="ER393" s="2">
        <v>16.09</v>
      </c>
      <c r="ES393" s="2">
        <v>0.56999999999999995</v>
      </c>
      <c r="ET393" s="2">
        <v>0</v>
      </c>
      <c r="EU393" s="2">
        <v>0</v>
      </c>
      <c r="EV393" s="2">
        <v>15.52</v>
      </c>
      <c r="EW393" s="2">
        <v>1.26</v>
      </c>
      <c r="EX393" s="2">
        <v>0</v>
      </c>
      <c r="EY393" s="2">
        <v>0</v>
      </c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>
        <v>0</v>
      </c>
      <c r="FR393" s="2">
        <v>0</v>
      </c>
      <c r="FS393" s="2">
        <v>0</v>
      </c>
      <c r="FT393" s="2"/>
      <c r="FU393" s="2"/>
      <c r="FV393" s="2"/>
      <c r="FW393" s="2"/>
      <c r="FX393" s="2">
        <v>97</v>
      </c>
      <c r="FY393" s="2">
        <v>51</v>
      </c>
      <c r="FZ393" s="2"/>
      <c r="GA393" s="2" t="s">
        <v>3</v>
      </c>
      <c r="GB393" s="2"/>
      <c r="GC393" s="2"/>
      <c r="GD393" s="2">
        <v>1</v>
      </c>
      <c r="GE393" s="2"/>
      <c r="GF393" s="2">
        <v>2037938139</v>
      </c>
      <c r="GG393" s="2">
        <v>2</v>
      </c>
      <c r="GH393" s="2">
        <v>1</v>
      </c>
      <c r="GI393" s="2">
        <v>2</v>
      </c>
      <c r="GJ393" s="2">
        <v>0</v>
      </c>
      <c r="GK393" s="2">
        <v>0</v>
      </c>
      <c r="GL393" s="2">
        <f t="shared" si="364"/>
        <v>0</v>
      </c>
      <c r="GM393" s="2">
        <f t="shared" si="365"/>
        <v>1583.33</v>
      </c>
      <c r="GN393" s="2">
        <f t="shared" si="366"/>
        <v>0</v>
      </c>
      <c r="GO393" s="2">
        <f t="shared" si="367"/>
        <v>1583.33</v>
      </c>
      <c r="GP393" s="2">
        <f t="shared" si="368"/>
        <v>0</v>
      </c>
      <c r="GQ393" s="2"/>
      <c r="GR393" s="2">
        <v>0</v>
      </c>
      <c r="GS393" s="2">
        <v>3</v>
      </c>
      <c r="GT393" s="2">
        <v>0</v>
      </c>
      <c r="GU393" s="2" t="s">
        <v>3</v>
      </c>
      <c r="GV393" s="2">
        <f t="shared" si="369"/>
        <v>0</v>
      </c>
      <c r="GW393" s="2">
        <v>1</v>
      </c>
      <c r="GX393" s="2">
        <f t="shared" si="370"/>
        <v>0</v>
      </c>
      <c r="GY393" s="2"/>
      <c r="GZ393" s="2"/>
      <c r="HA393" s="2">
        <v>0</v>
      </c>
      <c r="HB393" s="2">
        <v>0</v>
      </c>
      <c r="HC393" s="2">
        <f t="shared" si="371"/>
        <v>0</v>
      </c>
      <c r="HD393" s="2"/>
      <c r="HE393" s="2" t="s">
        <v>3</v>
      </c>
      <c r="HF393" s="2" t="s">
        <v>3</v>
      </c>
      <c r="HG393" s="2"/>
      <c r="HH393" s="2"/>
      <c r="HI393" s="2"/>
      <c r="HJ393" s="2"/>
      <c r="HK393" s="2"/>
      <c r="HL393" s="2"/>
      <c r="HM393" s="2" t="s">
        <v>3</v>
      </c>
      <c r="HN393" s="2" t="s">
        <v>3</v>
      </c>
      <c r="HO393" s="2" t="s">
        <v>3</v>
      </c>
      <c r="HP393" s="2" t="s">
        <v>3</v>
      </c>
      <c r="HQ393" s="2" t="s">
        <v>3</v>
      </c>
      <c r="HR393" s="2"/>
      <c r="HS393" s="2">
        <v>0</v>
      </c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>
        <v>0</v>
      </c>
      <c r="IL393" s="2"/>
      <c r="IM393" s="2"/>
      <c r="IN393" s="2"/>
      <c r="IO393" s="2"/>
      <c r="IP393" s="2"/>
      <c r="IQ393" s="2"/>
      <c r="IR393" s="2"/>
      <c r="IS393" s="2"/>
      <c r="IT393" s="2"/>
      <c r="IU393" s="2"/>
    </row>
    <row r="394" spans="1:255" x14ac:dyDescent="0.2">
      <c r="A394" s="3">
        <v>17</v>
      </c>
      <c r="B394" s="3">
        <v>1</v>
      </c>
      <c r="C394" s="3">
        <f>ROW(SmtRes!A164)</f>
        <v>164</v>
      </c>
      <c r="D394" s="3">
        <f>ROW(EtalonRes!A194)</f>
        <v>194</v>
      </c>
      <c r="E394" s="3" t="s">
        <v>316</v>
      </c>
      <c r="F394" s="3" t="s">
        <v>317</v>
      </c>
      <c r="G394" s="3" t="s">
        <v>318</v>
      </c>
      <c r="H394" s="3" t="s">
        <v>319</v>
      </c>
      <c r="I394" s="3">
        <f>ROUND((3181+55)/100,9)</f>
        <v>32.36</v>
      </c>
      <c r="J394" s="3">
        <v>0</v>
      </c>
      <c r="K394" s="3">
        <f>ROUND((3181+55)/100,9)</f>
        <v>32.36</v>
      </c>
      <c r="O394" s="3">
        <f t="shared" si="347"/>
        <v>35892.46</v>
      </c>
      <c r="P394" s="3">
        <f t="shared" si="348"/>
        <v>335.61</v>
      </c>
      <c r="Q394" s="3">
        <f>(ROUND((ROUND((((ET394*1.2))*AV394*I394),2)*BB394),2)+ROUND((ROUND(((AE394-((EU394*1.2)))*AV394*I394),2)*BS394),2))</f>
        <v>0</v>
      </c>
      <c r="R394" s="3">
        <f>(ROUND((ROUND((((EU394*1.2))*AV394*I394),2)*BS394),2)+ROUND((ROUND(((AE394-((EU394*1.2)))*AV394*I394),2)*BS394),2))</f>
        <v>0</v>
      </c>
      <c r="S394" s="3">
        <f t="shared" si="349"/>
        <v>35556.85</v>
      </c>
      <c r="T394" s="3">
        <f t="shared" si="350"/>
        <v>0</v>
      </c>
      <c r="U394" s="3">
        <f t="shared" si="351"/>
        <v>51.227951039999994</v>
      </c>
      <c r="V394" s="3">
        <f t="shared" si="352"/>
        <v>0</v>
      </c>
      <c r="W394" s="3">
        <f t="shared" si="353"/>
        <v>0</v>
      </c>
      <c r="X394" s="3">
        <f>(ROUND((((S394+ROUND((ROUND((((EU394*1.2))*AV394*I394),2)*BS394),2))*AT394)/100),2)+ROUND(((ROUND((ROUND(((AE394-((EU394*1.2)))*AV394*I394),2)*BS394),2)*AT394)/100),2))</f>
        <v>34490.14</v>
      </c>
      <c r="Y394" s="3">
        <f>(ROUND((((S394+ROUND((ROUND((((EU394*1.2))*AV394*I394),2)*BS394),2))*AU394)/100),2)+ROUND(((ROUND((ROUND(((AE394-((EU394*1.2)))*AV394*I394),2)*BS394),2)*AU394)/100),2))</f>
        <v>18133.990000000002</v>
      </c>
      <c r="AA394" s="3">
        <v>55915258</v>
      </c>
      <c r="AB394" s="3">
        <f t="shared" si="354"/>
        <v>19.193999999999999</v>
      </c>
      <c r="AC394" s="3">
        <f>ROUND(((ES394*1)),6)</f>
        <v>0.56999999999999995</v>
      </c>
      <c r="AD394" s="3">
        <f>ROUND(((((ET394*1.2))-((EU394*1.2)))+AE394),6)</f>
        <v>0</v>
      </c>
      <c r="AE394" s="3">
        <f>ROUND(((EU394*1.2)),6)</f>
        <v>0</v>
      </c>
      <c r="AF394" s="3">
        <f>ROUND(((EV394*1.2)),6)</f>
        <v>18.623999999999999</v>
      </c>
      <c r="AG394" s="3">
        <f t="shared" si="355"/>
        <v>0</v>
      </c>
      <c r="AH394" s="3">
        <f>((EW394*1.2))</f>
        <v>1.512</v>
      </c>
      <c r="AI394" s="3">
        <f>((EX394*1.2))</f>
        <v>0</v>
      </c>
      <c r="AJ394" s="3">
        <f t="shared" si="356"/>
        <v>0</v>
      </c>
      <c r="AK394" s="3">
        <v>16.09</v>
      </c>
      <c r="AL394" s="3">
        <v>0.56999999999999995</v>
      </c>
      <c r="AM394" s="3">
        <v>0</v>
      </c>
      <c r="AN394" s="3">
        <v>0</v>
      </c>
      <c r="AO394" s="3">
        <v>15.52</v>
      </c>
      <c r="AP394" s="3">
        <v>0</v>
      </c>
      <c r="AQ394" s="3">
        <v>1.26</v>
      </c>
      <c r="AR394" s="3">
        <v>0</v>
      </c>
      <c r="AS394" s="3">
        <v>0</v>
      </c>
      <c r="AT394" s="3">
        <v>97</v>
      </c>
      <c r="AU394" s="3">
        <v>51</v>
      </c>
      <c r="AV394" s="3">
        <v>1.0469999999999999</v>
      </c>
      <c r="AW394" s="3">
        <v>1</v>
      </c>
      <c r="AZ394" s="3">
        <v>1</v>
      </c>
      <c r="BA394" s="3">
        <v>56.35</v>
      </c>
      <c r="BB394" s="3">
        <v>1</v>
      </c>
      <c r="BC394" s="3">
        <v>18.190000000000001</v>
      </c>
      <c r="BD394" s="3" t="s">
        <v>3</v>
      </c>
      <c r="BE394" s="3" t="s">
        <v>3</v>
      </c>
      <c r="BF394" s="3" t="s">
        <v>3</v>
      </c>
      <c r="BG394" s="3" t="s">
        <v>3</v>
      </c>
      <c r="BH394" s="3">
        <v>0</v>
      </c>
      <c r="BI394" s="3">
        <v>2</v>
      </c>
      <c r="BJ394" s="3" t="s">
        <v>320</v>
      </c>
      <c r="BM394" s="3">
        <v>67</v>
      </c>
      <c r="BN394" s="3">
        <v>0</v>
      </c>
      <c r="BO394" s="3" t="s">
        <v>317</v>
      </c>
      <c r="BP394" s="3">
        <v>1</v>
      </c>
      <c r="BQ394" s="3">
        <v>40</v>
      </c>
      <c r="BR394" s="3">
        <v>0</v>
      </c>
      <c r="BS394" s="3">
        <v>56.35</v>
      </c>
      <c r="BT394" s="3">
        <v>1</v>
      </c>
      <c r="BU394" s="3">
        <v>1</v>
      </c>
      <c r="BV394" s="3">
        <v>1</v>
      </c>
      <c r="BW394" s="3">
        <v>1</v>
      </c>
      <c r="BX394" s="3">
        <v>1</v>
      </c>
      <c r="BY394" s="3" t="s">
        <v>3</v>
      </c>
      <c r="BZ394" s="3">
        <v>97</v>
      </c>
      <c r="CA394" s="3">
        <v>51</v>
      </c>
      <c r="CB394" s="3" t="s">
        <v>3</v>
      </c>
      <c r="CE394" s="3">
        <v>1566</v>
      </c>
      <c r="CF394" s="3">
        <v>0</v>
      </c>
      <c r="CG394" s="3">
        <v>0</v>
      </c>
      <c r="CM394" s="3">
        <v>0</v>
      </c>
      <c r="CN394" s="3" t="s">
        <v>605</v>
      </c>
      <c r="CO394" s="3">
        <v>0</v>
      </c>
      <c r="CP394" s="3">
        <f t="shared" si="357"/>
        <v>35892.46</v>
      </c>
      <c r="CQ394" s="3">
        <f t="shared" si="358"/>
        <v>10.37</v>
      </c>
      <c r="CR394" s="3">
        <f>(ROUND((ROUND((((ET394*1.2))*AV394*1),2)*BB394),2)+ROUND((ROUND(((AE394-((EU394*1.2)))*AV394*1),2)*BS394),2))</f>
        <v>0</v>
      </c>
      <c r="CS394" s="3">
        <f>(ROUND((ROUND((((EU394*1.2))*AV394*1),2)*BS394),2)+ROUND((ROUND(((AE394-((EU394*1.2)))*AV394*1),2)*BS394),2))</f>
        <v>0</v>
      </c>
      <c r="CT394" s="3">
        <f t="shared" si="359"/>
        <v>1098.83</v>
      </c>
      <c r="CU394" s="3">
        <f t="shared" si="360"/>
        <v>0</v>
      </c>
      <c r="CV394" s="3">
        <f t="shared" si="361"/>
        <v>1.5830639999999998</v>
      </c>
      <c r="CW394" s="3">
        <f t="shared" si="362"/>
        <v>0</v>
      </c>
      <c r="CX394" s="3">
        <f t="shared" si="363"/>
        <v>0</v>
      </c>
      <c r="CY394" s="3">
        <f>(ROUND((((S394+ROUND((ROUND((((EU394*1.2))*AV394*1),2)*BS394),2))*AT394)/100),2)+ROUND(((ROUND((ROUND(((AE394-((EU394*1.2)))*AV394*1),2)*BS394),2)*AT394)/100),2))</f>
        <v>34490.14</v>
      </c>
      <c r="CZ394" s="3">
        <f>(ROUND((((S394+ROUND((ROUND((((EU394*1.2))*AV394*1),2)*BS394),2))*AU394)/100),2)+ROUND(((ROUND((ROUND(((AE394-((EU394*1.2)))*AV394*1),2)*BS394),2)*AU394)/100),2))</f>
        <v>18133.990000000002</v>
      </c>
      <c r="DB394" s="3">
        <v>88</v>
      </c>
      <c r="DC394" s="3" t="s">
        <v>3</v>
      </c>
      <c r="DD394" s="3" t="s">
        <v>77</v>
      </c>
      <c r="DE394" s="3" t="s">
        <v>78</v>
      </c>
      <c r="DF394" s="3" t="s">
        <v>78</v>
      </c>
      <c r="DG394" s="3" t="s">
        <v>78</v>
      </c>
      <c r="DH394" s="3" t="s">
        <v>3</v>
      </c>
      <c r="DI394" s="3" t="s">
        <v>78</v>
      </c>
      <c r="DJ394" s="3" t="s">
        <v>78</v>
      </c>
      <c r="DK394" s="3" t="s">
        <v>3</v>
      </c>
      <c r="DL394" s="3" t="s">
        <v>3</v>
      </c>
      <c r="DM394" s="3" t="s">
        <v>3</v>
      </c>
      <c r="DN394" s="3">
        <v>0</v>
      </c>
      <c r="DO394" s="3">
        <v>0</v>
      </c>
      <c r="DP394" s="3">
        <v>1</v>
      </c>
      <c r="DQ394" s="3">
        <v>1</v>
      </c>
      <c r="DU394" s="3">
        <v>1013</v>
      </c>
      <c r="DV394" s="3" t="s">
        <v>319</v>
      </c>
      <c r="DW394" s="3" t="s">
        <v>319</v>
      </c>
      <c r="DX394" s="3">
        <v>1</v>
      </c>
      <c r="DZ394" s="3" t="s">
        <v>3</v>
      </c>
      <c r="EA394" s="3" t="s">
        <v>3</v>
      </c>
      <c r="EB394" s="3" t="s">
        <v>3</v>
      </c>
      <c r="EC394" s="3" t="s">
        <v>3</v>
      </c>
      <c r="EE394" s="3">
        <v>55393699</v>
      </c>
      <c r="EF394" s="3">
        <v>40</v>
      </c>
      <c r="EG394" s="3" t="s">
        <v>26</v>
      </c>
      <c r="EH394" s="3">
        <v>0</v>
      </c>
      <c r="EI394" s="3" t="s">
        <v>3</v>
      </c>
      <c r="EJ394" s="3">
        <v>2</v>
      </c>
      <c r="EK394" s="3">
        <v>67</v>
      </c>
      <c r="EL394" s="3" t="s">
        <v>91</v>
      </c>
      <c r="EM394" s="3" t="s">
        <v>92</v>
      </c>
      <c r="EO394" s="3" t="s">
        <v>82</v>
      </c>
      <c r="EQ394" s="3">
        <v>0</v>
      </c>
      <c r="ER394" s="3">
        <v>16.09</v>
      </c>
      <c r="ES394" s="3">
        <v>0.56999999999999995</v>
      </c>
      <c r="ET394" s="3">
        <v>0</v>
      </c>
      <c r="EU394" s="3">
        <v>0</v>
      </c>
      <c r="EV394" s="3">
        <v>15.52</v>
      </c>
      <c r="EW394" s="3">
        <v>1.26</v>
      </c>
      <c r="EX394" s="3">
        <v>0</v>
      </c>
      <c r="EY394" s="3">
        <v>0</v>
      </c>
      <c r="FQ394" s="3">
        <v>0</v>
      </c>
      <c r="FR394" s="3">
        <v>0</v>
      </c>
      <c r="FS394" s="3">
        <v>0</v>
      </c>
      <c r="FX394" s="3">
        <v>97</v>
      </c>
      <c r="FY394" s="3">
        <v>51</v>
      </c>
      <c r="GA394" s="3" t="s">
        <v>3</v>
      </c>
      <c r="GD394" s="3">
        <v>1</v>
      </c>
      <c r="GF394" s="3">
        <v>2037938139</v>
      </c>
      <c r="GG394" s="3">
        <v>2</v>
      </c>
      <c r="GH394" s="3">
        <v>1</v>
      </c>
      <c r="GI394" s="3">
        <v>2</v>
      </c>
      <c r="GJ394" s="3">
        <v>0</v>
      </c>
      <c r="GK394" s="3">
        <v>0</v>
      </c>
      <c r="GL394" s="3">
        <f t="shared" si="364"/>
        <v>0</v>
      </c>
      <c r="GM394" s="3">
        <f t="shared" si="365"/>
        <v>88516.59</v>
      </c>
      <c r="GN394" s="3">
        <f t="shared" si="366"/>
        <v>0</v>
      </c>
      <c r="GO394" s="3">
        <f t="shared" si="367"/>
        <v>88516.59</v>
      </c>
      <c r="GP394" s="3">
        <f t="shared" si="368"/>
        <v>0</v>
      </c>
      <c r="GR394" s="3">
        <v>0</v>
      </c>
      <c r="GS394" s="3">
        <v>3</v>
      </c>
      <c r="GT394" s="3">
        <v>0</v>
      </c>
      <c r="GU394" s="3" t="s">
        <v>3</v>
      </c>
      <c r="GV394" s="3">
        <f t="shared" si="369"/>
        <v>0</v>
      </c>
      <c r="GW394" s="3">
        <v>1</v>
      </c>
      <c r="GX394" s="3">
        <f t="shared" si="370"/>
        <v>0</v>
      </c>
      <c r="HA394" s="3">
        <v>0</v>
      </c>
      <c r="HB394" s="3">
        <v>0</v>
      </c>
      <c r="HC394" s="3">
        <f t="shared" si="371"/>
        <v>0</v>
      </c>
      <c r="HE394" s="3" t="s">
        <v>3</v>
      </c>
      <c r="HF394" s="3" t="s">
        <v>3</v>
      </c>
      <c r="HM394" s="3" t="s">
        <v>3</v>
      </c>
      <c r="HN394" s="3" t="s">
        <v>3</v>
      </c>
      <c r="HO394" s="3" t="s">
        <v>3</v>
      </c>
      <c r="HP394" s="3" t="s">
        <v>3</v>
      </c>
      <c r="HQ394" s="3" t="s">
        <v>3</v>
      </c>
      <c r="HS394" s="3">
        <v>0</v>
      </c>
      <c r="IK394" s="3">
        <v>0</v>
      </c>
    </row>
    <row r="395" spans="1:255" x14ac:dyDescent="0.2">
      <c r="A395" s="2">
        <v>17</v>
      </c>
      <c r="B395" s="2">
        <v>1</v>
      </c>
      <c r="C395" s="2"/>
      <c r="D395" s="2"/>
      <c r="E395" s="2" t="s">
        <v>321</v>
      </c>
      <c r="F395" s="2" t="s">
        <v>322</v>
      </c>
      <c r="G395" s="2" t="s">
        <v>323</v>
      </c>
      <c r="H395" s="2" t="s">
        <v>324</v>
      </c>
      <c r="I395" s="2">
        <f>ROUND(I393*-0.00003,9)</f>
        <v>-9.7079999999999996E-4</v>
      </c>
      <c r="J395" s="2">
        <v>0</v>
      </c>
      <c r="K395" s="2">
        <f>ROUND(I393*-0.00003,9)</f>
        <v>-9.7079999999999996E-4</v>
      </c>
      <c r="L395" s="2"/>
      <c r="M395" s="2"/>
      <c r="N395" s="2"/>
      <c r="O395" s="2">
        <f t="shared" si="347"/>
        <v>-18.440000000000001</v>
      </c>
      <c r="P395" s="2">
        <f t="shared" si="348"/>
        <v>-18.440000000000001</v>
      </c>
      <c r="Q395" s="2">
        <f>(ROUND((ROUND(((ET395)*AV395*I395),2)*BB395),2)+ROUND((ROUND(((AE395-(EU395))*AV395*I395),2)*BS395),2))</f>
        <v>0</v>
      </c>
      <c r="R395" s="2">
        <f>(ROUND((ROUND(((EU395)*AV395*I395),2)*BS395),2)+ROUND((ROUND(((AE395-(EU395))*AV395*I395),2)*BS395),2))</f>
        <v>0</v>
      </c>
      <c r="S395" s="2">
        <f t="shared" si="349"/>
        <v>0</v>
      </c>
      <c r="T395" s="2">
        <f t="shared" si="350"/>
        <v>0</v>
      </c>
      <c r="U395" s="2">
        <f t="shared" si="351"/>
        <v>0</v>
      </c>
      <c r="V395" s="2">
        <f t="shared" si="352"/>
        <v>0</v>
      </c>
      <c r="W395" s="2">
        <f t="shared" si="353"/>
        <v>0</v>
      </c>
      <c r="X395" s="2">
        <f>(ROUND((((S395+ROUND((ROUND(((EU395)*AV395*I395),2)*BS395),2))*AT395)/100),2)+ROUND(((ROUND((ROUND(((AE395-(EU395))*AV395*I395),2)*BS395),2)*AT395)/100),2))</f>
        <v>0</v>
      </c>
      <c r="Y395" s="2">
        <f>(ROUND((((S395+ROUND((ROUND(((EU395)*AV395*I395),2)*BS395),2))*AU395)/100),2)+ROUND(((ROUND((ROUND(((AE395-(EU395))*AV395*I395),2)*BS395),2)*AU395)/100),2))</f>
        <v>0</v>
      </c>
      <c r="Z395" s="2"/>
      <c r="AA395" s="2">
        <v>55915256</v>
      </c>
      <c r="AB395" s="2">
        <f t="shared" si="354"/>
        <v>18995.22</v>
      </c>
      <c r="AC395" s="2">
        <f>ROUND((ES395),6)</f>
        <v>18995.22</v>
      </c>
      <c r="AD395" s="2">
        <f>ROUND((((ET395)-(EU395))+AE395),6)</f>
        <v>0</v>
      </c>
      <c r="AE395" s="2">
        <f t="shared" ref="AE395:AF398" si="372">ROUND((EU395),6)</f>
        <v>0</v>
      </c>
      <c r="AF395" s="2">
        <f t="shared" si="372"/>
        <v>0</v>
      </c>
      <c r="AG395" s="2">
        <f t="shared" si="355"/>
        <v>0</v>
      </c>
      <c r="AH395" s="2">
        <f t="shared" ref="AH395:AI398" si="373">(EW395)</f>
        <v>0</v>
      </c>
      <c r="AI395" s="2">
        <f t="shared" si="373"/>
        <v>0</v>
      </c>
      <c r="AJ395" s="2">
        <f t="shared" si="356"/>
        <v>0</v>
      </c>
      <c r="AK395" s="2">
        <v>18995.22</v>
      </c>
      <c r="AL395" s="2">
        <v>18995.22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1</v>
      </c>
      <c r="AW395" s="2">
        <v>1</v>
      </c>
      <c r="AX395" s="2"/>
      <c r="AY395" s="2"/>
      <c r="AZ395" s="2">
        <v>1</v>
      </c>
      <c r="BA395" s="2">
        <v>1</v>
      </c>
      <c r="BB395" s="2">
        <v>1</v>
      </c>
      <c r="BC395" s="2">
        <v>1</v>
      </c>
      <c r="BD395" s="2" t="s">
        <v>3</v>
      </c>
      <c r="BE395" s="2" t="s">
        <v>3</v>
      </c>
      <c r="BF395" s="2" t="s">
        <v>3</v>
      </c>
      <c r="BG395" s="2" t="s">
        <v>3</v>
      </c>
      <c r="BH395" s="2">
        <v>3</v>
      </c>
      <c r="BI395" s="2">
        <v>2</v>
      </c>
      <c r="BJ395" s="2" t="s">
        <v>325</v>
      </c>
      <c r="BK395" s="2"/>
      <c r="BL395" s="2"/>
      <c r="BM395" s="2">
        <v>1617</v>
      </c>
      <c r="BN395" s="2">
        <v>0</v>
      </c>
      <c r="BO395" s="2" t="s">
        <v>3</v>
      </c>
      <c r="BP395" s="2">
        <v>0</v>
      </c>
      <c r="BQ395" s="2">
        <v>200</v>
      </c>
      <c r="BR395" s="2">
        <v>1</v>
      </c>
      <c r="BS395" s="2">
        <v>1</v>
      </c>
      <c r="BT395" s="2">
        <v>1</v>
      </c>
      <c r="BU395" s="2">
        <v>1</v>
      </c>
      <c r="BV395" s="2">
        <v>1</v>
      </c>
      <c r="BW395" s="2">
        <v>1</v>
      </c>
      <c r="BX395" s="2">
        <v>1</v>
      </c>
      <c r="BY395" s="2" t="s">
        <v>3</v>
      </c>
      <c r="BZ395" s="2">
        <v>0</v>
      </c>
      <c r="CA395" s="2">
        <v>0</v>
      </c>
      <c r="CB395" s="2" t="s">
        <v>3</v>
      </c>
      <c r="CC395" s="2"/>
      <c r="CD395" s="2"/>
      <c r="CE395" s="2">
        <v>1566</v>
      </c>
      <c r="CF395" s="2">
        <v>0</v>
      </c>
      <c r="CG395" s="2">
        <v>0</v>
      </c>
      <c r="CH395" s="2"/>
      <c r="CI395" s="2"/>
      <c r="CJ395" s="2"/>
      <c r="CK395" s="2"/>
      <c r="CL395" s="2"/>
      <c r="CM395" s="2">
        <v>0</v>
      </c>
      <c r="CN395" s="2" t="s">
        <v>605</v>
      </c>
      <c r="CO395" s="2">
        <v>0</v>
      </c>
      <c r="CP395" s="2">
        <f t="shared" si="357"/>
        <v>-18.440000000000001</v>
      </c>
      <c r="CQ395" s="2">
        <f t="shared" si="358"/>
        <v>18995.22</v>
      </c>
      <c r="CR395" s="2">
        <f>(ROUND((ROUND(((ET395)*AV395*1),2)*BB395),2)+ROUND((ROUND(((AE395-(EU395))*AV395*1),2)*BS395),2))</f>
        <v>0</v>
      </c>
      <c r="CS395" s="2">
        <f>(ROUND((ROUND(((EU395)*AV395*1),2)*BS395),2)+ROUND((ROUND(((AE395-(EU395))*AV395*1),2)*BS395),2))</f>
        <v>0</v>
      </c>
      <c r="CT395" s="2">
        <f t="shared" si="359"/>
        <v>0</v>
      </c>
      <c r="CU395" s="2">
        <f t="shared" si="360"/>
        <v>0</v>
      </c>
      <c r="CV395" s="2">
        <f t="shared" si="361"/>
        <v>0</v>
      </c>
      <c r="CW395" s="2">
        <f t="shared" si="362"/>
        <v>0</v>
      </c>
      <c r="CX395" s="2">
        <f t="shared" si="363"/>
        <v>0</v>
      </c>
      <c r="CY395" s="2">
        <f>(ROUND((((S395+ROUND((ROUND(((EU395)*AV395*1),2)*BS395),2))*AT395)/100),2)+ROUND(((ROUND((ROUND(((AE395-(EU395))*AV395*1),2)*BS395),2)*AT395)/100),2))</f>
        <v>0</v>
      </c>
      <c r="CZ395" s="2">
        <f>(ROUND((((S395+ROUND((ROUND(((EU395)*AV395*1),2)*BS395),2))*AU395)/100),2)+ROUND(((ROUND((ROUND(((AE395-(EU395))*AV395*1),2)*BS395),2)*AU395)/100),2))</f>
        <v>0</v>
      </c>
      <c r="DA395" s="2"/>
      <c r="DB395" s="2"/>
      <c r="DC395" s="2" t="s">
        <v>3</v>
      </c>
      <c r="DD395" s="2" t="s">
        <v>3</v>
      </c>
      <c r="DE395" s="2" t="s">
        <v>3</v>
      </c>
      <c r="DF395" s="2" t="s">
        <v>3</v>
      </c>
      <c r="DG395" s="2" t="s">
        <v>3</v>
      </c>
      <c r="DH395" s="2" t="s">
        <v>3</v>
      </c>
      <c r="DI395" s="2" t="s">
        <v>3</v>
      </c>
      <c r="DJ395" s="2" t="s">
        <v>3</v>
      </c>
      <c r="DK395" s="2" t="s">
        <v>3</v>
      </c>
      <c r="DL395" s="2" t="s">
        <v>3</v>
      </c>
      <c r="DM395" s="2" t="s">
        <v>3</v>
      </c>
      <c r="DN395" s="2">
        <v>0</v>
      </c>
      <c r="DO395" s="2">
        <v>0</v>
      </c>
      <c r="DP395" s="2">
        <v>1</v>
      </c>
      <c r="DQ395" s="2">
        <v>1</v>
      </c>
      <c r="DR395" s="2"/>
      <c r="DS395" s="2"/>
      <c r="DT395" s="2"/>
      <c r="DU395" s="2">
        <v>1009</v>
      </c>
      <c r="DV395" s="2" t="s">
        <v>324</v>
      </c>
      <c r="DW395" s="2" t="s">
        <v>324</v>
      </c>
      <c r="DX395" s="2">
        <v>1000</v>
      </c>
      <c r="DY395" s="2"/>
      <c r="DZ395" s="2" t="s">
        <v>3</v>
      </c>
      <c r="EA395" s="2" t="s">
        <v>3</v>
      </c>
      <c r="EB395" s="2" t="s">
        <v>3</v>
      </c>
      <c r="EC395" s="2" t="s">
        <v>3</v>
      </c>
      <c r="ED395" s="2"/>
      <c r="EE395" s="2">
        <v>55393728</v>
      </c>
      <c r="EF395" s="2">
        <v>200</v>
      </c>
      <c r="EG395" s="2" t="s">
        <v>326</v>
      </c>
      <c r="EH395" s="2">
        <v>0</v>
      </c>
      <c r="EI395" s="2" t="s">
        <v>3</v>
      </c>
      <c r="EJ395" s="2">
        <v>1</v>
      </c>
      <c r="EK395" s="2">
        <v>1617</v>
      </c>
      <c r="EL395" s="2" t="s">
        <v>327</v>
      </c>
      <c r="EM395" s="2" t="s">
        <v>328</v>
      </c>
      <c r="EN395" s="2"/>
      <c r="EO395" s="2" t="s">
        <v>82</v>
      </c>
      <c r="EP395" s="2"/>
      <c r="EQ395" s="2">
        <v>32768</v>
      </c>
      <c r="ER395" s="2">
        <v>18995.22</v>
      </c>
      <c r="ES395" s="2">
        <v>18995.22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>
        <v>0</v>
      </c>
      <c r="FR395" s="2">
        <v>0</v>
      </c>
      <c r="FS395" s="2">
        <v>0</v>
      </c>
      <c r="FT395" s="2"/>
      <c r="FU395" s="2"/>
      <c r="FV395" s="2"/>
      <c r="FW395" s="2"/>
      <c r="FX395" s="2">
        <v>0</v>
      </c>
      <c r="FY395" s="2">
        <v>0</v>
      </c>
      <c r="FZ395" s="2"/>
      <c r="GA395" s="2" t="s">
        <v>3</v>
      </c>
      <c r="GB395" s="2"/>
      <c r="GC395" s="2"/>
      <c r="GD395" s="2">
        <v>1</v>
      </c>
      <c r="GE395" s="2"/>
      <c r="GF395" s="2">
        <v>1438006865</v>
      </c>
      <c r="GG395" s="2">
        <v>2</v>
      </c>
      <c r="GH395" s="2">
        <v>1</v>
      </c>
      <c r="GI395" s="2">
        <v>-2</v>
      </c>
      <c r="GJ395" s="2">
        <v>0</v>
      </c>
      <c r="GK395" s="2">
        <v>0</v>
      </c>
      <c r="GL395" s="2">
        <f t="shared" si="364"/>
        <v>0</v>
      </c>
      <c r="GM395" s="2">
        <f t="shared" si="365"/>
        <v>-18.440000000000001</v>
      </c>
      <c r="GN395" s="2">
        <f t="shared" si="366"/>
        <v>0</v>
      </c>
      <c r="GO395" s="2">
        <f t="shared" si="367"/>
        <v>-18.440000000000001</v>
      </c>
      <c r="GP395" s="2">
        <f t="shared" si="368"/>
        <v>0</v>
      </c>
      <c r="GQ395" s="2"/>
      <c r="GR395" s="2">
        <v>0</v>
      </c>
      <c r="GS395" s="2">
        <v>3</v>
      </c>
      <c r="GT395" s="2">
        <v>0</v>
      </c>
      <c r="GU395" s="2" t="s">
        <v>3</v>
      </c>
      <c r="GV395" s="2">
        <f t="shared" si="369"/>
        <v>0</v>
      </c>
      <c r="GW395" s="2">
        <v>1</v>
      </c>
      <c r="GX395" s="2">
        <f t="shared" si="370"/>
        <v>0</v>
      </c>
      <c r="GY395" s="2"/>
      <c r="GZ395" s="2"/>
      <c r="HA395" s="2">
        <v>0</v>
      </c>
      <c r="HB395" s="2">
        <v>0</v>
      </c>
      <c r="HC395" s="2">
        <f t="shared" si="371"/>
        <v>0</v>
      </c>
      <c r="HD395" s="2"/>
      <c r="HE395" s="2" t="s">
        <v>3</v>
      </c>
      <c r="HF395" s="2" t="s">
        <v>3</v>
      </c>
      <c r="HG395" s="2"/>
      <c r="HH395" s="2"/>
      <c r="HI395" s="2"/>
      <c r="HJ395" s="2"/>
      <c r="HK395" s="2"/>
      <c r="HL395" s="2"/>
      <c r="HM395" s="2" t="s">
        <v>3</v>
      </c>
      <c r="HN395" s="2" t="s">
        <v>3</v>
      </c>
      <c r="HO395" s="2" t="s">
        <v>3</v>
      </c>
      <c r="HP395" s="2" t="s">
        <v>3</v>
      </c>
      <c r="HQ395" s="2" t="s">
        <v>3</v>
      </c>
      <c r="HR395" s="2"/>
      <c r="HS395" s="2">
        <v>0</v>
      </c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>
        <v>0</v>
      </c>
      <c r="IL395" s="2"/>
      <c r="IM395" s="2"/>
      <c r="IN395" s="2"/>
      <c r="IO395" s="2"/>
      <c r="IP395" s="2"/>
      <c r="IQ395" s="2"/>
      <c r="IR395" s="2"/>
      <c r="IS395" s="2"/>
      <c r="IT395" s="2"/>
      <c r="IU395" s="2"/>
    </row>
    <row r="396" spans="1:255" x14ac:dyDescent="0.2">
      <c r="A396" s="3">
        <v>17</v>
      </c>
      <c r="B396" s="3">
        <v>1</v>
      </c>
      <c r="E396" s="3" t="s">
        <v>321</v>
      </c>
      <c r="F396" s="3" t="s">
        <v>322</v>
      </c>
      <c r="G396" s="3" t="s">
        <v>323</v>
      </c>
      <c r="H396" s="3" t="s">
        <v>324</v>
      </c>
      <c r="I396" s="3">
        <f>ROUND(I394*-0.00003,9)</f>
        <v>-9.7079999999999996E-4</v>
      </c>
      <c r="J396" s="3">
        <v>0</v>
      </c>
      <c r="K396" s="3">
        <f>ROUND(I394*-0.00003,9)</f>
        <v>-9.7079999999999996E-4</v>
      </c>
      <c r="O396" s="3">
        <f t="shared" si="347"/>
        <v>-335.42</v>
      </c>
      <c r="P396" s="3">
        <f t="shared" si="348"/>
        <v>-335.42</v>
      </c>
      <c r="Q396" s="3">
        <f>(ROUND((ROUND(((ET396)*AV396*I396),2)*BB396),2)+ROUND((ROUND(((AE396-(EU396))*AV396*I396),2)*BS396),2))</f>
        <v>0</v>
      </c>
      <c r="R396" s="3">
        <f>(ROUND((ROUND(((EU396)*AV396*I396),2)*BS396),2)+ROUND((ROUND(((AE396-(EU396))*AV396*I396),2)*BS396),2))</f>
        <v>0</v>
      </c>
      <c r="S396" s="3">
        <f t="shared" si="349"/>
        <v>0</v>
      </c>
      <c r="T396" s="3">
        <f t="shared" si="350"/>
        <v>0</v>
      </c>
      <c r="U396" s="3">
        <f t="shared" si="351"/>
        <v>0</v>
      </c>
      <c r="V396" s="3">
        <f t="shared" si="352"/>
        <v>0</v>
      </c>
      <c r="W396" s="3">
        <f t="shared" si="353"/>
        <v>0</v>
      </c>
      <c r="X396" s="3">
        <f>(ROUND((((S396+ROUND((ROUND(((EU396)*AV396*I396),2)*BS396),2))*AT396)/100),2)+ROUND(((ROUND((ROUND(((AE396-(EU396))*AV396*I396),2)*BS396),2)*AT396)/100),2))</f>
        <v>0</v>
      </c>
      <c r="Y396" s="3">
        <f>(ROUND((((S396+ROUND((ROUND(((EU396)*AV396*I396),2)*BS396),2))*AU396)/100),2)+ROUND(((ROUND((ROUND(((AE396-(EU396))*AV396*I396),2)*BS396),2)*AU396)/100),2))</f>
        <v>0</v>
      </c>
      <c r="AA396" s="3">
        <v>55915258</v>
      </c>
      <c r="AB396" s="3">
        <f t="shared" si="354"/>
        <v>18995.22</v>
      </c>
      <c r="AC396" s="3">
        <f>ROUND((ES396),6)</f>
        <v>18995.22</v>
      </c>
      <c r="AD396" s="3">
        <f>ROUND((((ET396)-(EU396))+AE396),6)</f>
        <v>0</v>
      </c>
      <c r="AE396" s="3">
        <f t="shared" si="372"/>
        <v>0</v>
      </c>
      <c r="AF396" s="3">
        <f t="shared" si="372"/>
        <v>0</v>
      </c>
      <c r="AG396" s="3">
        <f t="shared" si="355"/>
        <v>0</v>
      </c>
      <c r="AH396" s="3">
        <f t="shared" si="373"/>
        <v>0</v>
      </c>
      <c r="AI396" s="3">
        <f t="shared" si="373"/>
        <v>0</v>
      </c>
      <c r="AJ396" s="3">
        <f t="shared" si="356"/>
        <v>0</v>
      </c>
      <c r="AK396" s="3">
        <v>18995.22</v>
      </c>
      <c r="AL396" s="3">
        <v>18995.22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1</v>
      </c>
      <c r="AW396" s="3">
        <v>1</v>
      </c>
      <c r="AZ396" s="3">
        <v>1</v>
      </c>
      <c r="BA396" s="3">
        <v>1</v>
      </c>
      <c r="BB396" s="3">
        <v>1</v>
      </c>
      <c r="BC396" s="3">
        <v>18.190000000000001</v>
      </c>
      <c r="BD396" s="3" t="s">
        <v>3</v>
      </c>
      <c r="BE396" s="3" t="s">
        <v>3</v>
      </c>
      <c r="BF396" s="3" t="s">
        <v>3</v>
      </c>
      <c r="BG396" s="3" t="s">
        <v>3</v>
      </c>
      <c r="BH396" s="3">
        <v>3</v>
      </c>
      <c r="BI396" s="3">
        <v>2</v>
      </c>
      <c r="BJ396" s="3" t="s">
        <v>325</v>
      </c>
      <c r="BM396" s="3">
        <v>1617</v>
      </c>
      <c r="BN396" s="3">
        <v>0</v>
      </c>
      <c r="BO396" s="3" t="s">
        <v>322</v>
      </c>
      <c r="BP396" s="3">
        <v>1</v>
      </c>
      <c r="BQ396" s="3">
        <v>200</v>
      </c>
      <c r="BR396" s="3">
        <v>1</v>
      </c>
      <c r="BS396" s="3">
        <v>1</v>
      </c>
      <c r="BT396" s="3">
        <v>1</v>
      </c>
      <c r="BU396" s="3">
        <v>1</v>
      </c>
      <c r="BV396" s="3">
        <v>1</v>
      </c>
      <c r="BW396" s="3">
        <v>1</v>
      </c>
      <c r="BX396" s="3">
        <v>1</v>
      </c>
      <c r="BY396" s="3" t="s">
        <v>3</v>
      </c>
      <c r="BZ396" s="3">
        <v>0</v>
      </c>
      <c r="CA396" s="3">
        <v>0</v>
      </c>
      <c r="CB396" s="3" t="s">
        <v>3</v>
      </c>
      <c r="CE396" s="3">
        <v>1566</v>
      </c>
      <c r="CF396" s="3">
        <v>0</v>
      </c>
      <c r="CG396" s="3">
        <v>0</v>
      </c>
      <c r="CM396" s="3">
        <v>0</v>
      </c>
      <c r="CN396" s="3" t="s">
        <v>605</v>
      </c>
      <c r="CO396" s="3">
        <v>0</v>
      </c>
      <c r="CP396" s="3">
        <f t="shared" si="357"/>
        <v>-335.42</v>
      </c>
      <c r="CQ396" s="3">
        <f t="shared" si="358"/>
        <v>345523.05</v>
      </c>
      <c r="CR396" s="3">
        <f>(ROUND((ROUND(((ET396)*AV396*1),2)*BB396),2)+ROUND((ROUND(((AE396-(EU396))*AV396*1),2)*BS396),2))</f>
        <v>0</v>
      </c>
      <c r="CS396" s="3">
        <f>(ROUND((ROUND(((EU396)*AV396*1),2)*BS396),2)+ROUND((ROUND(((AE396-(EU396))*AV396*1),2)*BS396),2))</f>
        <v>0</v>
      </c>
      <c r="CT396" s="3">
        <f t="shared" si="359"/>
        <v>0</v>
      </c>
      <c r="CU396" s="3">
        <f t="shared" si="360"/>
        <v>0</v>
      </c>
      <c r="CV396" s="3">
        <f t="shared" si="361"/>
        <v>0</v>
      </c>
      <c r="CW396" s="3">
        <f t="shared" si="362"/>
        <v>0</v>
      </c>
      <c r="CX396" s="3">
        <f t="shared" si="363"/>
        <v>0</v>
      </c>
      <c r="CY396" s="3">
        <f>(ROUND((((S396+ROUND((ROUND(((EU396)*AV396*1),2)*BS396),2))*AT396)/100),2)+ROUND(((ROUND((ROUND(((AE396-(EU396))*AV396*1),2)*BS396),2)*AT396)/100),2))</f>
        <v>0</v>
      </c>
      <c r="CZ396" s="3">
        <f>(ROUND((((S396+ROUND((ROUND(((EU396)*AV396*1),2)*BS396),2))*AU396)/100),2)+ROUND(((ROUND((ROUND(((AE396-(EU396))*AV396*1),2)*BS396),2)*AU396)/100),2))</f>
        <v>0</v>
      </c>
      <c r="DC396" s="3" t="s">
        <v>3</v>
      </c>
      <c r="DD396" s="3" t="s">
        <v>3</v>
      </c>
      <c r="DE396" s="3" t="s">
        <v>3</v>
      </c>
      <c r="DF396" s="3" t="s">
        <v>3</v>
      </c>
      <c r="DG396" s="3" t="s">
        <v>3</v>
      </c>
      <c r="DH396" s="3" t="s">
        <v>3</v>
      </c>
      <c r="DI396" s="3" t="s">
        <v>3</v>
      </c>
      <c r="DJ396" s="3" t="s">
        <v>3</v>
      </c>
      <c r="DK396" s="3" t="s">
        <v>3</v>
      </c>
      <c r="DL396" s="3" t="s">
        <v>3</v>
      </c>
      <c r="DM396" s="3" t="s">
        <v>3</v>
      </c>
      <c r="DN396" s="3">
        <v>0</v>
      </c>
      <c r="DO396" s="3">
        <v>0</v>
      </c>
      <c r="DP396" s="3">
        <v>1</v>
      </c>
      <c r="DQ396" s="3">
        <v>1</v>
      </c>
      <c r="DU396" s="3">
        <v>1009</v>
      </c>
      <c r="DV396" s="3" t="s">
        <v>324</v>
      </c>
      <c r="DW396" s="3" t="s">
        <v>324</v>
      </c>
      <c r="DX396" s="3">
        <v>1000</v>
      </c>
      <c r="DZ396" s="3" t="s">
        <v>3</v>
      </c>
      <c r="EA396" s="3" t="s">
        <v>3</v>
      </c>
      <c r="EB396" s="3" t="s">
        <v>3</v>
      </c>
      <c r="EC396" s="3" t="s">
        <v>3</v>
      </c>
      <c r="EE396" s="3">
        <v>55393728</v>
      </c>
      <c r="EF396" s="3">
        <v>200</v>
      </c>
      <c r="EG396" s="3" t="s">
        <v>326</v>
      </c>
      <c r="EH396" s="3">
        <v>0</v>
      </c>
      <c r="EI396" s="3" t="s">
        <v>3</v>
      </c>
      <c r="EJ396" s="3">
        <v>1</v>
      </c>
      <c r="EK396" s="3">
        <v>1617</v>
      </c>
      <c r="EL396" s="3" t="s">
        <v>327</v>
      </c>
      <c r="EM396" s="3" t="s">
        <v>328</v>
      </c>
      <c r="EO396" s="3" t="s">
        <v>82</v>
      </c>
      <c r="EQ396" s="3">
        <v>32768</v>
      </c>
      <c r="ER396" s="3">
        <v>18995.22</v>
      </c>
      <c r="ES396" s="3">
        <v>18995.22</v>
      </c>
      <c r="ET396" s="3">
        <v>0</v>
      </c>
      <c r="EU396" s="3">
        <v>0</v>
      </c>
      <c r="EV396" s="3">
        <v>0</v>
      </c>
      <c r="EW396" s="3">
        <v>0</v>
      </c>
      <c r="EX396" s="3">
        <v>0</v>
      </c>
      <c r="EY396" s="3">
        <v>0</v>
      </c>
      <c r="FQ396" s="3">
        <v>0</v>
      </c>
      <c r="FR396" s="3">
        <v>0</v>
      </c>
      <c r="FS396" s="3">
        <v>0</v>
      </c>
      <c r="FX396" s="3">
        <v>0</v>
      </c>
      <c r="FY396" s="3">
        <v>0</v>
      </c>
      <c r="GA396" s="3" t="s">
        <v>3</v>
      </c>
      <c r="GD396" s="3">
        <v>1</v>
      </c>
      <c r="GF396" s="3">
        <v>1438006865</v>
      </c>
      <c r="GG396" s="3">
        <v>2</v>
      </c>
      <c r="GH396" s="3">
        <v>1</v>
      </c>
      <c r="GI396" s="3">
        <v>2</v>
      </c>
      <c r="GJ396" s="3">
        <v>0</v>
      </c>
      <c r="GK396" s="3">
        <v>0</v>
      </c>
      <c r="GL396" s="3">
        <f t="shared" si="364"/>
        <v>0</v>
      </c>
      <c r="GM396" s="3">
        <f t="shared" si="365"/>
        <v>-335.42</v>
      </c>
      <c r="GN396" s="3">
        <f t="shared" si="366"/>
        <v>0</v>
      </c>
      <c r="GO396" s="3">
        <f t="shared" si="367"/>
        <v>-335.42</v>
      </c>
      <c r="GP396" s="3">
        <f t="shared" si="368"/>
        <v>0</v>
      </c>
      <c r="GR396" s="3">
        <v>0</v>
      </c>
      <c r="GS396" s="3">
        <v>3</v>
      </c>
      <c r="GT396" s="3">
        <v>0</v>
      </c>
      <c r="GU396" s="3" t="s">
        <v>3</v>
      </c>
      <c r="GV396" s="3">
        <f t="shared" si="369"/>
        <v>0</v>
      </c>
      <c r="GW396" s="3">
        <v>1</v>
      </c>
      <c r="GX396" s="3">
        <f t="shared" si="370"/>
        <v>0</v>
      </c>
      <c r="HA396" s="3">
        <v>0</v>
      </c>
      <c r="HB396" s="3">
        <v>0</v>
      </c>
      <c r="HC396" s="3">
        <f t="shared" si="371"/>
        <v>0</v>
      </c>
      <c r="HE396" s="3" t="s">
        <v>3</v>
      </c>
      <c r="HF396" s="3" t="s">
        <v>3</v>
      </c>
      <c r="HM396" s="3" t="s">
        <v>3</v>
      </c>
      <c r="HN396" s="3" t="s">
        <v>3</v>
      </c>
      <c r="HO396" s="3" t="s">
        <v>3</v>
      </c>
      <c r="HP396" s="3" t="s">
        <v>3</v>
      </c>
      <c r="HQ396" s="3" t="s">
        <v>3</v>
      </c>
      <c r="HS396" s="3">
        <v>0</v>
      </c>
      <c r="IK396" s="3">
        <v>0</v>
      </c>
    </row>
    <row r="397" spans="1:255" x14ac:dyDescent="0.2">
      <c r="A397" s="2">
        <v>17</v>
      </c>
      <c r="B397" s="2">
        <v>1</v>
      </c>
      <c r="C397" s="2"/>
      <c r="D397" s="2"/>
      <c r="E397" s="2" t="s">
        <v>329</v>
      </c>
      <c r="F397" s="2" t="s">
        <v>330</v>
      </c>
      <c r="G397" s="2" t="s">
        <v>331</v>
      </c>
      <c r="H397" s="2" t="s">
        <v>153</v>
      </c>
      <c r="I397" s="2">
        <v>3</v>
      </c>
      <c r="J397" s="2">
        <v>0</v>
      </c>
      <c r="K397" s="2">
        <v>3</v>
      </c>
      <c r="L397" s="2"/>
      <c r="M397" s="2"/>
      <c r="N397" s="2"/>
      <c r="O397" s="2">
        <f t="shared" si="347"/>
        <v>972.42</v>
      </c>
      <c r="P397" s="2">
        <f t="shared" si="348"/>
        <v>972.42</v>
      </c>
      <c r="Q397" s="2">
        <f>(ROUND((ROUND(((ET397)*AV397*I397),2)*BB397),2)+ROUND((ROUND(((AE397-(EU397))*AV397*I397),2)*BS397),2))</f>
        <v>0</v>
      </c>
      <c r="R397" s="2">
        <f>(ROUND((ROUND(((EU397)*AV397*I397),2)*BS397),2)+ROUND((ROUND(((AE397-(EU397))*AV397*I397),2)*BS397),2))</f>
        <v>0</v>
      </c>
      <c r="S397" s="2">
        <f t="shared" si="349"/>
        <v>0</v>
      </c>
      <c r="T397" s="2">
        <f t="shared" si="350"/>
        <v>0</v>
      </c>
      <c r="U397" s="2">
        <f t="shared" si="351"/>
        <v>0</v>
      </c>
      <c r="V397" s="2">
        <f t="shared" si="352"/>
        <v>0</v>
      </c>
      <c r="W397" s="2">
        <f t="shared" si="353"/>
        <v>0</v>
      </c>
      <c r="X397" s="2">
        <f>(ROUND((((S397+ROUND((ROUND(((EU397)*AV397*I397),2)*BS397),2))*AT397)/100),2)+ROUND(((ROUND((ROUND(((AE397-(EU397))*AV397*I397),2)*BS397),2)*AT397)/100),2))</f>
        <v>0</v>
      </c>
      <c r="Y397" s="2">
        <f>(ROUND((((S397+ROUND((ROUND(((EU397)*AV397*I397),2)*BS397),2))*AU397)/100),2)+ROUND(((ROUND((ROUND(((AE397-(EU397))*AV397*I397),2)*BS397),2)*AU397)/100),2))</f>
        <v>0</v>
      </c>
      <c r="Z397" s="2"/>
      <c r="AA397" s="2">
        <v>55915256</v>
      </c>
      <c r="AB397" s="2">
        <f t="shared" si="354"/>
        <v>324.14</v>
      </c>
      <c r="AC397" s="2">
        <f>ROUND((ES397),6)</f>
        <v>324.14</v>
      </c>
      <c r="AD397" s="2">
        <f>ROUND((((ET397)-(EU397))+AE397),6)</f>
        <v>0</v>
      </c>
      <c r="AE397" s="2">
        <f t="shared" si="372"/>
        <v>0</v>
      </c>
      <c r="AF397" s="2">
        <f t="shared" si="372"/>
        <v>0</v>
      </c>
      <c r="AG397" s="2">
        <f t="shared" si="355"/>
        <v>0</v>
      </c>
      <c r="AH397" s="2">
        <f t="shared" si="373"/>
        <v>0</v>
      </c>
      <c r="AI397" s="2">
        <f t="shared" si="373"/>
        <v>0</v>
      </c>
      <c r="AJ397" s="2">
        <f t="shared" si="356"/>
        <v>0</v>
      </c>
      <c r="AK397" s="2">
        <v>324.14</v>
      </c>
      <c r="AL397" s="2">
        <v>324.14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1</v>
      </c>
      <c r="AW397" s="2">
        <v>1</v>
      </c>
      <c r="AX397" s="2"/>
      <c r="AY397" s="2"/>
      <c r="AZ397" s="2">
        <v>1</v>
      </c>
      <c r="BA397" s="2">
        <v>1</v>
      </c>
      <c r="BB397" s="2">
        <v>1</v>
      </c>
      <c r="BC397" s="2">
        <v>1</v>
      </c>
      <c r="BD397" s="2" t="s">
        <v>3</v>
      </c>
      <c r="BE397" s="2" t="s">
        <v>3</v>
      </c>
      <c r="BF397" s="2" t="s">
        <v>3</v>
      </c>
      <c r="BG397" s="2" t="s">
        <v>3</v>
      </c>
      <c r="BH397" s="2">
        <v>3</v>
      </c>
      <c r="BI397" s="2">
        <v>2</v>
      </c>
      <c r="BJ397" s="2" t="s">
        <v>330</v>
      </c>
      <c r="BK397" s="2"/>
      <c r="BL397" s="2"/>
      <c r="BM397" s="2">
        <v>400005</v>
      </c>
      <c r="BN397" s="2">
        <v>0</v>
      </c>
      <c r="BO397" s="2" t="s">
        <v>3</v>
      </c>
      <c r="BP397" s="2">
        <v>0</v>
      </c>
      <c r="BQ397" s="2">
        <v>213</v>
      </c>
      <c r="BR397" s="2">
        <v>0</v>
      </c>
      <c r="BS397" s="2">
        <v>1</v>
      </c>
      <c r="BT397" s="2">
        <v>1</v>
      </c>
      <c r="BU397" s="2">
        <v>1</v>
      </c>
      <c r="BV397" s="2">
        <v>1</v>
      </c>
      <c r="BW397" s="2">
        <v>1</v>
      </c>
      <c r="BX397" s="2">
        <v>1</v>
      </c>
      <c r="BY397" s="2" t="s">
        <v>3</v>
      </c>
      <c r="BZ397" s="2">
        <v>0</v>
      </c>
      <c r="CA397" s="2">
        <v>0</v>
      </c>
      <c r="CB397" s="2" t="s">
        <v>3</v>
      </c>
      <c r="CC397" s="2"/>
      <c r="CD397" s="2"/>
      <c r="CE397" s="2">
        <v>1566</v>
      </c>
      <c r="CF397" s="2">
        <v>0</v>
      </c>
      <c r="CG397" s="2">
        <v>0</v>
      </c>
      <c r="CH397" s="2"/>
      <c r="CI397" s="2"/>
      <c r="CJ397" s="2"/>
      <c r="CK397" s="2"/>
      <c r="CL397" s="2"/>
      <c r="CM397" s="2">
        <v>0</v>
      </c>
      <c r="CN397" s="2" t="s">
        <v>3</v>
      </c>
      <c r="CO397" s="2">
        <v>0</v>
      </c>
      <c r="CP397" s="2">
        <f t="shared" si="357"/>
        <v>972.42</v>
      </c>
      <c r="CQ397" s="2">
        <f t="shared" si="358"/>
        <v>324.14</v>
      </c>
      <c r="CR397" s="2">
        <f>(ROUND((ROUND(((ET397)*AV397*1),2)*BB397),2)+ROUND((ROUND(((AE397-(EU397))*AV397*1),2)*BS397),2))</f>
        <v>0</v>
      </c>
      <c r="CS397" s="2">
        <f>(ROUND((ROUND(((EU397)*AV397*1),2)*BS397),2)+ROUND((ROUND(((AE397-(EU397))*AV397*1),2)*BS397),2))</f>
        <v>0</v>
      </c>
      <c r="CT397" s="2">
        <f t="shared" si="359"/>
        <v>0</v>
      </c>
      <c r="CU397" s="2">
        <f t="shared" si="360"/>
        <v>0</v>
      </c>
      <c r="CV397" s="2">
        <f t="shared" si="361"/>
        <v>0</v>
      </c>
      <c r="CW397" s="2">
        <f t="shared" si="362"/>
        <v>0</v>
      </c>
      <c r="CX397" s="2">
        <f t="shared" si="363"/>
        <v>0</v>
      </c>
      <c r="CY397" s="2">
        <f>(ROUND((((S397+ROUND((ROUND(((EU397)*AV397*1),2)*BS397),2))*AT397)/100),2)+ROUND(((ROUND((ROUND(((AE397-(EU397))*AV397*1),2)*BS397),2)*AT397)/100),2))</f>
        <v>0</v>
      </c>
      <c r="CZ397" s="2">
        <f>(ROUND((((S397+ROUND((ROUND(((EU397)*AV397*1),2)*BS397),2))*AU397)/100),2)+ROUND(((ROUND((ROUND(((AE397-(EU397))*AV397*1),2)*BS397),2)*AU397)/100),2))</f>
        <v>0</v>
      </c>
      <c r="DA397" s="2"/>
      <c r="DB397" s="2"/>
      <c r="DC397" s="2" t="s">
        <v>3</v>
      </c>
      <c r="DD397" s="2" t="s">
        <v>3</v>
      </c>
      <c r="DE397" s="2" t="s">
        <v>3</v>
      </c>
      <c r="DF397" s="2" t="s">
        <v>3</v>
      </c>
      <c r="DG397" s="2" t="s">
        <v>3</v>
      </c>
      <c r="DH397" s="2" t="s">
        <v>3</v>
      </c>
      <c r="DI397" s="2" t="s">
        <v>3</v>
      </c>
      <c r="DJ397" s="2" t="s">
        <v>3</v>
      </c>
      <c r="DK397" s="2" t="s">
        <v>3</v>
      </c>
      <c r="DL397" s="2" t="s">
        <v>3</v>
      </c>
      <c r="DM397" s="2" t="s">
        <v>3</v>
      </c>
      <c r="DN397" s="2">
        <v>0</v>
      </c>
      <c r="DO397" s="2">
        <v>0</v>
      </c>
      <c r="DP397" s="2">
        <v>1</v>
      </c>
      <c r="DQ397" s="2">
        <v>1</v>
      </c>
      <c r="DR397" s="2"/>
      <c r="DS397" s="2"/>
      <c r="DT397" s="2"/>
      <c r="DU397" s="2">
        <v>1013</v>
      </c>
      <c r="DV397" s="2" t="s">
        <v>153</v>
      </c>
      <c r="DW397" s="2" t="s">
        <v>153</v>
      </c>
      <c r="DX397" s="2">
        <v>1</v>
      </c>
      <c r="DY397" s="2"/>
      <c r="DZ397" s="2" t="s">
        <v>3</v>
      </c>
      <c r="EA397" s="2" t="s">
        <v>3</v>
      </c>
      <c r="EB397" s="2" t="s">
        <v>3</v>
      </c>
      <c r="EC397" s="2" t="s">
        <v>3</v>
      </c>
      <c r="ED397" s="2"/>
      <c r="EE397" s="2">
        <v>55393628</v>
      </c>
      <c r="EF397" s="2">
        <v>213</v>
      </c>
      <c r="EG397" s="2" t="s">
        <v>262</v>
      </c>
      <c r="EH397" s="2">
        <v>0</v>
      </c>
      <c r="EI397" s="2" t="s">
        <v>3</v>
      </c>
      <c r="EJ397" s="2">
        <v>1</v>
      </c>
      <c r="EK397" s="2">
        <v>400005</v>
      </c>
      <c r="EL397" s="2" t="s">
        <v>262</v>
      </c>
      <c r="EM397" s="2" t="s">
        <v>263</v>
      </c>
      <c r="EN397" s="2"/>
      <c r="EO397" s="2" t="s">
        <v>3</v>
      </c>
      <c r="EP397" s="2"/>
      <c r="EQ397" s="2">
        <v>16</v>
      </c>
      <c r="ER397" s="2">
        <v>0</v>
      </c>
      <c r="ES397" s="2">
        <v>324.14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>
        <v>0</v>
      </c>
      <c r="FR397" s="2">
        <v>0</v>
      </c>
      <c r="FS397" s="2">
        <v>0</v>
      </c>
      <c r="FT397" s="2"/>
      <c r="FU397" s="2"/>
      <c r="FV397" s="2"/>
      <c r="FW397" s="2"/>
      <c r="FX397" s="2">
        <v>0</v>
      </c>
      <c r="FY397" s="2">
        <v>0</v>
      </c>
      <c r="FZ397" s="2"/>
      <c r="GA397" s="2" t="s">
        <v>332</v>
      </c>
      <c r="GB397" s="2"/>
      <c r="GC397" s="2"/>
      <c r="GD397" s="2">
        <v>1</v>
      </c>
      <c r="GE397" s="2"/>
      <c r="GF397" s="2">
        <v>-417509968</v>
      </c>
      <c r="GG397" s="2">
        <v>2</v>
      </c>
      <c r="GH397" s="2">
        <v>4</v>
      </c>
      <c r="GI397" s="2">
        <v>-2</v>
      </c>
      <c r="GJ397" s="2">
        <v>0</v>
      </c>
      <c r="GK397" s="2">
        <v>0</v>
      </c>
      <c r="GL397" s="2">
        <f t="shared" si="364"/>
        <v>0</v>
      </c>
      <c r="GM397" s="2">
        <f t="shared" si="365"/>
        <v>972.42</v>
      </c>
      <c r="GN397" s="2">
        <f t="shared" si="366"/>
        <v>0</v>
      </c>
      <c r="GO397" s="2">
        <f t="shared" si="367"/>
        <v>972.42</v>
      </c>
      <c r="GP397" s="2">
        <f t="shared" si="368"/>
        <v>0</v>
      </c>
      <c r="GQ397" s="2"/>
      <c r="GR397" s="2">
        <v>1</v>
      </c>
      <c r="GS397" s="2">
        <v>2</v>
      </c>
      <c r="GT397" s="2">
        <v>0</v>
      </c>
      <c r="GU397" s="2" t="s">
        <v>3</v>
      </c>
      <c r="GV397" s="2">
        <f t="shared" si="369"/>
        <v>0</v>
      </c>
      <c r="GW397" s="2">
        <v>1</v>
      </c>
      <c r="GX397" s="2">
        <f t="shared" si="370"/>
        <v>0</v>
      </c>
      <c r="GY397" s="2"/>
      <c r="GZ397" s="2"/>
      <c r="HA397" s="2">
        <v>0</v>
      </c>
      <c r="HB397" s="2">
        <v>0</v>
      </c>
      <c r="HC397" s="2">
        <f t="shared" si="371"/>
        <v>0</v>
      </c>
      <c r="HD397" s="2"/>
      <c r="HE397" s="2" t="s">
        <v>265</v>
      </c>
      <c r="HF397" s="2" t="s">
        <v>30</v>
      </c>
      <c r="HG397" s="2"/>
      <c r="HH397" s="2"/>
      <c r="HI397" s="2"/>
      <c r="HJ397" s="2"/>
      <c r="HK397" s="2"/>
      <c r="HL397" s="2"/>
      <c r="HM397" s="2" t="s">
        <v>3</v>
      </c>
      <c r="HN397" s="2" t="s">
        <v>3</v>
      </c>
      <c r="HO397" s="2" t="s">
        <v>3</v>
      </c>
      <c r="HP397" s="2" t="s">
        <v>3</v>
      </c>
      <c r="HQ397" s="2" t="s">
        <v>3</v>
      </c>
      <c r="HR397" s="2"/>
      <c r="HS397" s="2">
        <v>0</v>
      </c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>
        <v>0</v>
      </c>
      <c r="IL397" s="2"/>
      <c r="IM397" s="2"/>
      <c r="IN397" s="2"/>
      <c r="IO397" s="2"/>
      <c r="IP397" s="2"/>
      <c r="IQ397" s="2"/>
      <c r="IR397" s="2"/>
      <c r="IS397" s="2"/>
      <c r="IT397" s="2"/>
      <c r="IU397" s="2"/>
    </row>
    <row r="398" spans="1:255" x14ac:dyDescent="0.2">
      <c r="A398" s="3">
        <v>17</v>
      </c>
      <c r="B398" s="3">
        <v>1</v>
      </c>
      <c r="E398" s="3" t="s">
        <v>329</v>
      </c>
      <c r="F398" s="3" t="s">
        <v>330</v>
      </c>
      <c r="G398" s="3" t="s">
        <v>331</v>
      </c>
      <c r="H398" s="3" t="s">
        <v>153</v>
      </c>
      <c r="I398" s="3">
        <v>3</v>
      </c>
      <c r="J398" s="3">
        <v>0</v>
      </c>
      <c r="K398" s="3">
        <v>3</v>
      </c>
      <c r="O398" s="3">
        <f t="shared" si="347"/>
        <v>7361.22</v>
      </c>
      <c r="P398" s="3">
        <f t="shared" si="348"/>
        <v>7361.22</v>
      </c>
      <c r="Q398" s="3">
        <f>(ROUND((ROUND(((ET398)*AV398*I398),2)*BB398),2)+ROUND((ROUND(((AE398-(EU398))*AV398*I398),2)*BS398),2))</f>
        <v>0</v>
      </c>
      <c r="R398" s="3">
        <f>(ROUND((ROUND(((EU398)*AV398*I398),2)*BS398),2)+ROUND((ROUND(((AE398-(EU398))*AV398*I398),2)*BS398),2))</f>
        <v>0</v>
      </c>
      <c r="S398" s="3">
        <f t="shared" si="349"/>
        <v>0</v>
      </c>
      <c r="T398" s="3">
        <f t="shared" si="350"/>
        <v>0</v>
      </c>
      <c r="U398" s="3">
        <f t="shared" si="351"/>
        <v>0</v>
      </c>
      <c r="V398" s="3">
        <f t="shared" si="352"/>
        <v>0</v>
      </c>
      <c r="W398" s="3">
        <f t="shared" si="353"/>
        <v>0</v>
      </c>
      <c r="X398" s="3">
        <f>(ROUND((((S398+ROUND((ROUND(((EU398)*AV398*I398),2)*BS398),2))*AT398)/100),2)+ROUND(((ROUND((ROUND(((AE398-(EU398))*AV398*I398),2)*BS398),2)*AT398)/100),2))</f>
        <v>0</v>
      </c>
      <c r="Y398" s="3">
        <f>(ROUND((((S398+ROUND((ROUND(((EU398)*AV398*I398),2)*BS398),2))*AU398)/100),2)+ROUND(((ROUND((ROUND(((AE398-(EU398))*AV398*I398),2)*BS398),2)*AU398)/100),2))</f>
        <v>0</v>
      </c>
      <c r="AA398" s="3">
        <v>55915258</v>
      </c>
      <c r="AB398" s="3">
        <f t="shared" si="354"/>
        <v>324.14</v>
      </c>
      <c r="AC398" s="3">
        <f>ROUND((ES398),6)</f>
        <v>324.14</v>
      </c>
      <c r="AD398" s="3">
        <f>ROUND((((ET398)-(EU398))+AE398),6)</f>
        <v>0</v>
      </c>
      <c r="AE398" s="3">
        <f t="shared" si="372"/>
        <v>0</v>
      </c>
      <c r="AF398" s="3">
        <f t="shared" si="372"/>
        <v>0</v>
      </c>
      <c r="AG398" s="3">
        <f t="shared" si="355"/>
        <v>0</v>
      </c>
      <c r="AH398" s="3">
        <f t="shared" si="373"/>
        <v>0</v>
      </c>
      <c r="AI398" s="3">
        <f t="shared" si="373"/>
        <v>0</v>
      </c>
      <c r="AJ398" s="3">
        <f t="shared" si="356"/>
        <v>0</v>
      </c>
      <c r="AK398" s="3">
        <v>324.14</v>
      </c>
      <c r="AL398" s="3">
        <v>324.14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1</v>
      </c>
      <c r="AW398" s="3">
        <v>1</v>
      </c>
      <c r="AZ398" s="3">
        <v>1</v>
      </c>
      <c r="BA398" s="3">
        <v>1</v>
      </c>
      <c r="BB398" s="3">
        <v>1</v>
      </c>
      <c r="BC398" s="3">
        <v>7.57</v>
      </c>
      <c r="BD398" s="3" t="s">
        <v>3</v>
      </c>
      <c r="BE398" s="3" t="s">
        <v>3</v>
      </c>
      <c r="BF398" s="3" t="s">
        <v>3</v>
      </c>
      <c r="BG398" s="3" t="s">
        <v>3</v>
      </c>
      <c r="BH398" s="3">
        <v>3</v>
      </c>
      <c r="BI398" s="3">
        <v>2</v>
      </c>
      <c r="BJ398" s="3" t="s">
        <v>330</v>
      </c>
      <c r="BM398" s="3">
        <v>400005</v>
      </c>
      <c r="BN398" s="3">
        <v>0</v>
      </c>
      <c r="BO398" s="3" t="s">
        <v>3</v>
      </c>
      <c r="BP398" s="3">
        <v>0</v>
      </c>
      <c r="BQ398" s="3">
        <v>213</v>
      </c>
      <c r="BR398" s="3">
        <v>0</v>
      </c>
      <c r="BS398" s="3">
        <v>1</v>
      </c>
      <c r="BT398" s="3">
        <v>1</v>
      </c>
      <c r="BU398" s="3">
        <v>1</v>
      </c>
      <c r="BV398" s="3">
        <v>1</v>
      </c>
      <c r="BW398" s="3">
        <v>1</v>
      </c>
      <c r="BX398" s="3">
        <v>1</v>
      </c>
      <c r="BY398" s="3" t="s">
        <v>3</v>
      </c>
      <c r="BZ398" s="3">
        <v>0</v>
      </c>
      <c r="CA398" s="3">
        <v>0</v>
      </c>
      <c r="CB398" s="3" t="s">
        <v>3</v>
      </c>
      <c r="CE398" s="3">
        <v>1566</v>
      </c>
      <c r="CF398" s="3">
        <v>0</v>
      </c>
      <c r="CG398" s="3">
        <v>0</v>
      </c>
      <c r="CM398" s="3">
        <v>0</v>
      </c>
      <c r="CN398" s="3" t="s">
        <v>3</v>
      </c>
      <c r="CO398" s="3">
        <v>0</v>
      </c>
      <c r="CP398" s="3">
        <f t="shared" si="357"/>
        <v>7361.22</v>
      </c>
      <c r="CQ398" s="3">
        <f t="shared" si="358"/>
        <v>2453.7399999999998</v>
      </c>
      <c r="CR398" s="3">
        <f>(ROUND((ROUND(((ET398)*AV398*1),2)*BB398),2)+ROUND((ROUND(((AE398-(EU398))*AV398*1),2)*BS398),2))</f>
        <v>0</v>
      </c>
      <c r="CS398" s="3">
        <f>(ROUND((ROUND(((EU398)*AV398*1),2)*BS398),2)+ROUND((ROUND(((AE398-(EU398))*AV398*1),2)*BS398),2))</f>
        <v>0</v>
      </c>
      <c r="CT398" s="3">
        <f t="shared" si="359"/>
        <v>0</v>
      </c>
      <c r="CU398" s="3">
        <f t="shared" si="360"/>
        <v>0</v>
      </c>
      <c r="CV398" s="3">
        <f t="shared" si="361"/>
        <v>0</v>
      </c>
      <c r="CW398" s="3">
        <f t="shared" si="362"/>
        <v>0</v>
      </c>
      <c r="CX398" s="3">
        <f t="shared" si="363"/>
        <v>0</v>
      </c>
      <c r="CY398" s="3">
        <f>(ROUND((((S398+ROUND((ROUND(((EU398)*AV398*1),2)*BS398),2))*AT398)/100),2)+ROUND(((ROUND((ROUND(((AE398-(EU398))*AV398*1),2)*BS398),2)*AT398)/100),2))</f>
        <v>0</v>
      </c>
      <c r="CZ398" s="3">
        <f>(ROUND((((S398+ROUND((ROUND(((EU398)*AV398*1),2)*BS398),2))*AU398)/100),2)+ROUND(((ROUND((ROUND(((AE398-(EU398))*AV398*1),2)*BS398),2)*AU398)/100),2))</f>
        <v>0</v>
      </c>
      <c r="DC398" s="3" t="s">
        <v>3</v>
      </c>
      <c r="DD398" s="3" t="s">
        <v>3</v>
      </c>
      <c r="DE398" s="3" t="s">
        <v>3</v>
      </c>
      <c r="DF398" s="3" t="s">
        <v>3</v>
      </c>
      <c r="DG398" s="3" t="s">
        <v>3</v>
      </c>
      <c r="DH398" s="3" t="s">
        <v>3</v>
      </c>
      <c r="DI398" s="3" t="s">
        <v>3</v>
      </c>
      <c r="DJ398" s="3" t="s">
        <v>3</v>
      </c>
      <c r="DK398" s="3" t="s">
        <v>3</v>
      </c>
      <c r="DL398" s="3" t="s">
        <v>3</v>
      </c>
      <c r="DM398" s="3" t="s">
        <v>3</v>
      </c>
      <c r="DN398" s="3">
        <v>0</v>
      </c>
      <c r="DO398" s="3">
        <v>0</v>
      </c>
      <c r="DP398" s="3">
        <v>1</v>
      </c>
      <c r="DQ398" s="3">
        <v>1</v>
      </c>
      <c r="DU398" s="3">
        <v>1013</v>
      </c>
      <c r="DV398" s="3" t="s">
        <v>153</v>
      </c>
      <c r="DW398" s="3" t="s">
        <v>153</v>
      </c>
      <c r="DX398" s="3">
        <v>1</v>
      </c>
      <c r="DZ398" s="3" t="s">
        <v>3</v>
      </c>
      <c r="EA398" s="3" t="s">
        <v>3</v>
      </c>
      <c r="EB398" s="3" t="s">
        <v>3</v>
      </c>
      <c r="EC398" s="3" t="s">
        <v>3</v>
      </c>
      <c r="EE398" s="3">
        <v>55393628</v>
      </c>
      <c r="EF398" s="3">
        <v>213</v>
      </c>
      <c r="EG398" s="3" t="s">
        <v>262</v>
      </c>
      <c r="EH398" s="3">
        <v>0</v>
      </c>
      <c r="EI398" s="3" t="s">
        <v>3</v>
      </c>
      <c r="EJ398" s="3">
        <v>1</v>
      </c>
      <c r="EK398" s="3">
        <v>400005</v>
      </c>
      <c r="EL398" s="3" t="s">
        <v>262</v>
      </c>
      <c r="EM398" s="3" t="s">
        <v>263</v>
      </c>
      <c r="EO398" s="3" t="s">
        <v>3</v>
      </c>
      <c r="EQ398" s="3">
        <v>16</v>
      </c>
      <c r="ER398" s="3">
        <v>0</v>
      </c>
      <c r="ES398" s="3">
        <v>324.14</v>
      </c>
      <c r="ET398" s="3">
        <v>0</v>
      </c>
      <c r="EU398" s="3">
        <v>0</v>
      </c>
      <c r="EV398" s="3">
        <v>0</v>
      </c>
      <c r="EW398" s="3">
        <v>0</v>
      </c>
      <c r="EX398" s="3">
        <v>0</v>
      </c>
      <c r="EY398" s="3">
        <v>0</v>
      </c>
      <c r="EZ398" s="3">
        <v>5</v>
      </c>
      <c r="FC398" s="3">
        <v>1</v>
      </c>
      <c r="FD398" s="3">
        <v>18</v>
      </c>
      <c r="FF398" s="3">
        <v>2934.83</v>
      </c>
      <c r="FQ398" s="3">
        <v>0</v>
      </c>
      <c r="FR398" s="3">
        <v>0</v>
      </c>
      <c r="FS398" s="3">
        <v>0</v>
      </c>
      <c r="FX398" s="3">
        <v>0</v>
      </c>
      <c r="FY398" s="3">
        <v>0</v>
      </c>
      <c r="GA398" s="3" t="s">
        <v>332</v>
      </c>
      <c r="GD398" s="3">
        <v>1</v>
      </c>
      <c r="GF398" s="3">
        <v>-417509968</v>
      </c>
      <c r="GG398" s="3">
        <v>2</v>
      </c>
      <c r="GH398" s="3">
        <v>3</v>
      </c>
      <c r="GI398" s="3">
        <v>5</v>
      </c>
      <c r="GJ398" s="3">
        <v>0</v>
      </c>
      <c r="GK398" s="3">
        <v>0</v>
      </c>
      <c r="GL398" s="3">
        <f t="shared" si="364"/>
        <v>0</v>
      </c>
      <c r="GM398" s="3">
        <f t="shared" si="365"/>
        <v>7361.22</v>
      </c>
      <c r="GN398" s="3">
        <f t="shared" si="366"/>
        <v>0</v>
      </c>
      <c r="GO398" s="3">
        <f t="shared" si="367"/>
        <v>7361.22</v>
      </c>
      <c r="GP398" s="3">
        <f t="shared" si="368"/>
        <v>0</v>
      </c>
      <c r="GR398" s="3">
        <v>1</v>
      </c>
      <c r="GS398" s="3">
        <v>1</v>
      </c>
      <c r="GT398" s="3">
        <v>0</v>
      </c>
      <c r="GU398" s="3" t="s">
        <v>3</v>
      </c>
      <c r="GV398" s="3">
        <f t="shared" si="369"/>
        <v>0</v>
      </c>
      <c r="GW398" s="3">
        <v>1</v>
      </c>
      <c r="GX398" s="3">
        <f t="shared" si="370"/>
        <v>0</v>
      </c>
      <c r="HA398" s="3">
        <v>0</v>
      </c>
      <c r="HB398" s="3">
        <v>0</v>
      </c>
      <c r="HC398" s="3">
        <f t="shared" si="371"/>
        <v>0</v>
      </c>
      <c r="HE398" s="3" t="s">
        <v>265</v>
      </c>
      <c r="HF398" s="3" t="s">
        <v>30</v>
      </c>
      <c r="HM398" s="3" t="s">
        <v>3</v>
      </c>
      <c r="HN398" s="3" t="s">
        <v>3</v>
      </c>
      <c r="HO398" s="3" t="s">
        <v>3</v>
      </c>
      <c r="HP398" s="3" t="s">
        <v>3</v>
      </c>
      <c r="HQ398" s="3" t="s">
        <v>3</v>
      </c>
      <c r="HS398" s="3">
        <v>0</v>
      </c>
      <c r="IK398" s="3">
        <v>0</v>
      </c>
    </row>
    <row r="400" spans="1:255" x14ac:dyDescent="0.2">
      <c r="A400" s="11">
        <v>51</v>
      </c>
      <c r="B400" s="11">
        <f>B385</f>
        <v>1</v>
      </c>
      <c r="C400" s="11">
        <f>A385</f>
        <v>4</v>
      </c>
      <c r="D400" s="11">
        <f>ROW(A385)</f>
        <v>385</v>
      </c>
      <c r="E400" s="11"/>
      <c r="F400" s="11" t="str">
        <f>IF(F385&lt;&gt;"",F385,"")</f>
        <v>7</v>
      </c>
      <c r="G400" s="11" t="str">
        <f>IF(G385&lt;&gt;"",G385,"")</f>
        <v>Материалы</v>
      </c>
      <c r="H400" s="11">
        <v>0</v>
      </c>
      <c r="I400" s="11"/>
      <c r="J400" s="11"/>
      <c r="K400" s="11"/>
      <c r="L400" s="11"/>
      <c r="M400" s="11"/>
      <c r="N400" s="11"/>
      <c r="O400" s="11">
        <f t="shared" ref="O400:T400" si="374">ROUND(AB400,2)</f>
        <v>2738.38</v>
      </c>
      <c r="P400" s="11">
        <f t="shared" si="374"/>
        <v>1633.51</v>
      </c>
      <c r="Q400" s="11">
        <f t="shared" si="374"/>
        <v>240.63</v>
      </c>
      <c r="R400" s="11">
        <f t="shared" si="374"/>
        <v>14.78</v>
      </c>
      <c r="S400" s="11">
        <f t="shared" si="374"/>
        <v>864.24</v>
      </c>
      <c r="T400" s="11">
        <f t="shared" si="374"/>
        <v>0</v>
      </c>
      <c r="U400" s="11">
        <f>AH400</f>
        <v>69.697031039999985</v>
      </c>
      <c r="V400" s="11">
        <f>AI400</f>
        <v>0</v>
      </c>
      <c r="W400" s="11">
        <f>ROUND(AJ400,2)</f>
        <v>0</v>
      </c>
      <c r="X400" s="11">
        <f>ROUND(AK400,2)</f>
        <v>835.29</v>
      </c>
      <c r="Y400" s="11">
        <f>ROUND(AL400,2)</f>
        <v>435.9</v>
      </c>
      <c r="Z400" s="11"/>
      <c r="AA400" s="11"/>
      <c r="AB400" s="11">
        <f>ROUND(SUMIF(AA389:AA398,"=55915256",O389:O398),2)</f>
        <v>2738.38</v>
      </c>
      <c r="AC400" s="11">
        <f>ROUND(SUMIF(AA389:AA398,"=55915256",P389:P398),2)</f>
        <v>1633.51</v>
      </c>
      <c r="AD400" s="11">
        <f>ROUND(SUMIF(AA389:AA398,"=55915256",Q389:Q398),2)</f>
        <v>240.63</v>
      </c>
      <c r="AE400" s="11">
        <f>ROUND(SUMIF(AA389:AA398,"=55915256",R389:R398),2)</f>
        <v>14.78</v>
      </c>
      <c r="AF400" s="11">
        <f>ROUND(SUMIF(AA389:AA398,"=55915256",S389:S398),2)</f>
        <v>864.24</v>
      </c>
      <c r="AG400" s="11">
        <f>ROUND(SUMIF(AA389:AA398,"=55915256",T389:T398),2)</f>
        <v>0</v>
      </c>
      <c r="AH400" s="11">
        <f>SUMIF(AA389:AA398,"=55915256",U389:U398)</f>
        <v>69.697031039999985</v>
      </c>
      <c r="AI400" s="11">
        <f>SUMIF(AA389:AA398,"=55915256",V389:V398)</f>
        <v>0</v>
      </c>
      <c r="AJ400" s="11">
        <f>ROUND(SUMIF(AA389:AA398,"=55915256",W389:W398),2)</f>
        <v>0</v>
      </c>
      <c r="AK400" s="11">
        <f>ROUND(SUMIF(AA389:AA398,"=55915256",X389:X398),2)</f>
        <v>835.29</v>
      </c>
      <c r="AL400" s="11">
        <f>ROUND(SUMIF(AA389:AA398,"=55915256",Y389:Y398),2)</f>
        <v>435.9</v>
      </c>
      <c r="AM400" s="11"/>
      <c r="AN400" s="11"/>
      <c r="AO400" s="11">
        <f t="shared" ref="AO400:BD400" si="375">ROUND(BX400,2)</f>
        <v>0</v>
      </c>
      <c r="AP400" s="11">
        <f t="shared" si="375"/>
        <v>0</v>
      </c>
      <c r="AQ400" s="11">
        <f t="shared" si="375"/>
        <v>0</v>
      </c>
      <c r="AR400" s="11">
        <f t="shared" si="375"/>
        <v>4009.57</v>
      </c>
      <c r="AS400" s="11">
        <f t="shared" si="375"/>
        <v>0</v>
      </c>
      <c r="AT400" s="11">
        <f t="shared" si="375"/>
        <v>4009.57</v>
      </c>
      <c r="AU400" s="11">
        <f t="shared" si="375"/>
        <v>0</v>
      </c>
      <c r="AV400" s="11">
        <f t="shared" si="375"/>
        <v>1633.51</v>
      </c>
      <c r="AW400" s="11">
        <f t="shared" si="375"/>
        <v>1633.51</v>
      </c>
      <c r="AX400" s="11">
        <f t="shared" si="375"/>
        <v>0</v>
      </c>
      <c r="AY400" s="11">
        <f t="shared" si="375"/>
        <v>1633.51</v>
      </c>
      <c r="AZ400" s="11">
        <f t="shared" si="375"/>
        <v>0</v>
      </c>
      <c r="BA400" s="11">
        <f t="shared" si="375"/>
        <v>0</v>
      </c>
      <c r="BB400" s="11">
        <f t="shared" si="375"/>
        <v>0</v>
      </c>
      <c r="BC400" s="11">
        <f t="shared" si="375"/>
        <v>0</v>
      </c>
      <c r="BD400" s="11">
        <f t="shared" si="375"/>
        <v>0</v>
      </c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>
        <f>ROUND(SUMIF(AA389:AA398,"=55915256",FQ389:FQ398),2)</f>
        <v>0</v>
      </c>
      <c r="BY400" s="11">
        <f>ROUND(SUMIF(AA389:AA398,"=55915256",FR389:FR398),2)</f>
        <v>0</v>
      </c>
      <c r="BZ400" s="11">
        <f>ROUND(SUMIF(AA389:AA398,"=55915256",GL389:GL398),2)</f>
        <v>0</v>
      </c>
      <c r="CA400" s="11">
        <f>ROUND(SUMIF(AA389:AA398,"=55915256",GM389:GM398),2)</f>
        <v>4009.57</v>
      </c>
      <c r="CB400" s="11">
        <f>ROUND(SUMIF(AA389:AA398,"=55915256",GN389:GN398),2)</f>
        <v>0</v>
      </c>
      <c r="CC400" s="11">
        <f>ROUND(SUMIF(AA389:AA398,"=55915256",GO389:GO398),2)</f>
        <v>4009.57</v>
      </c>
      <c r="CD400" s="11">
        <f>ROUND(SUMIF(AA389:AA398,"=55915256",GP389:GP398),2)</f>
        <v>0</v>
      </c>
      <c r="CE400" s="11">
        <f>AC400-BX400</f>
        <v>1633.51</v>
      </c>
      <c r="CF400" s="11">
        <f>AC400-BY400</f>
        <v>1633.51</v>
      </c>
      <c r="CG400" s="11">
        <f>BX400-BZ400</f>
        <v>0</v>
      </c>
      <c r="CH400" s="11">
        <f>AC400-BX400-BY400+BZ400</f>
        <v>1633.51</v>
      </c>
      <c r="CI400" s="11">
        <f>BY400-BZ400</f>
        <v>0</v>
      </c>
      <c r="CJ400" s="11">
        <f>ROUND(SUMIF(AA389:AA398,"=55915256",GX389:GX398),2)</f>
        <v>0</v>
      </c>
      <c r="CK400" s="11">
        <f>ROUND(SUMIF(AA389:AA398,"=55915256",GY389:GY398),2)</f>
        <v>0</v>
      </c>
      <c r="CL400" s="11">
        <f>ROUND(SUMIF(AA389:AA398,"=55915256",GZ389:GZ398),2)</f>
        <v>0</v>
      </c>
      <c r="CM400" s="11">
        <f>ROUND(SUMIF(AA389:AA398,"=55915256",HD389:HD398),2)</f>
        <v>0</v>
      </c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2">
        <f t="shared" ref="DG400:DL400" si="376">ROUND(DT400,2)</f>
        <v>64474.47</v>
      </c>
      <c r="DH400" s="12">
        <f t="shared" si="376"/>
        <v>12465.89</v>
      </c>
      <c r="DI400" s="12">
        <f t="shared" si="376"/>
        <v>3308.66</v>
      </c>
      <c r="DJ400" s="12">
        <f t="shared" si="376"/>
        <v>832.85</v>
      </c>
      <c r="DK400" s="12">
        <f t="shared" si="376"/>
        <v>48699.92</v>
      </c>
      <c r="DL400" s="12">
        <f t="shared" si="376"/>
        <v>0</v>
      </c>
      <c r="DM400" s="12">
        <f>DZ400</f>
        <v>69.697031039999985</v>
      </c>
      <c r="DN400" s="12">
        <f>EA400</f>
        <v>0</v>
      </c>
      <c r="DO400" s="12">
        <f>ROUND(EB400,2)</f>
        <v>0</v>
      </c>
      <c r="DP400" s="12">
        <f>ROUND(EC400,2)</f>
        <v>47068.47</v>
      </c>
      <c r="DQ400" s="12">
        <f>ROUND(ED400,2)</f>
        <v>24562.91</v>
      </c>
      <c r="DR400" s="12"/>
      <c r="DS400" s="12"/>
      <c r="DT400" s="12">
        <f>ROUND(SUMIF(AA389:AA398,"=55915258",O389:O398),2)</f>
        <v>64474.47</v>
      </c>
      <c r="DU400" s="12">
        <f>ROUND(SUMIF(AA389:AA398,"=55915258",P389:P398),2)</f>
        <v>12465.89</v>
      </c>
      <c r="DV400" s="12">
        <f>ROUND(SUMIF(AA389:AA398,"=55915258",Q389:Q398),2)</f>
        <v>3308.66</v>
      </c>
      <c r="DW400" s="12">
        <f>ROUND(SUMIF(AA389:AA398,"=55915258",R389:R398),2)</f>
        <v>832.85</v>
      </c>
      <c r="DX400" s="12">
        <f>ROUND(SUMIF(AA389:AA398,"=55915258",S389:S398),2)</f>
        <v>48699.92</v>
      </c>
      <c r="DY400" s="12">
        <f>ROUND(SUMIF(AA389:AA398,"=55915258",T389:T398),2)</f>
        <v>0</v>
      </c>
      <c r="DZ400" s="12">
        <f>SUMIF(AA389:AA398,"=55915258",U389:U398)</f>
        <v>69.697031039999985</v>
      </c>
      <c r="EA400" s="12">
        <f>SUMIF(AA389:AA398,"=55915258",V389:V398)</f>
        <v>0</v>
      </c>
      <c r="EB400" s="12">
        <f>ROUND(SUMIF(AA389:AA398,"=55915258",W389:W398),2)</f>
        <v>0</v>
      </c>
      <c r="EC400" s="12">
        <f>ROUND(SUMIF(AA389:AA398,"=55915258",X389:X398),2)</f>
        <v>47068.47</v>
      </c>
      <c r="ED400" s="12">
        <f>ROUND(SUMIF(AA389:AA398,"=55915258",Y389:Y398),2)</f>
        <v>24562.91</v>
      </c>
      <c r="EE400" s="12"/>
      <c r="EF400" s="12"/>
      <c r="EG400" s="12">
        <f t="shared" ref="EG400:EV400" si="377">ROUND(FP400,2)</f>
        <v>0</v>
      </c>
      <c r="EH400" s="12">
        <f t="shared" si="377"/>
        <v>0</v>
      </c>
      <c r="EI400" s="12">
        <f t="shared" si="377"/>
        <v>0</v>
      </c>
      <c r="EJ400" s="12">
        <f t="shared" si="377"/>
        <v>136105.85</v>
      </c>
      <c r="EK400" s="12">
        <f t="shared" si="377"/>
        <v>0</v>
      </c>
      <c r="EL400" s="12">
        <f t="shared" si="377"/>
        <v>136105.85</v>
      </c>
      <c r="EM400" s="12">
        <f t="shared" si="377"/>
        <v>0</v>
      </c>
      <c r="EN400" s="12">
        <f t="shared" si="377"/>
        <v>12465.89</v>
      </c>
      <c r="EO400" s="12">
        <f t="shared" si="377"/>
        <v>12465.89</v>
      </c>
      <c r="EP400" s="12">
        <f t="shared" si="377"/>
        <v>0</v>
      </c>
      <c r="EQ400" s="12">
        <f t="shared" si="377"/>
        <v>12465.89</v>
      </c>
      <c r="ER400" s="12">
        <f t="shared" si="377"/>
        <v>0</v>
      </c>
      <c r="ES400" s="12">
        <f t="shared" si="377"/>
        <v>0</v>
      </c>
      <c r="ET400" s="12">
        <f t="shared" si="377"/>
        <v>0</v>
      </c>
      <c r="EU400" s="12">
        <f t="shared" si="377"/>
        <v>0</v>
      </c>
      <c r="EV400" s="12">
        <f t="shared" si="377"/>
        <v>0</v>
      </c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  <c r="FM400" s="12"/>
      <c r="FN400" s="12"/>
      <c r="FO400" s="12"/>
      <c r="FP400" s="12">
        <f>ROUND(SUMIF(AA389:AA398,"=55915258",FQ389:FQ398),2)</f>
        <v>0</v>
      </c>
      <c r="FQ400" s="12">
        <f>ROUND(SUMIF(AA389:AA398,"=55915258",FR389:FR398),2)</f>
        <v>0</v>
      </c>
      <c r="FR400" s="12">
        <f>ROUND(SUMIF(AA389:AA398,"=55915258",GL389:GL398),2)</f>
        <v>0</v>
      </c>
      <c r="FS400" s="12">
        <f>ROUND(SUMIF(AA389:AA398,"=55915258",GM389:GM398),2)</f>
        <v>136105.85</v>
      </c>
      <c r="FT400" s="12">
        <f>ROUND(SUMIF(AA389:AA398,"=55915258",GN389:GN398),2)</f>
        <v>0</v>
      </c>
      <c r="FU400" s="12">
        <f>ROUND(SUMIF(AA389:AA398,"=55915258",GO389:GO398),2)</f>
        <v>136105.85</v>
      </c>
      <c r="FV400" s="12">
        <f>ROUND(SUMIF(AA389:AA398,"=55915258",GP389:GP398),2)</f>
        <v>0</v>
      </c>
      <c r="FW400" s="12">
        <f>DU400-FP400</f>
        <v>12465.89</v>
      </c>
      <c r="FX400" s="12">
        <f>DU400-FQ400</f>
        <v>12465.89</v>
      </c>
      <c r="FY400" s="12">
        <f>FP400-FR400</f>
        <v>0</v>
      </c>
      <c r="FZ400" s="12">
        <f>DU400-FP400-FQ400+FR400</f>
        <v>12465.89</v>
      </c>
      <c r="GA400" s="12">
        <f>FQ400-FR400</f>
        <v>0</v>
      </c>
      <c r="GB400" s="12">
        <f>ROUND(SUMIF(AA389:AA398,"=55915258",GX389:GX398),2)</f>
        <v>0</v>
      </c>
      <c r="GC400" s="12">
        <f>ROUND(SUMIF(AA389:AA398,"=55915258",GY389:GY398),2)</f>
        <v>0</v>
      </c>
      <c r="GD400" s="12">
        <f>ROUND(SUMIF(AA389:AA398,"=55915258",GZ389:GZ398),2)</f>
        <v>0</v>
      </c>
      <c r="GE400" s="12">
        <f>ROUND(SUMIF(AA389:AA398,"=55915258",HD389:HD398),2)</f>
        <v>0</v>
      </c>
      <c r="GF400" s="12"/>
      <c r="GG400" s="12"/>
      <c r="GH400" s="12"/>
      <c r="GI400" s="12"/>
      <c r="GJ400" s="12"/>
      <c r="GK400" s="12"/>
      <c r="GL400" s="12"/>
      <c r="GM400" s="12"/>
      <c r="GN400" s="12"/>
      <c r="GO400" s="12"/>
      <c r="GP400" s="12"/>
      <c r="GQ400" s="12"/>
      <c r="GR400" s="12"/>
      <c r="GS400" s="12"/>
      <c r="GT400" s="12"/>
      <c r="GU400" s="12"/>
      <c r="GV400" s="12"/>
      <c r="GW400" s="12"/>
      <c r="GX400" s="12">
        <v>0</v>
      </c>
    </row>
    <row r="402" spans="1:28" x14ac:dyDescent="0.2">
      <c r="A402" s="13">
        <v>50</v>
      </c>
      <c r="B402" s="13">
        <v>0</v>
      </c>
      <c r="C402" s="13">
        <v>0</v>
      </c>
      <c r="D402" s="13">
        <v>1</v>
      </c>
      <c r="E402" s="13">
        <v>201</v>
      </c>
      <c r="F402" s="13">
        <f>ROUND(Source!O400,O402)</f>
        <v>2738.38</v>
      </c>
      <c r="G402" s="13" t="s">
        <v>93</v>
      </c>
      <c r="H402" s="13" t="s">
        <v>94</v>
      </c>
      <c r="I402" s="13"/>
      <c r="J402" s="13"/>
      <c r="K402" s="13">
        <v>201</v>
      </c>
      <c r="L402" s="13">
        <v>1</v>
      </c>
      <c r="M402" s="13">
        <v>3</v>
      </c>
      <c r="N402" s="13" t="s">
        <v>3</v>
      </c>
      <c r="O402" s="13">
        <v>2</v>
      </c>
      <c r="P402" s="13">
        <f>ROUND(Source!DG400,O402)</f>
        <v>64474.47</v>
      </c>
      <c r="Q402" s="13"/>
      <c r="R402" s="13"/>
      <c r="S402" s="13"/>
      <c r="T402" s="13"/>
      <c r="U402" s="13"/>
      <c r="V402" s="13"/>
      <c r="W402" s="13">
        <v>2738.38</v>
      </c>
      <c r="X402" s="13">
        <v>1</v>
      </c>
      <c r="Y402" s="13">
        <v>2738.38</v>
      </c>
      <c r="Z402" s="13">
        <v>64474.47</v>
      </c>
      <c r="AA402" s="13">
        <v>1</v>
      </c>
      <c r="AB402" s="13">
        <v>64474.47</v>
      </c>
    </row>
    <row r="403" spans="1:28" x14ac:dyDescent="0.2">
      <c r="A403" s="13">
        <v>50</v>
      </c>
      <c r="B403" s="13">
        <v>0</v>
      </c>
      <c r="C403" s="13">
        <v>0</v>
      </c>
      <c r="D403" s="13">
        <v>1</v>
      </c>
      <c r="E403" s="13">
        <v>202</v>
      </c>
      <c r="F403" s="13">
        <f>ROUND(Source!P400,O403)</f>
        <v>1633.51</v>
      </c>
      <c r="G403" s="13" t="s">
        <v>95</v>
      </c>
      <c r="H403" s="13" t="s">
        <v>96</v>
      </c>
      <c r="I403" s="13"/>
      <c r="J403" s="13"/>
      <c r="K403" s="13">
        <v>202</v>
      </c>
      <c r="L403" s="13">
        <v>2</v>
      </c>
      <c r="M403" s="13">
        <v>3</v>
      </c>
      <c r="N403" s="13" t="s">
        <v>3</v>
      </c>
      <c r="O403" s="13">
        <v>2</v>
      </c>
      <c r="P403" s="13">
        <f>ROUND(Source!DH400,O403)</f>
        <v>12465.89</v>
      </c>
      <c r="Q403" s="13"/>
      <c r="R403" s="13"/>
      <c r="S403" s="13"/>
      <c r="T403" s="13"/>
      <c r="U403" s="13"/>
      <c r="V403" s="13"/>
      <c r="W403" s="13">
        <v>1633.51</v>
      </c>
      <c r="X403" s="13">
        <v>1</v>
      </c>
      <c r="Y403" s="13">
        <v>1633.51</v>
      </c>
      <c r="Z403" s="13">
        <v>12465.89</v>
      </c>
      <c r="AA403" s="13">
        <v>1</v>
      </c>
      <c r="AB403" s="13">
        <v>12465.89</v>
      </c>
    </row>
    <row r="404" spans="1:28" x14ac:dyDescent="0.2">
      <c r="A404" s="13">
        <v>50</v>
      </c>
      <c r="B404" s="13">
        <v>0</v>
      </c>
      <c r="C404" s="13">
        <v>0</v>
      </c>
      <c r="D404" s="13">
        <v>1</v>
      </c>
      <c r="E404" s="13">
        <v>222</v>
      </c>
      <c r="F404" s="13">
        <f>ROUND(Source!AO400,O404)</f>
        <v>0</v>
      </c>
      <c r="G404" s="13" t="s">
        <v>97</v>
      </c>
      <c r="H404" s="13" t="s">
        <v>98</v>
      </c>
      <c r="I404" s="13"/>
      <c r="J404" s="13"/>
      <c r="K404" s="13">
        <v>222</v>
      </c>
      <c r="L404" s="13">
        <v>3</v>
      </c>
      <c r="M404" s="13">
        <v>3</v>
      </c>
      <c r="N404" s="13" t="s">
        <v>3</v>
      </c>
      <c r="O404" s="13">
        <v>2</v>
      </c>
      <c r="P404" s="13">
        <f>ROUND(Source!EG400,O404)</f>
        <v>0</v>
      </c>
      <c r="Q404" s="13"/>
      <c r="R404" s="13"/>
      <c r="S404" s="13"/>
      <c r="T404" s="13"/>
      <c r="U404" s="13"/>
      <c r="V404" s="13"/>
      <c r="W404" s="13">
        <v>0</v>
      </c>
      <c r="X404" s="13">
        <v>1</v>
      </c>
      <c r="Y404" s="13">
        <v>0</v>
      </c>
      <c r="Z404" s="13">
        <v>0</v>
      </c>
      <c r="AA404" s="13">
        <v>1</v>
      </c>
      <c r="AB404" s="13">
        <v>0</v>
      </c>
    </row>
    <row r="405" spans="1:28" x14ac:dyDescent="0.2">
      <c r="A405" s="13">
        <v>50</v>
      </c>
      <c r="B405" s="13">
        <v>0</v>
      </c>
      <c r="C405" s="13">
        <v>0</v>
      </c>
      <c r="D405" s="13">
        <v>1</v>
      </c>
      <c r="E405" s="13">
        <v>225</v>
      </c>
      <c r="F405" s="13">
        <f>ROUND(Source!AV400,O405)</f>
        <v>1633.51</v>
      </c>
      <c r="G405" s="13" t="s">
        <v>99</v>
      </c>
      <c r="H405" s="13" t="s">
        <v>100</v>
      </c>
      <c r="I405" s="13"/>
      <c r="J405" s="13"/>
      <c r="K405" s="13">
        <v>225</v>
      </c>
      <c r="L405" s="13">
        <v>4</v>
      </c>
      <c r="M405" s="13">
        <v>3</v>
      </c>
      <c r="N405" s="13" t="s">
        <v>3</v>
      </c>
      <c r="O405" s="13">
        <v>2</v>
      </c>
      <c r="P405" s="13">
        <f>ROUND(Source!EN400,O405)</f>
        <v>12465.89</v>
      </c>
      <c r="Q405" s="13"/>
      <c r="R405" s="13"/>
      <c r="S405" s="13"/>
      <c r="T405" s="13"/>
      <c r="U405" s="13"/>
      <c r="V405" s="13"/>
      <c r="W405" s="13">
        <v>1633.51</v>
      </c>
      <c r="X405" s="13">
        <v>1</v>
      </c>
      <c r="Y405" s="13">
        <v>1633.51</v>
      </c>
      <c r="Z405" s="13">
        <v>12465.89</v>
      </c>
      <c r="AA405" s="13">
        <v>1</v>
      </c>
      <c r="AB405" s="13">
        <v>12465.89</v>
      </c>
    </row>
    <row r="406" spans="1:28" x14ac:dyDescent="0.2">
      <c r="A406" s="13">
        <v>50</v>
      </c>
      <c r="B406" s="13">
        <v>0</v>
      </c>
      <c r="C406" s="13">
        <v>0</v>
      </c>
      <c r="D406" s="13">
        <v>1</v>
      </c>
      <c r="E406" s="13">
        <v>226</v>
      </c>
      <c r="F406" s="13">
        <f>ROUND(Source!AW400,O406)</f>
        <v>1633.51</v>
      </c>
      <c r="G406" s="13" t="s">
        <v>101</v>
      </c>
      <c r="H406" s="13" t="s">
        <v>102</v>
      </c>
      <c r="I406" s="13"/>
      <c r="J406" s="13"/>
      <c r="K406" s="13">
        <v>226</v>
      </c>
      <c r="L406" s="13">
        <v>5</v>
      </c>
      <c r="M406" s="13">
        <v>3</v>
      </c>
      <c r="N406" s="13" t="s">
        <v>3</v>
      </c>
      <c r="O406" s="13">
        <v>2</v>
      </c>
      <c r="P406" s="13">
        <f>ROUND(Source!EO400,O406)</f>
        <v>12465.89</v>
      </c>
      <c r="Q406" s="13"/>
      <c r="R406" s="13"/>
      <c r="S406" s="13"/>
      <c r="T406" s="13"/>
      <c r="U406" s="13"/>
      <c r="V406" s="13"/>
      <c r="W406" s="13">
        <v>1633.51</v>
      </c>
      <c r="X406" s="13">
        <v>1</v>
      </c>
      <c r="Y406" s="13">
        <v>1633.51</v>
      </c>
      <c r="Z406" s="13">
        <v>12465.89</v>
      </c>
      <c r="AA406" s="13">
        <v>1</v>
      </c>
      <c r="AB406" s="13">
        <v>12465.89</v>
      </c>
    </row>
    <row r="407" spans="1:28" x14ac:dyDescent="0.2">
      <c r="A407" s="13">
        <v>50</v>
      </c>
      <c r="B407" s="13">
        <v>0</v>
      </c>
      <c r="C407" s="13">
        <v>0</v>
      </c>
      <c r="D407" s="13">
        <v>1</v>
      </c>
      <c r="E407" s="13">
        <v>227</v>
      </c>
      <c r="F407" s="13">
        <f>ROUND(Source!AX400,O407)</f>
        <v>0</v>
      </c>
      <c r="G407" s="13" t="s">
        <v>103</v>
      </c>
      <c r="H407" s="13" t="s">
        <v>104</v>
      </c>
      <c r="I407" s="13"/>
      <c r="J407" s="13"/>
      <c r="K407" s="13">
        <v>227</v>
      </c>
      <c r="L407" s="13">
        <v>6</v>
      </c>
      <c r="M407" s="13">
        <v>3</v>
      </c>
      <c r="N407" s="13" t="s">
        <v>3</v>
      </c>
      <c r="O407" s="13">
        <v>2</v>
      </c>
      <c r="P407" s="13">
        <f>ROUND(Source!EP400,O407)</f>
        <v>0</v>
      </c>
      <c r="Q407" s="13"/>
      <c r="R407" s="13"/>
      <c r="S407" s="13"/>
      <c r="T407" s="13"/>
      <c r="U407" s="13"/>
      <c r="V407" s="13"/>
      <c r="W407" s="13">
        <v>0</v>
      </c>
      <c r="X407" s="13">
        <v>1</v>
      </c>
      <c r="Y407" s="13">
        <v>0</v>
      </c>
      <c r="Z407" s="13">
        <v>0</v>
      </c>
      <c r="AA407" s="13">
        <v>1</v>
      </c>
      <c r="AB407" s="13">
        <v>0</v>
      </c>
    </row>
    <row r="408" spans="1:28" x14ac:dyDescent="0.2">
      <c r="A408" s="13">
        <v>50</v>
      </c>
      <c r="B408" s="13">
        <v>0</v>
      </c>
      <c r="C408" s="13">
        <v>0</v>
      </c>
      <c r="D408" s="13">
        <v>1</v>
      </c>
      <c r="E408" s="13">
        <v>228</v>
      </c>
      <c r="F408" s="13">
        <f>ROUND(Source!AY400,O408)</f>
        <v>1633.51</v>
      </c>
      <c r="G408" s="13" t="s">
        <v>105</v>
      </c>
      <c r="H408" s="13" t="s">
        <v>106</v>
      </c>
      <c r="I408" s="13"/>
      <c r="J408" s="13"/>
      <c r="K408" s="13">
        <v>228</v>
      </c>
      <c r="L408" s="13">
        <v>7</v>
      </c>
      <c r="M408" s="13">
        <v>3</v>
      </c>
      <c r="N408" s="13" t="s">
        <v>3</v>
      </c>
      <c r="O408" s="13">
        <v>2</v>
      </c>
      <c r="P408" s="13">
        <f>ROUND(Source!EQ400,O408)</f>
        <v>12465.89</v>
      </c>
      <c r="Q408" s="13"/>
      <c r="R408" s="13"/>
      <c r="S408" s="13"/>
      <c r="T408" s="13"/>
      <c r="U408" s="13"/>
      <c r="V408" s="13"/>
      <c r="W408" s="13">
        <v>1633.51</v>
      </c>
      <c r="X408" s="13">
        <v>1</v>
      </c>
      <c r="Y408" s="13">
        <v>1633.51</v>
      </c>
      <c r="Z408" s="13">
        <v>12465.89</v>
      </c>
      <c r="AA408" s="13">
        <v>1</v>
      </c>
      <c r="AB408" s="13">
        <v>12465.89</v>
      </c>
    </row>
    <row r="409" spans="1:28" x14ac:dyDescent="0.2">
      <c r="A409" s="13">
        <v>50</v>
      </c>
      <c r="B409" s="13">
        <v>0</v>
      </c>
      <c r="C409" s="13">
        <v>0</v>
      </c>
      <c r="D409" s="13">
        <v>1</v>
      </c>
      <c r="E409" s="13">
        <v>216</v>
      </c>
      <c r="F409" s="13">
        <f>ROUND(Source!AP400,O409)</f>
        <v>0</v>
      </c>
      <c r="G409" s="13" t="s">
        <v>107</v>
      </c>
      <c r="H409" s="13" t="s">
        <v>108</v>
      </c>
      <c r="I409" s="13"/>
      <c r="J409" s="13"/>
      <c r="K409" s="13">
        <v>216</v>
      </c>
      <c r="L409" s="13">
        <v>8</v>
      </c>
      <c r="M409" s="13">
        <v>3</v>
      </c>
      <c r="N409" s="13" t="s">
        <v>3</v>
      </c>
      <c r="O409" s="13">
        <v>2</v>
      </c>
      <c r="P409" s="13">
        <f>ROUND(Source!EH400,O409)</f>
        <v>0</v>
      </c>
      <c r="Q409" s="13"/>
      <c r="R409" s="13"/>
      <c r="S409" s="13"/>
      <c r="T409" s="13"/>
      <c r="U409" s="13"/>
      <c r="V409" s="13"/>
      <c r="W409" s="13">
        <v>0</v>
      </c>
      <c r="X409" s="13">
        <v>1</v>
      </c>
      <c r="Y409" s="13">
        <v>0</v>
      </c>
      <c r="Z409" s="13">
        <v>0</v>
      </c>
      <c r="AA409" s="13">
        <v>1</v>
      </c>
      <c r="AB409" s="13">
        <v>0</v>
      </c>
    </row>
    <row r="410" spans="1:28" x14ac:dyDescent="0.2">
      <c r="A410" s="13">
        <v>50</v>
      </c>
      <c r="B410" s="13">
        <v>0</v>
      </c>
      <c r="C410" s="13">
        <v>0</v>
      </c>
      <c r="D410" s="13">
        <v>1</v>
      </c>
      <c r="E410" s="13">
        <v>223</v>
      </c>
      <c r="F410" s="13">
        <f>ROUND(Source!AQ400,O410)</f>
        <v>0</v>
      </c>
      <c r="G410" s="13" t="s">
        <v>109</v>
      </c>
      <c r="H410" s="13" t="s">
        <v>110</v>
      </c>
      <c r="I410" s="13"/>
      <c r="J410" s="13"/>
      <c r="K410" s="13">
        <v>223</v>
      </c>
      <c r="L410" s="13">
        <v>9</v>
      </c>
      <c r="M410" s="13">
        <v>3</v>
      </c>
      <c r="N410" s="13" t="s">
        <v>3</v>
      </c>
      <c r="O410" s="13">
        <v>2</v>
      </c>
      <c r="P410" s="13">
        <f>ROUND(Source!EI400,O410)</f>
        <v>0</v>
      </c>
      <c r="Q410" s="13"/>
      <c r="R410" s="13"/>
      <c r="S410" s="13"/>
      <c r="T410" s="13"/>
      <c r="U410" s="13"/>
      <c r="V410" s="13"/>
      <c r="W410" s="13">
        <v>0</v>
      </c>
      <c r="X410" s="13">
        <v>1</v>
      </c>
      <c r="Y410" s="13">
        <v>0</v>
      </c>
      <c r="Z410" s="13">
        <v>0</v>
      </c>
      <c r="AA410" s="13">
        <v>1</v>
      </c>
      <c r="AB410" s="13">
        <v>0</v>
      </c>
    </row>
    <row r="411" spans="1:28" x14ac:dyDescent="0.2">
      <c r="A411" s="13">
        <v>50</v>
      </c>
      <c r="B411" s="13">
        <v>0</v>
      </c>
      <c r="C411" s="13">
        <v>0</v>
      </c>
      <c r="D411" s="13">
        <v>1</v>
      </c>
      <c r="E411" s="13">
        <v>229</v>
      </c>
      <c r="F411" s="13">
        <f>ROUND(Source!AZ400,O411)</f>
        <v>0</v>
      </c>
      <c r="G411" s="13" t="s">
        <v>111</v>
      </c>
      <c r="H411" s="13" t="s">
        <v>112</v>
      </c>
      <c r="I411" s="13"/>
      <c r="J411" s="13"/>
      <c r="K411" s="13">
        <v>229</v>
      </c>
      <c r="L411" s="13">
        <v>10</v>
      </c>
      <c r="M411" s="13">
        <v>3</v>
      </c>
      <c r="N411" s="13" t="s">
        <v>3</v>
      </c>
      <c r="O411" s="13">
        <v>2</v>
      </c>
      <c r="P411" s="13">
        <f>ROUND(Source!ER400,O411)</f>
        <v>0</v>
      </c>
      <c r="Q411" s="13"/>
      <c r="R411" s="13"/>
      <c r="S411" s="13"/>
      <c r="T411" s="13"/>
      <c r="U411" s="13"/>
      <c r="V411" s="13"/>
      <c r="W411" s="13">
        <v>0</v>
      </c>
      <c r="X411" s="13">
        <v>1</v>
      </c>
      <c r="Y411" s="13">
        <v>0</v>
      </c>
      <c r="Z411" s="13">
        <v>0</v>
      </c>
      <c r="AA411" s="13">
        <v>1</v>
      </c>
      <c r="AB411" s="13">
        <v>0</v>
      </c>
    </row>
    <row r="412" spans="1:28" x14ac:dyDescent="0.2">
      <c r="A412" s="13">
        <v>50</v>
      </c>
      <c r="B412" s="13">
        <v>0</v>
      </c>
      <c r="C412" s="13">
        <v>0</v>
      </c>
      <c r="D412" s="13">
        <v>1</v>
      </c>
      <c r="E412" s="13">
        <v>203</v>
      </c>
      <c r="F412" s="13">
        <f>ROUND(Source!Q400,O412)</f>
        <v>240.63</v>
      </c>
      <c r="G412" s="13" t="s">
        <v>113</v>
      </c>
      <c r="H412" s="13" t="s">
        <v>114</v>
      </c>
      <c r="I412" s="13"/>
      <c r="J412" s="13"/>
      <c r="K412" s="13">
        <v>203</v>
      </c>
      <c r="L412" s="13">
        <v>11</v>
      </c>
      <c r="M412" s="13">
        <v>3</v>
      </c>
      <c r="N412" s="13" t="s">
        <v>3</v>
      </c>
      <c r="O412" s="13">
        <v>2</v>
      </c>
      <c r="P412" s="13">
        <f>ROUND(Source!DI400,O412)</f>
        <v>3308.66</v>
      </c>
      <c r="Q412" s="13"/>
      <c r="R412" s="13"/>
      <c r="S412" s="13"/>
      <c r="T412" s="13"/>
      <c r="U412" s="13"/>
      <c r="V412" s="13"/>
      <c r="W412" s="13">
        <v>240.63</v>
      </c>
      <c r="X412" s="13">
        <v>1</v>
      </c>
      <c r="Y412" s="13">
        <v>240.63</v>
      </c>
      <c r="Z412" s="13">
        <v>3308.66</v>
      </c>
      <c r="AA412" s="13">
        <v>1</v>
      </c>
      <c r="AB412" s="13">
        <v>3308.66</v>
      </c>
    </row>
    <row r="413" spans="1:28" x14ac:dyDescent="0.2">
      <c r="A413" s="13">
        <v>50</v>
      </c>
      <c r="B413" s="13">
        <v>0</v>
      </c>
      <c r="C413" s="13">
        <v>0</v>
      </c>
      <c r="D413" s="13">
        <v>1</v>
      </c>
      <c r="E413" s="13">
        <v>231</v>
      </c>
      <c r="F413" s="13">
        <f>ROUND(Source!BB400,O413)</f>
        <v>0</v>
      </c>
      <c r="G413" s="13" t="s">
        <v>115</v>
      </c>
      <c r="H413" s="13" t="s">
        <v>116</v>
      </c>
      <c r="I413" s="13"/>
      <c r="J413" s="13"/>
      <c r="K413" s="13">
        <v>231</v>
      </c>
      <c r="L413" s="13">
        <v>12</v>
      </c>
      <c r="M413" s="13">
        <v>3</v>
      </c>
      <c r="N413" s="13" t="s">
        <v>3</v>
      </c>
      <c r="O413" s="13">
        <v>2</v>
      </c>
      <c r="P413" s="13">
        <f>ROUND(Source!ET400,O413)</f>
        <v>0</v>
      </c>
      <c r="Q413" s="13"/>
      <c r="R413" s="13"/>
      <c r="S413" s="13"/>
      <c r="T413" s="13"/>
      <c r="U413" s="13"/>
      <c r="V413" s="13"/>
      <c r="W413" s="13">
        <v>0</v>
      </c>
      <c r="X413" s="13">
        <v>1</v>
      </c>
      <c r="Y413" s="13">
        <v>0</v>
      </c>
      <c r="Z413" s="13">
        <v>0</v>
      </c>
      <c r="AA413" s="13">
        <v>1</v>
      </c>
      <c r="AB413" s="13">
        <v>0</v>
      </c>
    </row>
    <row r="414" spans="1:28" x14ac:dyDescent="0.2">
      <c r="A414" s="13">
        <v>50</v>
      </c>
      <c r="B414" s="13">
        <v>0</v>
      </c>
      <c r="C414" s="13">
        <v>0</v>
      </c>
      <c r="D414" s="13">
        <v>1</v>
      </c>
      <c r="E414" s="13">
        <v>204</v>
      </c>
      <c r="F414" s="13">
        <f>ROUND(Source!R400,O414)</f>
        <v>14.78</v>
      </c>
      <c r="G414" s="13" t="s">
        <v>117</v>
      </c>
      <c r="H414" s="13" t="s">
        <v>118</v>
      </c>
      <c r="I414" s="13"/>
      <c r="J414" s="13"/>
      <c r="K414" s="13">
        <v>204</v>
      </c>
      <c r="L414" s="13">
        <v>13</v>
      </c>
      <c r="M414" s="13">
        <v>3</v>
      </c>
      <c r="N414" s="13" t="s">
        <v>3</v>
      </c>
      <c r="O414" s="13">
        <v>2</v>
      </c>
      <c r="P414" s="13">
        <f>ROUND(Source!DJ400,O414)</f>
        <v>832.85</v>
      </c>
      <c r="Q414" s="13"/>
      <c r="R414" s="13"/>
      <c r="S414" s="13"/>
      <c r="T414" s="13"/>
      <c r="U414" s="13"/>
      <c r="V414" s="13"/>
      <c r="W414" s="13">
        <v>14.78</v>
      </c>
      <c r="X414" s="13">
        <v>1</v>
      </c>
      <c r="Y414" s="13">
        <v>14.78</v>
      </c>
      <c r="Z414" s="13">
        <v>832.85</v>
      </c>
      <c r="AA414" s="13">
        <v>1</v>
      </c>
      <c r="AB414" s="13">
        <v>832.85</v>
      </c>
    </row>
    <row r="415" spans="1:28" x14ac:dyDescent="0.2">
      <c r="A415" s="13">
        <v>50</v>
      </c>
      <c r="B415" s="13">
        <v>0</v>
      </c>
      <c r="C415" s="13">
        <v>0</v>
      </c>
      <c r="D415" s="13">
        <v>1</v>
      </c>
      <c r="E415" s="13">
        <v>205</v>
      </c>
      <c r="F415" s="13">
        <f>ROUND(Source!S400,O415)</f>
        <v>864.24</v>
      </c>
      <c r="G415" s="13" t="s">
        <v>119</v>
      </c>
      <c r="H415" s="13" t="s">
        <v>120</v>
      </c>
      <c r="I415" s="13"/>
      <c r="J415" s="13"/>
      <c r="K415" s="13">
        <v>205</v>
      </c>
      <c r="L415" s="13">
        <v>14</v>
      </c>
      <c r="M415" s="13">
        <v>3</v>
      </c>
      <c r="N415" s="13" t="s">
        <v>3</v>
      </c>
      <c r="O415" s="13">
        <v>2</v>
      </c>
      <c r="P415" s="13">
        <f>ROUND(Source!DK400,O415)</f>
        <v>48699.92</v>
      </c>
      <c r="Q415" s="13"/>
      <c r="R415" s="13"/>
      <c r="S415" s="13"/>
      <c r="T415" s="13"/>
      <c r="U415" s="13"/>
      <c r="V415" s="13"/>
      <c r="W415" s="13">
        <v>864.24</v>
      </c>
      <c r="X415" s="13">
        <v>1</v>
      </c>
      <c r="Y415" s="13">
        <v>864.24</v>
      </c>
      <c r="Z415" s="13">
        <v>48699.92</v>
      </c>
      <c r="AA415" s="13">
        <v>1</v>
      </c>
      <c r="AB415" s="13">
        <v>48699.92</v>
      </c>
    </row>
    <row r="416" spans="1:28" x14ac:dyDescent="0.2">
      <c r="A416" s="13">
        <v>50</v>
      </c>
      <c r="B416" s="13">
        <v>0</v>
      </c>
      <c r="C416" s="13">
        <v>0</v>
      </c>
      <c r="D416" s="13">
        <v>1</v>
      </c>
      <c r="E416" s="13">
        <v>232</v>
      </c>
      <c r="F416" s="13">
        <f>ROUND(Source!BC400,O416)</f>
        <v>0</v>
      </c>
      <c r="G416" s="13" t="s">
        <v>121</v>
      </c>
      <c r="H416" s="13" t="s">
        <v>122</v>
      </c>
      <c r="I416" s="13"/>
      <c r="J416" s="13"/>
      <c r="K416" s="13">
        <v>232</v>
      </c>
      <c r="L416" s="13">
        <v>15</v>
      </c>
      <c r="M416" s="13">
        <v>3</v>
      </c>
      <c r="N416" s="13" t="s">
        <v>3</v>
      </c>
      <c r="O416" s="13">
        <v>2</v>
      </c>
      <c r="P416" s="13">
        <f>ROUND(Source!EU400,O416)</f>
        <v>0</v>
      </c>
      <c r="Q416" s="13"/>
      <c r="R416" s="13"/>
      <c r="S416" s="13"/>
      <c r="T416" s="13"/>
      <c r="U416" s="13"/>
      <c r="V416" s="13"/>
      <c r="W416" s="13">
        <v>0</v>
      </c>
      <c r="X416" s="13">
        <v>1</v>
      </c>
      <c r="Y416" s="13">
        <v>0</v>
      </c>
      <c r="Z416" s="13">
        <v>0</v>
      </c>
      <c r="AA416" s="13">
        <v>1</v>
      </c>
      <c r="AB416" s="13">
        <v>0</v>
      </c>
    </row>
    <row r="417" spans="1:206" x14ac:dyDescent="0.2">
      <c r="A417" s="13">
        <v>50</v>
      </c>
      <c r="B417" s="13">
        <v>0</v>
      </c>
      <c r="C417" s="13">
        <v>0</v>
      </c>
      <c r="D417" s="13">
        <v>1</v>
      </c>
      <c r="E417" s="13">
        <v>214</v>
      </c>
      <c r="F417" s="13">
        <f>ROUND(Source!AS400,O417)</f>
        <v>0</v>
      </c>
      <c r="G417" s="13" t="s">
        <v>123</v>
      </c>
      <c r="H417" s="13" t="s">
        <v>124</v>
      </c>
      <c r="I417" s="13"/>
      <c r="J417" s="13"/>
      <c r="K417" s="13">
        <v>214</v>
      </c>
      <c r="L417" s="13">
        <v>16</v>
      </c>
      <c r="M417" s="13">
        <v>3</v>
      </c>
      <c r="N417" s="13" t="s">
        <v>3</v>
      </c>
      <c r="O417" s="13">
        <v>2</v>
      </c>
      <c r="P417" s="13">
        <f>ROUND(Source!EK400,O417)</f>
        <v>0</v>
      </c>
      <c r="Q417" s="13"/>
      <c r="R417" s="13"/>
      <c r="S417" s="13"/>
      <c r="T417" s="13"/>
      <c r="U417" s="13"/>
      <c r="V417" s="13"/>
      <c r="W417" s="13">
        <v>0</v>
      </c>
      <c r="X417" s="13">
        <v>1</v>
      </c>
      <c r="Y417" s="13">
        <v>0</v>
      </c>
      <c r="Z417" s="13">
        <v>0</v>
      </c>
      <c r="AA417" s="13">
        <v>1</v>
      </c>
      <c r="AB417" s="13">
        <v>0</v>
      </c>
    </row>
    <row r="418" spans="1:206" x14ac:dyDescent="0.2">
      <c r="A418" s="13">
        <v>50</v>
      </c>
      <c r="B418" s="13">
        <v>0</v>
      </c>
      <c r="C418" s="13">
        <v>0</v>
      </c>
      <c r="D418" s="13">
        <v>1</v>
      </c>
      <c r="E418" s="13">
        <v>215</v>
      </c>
      <c r="F418" s="13">
        <f>ROUND(Source!AT400,O418)</f>
        <v>4009.57</v>
      </c>
      <c r="G418" s="13" t="s">
        <v>125</v>
      </c>
      <c r="H418" s="13" t="s">
        <v>126</v>
      </c>
      <c r="I418" s="13"/>
      <c r="J418" s="13"/>
      <c r="K418" s="13">
        <v>215</v>
      </c>
      <c r="L418" s="13">
        <v>17</v>
      </c>
      <c r="M418" s="13">
        <v>3</v>
      </c>
      <c r="N418" s="13" t="s">
        <v>3</v>
      </c>
      <c r="O418" s="13">
        <v>2</v>
      </c>
      <c r="P418" s="13">
        <f>ROUND(Source!EL400,O418)</f>
        <v>136105.85</v>
      </c>
      <c r="Q418" s="13"/>
      <c r="R418" s="13"/>
      <c r="S418" s="13"/>
      <c r="T418" s="13"/>
      <c r="U418" s="13"/>
      <c r="V418" s="13"/>
      <c r="W418" s="13">
        <v>4009.57</v>
      </c>
      <c r="X418" s="13">
        <v>1</v>
      </c>
      <c r="Y418" s="13">
        <v>4009.57</v>
      </c>
      <c r="Z418" s="13">
        <v>136105.85</v>
      </c>
      <c r="AA418" s="13">
        <v>1</v>
      </c>
      <c r="AB418" s="13">
        <v>136105.85</v>
      </c>
    </row>
    <row r="419" spans="1:206" x14ac:dyDescent="0.2">
      <c r="A419" s="13">
        <v>50</v>
      </c>
      <c r="B419" s="13">
        <v>0</v>
      </c>
      <c r="C419" s="13">
        <v>0</v>
      </c>
      <c r="D419" s="13">
        <v>1</v>
      </c>
      <c r="E419" s="13">
        <v>217</v>
      </c>
      <c r="F419" s="13">
        <f>ROUND(Source!AU400,O419)</f>
        <v>0</v>
      </c>
      <c r="G419" s="13" t="s">
        <v>127</v>
      </c>
      <c r="H419" s="13" t="s">
        <v>128</v>
      </c>
      <c r="I419" s="13"/>
      <c r="J419" s="13"/>
      <c r="K419" s="13">
        <v>217</v>
      </c>
      <c r="L419" s="13">
        <v>18</v>
      </c>
      <c r="M419" s="13">
        <v>3</v>
      </c>
      <c r="N419" s="13" t="s">
        <v>3</v>
      </c>
      <c r="O419" s="13">
        <v>2</v>
      </c>
      <c r="P419" s="13">
        <f>ROUND(Source!EM400,O419)</f>
        <v>0</v>
      </c>
      <c r="Q419" s="13"/>
      <c r="R419" s="13"/>
      <c r="S419" s="13"/>
      <c r="T419" s="13"/>
      <c r="U419" s="13"/>
      <c r="V419" s="13"/>
      <c r="W419" s="13">
        <v>0</v>
      </c>
      <c r="X419" s="13">
        <v>1</v>
      </c>
      <c r="Y419" s="13">
        <v>0</v>
      </c>
      <c r="Z419" s="13">
        <v>0</v>
      </c>
      <c r="AA419" s="13">
        <v>1</v>
      </c>
      <c r="AB419" s="13">
        <v>0</v>
      </c>
    </row>
    <row r="420" spans="1:206" x14ac:dyDescent="0.2">
      <c r="A420" s="13">
        <v>50</v>
      </c>
      <c r="B420" s="13">
        <v>0</v>
      </c>
      <c r="C420" s="13">
        <v>0</v>
      </c>
      <c r="D420" s="13">
        <v>1</v>
      </c>
      <c r="E420" s="13">
        <v>230</v>
      </c>
      <c r="F420" s="13">
        <f>ROUND(Source!BA400,O420)</f>
        <v>0</v>
      </c>
      <c r="G420" s="13" t="s">
        <v>129</v>
      </c>
      <c r="H420" s="13" t="s">
        <v>130</v>
      </c>
      <c r="I420" s="13"/>
      <c r="J420" s="13"/>
      <c r="K420" s="13">
        <v>230</v>
      </c>
      <c r="L420" s="13">
        <v>19</v>
      </c>
      <c r="M420" s="13">
        <v>3</v>
      </c>
      <c r="N420" s="13" t="s">
        <v>3</v>
      </c>
      <c r="O420" s="13">
        <v>2</v>
      </c>
      <c r="P420" s="13">
        <f>ROUND(Source!ES400,O420)</f>
        <v>0</v>
      </c>
      <c r="Q420" s="13"/>
      <c r="R420" s="13"/>
      <c r="S420" s="13"/>
      <c r="T420" s="13"/>
      <c r="U420" s="13"/>
      <c r="V420" s="13"/>
      <c r="W420" s="13">
        <v>0</v>
      </c>
      <c r="X420" s="13">
        <v>1</v>
      </c>
      <c r="Y420" s="13">
        <v>0</v>
      </c>
      <c r="Z420" s="13">
        <v>0</v>
      </c>
      <c r="AA420" s="13">
        <v>1</v>
      </c>
      <c r="AB420" s="13">
        <v>0</v>
      </c>
    </row>
    <row r="421" spans="1:206" x14ac:dyDescent="0.2">
      <c r="A421" s="13">
        <v>50</v>
      </c>
      <c r="B421" s="13">
        <v>0</v>
      </c>
      <c r="C421" s="13">
        <v>0</v>
      </c>
      <c r="D421" s="13">
        <v>1</v>
      </c>
      <c r="E421" s="13">
        <v>206</v>
      </c>
      <c r="F421" s="13">
        <f>ROUND(Source!T400,O421)</f>
        <v>0</v>
      </c>
      <c r="G421" s="13" t="s">
        <v>131</v>
      </c>
      <c r="H421" s="13" t="s">
        <v>132</v>
      </c>
      <c r="I421" s="13"/>
      <c r="J421" s="13"/>
      <c r="K421" s="13">
        <v>206</v>
      </c>
      <c r="L421" s="13">
        <v>20</v>
      </c>
      <c r="M421" s="13">
        <v>3</v>
      </c>
      <c r="N421" s="13" t="s">
        <v>3</v>
      </c>
      <c r="O421" s="13">
        <v>2</v>
      </c>
      <c r="P421" s="13">
        <f>ROUND(Source!DL400,O421)</f>
        <v>0</v>
      </c>
      <c r="Q421" s="13"/>
      <c r="R421" s="13"/>
      <c r="S421" s="13"/>
      <c r="T421" s="13"/>
      <c r="U421" s="13"/>
      <c r="V421" s="13"/>
      <c r="W421" s="13">
        <v>0</v>
      </c>
      <c r="X421" s="13">
        <v>1</v>
      </c>
      <c r="Y421" s="13">
        <v>0</v>
      </c>
      <c r="Z421" s="13">
        <v>0</v>
      </c>
      <c r="AA421" s="13">
        <v>1</v>
      </c>
      <c r="AB421" s="13">
        <v>0</v>
      </c>
    </row>
    <row r="422" spans="1:206" x14ac:dyDescent="0.2">
      <c r="A422" s="13">
        <v>50</v>
      </c>
      <c r="B422" s="13">
        <v>0</v>
      </c>
      <c r="C422" s="13">
        <v>0</v>
      </c>
      <c r="D422" s="13">
        <v>1</v>
      </c>
      <c r="E422" s="13">
        <v>207</v>
      </c>
      <c r="F422" s="13">
        <f>Source!U400</f>
        <v>69.697031039999985</v>
      </c>
      <c r="G422" s="13" t="s">
        <v>133</v>
      </c>
      <c r="H422" s="13" t="s">
        <v>134</v>
      </c>
      <c r="I422" s="13"/>
      <c r="J422" s="13"/>
      <c r="K422" s="13">
        <v>207</v>
      </c>
      <c r="L422" s="13">
        <v>21</v>
      </c>
      <c r="M422" s="13">
        <v>3</v>
      </c>
      <c r="N422" s="13" t="s">
        <v>3</v>
      </c>
      <c r="O422" s="13">
        <v>-1</v>
      </c>
      <c r="P422" s="13">
        <f>Source!DM400</f>
        <v>69.697031039999985</v>
      </c>
      <c r="Q422" s="13"/>
      <c r="R422" s="13"/>
      <c r="S422" s="13"/>
      <c r="T422" s="13"/>
      <c r="U422" s="13"/>
      <c r="V422" s="13"/>
      <c r="W422" s="13">
        <v>69.697031039999999</v>
      </c>
      <c r="X422" s="13">
        <v>1</v>
      </c>
      <c r="Y422" s="13">
        <v>69.697031039999999</v>
      </c>
      <c r="Z422" s="13">
        <v>69.697031039999999</v>
      </c>
      <c r="AA422" s="13">
        <v>1</v>
      </c>
      <c r="AB422" s="13">
        <v>69.697031039999999</v>
      </c>
    </row>
    <row r="423" spans="1:206" x14ac:dyDescent="0.2">
      <c r="A423" s="13">
        <v>50</v>
      </c>
      <c r="B423" s="13">
        <v>0</v>
      </c>
      <c r="C423" s="13">
        <v>0</v>
      </c>
      <c r="D423" s="13">
        <v>1</v>
      </c>
      <c r="E423" s="13">
        <v>208</v>
      </c>
      <c r="F423" s="13">
        <f>Source!V400</f>
        <v>0</v>
      </c>
      <c r="G423" s="13" t="s">
        <v>135</v>
      </c>
      <c r="H423" s="13" t="s">
        <v>136</v>
      </c>
      <c r="I423" s="13"/>
      <c r="J423" s="13"/>
      <c r="K423" s="13">
        <v>208</v>
      </c>
      <c r="L423" s="13">
        <v>22</v>
      </c>
      <c r="M423" s="13">
        <v>3</v>
      </c>
      <c r="N423" s="13" t="s">
        <v>3</v>
      </c>
      <c r="O423" s="13">
        <v>-1</v>
      </c>
      <c r="P423" s="13">
        <f>Source!DN400</f>
        <v>0</v>
      </c>
      <c r="Q423" s="13"/>
      <c r="R423" s="13"/>
      <c r="S423" s="13"/>
      <c r="T423" s="13"/>
      <c r="U423" s="13"/>
      <c r="V423" s="13"/>
      <c r="W423" s="13">
        <v>0</v>
      </c>
      <c r="X423" s="13">
        <v>1</v>
      </c>
      <c r="Y423" s="13">
        <v>0</v>
      </c>
      <c r="Z423" s="13">
        <v>0</v>
      </c>
      <c r="AA423" s="13">
        <v>1</v>
      </c>
      <c r="AB423" s="13">
        <v>0</v>
      </c>
    </row>
    <row r="424" spans="1:206" x14ac:dyDescent="0.2">
      <c r="A424" s="13">
        <v>50</v>
      </c>
      <c r="B424" s="13">
        <v>0</v>
      </c>
      <c r="C424" s="13">
        <v>0</v>
      </c>
      <c r="D424" s="13">
        <v>1</v>
      </c>
      <c r="E424" s="13">
        <v>209</v>
      </c>
      <c r="F424" s="13">
        <f>ROUND(Source!W400,O424)</f>
        <v>0</v>
      </c>
      <c r="G424" s="13" t="s">
        <v>137</v>
      </c>
      <c r="H424" s="13" t="s">
        <v>138</v>
      </c>
      <c r="I424" s="13"/>
      <c r="J424" s="13"/>
      <c r="K424" s="13">
        <v>209</v>
      </c>
      <c r="L424" s="13">
        <v>23</v>
      </c>
      <c r="M424" s="13">
        <v>3</v>
      </c>
      <c r="N424" s="13" t="s">
        <v>3</v>
      </c>
      <c r="O424" s="13">
        <v>2</v>
      </c>
      <c r="P424" s="13">
        <f>ROUND(Source!DO400,O424)</f>
        <v>0</v>
      </c>
      <c r="Q424" s="13"/>
      <c r="R424" s="13"/>
      <c r="S424" s="13"/>
      <c r="T424" s="13"/>
      <c r="U424" s="13"/>
      <c r="V424" s="13"/>
      <c r="W424" s="13">
        <v>0</v>
      </c>
      <c r="X424" s="13">
        <v>1</v>
      </c>
      <c r="Y424" s="13">
        <v>0</v>
      </c>
      <c r="Z424" s="13">
        <v>0</v>
      </c>
      <c r="AA424" s="13">
        <v>1</v>
      </c>
      <c r="AB424" s="13">
        <v>0</v>
      </c>
    </row>
    <row r="425" spans="1:206" x14ac:dyDescent="0.2">
      <c r="A425" s="13">
        <v>50</v>
      </c>
      <c r="B425" s="13">
        <v>0</v>
      </c>
      <c r="C425" s="13">
        <v>0</v>
      </c>
      <c r="D425" s="13">
        <v>1</v>
      </c>
      <c r="E425" s="13">
        <v>233</v>
      </c>
      <c r="F425" s="13">
        <f>ROUND(Source!BD400,O425)</f>
        <v>0</v>
      </c>
      <c r="G425" s="13" t="s">
        <v>139</v>
      </c>
      <c r="H425" s="13" t="s">
        <v>140</v>
      </c>
      <c r="I425" s="13"/>
      <c r="J425" s="13"/>
      <c r="K425" s="13">
        <v>233</v>
      </c>
      <c r="L425" s="13">
        <v>24</v>
      </c>
      <c r="M425" s="13">
        <v>3</v>
      </c>
      <c r="N425" s="13" t="s">
        <v>3</v>
      </c>
      <c r="O425" s="13">
        <v>2</v>
      </c>
      <c r="P425" s="13">
        <f>ROUND(Source!EV400,O425)</f>
        <v>0</v>
      </c>
      <c r="Q425" s="13"/>
      <c r="R425" s="13"/>
      <c r="S425" s="13"/>
      <c r="T425" s="13"/>
      <c r="U425" s="13"/>
      <c r="V425" s="13"/>
      <c r="W425" s="13">
        <v>0</v>
      </c>
      <c r="X425" s="13">
        <v>1</v>
      </c>
      <c r="Y425" s="13">
        <v>0</v>
      </c>
      <c r="Z425" s="13">
        <v>0</v>
      </c>
      <c r="AA425" s="13">
        <v>1</v>
      </c>
      <c r="AB425" s="13">
        <v>0</v>
      </c>
    </row>
    <row r="426" spans="1:206" x14ac:dyDescent="0.2">
      <c r="A426" s="13">
        <v>50</v>
      </c>
      <c r="B426" s="13">
        <v>0</v>
      </c>
      <c r="C426" s="13">
        <v>0</v>
      </c>
      <c r="D426" s="13">
        <v>1</v>
      </c>
      <c r="E426" s="13">
        <v>210</v>
      </c>
      <c r="F426" s="13">
        <f>ROUND(Source!X400,O426)</f>
        <v>835.29</v>
      </c>
      <c r="G426" s="13" t="s">
        <v>141</v>
      </c>
      <c r="H426" s="13" t="s">
        <v>142</v>
      </c>
      <c r="I426" s="13"/>
      <c r="J426" s="13"/>
      <c r="K426" s="13">
        <v>210</v>
      </c>
      <c r="L426" s="13">
        <v>25</v>
      </c>
      <c r="M426" s="13">
        <v>3</v>
      </c>
      <c r="N426" s="13" t="s">
        <v>3</v>
      </c>
      <c r="O426" s="13">
        <v>2</v>
      </c>
      <c r="P426" s="13">
        <f>ROUND(Source!DP400,O426)</f>
        <v>47068.47</v>
      </c>
      <c r="Q426" s="13"/>
      <c r="R426" s="13"/>
      <c r="S426" s="13"/>
      <c r="T426" s="13"/>
      <c r="U426" s="13"/>
      <c r="V426" s="13"/>
      <c r="W426" s="13">
        <v>835.29</v>
      </c>
      <c r="X426" s="13">
        <v>1</v>
      </c>
      <c r="Y426" s="13">
        <v>835.29</v>
      </c>
      <c r="Z426" s="13">
        <v>47068.47</v>
      </c>
      <c r="AA426" s="13">
        <v>1</v>
      </c>
      <c r="AB426" s="13">
        <v>47068.47</v>
      </c>
    </row>
    <row r="427" spans="1:206" x14ac:dyDescent="0.2">
      <c r="A427" s="13">
        <v>50</v>
      </c>
      <c r="B427" s="13">
        <v>0</v>
      </c>
      <c r="C427" s="13">
        <v>0</v>
      </c>
      <c r="D427" s="13">
        <v>1</v>
      </c>
      <c r="E427" s="13">
        <v>211</v>
      </c>
      <c r="F427" s="13">
        <f>ROUND(Source!Y400,O427)</f>
        <v>435.9</v>
      </c>
      <c r="G427" s="13" t="s">
        <v>143</v>
      </c>
      <c r="H427" s="13" t="s">
        <v>144</v>
      </c>
      <c r="I427" s="13"/>
      <c r="J427" s="13"/>
      <c r="K427" s="13">
        <v>211</v>
      </c>
      <c r="L427" s="13">
        <v>26</v>
      </c>
      <c r="M427" s="13">
        <v>3</v>
      </c>
      <c r="N427" s="13" t="s">
        <v>3</v>
      </c>
      <c r="O427" s="13">
        <v>2</v>
      </c>
      <c r="P427" s="13">
        <f>ROUND(Source!DQ400,O427)</f>
        <v>24562.91</v>
      </c>
      <c r="Q427" s="13"/>
      <c r="R427" s="13"/>
      <c r="S427" s="13"/>
      <c r="T427" s="13"/>
      <c r="U427" s="13"/>
      <c r="V427" s="13"/>
      <c r="W427" s="13">
        <v>435.9</v>
      </c>
      <c r="X427" s="13">
        <v>1</v>
      </c>
      <c r="Y427" s="13">
        <v>435.9</v>
      </c>
      <c r="Z427" s="13">
        <v>24562.91</v>
      </c>
      <c r="AA427" s="13">
        <v>1</v>
      </c>
      <c r="AB427" s="13">
        <v>24562.91</v>
      </c>
    </row>
    <row r="428" spans="1:206" x14ac:dyDescent="0.2">
      <c r="A428" s="13">
        <v>50</v>
      </c>
      <c r="B428" s="13">
        <v>0</v>
      </c>
      <c r="C428" s="13">
        <v>0</v>
      </c>
      <c r="D428" s="13">
        <v>1</v>
      </c>
      <c r="E428" s="13">
        <v>224</v>
      </c>
      <c r="F428" s="13">
        <f>ROUND(Source!AR400,O428)</f>
        <v>4009.57</v>
      </c>
      <c r="G428" s="13" t="s">
        <v>145</v>
      </c>
      <c r="H428" s="13" t="s">
        <v>146</v>
      </c>
      <c r="I428" s="13"/>
      <c r="J428" s="13"/>
      <c r="K428" s="13">
        <v>224</v>
      </c>
      <c r="L428" s="13">
        <v>27</v>
      </c>
      <c r="M428" s="13">
        <v>3</v>
      </c>
      <c r="N428" s="13" t="s">
        <v>3</v>
      </c>
      <c r="O428" s="13">
        <v>2</v>
      </c>
      <c r="P428" s="13">
        <f>ROUND(Source!EJ400,O428)</f>
        <v>136105.85</v>
      </c>
      <c r="Q428" s="13"/>
      <c r="R428" s="13"/>
      <c r="S428" s="13"/>
      <c r="T428" s="13"/>
      <c r="U428" s="13"/>
      <c r="V428" s="13"/>
      <c r="W428" s="13">
        <v>4009.57</v>
      </c>
      <c r="X428" s="13">
        <v>1</v>
      </c>
      <c r="Y428" s="13">
        <v>4009.57</v>
      </c>
      <c r="Z428" s="13">
        <v>136105.85</v>
      </c>
      <c r="AA428" s="13">
        <v>1</v>
      </c>
      <c r="AB428" s="13">
        <v>136105.85</v>
      </c>
    </row>
    <row r="430" spans="1:206" x14ac:dyDescent="0.2">
      <c r="A430" s="10">
        <v>4</v>
      </c>
      <c r="B430" s="10">
        <v>1</v>
      </c>
      <c r="C430" s="10"/>
      <c r="D430" s="10">
        <f>ROW(A441)</f>
        <v>441</v>
      </c>
      <c r="E430" s="10"/>
      <c r="F430" s="10" t="s">
        <v>52</v>
      </c>
      <c r="G430" s="10" t="s">
        <v>333</v>
      </c>
      <c r="H430" s="10" t="s">
        <v>3</v>
      </c>
      <c r="I430" s="10">
        <v>0</v>
      </c>
      <c r="J430" s="10"/>
      <c r="K430" s="10">
        <v>-1</v>
      </c>
      <c r="L430" s="10"/>
      <c r="M430" s="10" t="s">
        <v>3</v>
      </c>
      <c r="N430" s="10"/>
      <c r="O430" s="10"/>
      <c r="P430" s="10"/>
      <c r="Q430" s="10"/>
      <c r="R430" s="10"/>
      <c r="S430" s="10">
        <v>0</v>
      </c>
      <c r="T430" s="10">
        <v>0</v>
      </c>
      <c r="U430" s="10" t="s">
        <v>3</v>
      </c>
      <c r="V430" s="10">
        <v>0</v>
      </c>
      <c r="W430" s="10"/>
      <c r="X430" s="10"/>
      <c r="Y430" s="10"/>
      <c r="Z430" s="10"/>
      <c r="AA430" s="10"/>
      <c r="AB430" s="10" t="s">
        <v>3</v>
      </c>
      <c r="AC430" s="10" t="s">
        <v>3</v>
      </c>
      <c r="AD430" s="10" t="s">
        <v>3</v>
      </c>
      <c r="AE430" s="10" t="s">
        <v>3</v>
      </c>
      <c r="AF430" s="10" t="s">
        <v>3</v>
      </c>
      <c r="AG430" s="10" t="s">
        <v>3</v>
      </c>
      <c r="AH430" s="10"/>
      <c r="AI430" s="10"/>
      <c r="AJ430" s="10"/>
      <c r="AK430" s="10"/>
      <c r="AL430" s="10"/>
      <c r="AM430" s="10"/>
      <c r="AN430" s="10"/>
      <c r="AO430" s="10"/>
      <c r="AP430" s="10" t="s">
        <v>3</v>
      </c>
      <c r="AQ430" s="10" t="s">
        <v>3</v>
      </c>
      <c r="AR430" s="10" t="s">
        <v>3</v>
      </c>
      <c r="AS430" s="10"/>
      <c r="AT430" s="10"/>
      <c r="AU430" s="10"/>
      <c r="AV430" s="10"/>
      <c r="AW430" s="10"/>
      <c r="AX430" s="10"/>
      <c r="AY430" s="10"/>
      <c r="AZ430" s="10" t="s">
        <v>3</v>
      </c>
      <c r="BA430" s="10"/>
      <c r="BB430" s="10" t="s">
        <v>3</v>
      </c>
      <c r="BC430" s="10" t="s">
        <v>3</v>
      </c>
      <c r="BD430" s="10" t="s">
        <v>3</v>
      </c>
      <c r="BE430" s="10" t="s">
        <v>3</v>
      </c>
      <c r="BF430" s="10" t="s">
        <v>3</v>
      </c>
      <c r="BG430" s="10" t="s">
        <v>3</v>
      </c>
      <c r="BH430" s="10" t="s">
        <v>3</v>
      </c>
      <c r="BI430" s="10" t="s">
        <v>3</v>
      </c>
      <c r="BJ430" s="10" t="s">
        <v>3</v>
      </c>
      <c r="BK430" s="10" t="s">
        <v>3</v>
      </c>
      <c r="BL430" s="10" t="s">
        <v>3</v>
      </c>
      <c r="BM430" s="10" t="s">
        <v>3</v>
      </c>
      <c r="BN430" s="10" t="s">
        <v>3</v>
      </c>
      <c r="BO430" s="10" t="s">
        <v>3</v>
      </c>
      <c r="BP430" s="10" t="s">
        <v>3</v>
      </c>
      <c r="BQ430" s="10"/>
      <c r="BR430" s="10"/>
      <c r="BS430" s="10"/>
      <c r="BT430" s="10"/>
      <c r="BU430" s="10"/>
      <c r="BV430" s="10"/>
      <c r="BW430" s="10"/>
      <c r="BX430" s="10">
        <v>0</v>
      </c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>
        <v>0</v>
      </c>
    </row>
    <row r="432" spans="1:206" x14ac:dyDescent="0.2">
      <c r="A432" s="11">
        <v>52</v>
      </c>
      <c r="B432" s="11">
        <f t="shared" ref="B432:G432" si="378">B441</f>
        <v>1</v>
      </c>
      <c r="C432" s="11">
        <f t="shared" si="378"/>
        <v>4</v>
      </c>
      <c r="D432" s="11">
        <f t="shared" si="378"/>
        <v>430</v>
      </c>
      <c r="E432" s="11">
        <f t="shared" si="378"/>
        <v>0</v>
      </c>
      <c r="F432" s="11" t="str">
        <f t="shared" si="378"/>
        <v>8</v>
      </c>
      <c r="G432" s="11" t="str">
        <f t="shared" si="378"/>
        <v>Разное</v>
      </c>
      <c r="H432" s="11"/>
      <c r="I432" s="11"/>
      <c r="J432" s="11"/>
      <c r="K432" s="11"/>
      <c r="L432" s="11"/>
      <c r="M432" s="11"/>
      <c r="N432" s="11"/>
      <c r="O432" s="11">
        <f t="shared" ref="O432:AT432" si="379">O441</f>
        <v>1792.28</v>
      </c>
      <c r="P432" s="11">
        <f t="shared" si="379"/>
        <v>1302.28</v>
      </c>
      <c r="Q432" s="11">
        <f t="shared" si="379"/>
        <v>0</v>
      </c>
      <c r="R432" s="11">
        <f t="shared" si="379"/>
        <v>0</v>
      </c>
      <c r="S432" s="11">
        <f t="shared" si="379"/>
        <v>490</v>
      </c>
      <c r="T432" s="11">
        <f t="shared" si="379"/>
        <v>0</v>
      </c>
      <c r="U432" s="11">
        <f t="shared" si="379"/>
        <v>38.822759999999995</v>
      </c>
      <c r="V432" s="11">
        <f t="shared" si="379"/>
        <v>0</v>
      </c>
      <c r="W432" s="11">
        <f t="shared" si="379"/>
        <v>0</v>
      </c>
      <c r="X432" s="11">
        <f t="shared" si="379"/>
        <v>475.3</v>
      </c>
      <c r="Y432" s="11">
        <f t="shared" si="379"/>
        <v>249.9</v>
      </c>
      <c r="Z432" s="11">
        <f t="shared" si="379"/>
        <v>0</v>
      </c>
      <c r="AA432" s="11">
        <f t="shared" si="379"/>
        <v>0</v>
      </c>
      <c r="AB432" s="11">
        <f t="shared" si="379"/>
        <v>1792.28</v>
      </c>
      <c r="AC432" s="11">
        <f t="shared" si="379"/>
        <v>1302.28</v>
      </c>
      <c r="AD432" s="11">
        <f t="shared" si="379"/>
        <v>0</v>
      </c>
      <c r="AE432" s="11">
        <f t="shared" si="379"/>
        <v>0</v>
      </c>
      <c r="AF432" s="11">
        <f t="shared" si="379"/>
        <v>490</v>
      </c>
      <c r="AG432" s="11">
        <f t="shared" si="379"/>
        <v>0</v>
      </c>
      <c r="AH432" s="11">
        <f t="shared" si="379"/>
        <v>38.822759999999995</v>
      </c>
      <c r="AI432" s="11">
        <f t="shared" si="379"/>
        <v>0</v>
      </c>
      <c r="AJ432" s="11">
        <f t="shared" si="379"/>
        <v>0</v>
      </c>
      <c r="AK432" s="11">
        <f t="shared" si="379"/>
        <v>475.3</v>
      </c>
      <c r="AL432" s="11">
        <f t="shared" si="379"/>
        <v>249.9</v>
      </c>
      <c r="AM432" s="11">
        <f t="shared" si="379"/>
        <v>0</v>
      </c>
      <c r="AN432" s="11">
        <f t="shared" si="379"/>
        <v>0</v>
      </c>
      <c r="AO432" s="11">
        <f t="shared" si="379"/>
        <v>0</v>
      </c>
      <c r="AP432" s="11">
        <f t="shared" si="379"/>
        <v>824.25</v>
      </c>
      <c r="AQ432" s="11">
        <f t="shared" si="379"/>
        <v>0</v>
      </c>
      <c r="AR432" s="11">
        <f t="shared" si="379"/>
        <v>2517.48</v>
      </c>
      <c r="AS432" s="11">
        <f t="shared" si="379"/>
        <v>0</v>
      </c>
      <c r="AT432" s="11">
        <f t="shared" si="379"/>
        <v>1693.23</v>
      </c>
      <c r="AU432" s="11">
        <f t="shared" ref="AU432:BZ432" si="380">AU441</f>
        <v>0</v>
      </c>
      <c r="AV432" s="11">
        <f t="shared" si="380"/>
        <v>1302.28</v>
      </c>
      <c r="AW432" s="11">
        <f t="shared" si="380"/>
        <v>478.03</v>
      </c>
      <c r="AX432" s="11">
        <f t="shared" si="380"/>
        <v>0</v>
      </c>
      <c r="AY432" s="11">
        <f t="shared" si="380"/>
        <v>478.03</v>
      </c>
      <c r="AZ432" s="11">
        <f t="shared" si="380"/>
        <v>824.25</v>
      </c>
      <c r="BA432" s="11">
        <f t="shared" si="380"/>
        <v>0</v>
      </c>
      <c r="BB432" s="11">
        <f t="shared" si="380"/>
        <v>0</v>
      </c>
      <c r="BC432" s="11">
        <f t="shared" si="380"/>
        <v>0</v>
      </c>
      <c r="BD432" s="11">
        <f t="shared" si="380"/>
        <v>0</v>
      </c>
      <c r="BE432" s="11">
        <f t="shared" si="380"/>
        <v>0</v>
      </c>
      <c r="BF432" s="11">
        <f t="shared" si="380"/>
        <v>0</v>
      </c>
      <c r="BG432" s="11">
        <f t="shared" si="380"/>
        <v>0</v>
      </c>
      <c r="BH432" s="11">
        <f t="shared" si="380"/>
        <v>0</v>
      </c>
      <c r="BI432" s="11">
        <f t="shared" si="380"/>
        <v>0</v>
      </c>
      <c r="BJ432" s="11">
        <f t="shared" si="380"/>
        <v>0</v>
      </c>
      <c r="BK432" s="11">
        <f t="shared" si="380"/>
        <v>0</v>
      </c>
      <c r="BL432" s="11">
        <f t="shared" si="380"/>
        <v>0</v>
      </c>
      <c r="BM432" s="11">
        <f t="shared" si="380"/>
        <v>0</v>
      </c>
      <c r="BN432" s="11">
        <f t="shared" si="380"/>
        <v>0</v>
      </c>
      <c r="BO432" s="11">
        <f t="shared" si="380"/>
        <v>0</v>
      </c>
      <c r="BP432" s="11">
        <f t="shared" si="380"/>
        <v>0</v>
      </c>
      <c r="BQ432" s="11">
        <f t="shared" si="380"/>
        <v>0</v>
      </c>
      <c r="BR432" s="11">
        <f t="shared" si="380"/>
        <v>0</v>
      </c>
      <c r="BS432" s="11">
        <f t="shared" si="380"/>
        <v>0</v>
      </c>
      <c r="BT432" s="11">
        <f t="shared" si="380"/>
        <v>0</v>
      </c>
      <c r="BU432" s="11">
        <f t="shared" si="380"/>
        <v>0</v>
      </c>
      <c r="BV432" s="11">
        <f t="shared" si="380"/>
        <v>0</v>
      </c>
      <c r="BW432" s="11">
        <f t="shared" si="380"/>
        <v>0</v>
      </c>
      <c r="BX432" s="11">
        <f t="shared" si="380"/>
        <v>0</v>
      </c>
      <c r="BY432" s="11">
        <f t="shared" si="380"/>
        <v>824.25</v>
      </c>
      <c r="BZ432" s="11">
        <f t="shared" si="380"/>
        <v>0</v>
      </c>
      <c r="CA432" s="11">
        <f t="shared" ref="CA432:DF432" si="381">CA441</f>
        <v>2517.48</v>
      </c>
      <c r="CB432" s="11">
        <f t="shared" si="381"/>
        <v>0</v>
      </c>
      <c r="CC432" s="11">
        <f t="shared" si="381"/>
        <v>1693.23</v>
      </c>
      <c r="CD432" s="11">
        <f t="shared" si="381"/>
        <v>0</v>
      </c>
      <c r="CE432" s="11">
        <f t="shared" si="381"/>
        <v>1302.28</v>
      </c>
      <c r="CF432" s="11">
        <f t="shared" si="381"/>
        <v>478.03</v>
      </c>
      <c r="CG432" s="11">
        <f t="shared" si="381"/>
        <v>0</v>
      </c>
      <c r="CH432" s="11">
        <f t="shared" si="381"/>
        <v>478.03</v>
      </c>
      <c r="CI432" s="11">
        <f t="shared" si="381"/>
        <v>824.25</v>
      </c>
      <c r="CJ432" s="11">
        <f t="shared" si="381"/>
        <v>0</v>
      </c>
      <c r="CK432" s="11">
        <f t="shared" si="381"/>
        <v>0</v>
      </c>
      <c r="CL432" s="11">
        <f t="shared" si="381"/>
        <v>0</v>
      </c>
      <c r="CM432" s="11">
        <f t="shared" si="381"/>
        <v>0</v>
      </c>
      <c r="CN432" s="11">
        <f t="shared" si="381"/>
        <v>0</v>
      </c>
      <c r="CO432" s="11">
        <f t="shared" si="381"/>
        <v>0</v>
      </c>
      <c r="CP432" s="11">
        <f t="shared" si="381"/>
        <v>0</v>
      </c>
      <c r="CQ432" s="11">
        <f t="shared" si="381"/>
        <v>0</v>
      </c>
      <c r="CR432" s="11">
        <f t="shared" si="381"/>
        <v>0</v>
      </c>
      <c r="CS432" s="11">
        <f t="shared" si="381"/>
        <v>0</v>
      </c>
      <c r="CT432" s="11">
        <f t="shared" si="381"/>
        <v>0</v>
      </c>
      <c r="CU432" s="11">
        <f t="shared" si="381"/>
        <v>0</v>
      </c>
      <c r="CV432" s="11">
        <f t="shared" si="381"/>
        <v>0</v>
      </c>
      <c r="CW432" s="11">
        <f t="shared" si="381"/>
        <v>0</v>
      </c>
      <c r="CX432" s="11">
        <f t="shared" si="381"/>
        <v>0</v>
      </c>
      <c r="CY432" s="11">
        <f t="shared" si="381"/>
        <v>0</v>
      </c>
      <c r="CZ432" s="11">
        <f t="shared" si="381"/>
        <v>0</v>
      </c>
      <c r="DA432" s="11">
        <f t="shared" si="381"/>
        <v>0</v>
      </c>
      <c r="DB432" s="11">
        <f t="shared" si="381"/>
        <v>0</v>
      </c>
      <c r="DC432" s="11">
        <f t="shared" si="381"/>
        <v>0</v>
      </c>
      <c r="DD432" s="11">
        <f t="shared" si="381"/>
        <v>0</v>
      </c>
      <c r="DE432" s="11">
        <f t="shared" si="381"/>
        <v>0</v>
      </c>
      <c r="DF432" s="11">
        <f t="shared" si="381"/>
        <v>0</v>
      </c>
      <c r="DG432" s="12">
        <f t="shared" ref="DG432:EL432" si="382">DG441</f>
        <v>38586.21</v>
      </c>
      <c r="DH432" s="12">
        <f t="shared" si="382"/>
        <v>10974.71</v>
      </c>
      <c r="DI432" s="12">
        <f t="shared" si="382"/>
        <v>0</v>
      </c>
      <c r="DJ432" s="12">
        <f t="shared" si="382"/>
        <v>0</v>
      </c>
      <c r="DK432" s="12">
        <f t="shared" si="382"/>
        <v>27611.5</v>
      </c>
      <c r="DL432" s="12">
        <f t="shared" si="382"/>
        <v>0</v>
      </c>
      <c r="DM432" s="12">
        <f t="shared" si="382"/>
        <v>38.822759999999995</v>
      </c>
      <c r="DN432" s="12">
        <f t="shared" si="382"/>
        <v>0</v>
      </c>
      <c r="DO432" s="12">
        <f t="shared" si="382"/>
        <v>0</v>
      </c>
      <c r="DP432" s="12">
        <f t="shared" si="382"/>
        <v>26783.16</v>
      </c>
      <c r="DQ432" s="12">
        <f t="shared" si="382"/>
        <v>14081.87</v>
      </c>
      <c r="DR432" s="12">
        <f t="shared" si="382"/>
        <v>0</v>
      </c>
      <c r="DS432" s="12">
        <f t="shared" si="382"/>
        <v>0</v>
      </c>
      <c r="DT432" s="12">
        <f t="shared" si="382"/>
        <v>38586.21</v>
      </c>
      <c r="DU432" s="12">
        <f t="shared" si="382"/>
        <v>10974.71</v>
      </c>
      <c r="DV432" s="12">
        <f t="shared" si="382"/>
        <v>0</v>
      </c>
      <c r="DW432" s="12">
        <f t="shared" si="382"/>
        <v>0</v>
      </c>
      <c r="DX432" s="12">
        <f t="shared" si="382"/>
        <v>27611.5</v>
      </c>
      <c r="DY432" s="12">
        <f t="shared" si="382"/>
        <v>0</v>
      </c>
      <c r="DZ432" s="12">
        <f t="shared" si="382"/>
        <v>38.822759999999995</v>
      </c>
      <c r="EA432" s="12">
        <f t="shared" si="382"/>
        <v>0</v>
      </c>
      <c r="EB432" s="12">
        <f t="shared" si="382"/>
        <v>0</v>
      </c>
      <c r="EC432" s="12">
        <f t="shared" si="382"/>
        <v>26783.16</v>
      </c>
      <c r="ED432" s="12">
        <f t="shared" si="382"/>
        <v>14081.87</v>
      </c>
      <c r="EE432" s="12">
        <f t="shared" si="382"/>
        <v>0</v>
      </c>
      <c r="EF432" s="12">
        <f t="shared" si="382"/>
        <v>0</v>
      </c>
      <c r="EG432" s="12">
        <f t="shared" si="382"/>
        <v>0</v>
      </c>
      <c r="EH432" s="12">
        <f t="shared" si="382"/>
        <v>8110.62</v>
      </c>
      <c r="EI432" s="12">
        <f t="shared" si="382"/>
        <v>0</v>
      </c>
      <c r="EJ432" s="12">
        <f t="shared" si="382"/>
        <v>79451.240000000005</v>
      </c>
      <c r="EK432" s="12">
        <f t="shared" si="382"/>
        <v>0</v>
      </c>
      <c r="EL432" s="12">
        <f t="shared" si="382"/>
        <v>71340.62</v>
      </c>
      <c r="EM432" s="12">
        <f t="shared" ref="EM432:FR432" si="383">EM441</f>
        <v>0</v>
      </c>
      <c r="EN432" s="12">
        <f t="shared" si="383"/>
        <v>10974.71</v>
      </c>
      <c r="EO432" s="12">
        <f t="shared" si="383"/>
        <v>2864.09</v>
      </c>
      <c r="EP432" s="12">
        <f t="shared" si="383"/>
        <v>0</v>
      </c>
      <c r="EQ432" s="12">
        <f t="shared" si="383"/>
        <v>2864.09</v>
      </c>
      <c r="ER432" s="12">
        <f t="shared" si="383"/>
        <v>8110.62</v>
      </c>
      <c r="ES432" s="12">
        <f t="shared" si="383"/>
        <v>0</v>
      </c>
      <c r="ET432" s="12">
        <f t="shared" si="383"/>
        <v>0</v>
      </c>
      <c r="EU432" s="12">
        <f t="shared" si="383"/>
        <v>0</v>
      </c>
      <c r="EV432" s="12">
        <f t="shared" si="383"/>
        <v>0</v>
      </c>
      <c r="EW432" s="12">
        <f t="shared" si="383"/>
        <v>0</v>
      </c>
      <c r="EX432" s="12">
        <f t="shared" si="383"/>
        <v>0</v>
      </c>
      <c r="EY432" s="12">
        <f t="shared" si="383"/>
        <v>0</v>
      </c>
      <c r="EZ432" s="12">
        <f t="shared" si="383"/>
        <v>0</v>
      </c>
      <c r="FA432" s="12">
        <f t="shared" si="383"/>
        <v>0</v>
      </c>
      <c r="FB432" s="12">
        <f t="shared" si="383"/>
        <v>0</v>
      </c>
      <c r="FC432" s="12">
        <f t="shared" si="383"/>
        <v>0</v>
      </c>
      <c r="FD432" s="12">
        <f t="shared" si="383"/>
        <v>0</v>
      </c>
      <c r="FE432" s="12">
        <f t="shared" si="383"/>
        <v>0</v>
      </c>
      <c r="FF432" s="12">
        <f t="shared" si="383"/>
        <v>0</v>
      </c>
      <c r="FG432" s="12">
        <f t="shared" si="383"/>
        <v>0</v>
      </c>
      <c r="FH432" s="12">
        <f t="shared" si="383"/>
        <v>0</v>
      </c>
      <c r="FI432" s="12">
        <f t="shared" si="383"/>
        <v>0</v>
      </c>
      <c r="FJ432" s="12">
        <f t="shared" si="383"/>
        <v>0</v>
      </c>
      <c r="FK432" s="12">
        <f t="shared" si="383"/>
        <v>0</v>
      </c>
      <c r="FL432" s="12">
        <f t="shared" si="383"/>
        <v>0</v>
      </c>
      <c r="FM432" s="12">
        <f t="shared" si="383"/>
        <v>0</v>
      </c>
      <c r="FN432" s="12">
        <f t="shared" si="383"/>
        <v>0</v>
      </c>
      <c r="FO432" s="12">
        <f t="shared" si="383"/>
        <v>0</v>
      </c>
      <c r="FP432" s="12">
        <f t="shared" si="383"/>
        <v>0</v>
      </c>
      <c r="FQ432" s="12">
        <f t="shared" si="383"/>
        <v>8110.62</v>
      </c>
      <c r="FR432" s="12">
        <f t="shared" si="383"/>
        <v>0</v>
      </c>
      <c r="FS432" s="12">
        <f t="shared" ref="FS432:GX432" si="384">FS441</f>
        <v>79451.240000000005</v>
      </c>
      <c r="FT432" s="12">
        <f t="shared" si="384"/>
        <v>0</v>
      </c>
      <c r="FU432" s="12">
        <f t="shared" si="384"/>
        <v>71340.62</v>
      </c>
      <c r="FV432" s="12">
        <f t="shared" si="384"/>
        <v>0</v>
      </c>
      <c r="FW432" s="12">
        <f t="shared" si="384"/>
        <v>10974.71</v>
      </c>
      <c r="FX432" s="12">
        <f t="shared" si="384"/>
        <v>2864.0899999999992</v>
      </c>
      <c r="FY432" s="12">
        <f t="shared" si="384"/>
        <v>0</v>
      </c>
      <c r="FZ432" s="12">
        <f t="shared" si="384"/>
        <v>2864.0899999999992</v>
      </c>
      <c r="GA432" s="12">
        <f t="shared" si="384"/>
        <v>8110.62</v>
      </c>
      <c r="GB432" s="12">
        <f t="shared" si="384"/>
        <v>0</v>
      </c>
      <c r="GC432" s="12">
        <f t="shared" si="384"/>
        <v>0</v>
      </c>
      <c r="GD432" s="12">
        <f t="shared" si="384"/>
        <v>0</v>
      </c>
      <c r="GE432" s="12">
        <f t="shared" si="384"/>
        <v>0</v>
      </c>
      <c r="GF432" s="12">
        <f t="shared" si="384"/>
        <v>0</v>
      </c>
      <c r="GG432" s="12">
        <f t="shared" si="384"/>
        <v>0</v>
      </c>
      <c r="GH432" s="12">
        <f t="shared" si="384"/>
        <v>0</v>
      </c>
      <c r="GI432" s="12">
        <f t="shared" si="384"/>
        <v>0</v>
      </c>
      <c r="GJ432" s="12">
        <f t="shared" si="384"/>
        <v>0</v>
      </c>
      <c r="GK432" s="12">
        <f t="shared" si="384"/>
        <v>0</v>
      </c>
      <c r="GL432" s="12">
        <f t="shared" si="384"/>
        <v>0</v>
      </c>
      <c r="GM432" s="12">
        <f t="shared" si="384"/>
        <v>0</v>
      </c>
      <c r="GN432" s="12">
        <f t="shared" si="384"/>
        <v>0</v>
      </c>
      <c r="GO432" s="12">
        <f t="shared" si="384"/>
        <v>0</v>
      </c>
      <c r="GP432" s="12">
        <f t="shared" si="384"/>
        <v>0</v>
      </c>
      <c r="GQ432" s="12">
        <f t="shared" si="384"/>
        <v>0</v>
      </c>
      <c r="GR432" s="12">
        <f t="shared" si="384"/>
        <v>0</v>
      </c>
      <c r="GS432" s="12">
        <f t="shared" si="384"/>
        <v>0</v>
      </c>
      <c r="GT432" s="12">
        <f t="shared" si="384"/>
        <v>0</v>
      </c>
      <c r="GU432" s="12">
        <f t="shared" si="384"/>
        <v>0</v>
      </c>
      <c r="GV432" s="12">
        <f t="shared" si="384"/>
        <v>0</v>
      </c>
      <c r="GW432" s="12">
        <f t="shared" si="384"/>
        <v>0</v>
      </c>
      <c r="GX432" s="12">
        <f t="shared" si="384"/>
        <v>0</v>
      </c>
    </row>
    <row r="434" spans="1:255" x14ac:dyDescent="0.2">
      <c r="A434" s="2">
        <v>17</v>
      </c>
      <c r="B434" s="2">
        <v>1</v>
      </c>
      <c r="C434" s="2">
        <f>ROW(SmtRes!A168)</f>
        <v>168</v>
      </c>
      <c r="D434" s="2">
        <f>ROW(EtalonRes!A199)</f>
        <v>199</v>
      </c>
      <c r="E434" s="2" t="s">
        <v>334</v>
      </c>
      <c r="F434" s="2" t="s">
        <v>88</v>
      </c>
      <c r="G434" s="2" t="s">
        <v>335</v>
      </c>
      <c r="H434" s="2" t="s">
        <v>22</v>
      </c>
      <c r="I434" s="2">
        <v>15</v>
      </c>
      <c r="J434" s="2">
        <v>0</v>
      </c>
      <c r="K434" s="2">
        <v>15</v>
      </c>
      <c r="L434" s="2"/>
      <c r="M434" s="2"/>
      <c r="N434" s="2"/>
      <c r="O434" s="2">
        <f t="shared" ref="O434:O439" si="385">ROUND(CP434,2)</f>
        <v>916.75</v>
      </c>
      <c r="P434" s="2">
        <f t="shared" ref="P434:P439" si="386">ROUND((ROUND((AC434*AW434*I434),2)*BC434),2)</f>
        <v>426.75</v>
      </c>
      <c r="Q434" s="2">
        <f>(ROUND((ROUND((((ET434*1.2))*AV434*I434),2)*BB434),2)+ROUND((ROUND(((AE434-((EU434*1.2)))*AV434*I434),2)*BS434),2))</f>
        <v>0</v>
      </c>
      <c r="R434" s="2">
        <f>(ROUND((ROUND((((EU434*1.2))*AV434*I434),2)*BS434),2)+ROUND((ROUND(((AE434-((EU434*1.2)))*AV434*I434),2)*BS434),2))</f>
        <v>0</v>
      </c>
      <c r="S434" s="2">
        <f t="shared" ref="S434:S439" si="387">ROUND((ROUND((AF434*AV434*I434),2)*BA434),2)</f>
        <v>490</v>
      </c>
      <c r="T434" s="2">
        <f t="shared" ref="T434:T439" si="388">ROUND(CU434*I434,2)</f>
        <v>0</v>
      </c>
      <c r="U434" s="2">
        <f t="shared" ref="U434:U439" si="389">CV434*I434</f>
        <v>38.822759999999995</v>
      </c>
      <c r="V434" s="2">
        <f t="shared" ref="V434:V439" si="390">CW434*I434</f>
        <v>0</v>
      </c>
      <c r="W434" s="2">
        <f t="shared" ref="W434:W439" si="391">ROUND(CX434*I434,2)</f>
        <v>0</v>
      </c>
      <c r="X434" s="2">
        <f>(ROUND((((S434+ROUND((ROUND((((EU434*1.2))*AV434*I434),2)*BS434),2))*AT434)/100),2)+ROUND(((ROUND((ROUND(((AE434-((EU434*1.2)))*AV434*I434),2)*BS434),2)*AT434)/100),2))</f>
        <v>475.3</v>
      </c>
      <c r="Y434" s="2">
        <f>(ROUND((((S434+ROUND((ROUND((((EU434*1.2))*AV434*I434),2)*BS434),2))*AU434)/100),2)+ROUND(((ROUND((ROUND(((AE434-((EU434*1.2)))*AV434*I434),2)*BS434),2)*AU434)/100),2))</f>
        <v>249.9</v>
      </c>
      <c r="Z434" s="2"/>
      <c r="AA434" s="2">
        <v>55915256</v>
      </c>
      <c r="AB434" s="2">
        <f t="shared" ref="AB434:AB439" si="392">ROUND((AC434+AD434+AF434),6)</f>
        <v>59.65</v>
      </c>
      <c r="AC434" s="2">
        <f>ROUND(((ES434*1)),6)</f>
        <v>28.45</v>
      </c>
      <c r="AD434" s="2">
        <f>ROUND(((((ET434*1.2))-((EU434*1.2)))+AE434),6)</f>
        <v>0</v>
      </c>
      <c r="AE434" s="2">
        <f>ROUND(((EU434*1.2)),6)</f>
        <v>0</v>
      </c>
      <c r="AF434" s="2">
        <f>ROUND(((EV434*1.2)),6)</f>
        <v>31.2</v>
      </c>
      <c r="AG434" s="2">
        <f t="shared" ref="AG434:AG439" si="393">ROUND((AP434),6)</f>
        <v>0</v>
      </c>
      <c r="AH434" s="2">
        <f>((EW434*1.2))</f>
        <v>2.472</v>
      </c>
      <c r="AI434" s="2">
        <f>((EX434*1.2))</f>
        <v>0</v>
      </c>
      <c r="AJ434" s="2">
        <f t="shared" ref="AJ434:AJ439" si="394">(AS434)</f>
        <v>0</v>
      </c>
      <c r="AK434" s="2">
        <v>54.45</v>
      </c>
      <c r="AL434" s="2">
        <v>28.45</v>
      </c>
      <c r="AM434" s="2">
        <v>0</v>
      </c>
      <c r="AN434" s="2">
        <v>0</v>
      </c>
      <c r="AO434" s="2">
        <v>26</v>
      </c>
      <c r="AP434" s="2">
        <v>0</v>
      </c>
      <c r="AQ434" s="2">
        <v>2.06</v>
      </c>
      <c r="AR434" s="2">
        <v>0</v>
      </c>
      <c r="AS434" s="2">
        <v>0</v>
      </c>
      <c r="AT434" s="2">
        <v>97</v>
      </c>
      <c r="AU434" s="2">
        <v>51</v>
      </c>
      <c r="AV434" s="2">
        <v>1.0469999999999999</v>
      </c>
      <c r="AW434" s="2">
        <v>1</v>
      </c>
      <c r="AX434" s="2"/>
      <c r="AY434" s="2"/>
      <c r="AZ434" s="2">
        <v>1</v>
      </c>
      <c r="BA434" s="2">
        <v>1</v>
      </c>
      <c r="BB434" s="2">
        <v>1</v>
      </c>
      <c r="BC434" s="2">
        <v>1</v>
      </c>
      <c r="BD434" s="2" t="s">
        <v>3</v>
      </c>
      <c r="BE434" s="2" t="s">
        <v>3</v>
      </c>
      <c r="BF434" s="2" t="s">
        <v>3</v>
      </c>
      <c r="BG434" s="2" t="s">
        <v>3</v>
      </c>
      <c r="BH434" s="2">
        <v>0</v>
      </c>
      <c r="BI434" s="2">
        <v>2</v>
      </c>
      <c r="BJ434" s="2" t="s">
        <v>90</v>
      </c>
      <c r="BK434" s="2"/>
      <c r="BL434" s="2"/>
      <c r="BM434" s="2">
        <v>67</v>
      </c>
      <c r="BN434" s="2">
        <v>0</v>
      </c>
      <c r="BO434" s="2" t="s">
        <v>88</v>
      </c>
      <c r="BP434" s="2">
        <v>1</v>
      </c>
      <c r="BQ434" s="2">
        <v>40</v>
      </c>
      <c r="BR434" s="2">
        <v>0</v>
      </c>
      <c r="BS434" s="2">
        <v>1</v>
      </c>
      <c r="BT434" s="2">
        <v>1</v>
      </c>
      <c r="BU434" s="2">
        <v>1</v>
      </c>
      <c r="BV434" s="2">
        <v>1</v>
      </c>
      <c r="BW434" s="2">
        <v>1</v>
      </c>
      <c r="BX434" s="2">
        <v>1</v>
      </c>
      <c r="BY434" s="2" t="s">
        <v>3</v>
      </c>
      <c r="BZ434" s="2">
        <v>97</v>
      </c>
      <c r="CA434" s="2">
        <v>51</v>
      </c>
      <c r="CB434" s="2" t="s">
        <v>3</v>
      </c>
      <c r="CC434" s="2"/>
      <c r="CD434" s="2"/>
      <c r="CE434" s="2">
        <v>1566</v>
      </c>
      <c r="CF434" s="2">
        <v>0</v>
      </c>
      <c r="CG434" s="2">
        <v>0</v>
      </c>
      <c r="CH434" s="2"/>
      <c r="CI434" s="2"/>
      <c r="CJ434" s="2"/>
      <c r="CK434" s="2"/>
      <c r="CL434" s="2"/>
      <c r="CM434" s="2">
        <v>0</v>
      </c>
      <c r="CN434" s="2" t="s">
        <v>605</v>
      </c>
      <c r="CO434" s="2">
        <v>0</v>
      </c>
      <c r="CP434" s="2">
        <f t="shared" ref="CP434:CP439" si="395">(P434+Q434+S434)</f>
        <v>916.75</v>
      </c>
      <c r="CQ434" s="2">
        <f t="shared" ref="CQ434:CQ439" si="396">ROUND((ROUND((AC434*AW434*1),2)*BC434),2)</f>
        <v>28.45</v>
      </c>
      <c r="CR434" s="2">
        <f>(ROUND((ROUND((((ET434*1.2))*AV434*1),2)*BB434),2)+ROUND((ROUND(((AE434-((EU434*1.2)))*AV434*1),2)*BS434),2))</f>
        <v>0</v>
      </c>
      <c r="CS434" s="2">
        <f>(ROUND((ROUND((((EU434*1.2))*AV434*1),2)*BS434),2)+ROUND((ROUND(((AE434-((EU434*1.2)))*AV434*1),2)*BS434),2))</f>
        <v>0</v>
      </c>
      <c r="CT434" s="2">
        <f t="shared" ref="CT434:CT439" si="397">ROUND((ROUND((AF434*AV434*1),2)*BA434),2)</f>
        <v>32.67</v>
      </c>
      <c r="CU434" s="2">
        <f t="shared" ref="CU434:CU439" si="398">AG434</f>
        <v>0</v>
      </c>
      <c r="CV434" s="2">
        <f t="shared" ref="CV434:CV439" si="399">(AH434*AV434)</f>
        <v>2.5881839999999996</v>
      </c>
      <c r="CW434" s="2">
        <f t="shared" ref="CW434:CX439" si="400">AI434</f>
        <v>0</v>
      </c>
      <c r="CX434" s="2">
        <f t="shared" si="400"/>
        <v>0</v>
      </c>
      <c r="CY434" s="2">
        <f>(ROUND((((S434+ROUND((ROUND((((EU434*1.2))*AV434*1),2)*BS434),2))*AT434)/100),2)+ROUND(((ROUND((ROUND(((AE434-((EU434*1.2)))*AV434*1),2)*BS434),2)*AT434)/100),2))</f>
        <v>475.3</v>
      </c>
      <c r="CZ434" s="2">
        <f>(ROUND((((S434+ROUND((ROUND((((EU434*1.2))*AV434*1),2)*BS434),2))*AU434)/100),2)+ROUND(((ROUND((ROUND(((AE434-((EU434*1.2)))*AV434*1),2)*BS434),2)*AU434)/100),2))</f>
        <v>249.9</v>
      </c>
      <c r="DA434" s="2"/>
      <c r="DB434" s="2">
        <v>89</v>
      </c>
      <c r="DC434" s="2" t="s">
        <v>3</v>
      </c>
      <c r="DD434" s="2" t="s">
        <v>77</v>
      </c>
      <c r="DE434" s="2" t="s">
        <v>78</v>
      </c>
      <c r="DF434" s="2" t="s">
        <v>78</v>
      </c>
      <c r="DG434" s="2" t="s">
        <v>78</v>
      </c>
      <c r="DH434" s="2" t="s">
        <v>3</v>
      </c>
      <c r="DI434" s="2" t="s">
        <v>78</v>
      </c>
      <c r="DJ434" s="2" t="s">
        <v>78</v>
      </c>
      <c r="DK434" s="2" t="s">
        <v>3</v>
      </c>
      <c r="DL434" s="2" t="s">
        <v>3</v>
      </c>
      <c r="DM434" s="2" t="s">
        <v>3</v>
      </c>
      <c r="DN434" s="2">
        <v>0</v>
      </c>
      <c r="DO434" s="2">
        <v>0</v>
      </c>
      <c r="DP434" s="2">
        <v>1</v>
      </c>
      <c r="DQ434" s="2">
        <v>1</v>
      </c>
      <c r="DR434" s="2"/>
      <c r="DS434" s="2"/>
      <c r="DT434" s="2"/>
      <c r="DU434" s="2">
        <v>1013</v>
      </c>
      <c r="DV434" s="2" t="s">
        <v>22</v>
      </c>
      <c r="DW434" s="2" t="s">
        <v>22</v>
      </c>
      <c r="DX434" s="2">
        <v>1</v>
      </c>
      <c r="DY434" s="2"/>
      <c r="DZ434" s="2" t="s">
        <v>3</v>
      </c>
      <c r="EA434" s="2" t="s">
        <v>3</v>
      </c>
      <c r="EB434" s="2" t="s">
        <v>3</v>
      </c>
      <c r="EC434" s="2" t="s">
        <v>3</v>
      </c>
      <c r="ED434" s="2"/>
      <c r="EE434" s="2">
        <v>55393699</v>
      </c>
      <c r="EF434" s="2">
        <v>40</v>
      </c>
      <c r="EG434" s="2" t="s">
        <v>26</v>
      </c>
      <c r="EH434" s="2">
        <v>0</v>
      </c>
      <c r="EI434" s="2" t="s">
        <v>3</v>
      </c>
      <c r="EJ434" s="2">
        <v>2</v>
      </c>
      <c r="EK434" s="2">
        <v>67</v>
      </c>
      <c r="EL434" s="2" t="s">
        <v>91</v>
      </c>
      <c r="EM434" s="2" t="s">
        <v>92</v>
      </c>
      <c r="EN434" s="2"/>
      <c r="EO434" s="2" t="s">
        <v>82</v>
      </c>
      <c r="EP434" s="2"/>
      <c r="EQ434" s="2">
        <v>0</v>
      </c>
      <c r="ER434" s="2">
        <v>54.45</v>
      </c>
      <c r="ES434" s="2">
        <v>28.45</v>
      </c>
      <c r="ET434" s="2">
        <v>0</v>
      </c>
      <c r="EU434" s="2">
        <v>0</v>
      </c>
      <c r="EV434" s="2">
        <v>26</v>
      </c>
      <c r="EW434" s="2">
        <v>2.06</v>
      </c>
      <c r="EX434" s="2">
        <v>0</v>
      </c>
      <c r="EY434" s="2">
        <v>0</v>
      </c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>
        <v>0</v>
      </c>
      <c r="FR434" s="2">
        <v>0</v>
      </c>
      <c r="FS434" s="2">
        <v>0</v>
      </c>
      <c r="FT434" s="2"/>
      <c r="FU434" s="2"/>
      <c r="FV434" s="2"/>
      <c r="FW434" s="2"/>
      <c r="FX434" s="2">
        <v>97</v>
      </c>
      <c r="FY434" s="2">
        <v>51</v>
      </c>
      <c r="FZ434" s="2"/>
      <c r="GA434" s="2" t="s">
        <v>3</v>
      </c>
      <c r="GB434" s="2"/>
      <c r="GC434" s="2"/>
      <c r="GD434" s="2">
        <v>1</v>
      </c>
      <c r="GE434" s="2"/>
      <c r="GF434" s="2">
        <v>-609641009</v>
      </c>
      <c r="GG434" s="2">
        <v>2</v>
      </c>
      <c r="GH434" s="2">
        <v>1</v>
      </c>
      <c r="GI434" s="2">
        <v>2</v>
      </c>
      <c r="GJ434" s="2">
        <v>0</v>
      </c>
      <c r="GK434" s="2">
        <v>0</v>
      </c>
      <c r="GL434" s="2">
        <f t="shared" ref="GL434:GL439" si="401">ROUND(IF(AND(BH434=3,BI434=3,FS434&lt;&gt;0),P434,0),2)</f>
        <v>0</v>
      </c>
      <c r="GM434" s="2">
        <f t="shared" ref="GM434:GM439" si="402">ROUND(O434+X434+Y434,2)+GX434</f>
        <v>1641.95</v>
      </c>
      <c r="GN434" s="2">
        <f t="shared" ref="GN434:GN439" si="403">IF(OR(BI434=0,BI434=1),GM434-GX434,0)</f>
        <v>0</v>
      </c>
      <c r="GO434" s="2">
        <f t="shared" ref="GO434:GO439" si="404">IF(BI434=2,GM434-GX434,0)</f>
        <v>1641.95</v>
      </c>
      <c r="GP434" s="2">
        <f t="shared" ref="GP434:GP439" si="405">IF(BI434=4,GM434-GX434,0)</f>
        <v>0</v>
      </c>
      <c r="GQ434" s="2"/>
      <c r="GR434" s="2">
        <v>0</v>
      </c>
      <c r="GS434" s="2">
        <v>3</v>
      </c>
      <c r="GT434" s="2">
        <v>0</v>
      </c>
      <c r="GU434" s="2" t="s">
        <v>3</v>
      </c>
      <c r="GV434" s="2">
        <f t="shared" ref="GV434:GV439" si="406">ROUND((GT434),6)</f>
        <v>0</v>
      </c>
      <c r="GW434" s="2">
        <v>1</v>
      </c>
      <c r="GX434" s="2">
        <f t="shared" ref="GX434:GX439" si="407">ROUND(HC434*I434,2)</f>
        <v>0</v>
      </c>
      <c r="GY434" s="2"/>
      <c r="GZ434" s="2"/>
      <c r="HA434" s="2">
        <v>0</v>
      </c>
      <c r="HB434" s="2">
        <v>0</v>
      </c>
      <c r="HC434" s="2">
        <f t="shared" ref="HC434:HC439" si="408">GV434*GW434</f>
        <v>0</v>
      </c>
      <c r="HD434" s="2"/>
      <c r="HE434" s="2" t="s">
        <v>3</v>
      </c>
      <c r="HF434" s="2" t="s">
        <v>3</v>
      </c>
      <c r="HG434" s="2"/>
      <c r="HH434" s="2"/>
      <c r="HI434" s="2"/>
      <c r="HJ434" s="2"/>
      <c r="HK434" s="2"/>
      <c r="HL434" s="2"/>
      <c r="HM434" s="2" t="s">
        <v>3</v>
      </c>
      <c r="HN434" s="2" t="s">
        <v>3</v>
      </c>
      <c r="HO434" s="2" t="s">
        <v>3</v>
      </c>
      <c r="HP434" s="2" t="s">
        <v>3</v>
      </c>
      <c r="HQ434" s="2" t="s">
        <v>3</v>
      </c>
      <c r="HR434" s="2"/>
      <c r="HS434" s="2">
        <v>0</v>
      </c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>
        <v>0</v>
      </c>
      <c r="IL434" s="2"/>
      <c r="IM434" s="2"/>
      <c r="IN434" s="2"/>
      <c r="IO434" s="2"/>
      <c r="IP434" s="2"/>
      <c r="IQ434" s="2"/>
      <c r="IR434" s="2"/>
      <c r="IS434" s="2"/>
      <c r="IT434" s="2"/>
      <c r="IU434" s="2"/>
    </row>
    <row r="435" spans="1:255" x14ac:dyDescent="0.2">
      <c r="A435" s="3">
        <v>17</v>
      </c>
      <c r="B435" s="3">
        <v>1</v>
      </c>
      <c r="C435" s="3">
        <f>ROW(SmtRes!A172)</f>
        <v>172</v>
      </c>
      <c r="D435" s="3">
        <f>ROW(EtalonRes!A204)</f>
        <v>204</v>
      </c>
      <c r="E435" s="3" t="s">
        <v>334</v>
      </c>
      <c r="F435" s="3" t="s">
        <v>88</v>
      </c>
      <c r="G435" s="3" t="s">
        <v>335</v>
      </c>
      <c r="H435" s="3" t="s">
        <v>22</v>
      </c>
      <c r="I435" s="3">
        <v>15</v>
      </c>
      <c r="J435" s="3">
        <v>0</v>
      </c>
      <c r="K435" s="3">
        <v>15</v>
      </c>
      <c r="O435" s="3">
        <f t="shared" si="385"/>
        <v>30291.49</v>
      </c>
      <c r="P435" s="3">
        <f t="shared" si="386"/>
        <v>2679.99</v>
      </c>
      <c r="Q435" s="3">
        <f>(ROUND((ROUND((((ET435*1.2))*AV435*I435),2)*BB435),2)+ROUND((ROUND(((AE435-((EU435*1.2)))*AV435*I435),2)*BS435),2))</f>
        <v>0</v>
      </c>
      <c r="R435" s="3">
        <f>(ROUND((ROUND((((EU435*1.2))*AV435*I435),2)*BS435),2)+ROUND((ROUND(((AE435-((EU435*1.2)))*AV435*I435),2)*BS435),2))</f>
        <v>0</v>
      </c>
      <c r="S435" s="3">
        <f t="shared" si="387"/>
        <v>27611.5</v>
      </c>
      <c r="T435" s="3">
        <f t="shared" si="388"/>
        <v>0</v>
      </c>
      <c r="U435" s="3">
        <f t="shared" si="389"/>
        <v>38.822759999999995</v>
      </c>
      <c r="V435" s="3">
        <f t="shared" si="390"/>
        <v>0</v>
      </c>
      <c r="W435" s="3">
        <f t="shared" si="391"/>
        <v>0</v>
      </c>
      <c r="X435" s="3">
        <f>(ROUND((((S435+ROUND((ROUND((((EU435*1.2))*AV435*I435),2)*BS435),2))*AT435)/100),2)+ROUND(((ROUND((ROUND(((AE435-((EU435*1.2)))*AV435*I435),2)*BS435),2)*AT435)/100),2))</f>
        <v>26783.16</v>
      </c>
      <c r="Y435" s="3">
        <f>(ROUND((((S435+ROUND((ROUND((((EU435*1.2))*AV435*I435),2)*BS435),2))*AU435)/100),2)+ROUND(((ROUND((ROUND(((AE435-((EU435*1.2)))*AV435*I435),2)*BS435),2)*AU435)/100),2))</f>
        <v>14081.87</v>
      </c>
      <c r="AA435" s="3">
        <v>55915258</v>
      </c>
      <c r="AB435" s="3">
        <f t="shared" si="392"/>
        <v>59.65</v>
      </c>
      <c r="AC435" s="3">
        <f>ROUND(((ES435*1)),6)</f>
        <v>28.45</v>
      </c>
      <c r="AD435" s="3">
        <f>ROUND(((((ET435*1.2))-((EU435*1.2)))+AE435),6)</f>
        <v>0</v>
      </c>
      <c r="AE435" s="3">
        <f>ROUND(((EU435*1.2)),6)</f>
        <v>0</v>
      </c>
      <c r="AF435" s="3">
        <f>ROUND(((EV435*1.2)),6)</f>
        <v>31.2</v>
      </c>
      <c r="AG435" s="3">
        <f t="shared" si="393"/>
        <v>0</v>
      </c>
      <c r="AH435" s="3">
        <f>((EW435*1.2))</f>
        <v>2.472</v>
      </c>
      <c r="AI435" s="3">
        <f>((EX435*1.2))</f>
        <v>0</v>
      </c>
      <c r="AJ435" s="3">
        <f t="shared" si="394"/>
        <v>0</v>
      </c>
      <c r="AK435" s="3">
        <v>54.45</v>
      </c>
      <c r="AL435" s="3">
        <v>28.45</v>
      </c>
      <c r="AM435" s="3">
        <v>0</v>
      </c>
      <c r="AN435" s="3">
        <v>0</v>
      </c>
      <c r="AO435" s="3">
        <v>26</v>
      </c>
      <c r="AP435" s="3">
        <v>0</v>
      </c>
      <c r="AQ435" s="3">
        <v>2.06</v>
      </c>
      <c r="AR435" s="3">
        <v>0</v>
      </c>
      <c r="AS435" s="3">
        <v>0</v>
      </c>
      <c r="AT435" s="3">
        <v>97</v>
      </c>
      <c r="AU435" s="3">
        <v>51</v>
      </c>
      <c r="AV435" s="3">
        <v>1.0469999999999999</v>
      </c>
      <c r="AW435" s="3">
        <v>1</v>
      </c>
      <c r="AZ435" s="3">
        <v>1</v>
      </c>
      <c r="BA435" s="3">
        <v>56.35</v>
      </c>
      <c r="BB435" s="3">
        <v>1</v>
      </c>
      <c r="BC435" s="3">
        <v>6.28</v>
      </c>
      <c r="BD435" s="3" t="s">
        <v>3</v>
      </c>
      <c r="BE435" s="3" t="s">
        <v>3</v>
      </c>
      <c r="BF435" s="3" t="s">
        <v>3</v>
      </c>
      <c r="BG435" s="3" t="s">
        <v>3</v>
      </c>
      <c r="BH435" s="3">
        <v>0</v>
      </c>
      <c r="BI435" s="3">
        <v>2</v>
      </c>
      <c r="BJ435" s="3" t="s">
        <v>90</v>
      </c>
      <c r="BM435" s="3">
        <v>67</v>
      </c>
      <c r="BN435" s="3">
        <v>0</v>
      </c>
      <c r="BO435" s="3" t="s">
        <v>88</v>
      </c>
      <c r="BP435" s="3">
        <v>1</v>
      </c>
      <c r="BQ435" s="3">
        <v>40</v>
      </c>
      <c r="BR435" s="3">
        <v>0</v>
      </c>
      <c r="BS435" s="3">
        <v>56.35</v>
      </c>
      <c r="BT435" s="3">
        <v>1</v>
      </c>
      <c r="BU435" s="3">
        <v>1</v>
      </c>
      <c r="BV435" s="3">
        <v>1</v>
      </c>
      <c r="BW435" s="3">
        <v>1</v>
      </c>
      <c r="BX435" s="3">
        <v>1</v>
      </c>
      <c r="BY435" s="3" t="s">
        <v>3</v>
      </c>
      <c r="BZ435" s="3">
        <v>97</v>
      </c>
      <c r="CA435" s="3">
        <v>51</v>
      </c>
      <c r="CB435" s="3" t="s">
        <v>3</v>
      </c>
      <c r="CE435" s="3">
        <v>1566</v>
      </c>
      <c r="CF435" s="3">
        <v>0</v>
      </c>
      <c r="CG435" s="3">
        <v>0</v>
      </c>
      <c r="CM435" s="3">
        <v>0</v>
      </c>
      <c r="CN435" s="3" t="s">
        <v>605</v>
      </c>
      <c r="CO435" s="3">
        <v>0</v>
      </c>
      <c r="CP435" s="3">
        <f t="shared" si="395"/>
        <v>30291.489999999998</v>
      </c>
      <c r="CQ435" s="3">
        <f t="shared" si="396"/>
        <v>178.67</v>
      </c>
      <c r="CR435" s="3">
        <f>(ROUND((ROUND((((ET435*1.2))*AV435*1),2)*BB435),2)+ROUND((ROUND(((AE435-((EU435*1.2)))*AV435*1),2)*BS435),2))</f>
        <v>0</v>
      </c>
      <c r="CS435" s="3">
        <f>(ROUND((ROUND((((EU435*1.2))*AV435*1),2)*BS435),2)+ROUND((ROUND(((AE435-((EU435*1.2)))*AV435*1),2)*BS435),2))</f>
        <v>0</v>
      </c>
      <c r="CT435" s="3">
        <f t="shared" si="397"/>
        <v>1840.95</v>
      </c>
      <c r="CU435" s="3">
        <f t="shared" si="398"/>
        <v>0</v>
      </c>
      <c r="CV435" s="3">
        <f t="shared" si="399"/>
        <v>2.5881839999999996</v>
      </c>
      <c r="CW435" s="3">
        <f t="shared" si="400"/>
        <v>0</v>
      </c>
      <c r="CX435" s="3">
        <f t="shared" si="400"/>
        <v>0</v>
      </c>
      <c r="CY435" s="3">
        <f>(ROUND((((S435+ROUND((ROUND((((EU435*1.2))*AV435*1),2)*BS435),2))*AT435)/100),2)+ROUND(((ROUND((ROUND(((AE435-((EU435*1.2)))*AV435*1),2)*BS435),2)*AT435)/100),2))</f>
        <v>26783.16</v>
      </c>
      <c r="CZ435" s="3">
        <f>(ROUND((((S435+ROUND((ROUND((((EU435*1.2))*AV435*1),2)*BS435),2))*AU435)/100),2)+ROUND(((ROUND((ROUND(((AE435-((EU435*1.2)))*AV435*1),2)*BS435),2)*AU435)/100),2))</f>
        <v>14081.87</v>
      </c>
      <c r="DB435" s="3">
        <v>90</v>
      </c>
      <c r="DC435" s="3" t="s">
        <v>3</v>
      </c>
      <c r="DD435" s="3" t="s">
        <v>77</v>
      </c>
      <c r="DE435" s="3" t="s">
        <v>78</v>
      </c>
      <c r="DF435" s="3" t="s">
        <v>78</v>
      </c>
      <c r="DG435" s="3" t="s">
        <v>78</v>
      </c>
      <c r="DH435" s="3" t="s">
        <v>3</v>
      </c>
      <c r="DI435" s="3" t="s">
        <v>78</v>
      </c>
      <c r="DJ435" s="3" t="s">
        <v>78</v>
      </c>
      <c r="DK435" s="3" t="s">
        <v>3</v>
      </c>
      <c r="DL435" s="3" t="s">
        <v>3</v>
      </c>
      <c r="DM435" s="3" t="s">
        <v>3</v>
      </c>
      <c r="DN435" s="3">
        <v>0</v>
      </c>
      <c r="DO435" s="3">
        <v>0</v>
      </c>
      <c r="DP435" s="3">
        <v>1</v>
      </c>
      <c r="DQ435" s="3">
        <v>1</v>
      </c>
      <c r="DU435" s="3">
        <v>1013</v>
      </c>
      <c r="DV435" s="3" t="s">
        <v>22</v>
      </c>
      <c r="DW435" s="3" t="s">
        <v>22</v>
      </c>
      <c r="DX435" s="3">
        <v>1</v>
      </c>
      <c r="DZ435" s="3" t="s">
        <v>3</v>
      </c>
      <c r="EA435" s="3" t="s">
        <v>3</v>
      </c>
      <c r="EB435" s="3" t="s">
        <v>3</v>
      </c>
      <c r="EC435" s="3" t="s">
        <v>3</v>
      </c>
      <c r="EE435" s="3">
        <v>55393699</v>
      </c>
      <c r="EF435" s="3">
        <v>40</v>
      </c>
      <c r="EG435" s="3" t="s">
        <v>26</v>
      </c>
      <c r="EH435" s="3">
        <v>0</v>
      </c>
      <c r="EI435" s="3" t="s">
        <v>3</v>
      </c>
      <c r="EJ435" s="3">
        <v>2</v>
      </c>
      <c r="EK435" s="3">
        <v>67</v>
      </c>
      <c r="EL435" s="3" t="s">
        <v>91</v>
      </c>
      <c r="EM435" s="3" t="s">
        <v>92</v>
      </c>
      <c r="EO435" s="3" t="s">
        <v>82</v>
      </c>
      <c r="EQ435" s="3">
        <v>0</v>
      </c>
      <c r="ER435" s="3">
        <v>54.45</v>
      </c>
      <c r="ES435" s="3">
        <v>28.45</v>
      </c>
      <c r="ET435" s="3">
        <v>0</v>
      </c>
      <c r="EU435" s="3">
        <v>0</v>
      </c>
      <c r="EV435" s="3">
        <v>26</v>
      </c>
      <c r="EW435" s="3">
        <v>2.06</v>
      </c>
      <c r="EX435" s="3">
        <v>0</v>
      </c>
      <c r="EY435" s="3">
        <v>0</v>
      </c>
      <c r="FQ435" s="3">
        <v>0</v>
      </c>
      <c r="FR435" s="3">
        <v>0</v>
      </c>
      <c r="FS435" s="3">
        <v>0</v>
      </c>
      <c r="FX435" s="3">
        <v>97</v>
      </c>
      <c r="FY435" s="3">
        <v>51</v>
      </c>
      <c r="GA435" s="3" t="s">
        <v>3</v>
      </c>
      <c r="GD435" s="3">
        <v>1</v>
      </c>
      <c r="GF435" s="3">
        <v>-609641009</v>
      </c>
      <c r="GG435" s="3">
        <v>2</v>
      </c>
      <c r="GH435" s="3">
        <v>1</v>
      </c>
      <c r="GI435" s="3">
        <v>2</v>
      </c>
      <c r="GJ435" s="3">
        <v>0</v>
      </c>
      <c r="GK435" s="3">
        <v>0</v>
      </c>
      <c r="GL435" s="3">
        <f t="shared" si="401"/>
        <v>0</v>
      </c>
      <c r="GM435" s="3">
        <f t="shared" si="402"/>
        <v>71156.52</v>
      </c>
      <c r="GN435" s="3">
        <f t="shared" si="403"/>
        <v>0</v>
      </c>
      <c r="GO435" s="3">
        <f t="shared" si="404"/>
        <v>71156.52</v>
      </c>
      <c r="GP435" s="3">
        <f t="shared" si="405"/>
        <v>0</v>
      </c>
      <c r="GR435" s="3">
        <v>0</v>
      </c>
      <c r="GS435" s="3">
        <v>3</v>
      </c>
      <c r="GT435" s="3">
        <v>0</v>
      </c>
      <c r="GU435" s="3" t="s">
        <v>3</v>
      </c>
      <c r="GV435" s="3">
        <f t="shared" si="406"/>
        <v>0</v>
      </c>
      <c r="GW435" s="3">
        <v>1</v>
      </c>
      <c r="GX435" s="3">
        <f t="shared" si="407"/>
        <v>0</v>
      </c>
      <c r="HA435" s="3">
        <v>0</v>
      </c>
      <c r="HB435" s="3">
        <v>0</v>
      </c>
      <c r="HC435" s="3">
        <f t="shared" si="408"/>
        <v>0</v>
      </c>
      <c r="HE435" s="3" t="s">
        <v>3</v>
      </c>
      <c r="HF435" s="3" t="s">
        <v>3</v>
      </c>
      <c r="HM435" s="3" t="s">
        <v>3</v>
      </c>
      <c r="HN435" s="3" t="s">
        <v>3</v>
      </c>
      <c r="HO435" s="3" t="s">
        <v>3</v>
      </c>
      <c r="HP435" s="3" t="s">
        <v>3</v>
      </c>
      <c r="HQ435" s="3" t="s">
        <v>3</v>
      </c>
      <c r="HS435" s="3">
        <v>0</v>
      </c>
      <c r="IK435" s="3">
        <v>0</v>
      </c>
    </row>
    <row r="436" spans="1:255" x14ac:dyDescent="0.2">
      <c r="A436" s="2">
        <v>18</v>
      </c>
      <c r="B436" s="2">
        <v>1</v>
      </c>
      <c r="C436" s="2">
        <v>167</v>
      </c>
      <c r="D436" s="2"/>
      <c r="E436" s="2" t="s">
        <v>336</v>
      </c>
      <c r="F436" s="2" t="s">
        <v>337</v>
      </c>
      <c r="G436" s="2" t="s">
        <v>338</v>
      </c>
      <c r="H436" s="2" t="s">
        <v>339</v>
      </c>
      <c r="I436" s="2">
        <f>I434*J436</f>
        <v>1.65</v>
      </c>
      <c r="J436" s="2">
        <v>0.11</v>
      </c>
      <c r="K436" s="2">
        <v>0.11</v>
      </c>
      <c r="L436" s="2"/>
      <c r="M436" s="2"/>
      <c r="N436" s="2"/>
      <c r="O436" s="2">
        <f t="shared" si="385"/>
        <v>51.28</v>
      </c>
      <c r="P436" s="2">
        <f t="shared" si="386"/>
        <v>51.28</v>
      </c>
      <c r="Q436" s="2">
        <f>(ROUND((ROUND(((ET436)*AV436*I436),2)*BB436),2)+ROUND((ROUND(((AE436-(EU436))*AV436*I436),2)*BS436),2))</f>
        <v>0</v>
      </c>
      <c r="R436" s="2">
        <f>(ROUND((ROUND(((EU436)*AV436*I436),2)*BS436),2)+ROUND((ROUND(((AE436-(EU436))*AV436*I436),2)*BS436),2))</f>
        <v>0</v>
      </c>
      <c r="S436" s="2">
        <f t="shared" si="387"/>
        <v>0</v>
      </c>
      <c r="T436" s="2">
        <f t="shared" si="388"/>
        <v>0</v>
      </c>
      <c r="U436" s="2">
        <f t="shared" si="389"/>
        <v>0</v>
      </c>
      <c r="V436" s="2">
        <f t="shared" si="390"/>
        <v>0</v>
      </c>
      <c r="W436" s="2">
        <f t="shared" si="391"/>
        <v>0</v>
      </c>
      <c r="X436" s="2">
        <f>(ROUND((((S436+ROUND((ROUND(((EU436)*AV436*I436),2)*BS436),2))*AT436)/100),2)+ROUND(((ROUND((ROUND(((AE436-(EU436))*AV436*I436),2)*BS436),2)*AT436)/100),2))</f>
        <v>0</v>
      </c>
      <c r="Y436" s="2">
        <f>(ROUND((((S436+ROUND((ROUND(((EU436)*AV436*I436),2)*BS436),2))*AU436)/100),2)+ROUND(((ROUND((ROUND(((AE436-(EU436))*AV436*I436),2)*BS436),2)*AU436)/100),2))</f>
        <v>0</v>
      </c>
      <c r="Z436" s="2"/>
      <c r="AA436" s="2">
        <v>55915256</v>
      </c>
      <c r="AB436" s="2">
        <f t="shared" si="392"/>
        <v>31.08</v>
      </c>
      <c r="AC436" s="2">
        <f>ROUND((ES436),6)</f>
        <v>31.08</v>
      </c>
      <c r="AD436" s="2">
        <f>ROUND((((ET436)-(EU436))+AE436),6)</f>
        <v>0</v>
      </c>
      <c r="AE436" s="2">
        <f t="shared" ref="AE436:AF439" si="409">ROUND((EU436),6)</f>
        <v>0</v>
      </c>
      <c r="AF436" s="2">
        <f t="shared" si="409"/>
        <v>0</v>
      </c>
      <c r="AG436" s="2">
        <f t="shared" si="393"/>
        <v>0</v>
      </c>
      <c r="AH436" s="2">
        <f t="shared" ref="AH436:AI439" si="410">(EW436)</f>
        <v>0</v>
      </c>
      <c r="AI436" s="2">
        <f t="shared" si="410"/>
        <v>0</v>
      </c>
      <c r="AJ436" s="2">
        <f t="shared" si="394"/>
        <v>0</v>
      </c>
      <c r="AK436" s="2">
        <v>31.08</v>
      </c>
      <c r="AL436" s="2">
        <v>31.08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97</v>
      </c>
      <c r="AU436" s="2">
        <v>51</v>
      </c>
      <c r="AV436" s="2">
        <v>1</v>
      </c>
      <c r="AW436" s="2">
        <v>1</v>
      </c>
      <c r="AX436" s="2"/>
      <c r="AY436" s="2"/>
      <c r="AZ436" s="2">
        <v>1</v>
      </c>
      <c r="BA436" s="2">
        <v>1</v>
      </c>
      <c r="BB436" s="2">
        <v>1</v>
      </c>
      <c r="BC436" s="2">
        <v>1</v>
      </c>
      <c r="BD436" s="2" t="s">
        <v>3</v>
      </c>
      <c r="BE436" s="2" t="s">
        <v>3</v>
      </c>
      <c r="BF436" s="2" t="s">
        <v>3</v>
      </c>
      <c r="BG436" s="2" t="s">
        <v>3</v>
      </c>
      <c r="BH436" s="2">
        <v>3</v>
      </c>
      <c r="BI436" s="2">
        <v>2</v>
      </c>
      <c r="BJ436" s="2" t="s">
        <v>340</v>
      </c>
      <c r="BK436" s="2"/>
      <c r="BL436" s="2"/>
      <c r="BM436" s="2">
        <v>67</v>
      </c>
      <c r="BN436" s="2">
        <v>0</v>
      </c>
      <c r="BO436" s="2" t="s">
        <v>3</v>
      </c>
      <c r="BP436" s="2">
        <v>0</v>
      </c>
      <c r="BQ436" s="2">
        <v>40</v>
      </c>
      <c r="BR436" s="2">
        <v>0</v>
      </c>
      <c r="BS436" s="2">
        <v>1</v>
      </c>
      <c r="BT436" s="2">
        <v>1</v>
      </c>
      <c r="BU436" s="2">
        <v>1</v>
      </c>
      <c r="BV436" s="2">
        <v>1</v>
      </c>
      <c r="BW436" s="2">
        <v>1</v>
      </c>
      <c r="BX436" s="2">
        <v>1</v>
      </c>
      <c r="BY436" s="2" t="s">
        <v>3</v>
      </c>
      <c r="BZ436" s="2">
        <v>97</v>
      </c>
      <c r="CA436" s="2">
        <v>51</v>
      </c>
      <c r="CB436" s="2" t="s">
        <v>3</v>
      </c>
      <c r="CC436" s="2"/>
      <c r="CD436" s="2"/>
      <c r="CE436" s="2">
        <v>1566</v>
      </c>
      <c r="CF436" s="2">
        <v>0</v>
      </c>
      <c r="CG436" s="2">
        <v>0</v>
      </c>
      <c r="CH436" s="2"/>
      <c r="CI436" s="2"/>
      <c r="CJ436" s="2"/>
      <c r="CK436" s="2"/>
      <c r="CL436" s="2"/>
      <c r="CM436" s="2">
        <v>0</v>
      </c>
      <c r="CN436" s="2" t="s">
        <v>3</v>
      </c>
      <c r="CO436" s="2">
        <v>0</v>
      </c>
      <c r="CP436" s="2">
        <f t="shared" si="395"/>
        <v>51.28</v>
      </c>
      <c r="CQ436" s="2">
        <f t="shared" si="396"/>
        <v>31.08</v>
      </c>
      <c r="CR436" s="2">
        <f>(ROUND((ROUND(((ET436)*AV436*1),2)*BB436),2)+ROUND((ROUND(((AE436-(EU436))*AV436*1),2)*BS436),2))</f>
        <v>0</v>
      </c>
      <c r="CS436" s="2">
        <f>(ROUND((ROUND(((EU436)*AV436*1),2)*BS436),2)+ROUND((ROUND(((AE436-(EU436))*AV436*1),2)*BS436),2))</f>
        <v>0</v>
      </c>
      <c r="CT436" s="2">
        <f t="shared" si="397"/>
        <v>0</v>
      </c>
      <c r="CU436" s="2">
        <f t="shared" si="398"/>
        <v>0</v>
      </c>
      <c r="CV436" s="2">
        <f t="shared" si="399"/>
        <v>0</v>
      </c>
      <c r="CW436" s="2">
        <f t="shared" si="400"/>
        <v>0</v>
      </c>
      <c r="CX436" s="2">
        <f t="shared" si="400"/>
        <v>0</v>
      </c>
      <c r="CY436" s="2">
        <f>(ROUND((((S436+ROUND((ROUND(((EU436)*AV436*1),2)*BS436),2))*AT436)/100),2)+ROUND(((ROUND((ROUND(((AE436-(EU436))*AV436*1),2)*BS436),2)*AT436)/100),2))</f>
        <v>0</v>
      </c>
      <c r="CZ436" s="2">
        <f>(ROUND((((S436+ROUND((ROUND(((EU436)*AV436*1),2)*BS436),2))*AU436)/100),2)+ROUND(((ROUND((ROUND(((AE436-(EU436))*AV436*1),2)*BS436),2)*AU436)/100),2))</f>
        <v>0</v>
      </c>
      <c r="DA436" s="2"/>
      <c r="DB436" s="2"/>
      <c r="DC436" s="2" t="s">
        <v>3</v>
      </c>
      <c r="DD436" s="2" t="s">
        <v>3</v>
      </c>
      <c r="DE436" s="2" t="s">
        <v>3</v>
      </c>
      <c r="DF436" s="2" t="s">
        <v>3</v>
      </c>
      <c r="DG436" s="2" t="s">
        <v>3</v>
      </c>
      <c r="DH436" s="2" t="s">
        <v>3</v>
      </c>
      <c r="DI436" s="2" t="s">
        <v>3</v>
      </c>
      <c r="DJ436" s="2" t="s">
        <v>3</v>
      </c>
      <c r="DK436" s="2" t="s">
        <v>3</v>
      </c>
      <c r="DL436" s="2" t="s">
        <v>3</v>
      </c>
      <c r="DM436" s="2" t="s">
        <v>3</v>
      </c>
      <c r="DN436" s="2">
        <v>0</v>
      </c>
      <c r="DO436" s="2">
        <v>0</v>
      </c>
      <c r="DP436" s="2">
        <v>1</v>
      </c>
      <c r="DQ436" s="2">
        <v>1</v>
      </c>
      <c r="DR436" s="2"/>
      <c r="DS436" s="2"/>
      <c r="DT436" s="2"/>
      <c r="DU436" s="2">
        <v>1009</v>
      </c>
      <c r="DV436" s="2" t="s">
        <v>339</v>
      </c>
      <c r="DW436" s="2" t="s">
        <v>339</v>
      </c>
      <c r="DX436" s="2">
        <v>1</v>
      </c>
      <c r="DY436" s="2"/>
      <c r="DZ436" s="2" t="s">
        <v>3</v>
      </c>
      <c r="EA436" s="2" t="s">
        <v>3</v>
      </c>
      <c r="EB436" s="2" t="s">
        <v>3</v>
      </c>
      <c r="EC436" s="2" t="s">
        <v>3</v>
      </c>
      <c r="ED436" s="2"/>
      <c r="EE436" s="2">
        <v>55393699</v>
      </c>
      <c r="EF436" s="2">
        <v>40</v>
      </c>
      <c r="EG436" s="2" t="s">
        <v>26</v>
      </c>
      <c r="EH436" s="2">
        <v>0</v>
      </c>
      <c r="EI436" s="2" t="s">
        <v>3</v>
      </c>
      <c r="EJ436" s="2">
        <v>2</v>
      </c>
      <c r="EK436" s="2">
        <v>67</v>
      </c>
      <c r="EL436" s="2" t="s">
        <v>91</v>
      </c>
      <c r="EM436" s="2" t="s">
        <v>92</v>
      </c>
      <c r="EN436" s="2"/>
      <c r="EO436" s="2" t="s">
        <v>3</v>
      </c>
      <c r="EP436" s="2"/>
      <c r="EQ436" s="2">
        <v>0</v>
      </c>
      <c r="ER436" s="2">
        <v>31.08</v>
      </c>
      <c r="ES436" s="2">
        <v>31.08</v>
      </c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>
        <v>0</v>
      </c>
      <c r="FR436" s="2">
        <v>0</v>
      </c>
      <c r="FS436" s="2">
        <v>0</v>
      </c>
      <c r="FT436" s="2"/>
      <c r="FU436" s="2"/>
      <c r="FV436" s="2"/>
      <c r="FW436" s="2"/>
      <c r="FX436" s="2">
        <v>97</v>
      </c>
      <c r="FY436" s="2">
        <v>51</v>
      </c>
      <c r="FZ436" s="2"/>
      <c r="GA436" s="2" t="s">
        <v>3</v>
      </c>
      <c r="GB436" s="2"/>
      <c r="GC436" s="2"/>
      <c r="GD436" s="2">
        <v>1</v>
      </c>
      <c r="GE436" s="2"/>
      <c r="GF436" s="2">
        <v>-2097101800</v>
      </c>
      <c r="GG436" s="2">
        <v>2</v>
      </c>
      <c r="GH436" s="2">
        <v>1</v>
      </c>
      <c r="GI436" s="2">
        <v>-2</v>
      </c>
      <c r="GJ436" s="2">
        <v>0</v>
      </c>
      <c r="GK436" s="2">
        <v>0</v>
      </c>
      <c r="GL436" s="2">
        <f t="shared" si="401"/>
        <v>0</v>
      </c>
      <c r="GM436" s="2">
        <f t="shared" si="402"/>
        <v>51.28</v>
      </c>
      <c r="GN436" s="2">
        <f t="shared" si="403"/>
        <v>0</v>
      </c>
      <c r="GO436" s="2">
        <f t="shared" si="404"/>
        <v>51.28</v>
      </c>
      <c r="GP436" s="2">
        <f t="shared" si="405"/>
        <v>0</v>
      </c>
      <c r="GQ436" s="2"/>
      <c r="GR436" s="2">
        <v>0</v>
      </c>
      <c r="GS436" s="2">
        <v>3</v>
      </c>
      <c r="GT436" s="2">
        <v>0</v>
      </c>
      <c r="GU436" s="2" t="s">
        <v>3</v>
      </c>
      <c r="GV436" s="2">
        <f t="shared" si="406"/>
        <v>0</v>
      </c>
      <c r="GW436" s="2">
        <v>1</v>
      </c>
      <c r="GX436" s="2">
        <f t="shared" si="407"/>
        <v>0</v>
      </c>
      <c r="GY436" s="2"/>
      <c r="GZ436" s="2"/>
      <c r="HA436" s="2">
        <v>0</v>
      </c>
      <c r="HB436" s="2">
        <v>0</v>
      </c>
      <c r="HC436" s="2">
        <f t="shared" si="408"/>
        <v>0</v>
      </c>
      <c r="HD436" s="2"/>
      <c r="HE436" s="2" t="s">
        <v>3</v>
      </c>
      <c r="HF436" s="2" t="s">
        <v>3</v>
      </c>
      <c r="HG436" s="2"/>
      <c r="HH436" s="2"/>
      <c r="HI436" s="2"/>
      <c r="HJ436" s="2"/>
      <c r="HK436" s="2"/>
      <c r="HL436" s="2"/>
      <c r="HM436" s="2" t="s">
        <v>77</v>
      </c>
      <c r="HN436" s="2" t="s">
        <v>3</v>
      </c>
      <c r="HO436" s="2" t="s">
        <v>3</v>
      </c>
      <c r="HP436" s="2" t="s">
        <v>3</v>
      </c>
      <c r="HQ436" s="2" t="s">
        <v>3</v>
      </c>
      <c r="HR436" s="2"/>
      <c r="HS436" s="2">
        <v>0</v>
      </c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>
        <v>0</v>
      </c>
      <c r="IL436" s="2"/>
      <c r="IM436" s="2"/>
      <c r="IN436" s="2"/>
      <c r="IO436" s="2"/>
      <c r="IP436" s="2"/>
      <c r="IQ436" s="2"/>
      <c r="IR436" s="2"/>
      <c r="IS436" s="2"/>
      <c r="IT436" s="2"/>
      <c r="IU436" s="2"/>
    </row>
    <row r="437" spans="1:255" x14ac:dyDescent="0.2">
      <c r="A437" s="3">
        <v>18</v>
      </c>
      <c r="B437" s="3">
        <v>1</v>
      </c>
      <c r="C437" s="3">
        <v>171</v>
      </c>
      <c r="E437" s="3" t="s">
        <v>336</v>
      </c>
      <c r="F437" s="3" t="s">
        <v>337</v>
      </c>
      <c r="G437" s="3" t="s">
        <v>338</v>
      </c>
      <c r="H437" s="3" t="s">
        <v>339</v>
      </c>
      <c r="I437" s="3">
        <f>I435*J437</f>
        <v>1.65</v>
      </c>
      <c r="J437" s="3">
        <v>0.11</v>
      </c>
      <c r="K437" s="3">
        <v>0.11</v>
      </c>
      <c r="O437" s="3">
        <f t="shared" si="385"/>
        <v>184.1</v>
      </c>
      <c r="P437" s="3">
        <f t="shared" si="386"/>
        <v>184.1</v>
      </c>
      <c r="Q437" s="3">
        <f>(ROUND((ROUND(((ET437)*AV437*I437),2)*BB437),2)+ROUND((ROUND(((AE437-(EU437))*AV437*I437),2)*BS437),2))</f>
        <v>0</v>
      </c>
      <c r="R437" s="3">
        <f>(ROUND((ROUND(((EU437)*AV437*I437),2)*BS437),2)+ROUND((ROUND(((AE437-(EU437))*AV437*I437),2)*BS437),2))</f>
        <v>0</v>
      </c>
      <c r="S437" s="3">
        <f t="shared" si="387"/>
        <v>0</v>
      </c>
      <c r="T437" s="3">
        <f t="shared" si="388"/>
        <v>0</v>
      </c>
      <c r="U437" s="3">
        <f t="shared" si="389"/>
        <v>0</v>
      </c>
      <c r="V437" s="3">
        <f t="shared" si="390"/>
        <v>0</v>
      </c>
      <c r="W437" s="3">
        <f t="shared" si="391"/>
        <v>0</v>
      </c>
      <c r="X437" s="3">
        <f>(ROUND((((S437+ROUND((ROUND(((EU437)*AV437*I437),2)*BS437),2))*AT437)/100),2)+ROUND(((ROUND((ROUND(((AE437-(EU437))*AV437*I437),2)*BS437),2)*AT437)/100),2))</f>
        <v>0</v>
      </c>
      <c r="Y437" s="3">
        <f>(ROUND((((S437+ROUND((ROUND(((EU437)*AV437*I437),2)*BS437),2))*AU437)/100),2)+ROUND(((ROUND((ROUND(((AE437-(EU437))*AV437*I437),2)*BS437),2)*AU437)/100),2))</f>
        <v>0</v>
      </c>
      <c r="AA437" s="3">
        <v>55915258</v>
      </c>
      <c r="AB437" s="3">
        <f t="shared" si="392"/>
        <v>31.08</v>
      </c>
      <c r="AC437" s="3">
        <f>ROUND((ES437),6)</f>
        <v>31.08</v>
      </c>
      <c r="AD437" s="3">
        <f>ROUND((((ET437)-(EU437))+AE437),6)</f>
        <v>0</v>
      </c>
      <c r="AE437" s="3">
        <f t="shared" si="409"/>
        <v>0</v>
      </c>
      <c r="AF437" s="3">
        <f t="shared" si="409"/>
        <v>0</v>
      </c>
      <c r="AG437" s="3">
        <f t="shared" si="393"/>
        <v>0</v>
      </c>
      <c r="AH437" s="3">
        <f t="shared" si="410"/>
        <v>0</v>
      </c>
      <c r="AI437" s="3">
        <f t="shared" si="410"/>
        <v>0</v>
      </c>
      <c r="AJ437" s="3">
        <f t="shared" si="394"/>
        <v>0</v>
      </c>
      <c r="AK437" s="3">
        <v>31.08</v>
      </c>
      <c r="AL437" s="3">
        <v>31.08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97</v>
      </c>
      <c r="AU437" s="3">
        <v>51</v>
      </c>
      <c r="AV437" s="3">
        <v>1</v>
      </c>
      <c r="AW437" s="3">
        <v>1</v>
      </c>
      <c r="AZ437" s="3">
        <v>1</v>
      </c>
      <c r="BA437" s="3">
        <v>1</v>
      </c>
      <c r="BB437" s="3">
        <v>1</v>
      </c>
      <c r="BC437" s="3">
        <v>3.59</v>
      </c>
      <c r="BD437" s="3" t="s">
        <v>3</v>
      </c>
      <c r="BE437" s="3" t="s">
        <v>3</v>
      </c>
      <c r="BF437" s="3" t="s">
        <v>3</v>
      </c>
      <c r="BG437" s="3" t="s">
        <v>3</v>
      </c>
      <c r="BH437" s="3">
        <v>3</v>
      </c>
      <c r="BI437" s="3">
        <v>2</v>
      </c>
      <c r="BJ437" s="3" t="s">
        <v>340</v>
      </c>
      <c r="BM437" s="3">
        <v>67</v>
      </c>
      <c r="BN437" s="3">
        <v>0</v>
      </c>
      <c r="BO437" s="3" t="s">
        <v>337</v>
      </c>
      <c r="BP437" s="3">
        <v>1</v>
      </c>
      <c r="BQ437" s="3">
        <v>40</v>
      </c>
      <c r="BR437" s="3">
        <v>0</v>
      </c>
      <c r="BS437" s="3">
        <v>1</v>
      </c>
      <c r="BT437" s="3">
        <v>1</v>
      </c>
      <c r="BU437" s="3">
        <v>1</v>
      </c>
      <c r="BV437" s="3">
        <v>1</v>
      </c>
      <c r="BW437" s="3">
        <v>1</v>
      </c>
      <c r="BX437" s="3">
        <v>1</v>
      </c>
      <c r="BY437" s="3" t="s">
        <v>3</v>
      </c>
      <c r="BZ437" s="3">
        <v>97</v>
      </c>
      <c r="CA437" s="3">
        <v>51</v>
      </c>
      <c r="CB437" s="3" t="s">
        <v>3</v>
      </c>
      <c r="CE437" s="3">
        <v>1566</v>
      </c>
      <c r="CF437" s="3">
        <v>0</v>
      </c>
      <c r="CG437" s="3">
        <v>0</v>
      </c>
      <c r="CM437" s="3">
        <v>0</v>
      </c>
      <c r="CN437" s="3" t="s">
        <v>3</v>
      </c>
      <c r="CO437" s="3">
        <v>0</v>
      </c>
      <c r="CP437" s="3">
        <f t="shared" si="395"/>
        <v>184.1</v>
      </c>
      <c r="CQ437" s="3">
        <f t="shared" si="396"/>
        <v>111.58</v>
      </c>
      <c r="CR437" s="3">
        <f>(ROUND((ROUND(((ET437)*AV437*1),2)*BB437),2)+ROUND((ROUND(((AE437-(EU437))*AV437*1),2)*BS437),2))</f>
        <v>0</v>
      </c>
      <c r="CS437" s="3">
        <f>(ROUND((ROUND(((EU437)*AV437*1),2)*BS437),2)+ROUND((ROUND(((AE437-(EU437))*AV437*1),2)*BS437),2))</f>
        <v>0</v>
      </c>
      <c r="CT437" s="3">
        <f t="shared" si="397"/>
        <v>0</v>
      </c>
      <c r="CU437" s="3">
        <f t="shared" si="398"/>
        <v>0</v>
      </c>
      <c r="CV437" s="3">
        <f t="shared" si="399"/>
        <v>0</v>
      </c>
      <c r="CW437" s="3">
        <f t="shared" si="400"/>
        <v>0</v>
      </c>
      <c r="CX437" s="3">
        <f t="shared" si="400"/>
        <v>0</v>
      </c>
      <c r="CY437" s="3">
        <f>(ROUND((((S437+ROUND((ROUND(((EU437)*AV437*1),2)*BS437),2))*AT437)/100),2)+ROUND(((ROUND((ROUND(((AE437-(EU437))*AV437*1),2)*BS437),2)*AT437)/100),2))</f>
        <v>0</v>
      </c>
      <c r="CZ437" s="3">
        <f>(ROUND((((S437+ROUND((ROUND(((EU437)*AV437*1),2)*BS437),2))*AU437)/100),2)+ROUND(((ROUND((ROUND(((AE437-(EU437))*AV437*1),2)*BS437),2)*AU437)/100),2))</f>
        <v>0</v>
      </c>
      <c r="DC437" s="3" t="s">
        <v>3</v>
      </c>
      <c r="DD437" s="3" t="s">
        <v>3</v>
      </c>
      <c r="DE437" s="3" t="s">
        <v>3</v>
      </c>
      <c r="DF437" s="3" t="s">
        <v>3</v>
      </c>
      <c r="DG437" s="3" t="s">
        <v>3</v>
      </c>
      <c r="DH437" s="3" t="s">
        <v>3</v>
      </c>
      <c r="DI437" s="3" t="s">
        <v>3</v>
      </c>
      <c r="DJ437" s="3" t="s">
        <v>3</v>
      </c>
      <c r="DK437" s="3" t="s">
        <v>3</v>
      </c>
      <c r="DL437" s="3" t="s">
        <v>3</v>
      </c>
      <c r="DM437" s="3" t="s">
        <v>3</v>
      </c>
      <c r="DN437" s="3">
        <v>0</v>
      </c>
      <c r="DO437" s="3">
        <v>0</v>
      </c>
      <c r="DP437" s="3">
        <v>1</v>
      </c>
      <c r="DQ437" s="3">
        <v>1</v>
      </c>
      <c r="DU437" s="3">
        <v>1009</v>
      </c>
      <c r="DV437" s="3" t="s">
        <v>339</v>
      </c>
      <c r="DW437" s="3" t="s">
        <v>339</v>
      </c>
      <c r="DX437" s="3">
        <v>1</v>
      </c>
      <c r="DZ437" s="3" t="s">
        <v>3</v>
      </c>
      <c r="EA437" s="3" t="s">
        <v>3</v>
      </c>
      <c r="EB437" s="3" t="s">
        <v>3</v>
      </c>
      <c r="EC437" s="3" t="s">
        <v>3</v>
      </c>
      <c r="EE437" s="3">
        <v>55393699</v>
      </c>
      <c r="EF437" s="3">
        <v>40</v>
      </c>
      <c r="EG437" s="3" t="s">
        <v>26</v>
      </c>
      <c r="EH437" s="3">
        <v>0</v>
      </c>
      <c r="EI437" s="3" t="s">
        <v>3</v>
      </c>
      <c r="EJ437" s="3">
        <v>2</v>
      </c>
      <c r="EK437" s="3">
        <v>67</v>
      </c>
      <c r="EL437" s="3" t="s">
        <v>91</v>
      </c>
      <c r="EM437" s="3" t="s">
        <v>92</v>
      </c>
      <c r="EO437" s="3" t="s">
        <v>3</v>
      </c>
      <c r="EQ437" s="3">
        <v>0</v>
      </c>
      <c r="ER437" s="3">
        <v>31.08</v>
      </c>
      <c r="ES437" s="3">
        <v>31.08</v>
      </c>
      <c r="ET437" s="3">
        <v>0</v>
      </c>
      <c r="EU437" s="3">
        <v>0</v>
      </c>
      <c r="EV437" s="3">
        <v>0</v>
      </c>
      <c r="EW437" s="3">
        <v>0</v>
      </c>
      <c r="EX437" s="3">
        <v>0</v>
      </c>
      <c r="FQ437" s="3">
        <v>0</v>
      </c>
      <c r="FR437" s="3">
        <v>0</v>
      </c>
      <c r="FS437" s="3">
        <v>0</v>
      </c>
      <c r="FX437" s="3">
        <v>97</v>
      </c>
      <c r="FY437" s="3">
        <v>51</v>
      </c>
      <c r="GA437" s="3" t="s">
        <v>3</v>
      </c>
      <c r="GD437" s="3">
        <v>1</v>
      </c>
      <c r="GF437" s="3">
        <v>-2097101800</v>
      </c>
      <c r="GG437" s="3">
        <v>2</v>
      </c>
      <c r="GH437" s="3">
        <v>1</v>
      </c>
      <c r="GI437" s="3">
        <v>2</v>
      </c>
      <c r="GJ437" s="3">
        <v>0</v>
      </c>
      <c r="GK437" s="3">
        <v>0</v>
      </c>
      <c r="GL437" s="3">
        <f t="shared" si="401"/>
        <v>0</v>
      </c>
      <c r="GM437" s="3">
        <f t="shared" si="402"/>
        <v>184.1</v>
      </c>
      <c r="GN437" s="3">
        <f t="shared" si="403"/>
        <v>0</v>
      </c>
      <c r="GO437" s="3">
        <f t="shared" si="404"/>
        <v>184.1</v>
      </c>
      <c r="GP437" s="3">
        <f t="shared" si="405"/>
        <v>0</v>
      </c>
      <c r="GR437" s="3">
        <v>0</v>
      </c>
      <c r="GS437" s="3">
        <v>3</v>
      </c>
      <c r="GT437" s="3">
        <v>0</v>
      </c>
      <c r="GU437" s="3" t="s">
        <v>3</v>
      </c>
      <c r="GV437" s="3">
        <f t="shared" si="406"/>
        <v>0</v>
      </c>
      <c r="GW437" s="3">
        <v>1</v>
      </c>
      <c r="GX437" s="3">
        <f t="shared" si="407"/>
        <v>0</v>
      </c>
      <c r="HA437" s="3">
        <v>0</v>
      </c>
      <c r="HB437" s="3">
        <v>0</v>
      </c>
      <c r="HC437" s="3">
        <f t="shared" si="408"/>
        <v>0</v>
      </c>
      <c r="HE437" s="3" t="s">
        <v>3</v>
      </c>
      <c r="HF437" s="3" t="s">
        <v>3</v>
      </c>
      <c r="HM437" s="3" t="s">
        <v>77</v>
      </c>
      <c r="HN437" s="3" t="s">
        <v>3</v>
      </c>
      <c r="HO437" s="3" t="s">
        <v>3</v>
      </c>
      <c r="HP437" s="3" t="s">
        <v>3</v>
      </c>
      <c r="HQ437" s="3" t="s">
        <v>3</v>
      </c>
      <c r="HS437" s="3">
        <v>0</v>
      </c>
      <c r="IK437" s="3">
        <v>0</v>
      </c>
    </row>
    <row r="438" spans="1:255" x14ac:dyDescent="0.2">
      <c r="A438" s="2">
        <v>17</v>
      </c>
      <c r="B438" s="2">
        <v>1</v>
      </c>
      <c r="C438" s="2"/>
      <c r="D438" s="2"/>
      <c r="E438" s="2" t="s">
        <v>341</v>
      </c>
      <c r="F438" s="2" t="s">
        <v>342</v>
      </c>
      <c r="G438" s="2" t="s">
        <v>343</v>
      </c>
      <c r="H438" s="2" t="s">
        <v>153</v>
      </c>
      <c r="I438" s="2">
        <v>15</v>
      </c>
      <c r="J438" s="2">
        <v>0</v>
      </c>
      <c r="K438" s="2">
        <v>15</v>
      </c>
      <c r="L438" s="2"/>
      <c r="M438" s="2"/>
      <c r="N438" s="2"/>
      <c r="O438" s="2">
        <f t="shared" si="385"/>
        <v>824.25</v>
      </c>
      <c r="P438" s="2">
        <f t="shared" si="386"/>
        <v>824.25</v>
      </c>
      <c r="Q438" s="2">
        <f>(ROUND((ROUND(((ET438)*AV438*I438),2)*BB438),2)+ROUND((ROUND(((AE438-(EU438))*AV438*I438),2)*BS438),2))</f>
        <v>0</v>
      </c>
      <c r="R438" s="2">
        <f>(ROUND((ROUND(((EU438)*AV438*I438),2)*BS438),2)+ROUND((ROUND(((AE438-(EU438))*AV438*I438),2)*BS438),2))</f>
        <v>0</v>
      </c>
      <c r="S438" s="2">
        <f t="shared" si="387"/>
        <v>0</v>
      </c>
      <c r="T438" s="2">
        <f t="shared" si="388"/>
        <v>0</v>
      </c>
      <c r="U438" s="2">
        <f t="shared" si="389"/>
        <v>0</v>
      </c>
      <c r="V438" s="2">
        <f t="shared" si="390"/>
        <v>0</v>
      </c>
      <c r="W438" s="2">
        <f t="shared" si="391"/>
        <v>0</v>
      </c>
      <c r="X438" s="2">
        <f>(ROUND((((S438+ROUND((ROUND(((EU438)*AV438*I438),2)*BS438),2))*AT438)/100),2)+ROUND(((ROUND((ROUND(((AE438-(EU438))*AV438*I438),2)*BS438),2)*AT438)/100),2))</f>
        <v>0</v>
      </c>
      <c r="Y438" s="2">
        <f>(ROUND((((S438+ROUND((ROUND(((EU438)*AV438*I438),2)*BS438),2))*AU438)/100),2)+ROUND(((ROUND((ROUND(((AE438-(EU438))*AV438*I438),2)*BS438),2)*AU438)/100),2))</f>
        <v>0</v>
      </c>
      <c r="Z438" s="2"/>
      <c r="AA438" s="2">
        <v>55915256</v>
      </c>
      <c r="AB438" s="2">
        <f t="shared" si="392"/>
        <v>54.95</v>
      </c>
      <c r="AC438" s="2">
        <f>ROUND((ES438),6)</f>
        <v>54.95</v>
      </c>
      <c r="AD438" s="2">
        <f>ROUND((((ET438)-(EU438))+AE438),6)</f>
        <v>0</v>
      </c>
      <c r="AE438" s="2">
        <f t="shared" si="409"/>
        <v>0</v>
      </c>
      <c r="AF438" s="2">
        <f t="shared" si="409"/>
        <v>0</v>
      </c>
      <c r="AG438" s="2">
        <f t="shared" si="393"/>
        <v>0</v>
      </c>
      <c r="AH438" s="2">
        <f t="shared" si="410"/>
        <v>0</v>
      </c>
      <c r="AI438" s="2">
        <f t="shared" si="410"/>
        <v>0</v>
      </c>
      <c r="AJ438" s="2">
        <f t="shared" si="394"/>
        <v>0</v>
      </c>
      <c r="AK438" s="2">
        <v>54.949999999999996</v>
      </c>
      <c r="AL438" s="2">
        <v>54.949999999999996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1</v>
      </c>
      <c r="AW438" s="2">
        <v>1</v>
      </c>
      <c r="AX438" s="2"/>
      <c r="AY438" s="2"/>
      <c r="AZ438" s="2">
        <v>1</v>
      </c>
      <c r="BA438" s="2">
        <v>1</v>
      </c>
      <c r="BB438" s="2">
        <v>1</v>
      </c>
      <c r="BC438" s="2">
        <v>1</v>
      </c>
      <c r="BD438" s="2" t="s">
        <v>3</v>
      </c>
      <c r="BE438" s="2" t="s">
        <v>3</v>
      </c>
      <c r="BF438" s="2" t="s">
        <v>3</v>
      </c>
      <c r="BG438" s="2" t="s">
        <v>3</v>
      </c>
      <c r="BH438" s="2">
        <v>3</v>
      </c>
      <c r="BI438" s="2">
        <v>3</v>
      </c>
      <c r="BJ438" s="2" t="s">
        <v>342</v>
      </c>
      <c r="BK438" s="2"/>
      <c r="BL438" s="2"/>
      <c r="BM438" s="2">
        <v>400007</v>
      </c>
      <c r="BN438" s="2">
        <v>0</v>
      </c>
      <c r="BO438" s="2" t="s">
        <v>3</v>
      </c>
      <c r="BP438" s="2">
        <v>0</v>
      </c>
      <c r="BQ438" s="2">
        <v>214</v>
      </c>
      <c r="BR438" s="2">
        <v>0</v>
      </c>
      <c r="BS438" s="2">
        <v>1</v>
      </c>
      <c r="BT438" s="2">
        <v>1</v>
      </c>
      <c r="BU438" s="2">
        <v>1</v>
      </c>
      <c r="BV438" s="2">
        <v>1</v>
      </c>
      <c r="BW438" s="2">
        <v>1</v>
      </c>
      <c r="BX438" s="2">
        <v>1</v>
      </c>
      <c r="BY438" s="2" t="s">
        <v>3</v>
      </c>
      <c r="BZ438" s="2">
        <v>0</v>
      </c>
      <c r="CA438" s="2">
        <v>0</v>
      </c>
      <c r="CB438" s="2" t="s">
        <v>3</v>
      </c>
      <c r="CC438" s="2"/>
      <c r="CD438" s="2"/>
      <c r="CE438" s="2">
        <v>1566</v>
      </c>
      <c r="CF438" s="2">
        <v>0</v>
      </c>
      <c r="CG438" s="2">
        <v>0</v>
      </c>
      <c r="CH438" s="2"/>
      <c r="CI438" s="2"/>
      <c r="CJ438" s="2"/>
      <c r="CK438" s="2"/>
      <c r="CL438" s="2"/>
      <c r="CM438" s="2">
        <v>0</v>
      </c>
      <c r="CN438" s="2" t="s">
        <v>3</v>
      </c>
      <c r="CO438" s="2">
        <v>0</v>
      </c>
      <c r="CP438" s="2">
        <f t="shared" si="395"/>
        <v>824.25</v>
      </c>
      <c r="CQ438" s="2">
        <f t="shared" si="396"/>
        <v>54.95</v>
      </c>
      <c r="CR438" s="2">
        <f>(ROUND((ROUND(((ET438)*AV438*1),2)*BB438),2)+ROUND((ROUND(((AE438-(EU438))*AV438*1),2)*BS438),2))</f>
        <v>0</v>
      </c>
      <c r="CS438" s="2">
        <f>(ROUND((ROUND(((EU438)*AV438*1),2)*BS438),2)+ROUND((ROUND(((AE438-(EU438))*AV438*1),2)*BS438),2))</f>
        <v>0</v>
      </c>
      <c r="CT438" s="2">
        <f t="shared" si="397"/>
        <v>0</v>
      </c>
      <c r="CU438" s="2">
        <f t="shared" si="398"/>
        <v>0</v>
      </c>
      <c r="CV438" s="2">
        <f t="shared" si="399"/>
        <v>0</v>
      </c>
      <c r="CW438" s="2">
        <f t="shared" si="400"/>
        <v>0</v>
      </c>
      <c r="CX438" s="2">
        <f t="shared" si="400"/>
        <v>0</v>
      </c>
      <c r="CY438" s="2">
        <f>(ROUND((((S438+ROUND((ROUND(((EU438)*AV438*1),2)*BS438),2))*AT438)/100),2)+ROUND(((ROUND((ROUND(((AE438-(EU438))*AV438*1),2)*BS438),2)*AT438)/100),2))</f>
        <v>0</v>
      </c>
      <c r="CZ438" s="2">
        <f>(ROUND((((S438+ROUND((ROUND(((EU438)*AV438*1),2)*BS438),2))*AU438)/100),2)+ROUND(((ROUND((ROUND(((AE438-(EU438))*AV438*1),2)*BS438),2)*AU438)/100),2))</f>
        <v>0</v>
      </c>
      <c r="DA438" s="2"/>
      <c r="DB438" s="2"/>
      <c r="DC438" s="2" t="s">
        <v>3</v>
      </c>
      <c r="DD438" s="2" t="s">
        <v>3</v>
      </c>
      <c r="DE438" s="2" t="s">
        <v>3</v>
      </c>
      <c r="DF438" s="2" t="s">
        <v>3</v>
      </c>
      <c r="DG438" s="2" t="s">
        <v>3</v>
      </c>
      <c r="DH438" s="2" t="s">
        <v>3</v>
      </c>
      <c r="DI438" s="2" t="s">
        <v>3</v>
      </c>
      <c r="DJ438" s="2" t="s">
        <v>3</v>
      </c>
      <c r="DK438" s="2" t="s">
        <v>3</v>
      </c>
      <c r="DL438" s="2" t="s">
        <v>3</v>
      </c>
      <c r="DM438" s="2" t="s">
        <v>3</v>
      </c>
      <c r="DN438" s="2">
        <v>0</v>
      </c>
      <c r="DO438" s="2">
        <v>0</v>
      </c>
      <c r="DP438" s="2">
        <v>1</v>
      </c>
      <c r="DQ438" s="2">
        <v>1</v>
      </c>
      <c r="DR438" s="2"/>
      <c r="DS438" s="2"/>
      <c r="DT438" s="2"/>
      <c r="DU438" s="2">
        <v>1013</v>
      </c>
      <c r="DV438" s="2" t="s">
        <v>153</v>
      </c>
      <c r="DW438" s="2" t="s">
        <v>153</v>
      </c>
      <c r="DX438" s="2">
        <v>1</v>
      </c>
      <c r="DY438" s="2"/>
      <c r="DZ438" s="2" t="s">
        <v>3</v>
      </c>
      <c r="EA438" s="2" t="s">
        <v>3</v>
      </c>
      <c r="EB438" s="2" t="s">
        <v>3</v>
      </c>
      <c r="EC438" s="2" t="s">
        <v>3</v>
      </c>
      <c r="ED438" s="2"/>
      <c r="EE438" s="2">
        <v>55393630</v>
      </c>
      <c r="EF438" s="2">
        <v>214</v>
      </c>
      <c r="EG438" s="2" t="s">
        <v>154</v>
      </c>
      <c r="EH438" s="2">
        <v>0</v>
      </c>
      <c r="EI438" s="2" t="s">
        <v>3</v>
      </c>
      <c r="EJ438" s="2">
        <v>3</v>
      </c>
      <c r="EK438" s="2">
        <v>400007</v>
      </c>
      <c r="EL438" s="2" t="s">
        <v>154</v>
      </c>
      <c r="EM438" s="2" t="s">
        <v>155</v>
      </c>
      <c r="EN438" s="2"/>
      <c r="EO438" s="2" t="s">
        <v>3</v>
      </c>
      <c r="EP438" s="2"/>
      <c r="EQ438" s="2">
        <v>16</v>
      </c>
      <c r="ER438" s="2">
        <v>0</v>
      </c>
      <c r="ES438" s="2">
        <v>54.949999999999996</v>
      </c>
      <c r="ET438" s="2">
        <v>0</v>
      </c>
      <c r="EU438" s="2">
        <v>0</v>
      </c>
      <c r="EV438" s="2">
        <v>0</v>
      </c>
      <c r="EW438" s="2">
        <v>0</v>
      </c>
      <c r="EX438" s="2">
        <v>0</v>
      </c>
      <c r="EY438" s="2">
        <v>0</v>
      </c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>
        <v>0</v>
      </c>
      <c r="FR438" s="2">
        <f>P438</f>
        <v>824.25</v>
      </c>
      <c r="FS438" s="2">
        <v>0</v>
      </c>
      <c r="FT438" s="2"/>
      <c r="FU438" s="2"/>
      <c r="FV438" s="2"/>
      <c r="FW438" s="2"/>
      <c r="FX438" s="2">
        <v>0</v>
      </c>
      <c r="FY438" s="2">
        <v>0</v>
      </c>
      <c r="FZ438" s="2"/>
      <c r="GA438" s="2" t="s">
        <v>344</v>
      </c>
      <c r="GB438" s="2"/>
      <c r="GC438" s="2"/>
      <c r="GD438" s="2">
        <v>1</v>
      </c>
      <c r="GE438" s="2"/>
      <c r="GF438" s="2">
        <v>-1654895345</v>
      </c>
      <c r="GG438" s="2">
        <v>2</v>
      </c>
      <c r="GH438" s="2">
        <v>4</v>
      </c>
      <c r="GI438" s="2">
        <v>-2</v>
      </c>
      <c r="GJ438" s="2">
        <v>0</v>
      </c>
      <c r="GK438" s="2">
        <v>0</v>
      </c>
      <c r="GL438" s="2">
        <f t="shared" si="401"/>
        <v>0</v>
      </c>
      <c r="GM438" s="2">
        <f t="shared" si="402"/>
        <v>824.25</v>
      </c>
      <c r="GN438" s="2">
        <f t="shared" si="403"/>
        <v>0</v>
      </c>
      <c r="GO438" s="2">
        <f t="shared" si="404"/>
        <v>0</v>
      </c>
      <c r="GP438" s="2">
        <f t="shared" si="405"/>
        <v>0</v>
      </c>
      <c r="GQ438" s="2"/>
      <c r="GR438" s="2">
        <v>1</v>
      </c>
      <c r="GS438" s="2">
        <v>2</v>
      </c>
      <c r="GT438" s="2">
        <v>0</v>
      </c>
      <c r="GU438" s="2" t="s">
        <v>3</v>
      </c>
      <c r="GV438" s="2">
        <f t="shared" si="406"/>
        <v>0</v>
      </c>
      <c r="GW438" s="2">
        <v>1</v>
      </c>
      <c r="GX438" s="2">
        <f t="shared" si="407"/>
        <v>0</v>
      </c>
      <c r="GY438" s="2"/>
      <c r="GZ438" s="2"/>
      <c r="HA438" s="2">
        <v>0</v>
      </c>
      <c r="HB438" s="2">
        <v>0</v>
      </c>
      <c r="HC438" s="2">
        <f t="shared" si="408"/>
        <v>0</v>
      </c>
      <c r="HD438" s="2"/>
      <c r="HE438" s="2" t="s">
        <v>34</v>
      </c>
      <c r="HF438" s="2" t="s">
        <v>157</v>
      </c>
      <c r="HG438" s="2"/>
      <c r="HH438" s="2"/>
      <c r="HI438" s="2"/>
      <c r="HJ438" s="2"/>
      <c r="HK438" s="2"/>
      <c r="HL438" s="2"/>
      <c r="HM438" s="2" t="s">
        <v>3</v>
      </c>
      <c r="HN438" s="2" t="s">
        <v>3</v>
      </c>
      <c r="HO438" s="2" t="s">
        <v>3</v>
      </c>
      <c r="HP438" s="2" t="s">
        <v>3</v>
      </c>
      <c r="HQ438" s="2" t="s">
        <v>3</v>
      </c>
      <c r="HR438" s="2"/>
      <c r="HS438" s="2">
        <v>0</v>
      </c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>
        <v>0</v>
      </c>
      <c r="IL438" s="2"/>
      <c r="IM438" s="2"/>
      <c r="IN438" s="2"/>
      <c r="IO438" s="2"/>
      <c r="IP438" s="2"/>
      <c r="IQ438" s="2"/>
      <c r="IR438" s="2"/>
      <c r="IS438" s="2"/>
      <c r="IT438" s="2"/>
      <c r="IU438" s="2"/>
    </row>
    <row r="439" spans="1:255" x14ac:dyDescent="0.2">
      <c r="A439" s="3">
        <v>17</v>
      </c>
      <c r="B439" s="3">
        <v>1</v>
      </c>
      <c r="E439" s="3" t="s">
        <v>341</v>
      </c>
      <c r="F439" s="3" t="s">
        <v>342</v>
      </c>
      <c r="G439" s="3" t="s">
        <v>343</v>
      </c>
      <c r="H439" s="3" t="s">
        <v>153</v>
      </c>
      <c r="I439" s="3">
        <v>15</v>
      </c>
      <c r="J439" s="3">
        <v>0</v>
      </c>
      <c r="K439" s="3">
        <v>15</v>
      </c>
      <c r="O439" s="3">
        <f t="shared" si="385"/>
        <v>8110.62</v>
      </c>
      <c r="P439" s="3">
        <f t="shared" si="386"/>
        <v>8110.62</v>
      </c>
      <c r="Q439" s="3">
        <f>(ROUND((ROUND(((ET439)*AV439*I439),2)*BB439),2)+ROUND((ROUND(((AE439-(EU439))*AV439*I439),2)*BS439),2))</f>
        <v>0</v>
      </c>
      <c r="R439" s="3">
        <f>(ROUND((ROUND(((EU439)*AV439*I439),2)*BS439),2)+ROUND((ROUND(((AE439-(EU439))*AV439*I439),2)*BS439),2))</f>
        <v>0</v>
      </c>
      <c r="S439" s="3">
        <f t="shared" si="387"/>
        <v>0</v>
      </c>
      <c r="T439" s="3">
        <f t="shared" si="388"/>
        <v>0</v>
      </c>
      <c r="U439" s="3">
        <f t="shared" si="389"/>
        <v>0</v>
      </c>
      <c r="V439" s="3">
        <f t="shared" si="390"/>
        <v>0</v>
      </c>
      <c r="W439" s="3">
        <f t="shared" si="391"/>
        <v>0</v>
      </c>
      <c r="X439" s="3">
        <f>(ROUND((((S439+ROUND((ROUND(((EU439)*AV439*I439),2)*BS439),2))*AT439)/100),2)+ROUND(((ROUND((ROUND(((AE439-(EU439))*AV439*I439),2)*BS439),2)*AT439)/100),2))</f>
        <v>0</v>
      </c>
      <c r="Y439" s="3">
        <f>(ROUND((((S439+ROUND((ROUND(((EU439)*AV439*I439),2)*BS439),2))*AU439)/100),2)+ROUND(((ROUND((ROUND(((AE439-(EU439))*AV439*I439),2)*BS439),2)*AU439)/100),2))</f>
        <v>0</v>
      </c>
      <c r="AA439" s="3">
        <v>55915258</v>
      </c>
      <c r="AB439" s="3">
        <f t="shared" si="392"/>
        <v>54.95</v>
      </c>
      <c r="AC439" s="3">
        <f>ROUND((ES439),6)</f>
        <v>54.95</v>
      </c>
      <c r="AD439" s="3">
        <f>ROUND((((ET439)-(EU439))+AE439),6)</f>
        <v>0</v>
      </c>
      <c r="AE439" s="3">
        <f t="shared" si="409"/>
        <v>0</v>
      </c>
      <c r="AF439" s="3">
        <f t="shared" si="409"/>
        <v>0</v>
      </c>
      <c r="AG439" s="3">
        <f t="shared" si="393"/>
        <v>0</v>
      </c>
      <c r="AH439" s="3">
        <f t="shared" si="410"/>
        <v>0</v>
      </c>
      <c r="AI439" s="3">
        <f t="shared" si="410"/>
        <v>0</v>
      </c>
      <c r="AJ439" s="3">
        <f t="shared" si="394"/>
        <v>0</v>
      </c>
      <c r="AK439" s="3">
        <v>54.949999999999996</v>
      </c>
      <c r="AL439" s="3">
        <v>54.949999999999996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1</v>
      </c>
      <c r="AW439" s="3">
        <v>1</v>
      </c>
      <c r="AZ439" s="3">
        <v>1</v>
      </c>
      <c r="BA439" s="3">
        <v>1</v>
      </c>
      <c r="BB439" s="3">
        <v>1</v>
      </c>
      <c r="BC439" s="3">
        <v>9.84</v>
      </c>
      <c r="BD439" s="3" t="s">
        <v>3</v>
      </c>
      <c r="BE439" s="3" t="s">
        <v>3</v>
      </c>
      <c r="BF439" s="3" t="s">
        <v>3</v>
      </c>
      <c r="BG439" s="3" t="s">
        <v>3</v>
      </c>
      <c r="BH439" s="3">
        <v>3</v>
      </c>
      <c r="BI439" s="3">
        <v>3</v>
      </c>
      <c r="BJ439" s="3" t="s">
        <v>342</v>
      </c>
      <c r="BM439" s="3">
        <v>400007</v>
      </c>
      <c r="BN439" s="3">
        <v>0</v>
      </c>
      <c r="BO439" s="3" t="s">
        <v>3</v>
      </c>
      <c r="BP439" s="3">
        <v>0</v>
      </c>
      <c r="BQ439" s="3">
        <v>214</v>
      </c>
      <c r="BR439" s="3">
        <v>0</v>
      </c>
      <c r="BS439" s="3">
        <v>1</v>
      </c>
      <c r="BT439" s="3">
        <v>1</v>
      </c>
      <c r="BU439" s="3">
        <v>1</v>
      </c>
      <c r="BV439" s="3">
        <v>1</v>
      </c>
      <c r="BW439" s="3">
        <v>1</v>
      </c>
      <c r="BX439" s="3">
        <v>1</v>
      </c>
      <c r="BY439" s="3" t="s">
        <v>3</v>
      </c>
      <c r="BZ439" s="3">
        <v>0</v>
      </c>
      <c r="CA439" s="3">
        <v>0</v>
      </c>
      <c r="CB439" s="3" t="s">
        <v>3</v>
      </c>
      <c r="CE439" s="3">
        <v>1566</v>
      </c>
      <c r="CF439" s="3">
        <v>0</v>
      </c>
      <c r="CG439" s="3">
        <v>0</v>
      </c>
      <c r="CM439" s="3">
        <v>0</v>
      </c>
      <c r="CN439" s="3" t="s">
        <v>3</v>
      </c>
      <c r="CO439" s="3">
        <v>0</v>
      </c>
      <c r="CP439" s="3">
        <f t="shared" si="395"/>
        <v>8110.62</v>
      </c>
      <c r="CQ439" s="3">
        <f t="shared" si="396"/>
        <v>540.71</v>
      </c>
      <c r="CR439" s="3">
        <f>(ROUND((ROUND(((ET439)*AV439*1),2)*BB439),2)+ROUND((ROUND(((AE439-(EU439))*AV439*1),2)*BS439),2))</f>
        <v>0</v>
      </c>
      <c r="CS439" s="3">
        <f>(ROUND((ROUND(((EU439)*AV439*1),2)*BS439),2)+ROUND((ROUND(((AE439-(EU439))*AV439*1),2)*BS439),2))</f>
        <v>0</v>
      </c>
      <c r="CT439" s="3">
        <f t="shared" si="397"/>
        <v>0</v>
      </c>
      <c r="CU439" s="3">
        <f t="shared" si="398"/>
        <v>0</v>
      </c>
      <c r="CV439" s="3">
        <f t="shared" si="399"/>
        <v>0</v>
      </c>
      <c r="CW439" s="3">
        <f t="shared" si="400"/>
        <v>0</v>
      </c>
      <c r="CX439" s="3">
        <f t="shared" si="400"/>
        <v>0</v>
      </c>
      <c r="CY439" s="3">
        <f>(ROUND((((S439+ROUND((ROUND(((EU439)*AV439*1),2)*BS439),2))*AT439)/100),2)+ROUND(((ROUND((ROUND(((AE439-(EU439))*AV439*1),2)*BS439),2)*AT439)/100),2))</f>
        <v>0</v>
      </c>
      <c r="CZ439" s="3">
        <f>(ROUND((((S439+ROUND((ROUND(((EU439)*AV439*1),2)*BS439),2))*AU439)/100),2)+ROUND(((ROUND((ROUND(((AE439-(EU439))*AV439*1),2)*BS439),2)*AU439)/100),2))</f>
        <v>0</v>
      </c>
      <c r="DC439" s="3" t="s">
        <v>3</v>
      </c>
      <c r="DD439" s="3" t="s">
        <v>3</v>
      </c>
      <c r="DE439" s="3" t="s">
        <v>3</v>
      </c>
      <c r="DF439" s="3" t="s">
        <v>3</v>
      </c>
      <c r="DG439" s="3" t="s">
        <v>3</v>
      </c>
      <c r="DH439" s="3" t="s">
        <v>3</v>
      </c>
      <c r="DI439" s="3" t="s">
        <v>3</v>
      </c>
      <c r="DJ439" s="3" t="s">
        <v>3</v>
      </c>
      <c r="DK439" s="3" t="s">
        <v>3</v>
      </c>
      <c r="DL439" s="3" t="s">
        <v>3</v>
      </c>
      <c r="DM439" s="3" t="s">
        <v>3</v>
      </c>
      <c r="DN439" s="3">
        <v>0</v>
      </c>
      <c r="DO439" s="3">
        <v>0</v>
      </c>
      <c r="DP439" s="3">
        <v>1</v>
      </c>
      <c r="DQ439" s="3">
        <v>1</v>
      </c>
      <c r="DU439" s="3">
        <v>1013</v>
      </c>
      <c r="DV439" s="3" t="s">
        <v>153</v>
      </c>
      <c r="DW439" s="3" t="s">
        <v>153</v>
      </c>
      <c r="DX439" s="3">
        <v>1</v>
      </c>
      <c r="DZ439" s="3" t="s">
        <v>3</v>
      </c>
      <c r="EA439" s="3" t="s">
        <v>3</v>
      </c>
      <c r="EB439" s="3" t="s">
        <v>3</v>
      </c>
      <c r="EC439" s="3" t="s">
        <v>3</v>
      </c>
      <c r="EE439" s="3">
        <v>55393630</v>
      </c>
      <c r="EF439" s="3">
        <v>214</v>
      </c>
      <c r="EG439" s="3" t="s">
        <v>154</v>
      </c>
      <c r="EH439" s="3">
        <v>0</v>
      </c>
      <c r="EI439" s="3" t="s">
        <v>3</v>
      </c>
      <c r="EJ439" s="3">
        <v>3</v>
      </c>
      <c r="EK439" s="3">
        <v>400007</v>
      </c>
      <c r="EL439" s="3" t="s">
        <v>154</v>
      </c>
      <c r="EM439" s="3" t="s">
        <v>155</v>
      </c>
      <c r="EO439" s="3" t="s">
        <v>3</v>
      </c>
      <c r="EQ439" s="3">
        <v>16</v>
      </c>
      <c r="ER439" s="3">
        <v>0</v>
      </c>
      <c r="ES439" s="3">
        <v>54.949999999999996</v>
      </c>
      <c r="ET439" s="3">
        <v>0</v>
      </c>
      <c r="EU439" s="3">
        <v>0</v>
      </c>
      <c r="EV439" s="3">
        <v>0</v>
      </c>
      <c r="EW439" s="3">
        <v>0</v>
      </c>
      <c r="EX439" s="3">
        <v>0</v>
      </c>
      <c r="EY439" s="3">
        <v>0</v>
      </c>
      <c r="EZ439" s="3">
        <v>5</v>
      </c>
      <c r="FC439" s="3">
        <v>1</v>
      </c>
      <c r="FD439" s="3">
        <v>18</v>
      </c>
      <c r="FF439" s="3">
        <v>632.88</v>
      </c>
      <c r="FQ439" s="3">
        <v>0</v>
      </c>
      <c r="FR439" s="3">
        <f>P439</f>
        <v>8110.62</v>
      </c>
      <c r="FS439" s="3">
        <v>0</v>
      </c>
      <c r="FX439" s="3">
        <v>0</v>
      </c>
      <c r="FY439" s="3">
        <v>0</v>
      </c>
      <c r="GA439" s="3" t="s">
        <v>344</v>
      </c>
      <c r="GD439" s="3">
        <v>1</v>
      </c>
      <c r="GF439" s="3">
        <v>-1654895345</v>
      </c>
      <c r="GG439" s="3">
        <v>2</v>
      </c>
      <c r="GH439" s="3">
        <v>3</v>
      </c>
      <c r="GI439" s="3">
        <v>5</v>
      </c>
      <c r="GJ439" s="3">
        <v>0</v>
      </c>
      <c r="GK439" s="3">
        <v>0</v>
      </c>
      <c r="GL439" s="3">
        <f t="shared" si="401"/>
        <v>0</v>
      </c>
      <c r="GM439" s="3">
        <f t="shared" si="402"/>
        <v>8110.62</v>
      </c>
      <c r="GN439" s="3">
        <f t="shared" si="403"/>
        <v>0</v>
      </c>
      <c r="GO439" s="3">
        <f t="shared" si="404"/>
        <v>0</v>
      </c>
      <c r="GP439" s="3">
        <f t="shared" si="405"/>
        <v>0</v>
      </c>
      <c r="GR439" s="3">
        <v>1</v>
      </c>
      <c r="GS439" s="3">
        <v>1</v>
      </c>
      <c r="GT439" s="3">
        <v>0</v>
      </c>
      <c r="GU439" s="3" t="s">
        <v>3</v>
      </c>
      <c r="GV439" s="3">
        <f t="shared" si="406"/>
        <v>0</v>
      </c>
      <c r="GW439" s="3">
        <v>1</v>
      </c>
      <c r="GX439" s="3">
        <f t="shared" si="407"/>
        <v>0</v>
      </c>
      <c r="HA439" s="3">
        <v>0</v>
      </c>
      <c r="HB439" s="3">
        <v>0</v>
      </c>
      <c r="HC439" s="3">
        <f t="shared" si="408"/>
        <v>0</v>
      </c>
      <c r="HE439" s="3" t="s">
        <v>34</v>
      </c>
      <c r="HF439" s="3" t="s">
        <v>157</v>
      </c>
      <c r="HM439" s="3" t="s">
        <v>3</v>
      </c>
      <c r="HN439" s="3" t="s">
        <v>3</v>
      </c>
      <c r="HO439" s="3" t="s">
        <v>3</v>
      </c>
      <c r="HP439" s="3" t="s">
        <v>3</v>
      </c>
      <c r="HQ439" s="3" t="s">
        <v>3</v>
      </c>
      <c r="HS439" s="3">
        <v>0</v>
      </c>
      <c r="IK439" s="3">
        <v>0</v>
      </c>
    </row>
    <row r="441" spans="1:255" x14ac:dyDescent="0.2">
      <c r="A441" s="11">
        <v>51</v>
      </c>
      <c r="B441" s="11">
        <f>B430</f>
        <v>1</v>
      </c>
      <c r="C441" s="11">
        <f>A430</f>
        <v>4</v>
      </c>
      <c r="D441" s="11">
        <f>ROW(A430)</f>
        <v>430</v>
      </c>
      <c r="E441" s="11"/>
      <c r="F441" s="11" t="str">
        <f>IF(F430&lt;&gt;"",F430,"")</f>
        <v>8</v>
      </c>
      <c r="G441" s="11" t="str">
        <f>IF(G430&lt;&gt;"",G430,"")</f>
        <v>Разное</v>
      </c>
      <c r="H441" s="11">
        <v>0</v>
      </c>
      <c r="I441" s="11"/>
      <c r="J441" s="11"/>
      <c r="K441" s="11"/>
      <c r="L441" s="11"/>
      <c r="M441" s="11"/>
      <c r="N441" s="11"/>
      <c r="O441" s="11">
        <f t="shared" ref="O441:T441" si="411">ROUND(AB441,2)</f>
        <v>1792.28</v>
      </c>
      <c r="P441" s="11">
        <f t="shared" si="411"/>
        <v>1302.28</v>
      </c>
      <c r="Q441" s="11">
        <f t="shared" si="411"/>
        <v>0</v>
      </c>
      <c r="R441" s="11">
        <f t="shared" si="411"/>
        <v>0</v>
      </c>
      <c r="S441" s="11">
        <f t="shared" si="411"/>
        <v>490</v>
      </c>
      <c r="T441" s="11">
        <f t="shared" si="411"/>
        <v>0</v>
      </c>
      <c r="U441" s="11">
        <f>AH441</f>
        <v>38.822759999999995</v>
      </c>
      <c r="V441" s="11">
        <f>AI441</f>
        <v>0</v>
      </c>
      <c r="W441" s="11">
        <f>ROUND(AJ441,2)</f>
        <v>0</v>
      </c>
      <c r="X441" s="11">
        <f>ROUND(AK441,2)</f>
        <v>475.3</v>
      </c>
      <c r="Y441" s="11">
        <f>ROUND(AL441,2)</f>
        <v>249.9</v>
      </c>
      <c r="Z441" s="11"/>
      <c r="AA441" s="11"/>
      <c r="AB441" s="11">
        <f>ROUND(SUMIF(AA434:AA439,"=55915256",O434:O439),2)</f>
        <v>1792.28</v>
      </c>
      <c r="AC441" s="11">
        <f>ROUND(SUMIF(AA434:AA439,"=55915256",P434:P439),2)</f>
        <v>1302.28</v>
      </c>
      <c r="AD441" s="11">
        <f>ROUND(SUMIF(AA434:AA439,"=55915256",Q434:Q439),2)</f>
        <v>0</v>
      </c>
      <c r="AE441" s="11">
        <f>ROUND(SUMIF(AA434:AA439,"=55915256",R434:R439),2)</f>
        <v>0</v>
      </c>
      <c r="AF441" s="11">
        <f>ROUND(SUMIF(AA434:AA439,"=55915256",S434:S439),2)</f>
        <v>490</v>
      </c>
      <c r="AG441" s="11">
        <f>ROUND(SUMIF(AA434:AA439,"=55915256",T434:T439),2)</f>
        <v>0</v>
      </c>
      <c r="AH441" s="11">
        <f>SUMIF(AA434:AA439,"=55915256",U434:U439)</f>
        <v>38.822759999999995</v>
      </c>
      <c r="AI441" s="11">
        <f>SUMIF(AA434:AA439,"=55915256",V434:V439)</f>
        <v>0</v>
      </c>
      <c r="AJ441" s="11">
        <f>ROUND(SUMIF(AA434:AA439,"=55915256",W434:W439),2)</f>
        <v>0</v>
      </c>
      <c r="AK441" s="11">
        <f>ROUND(SUMIF(AA434:AA439,"=55915256",X434:X439),2)</f>
        <v>475.3</v>
      </c>
      <c r="AL441" s="11">
        <f>ROUND(SUMIF(AA434:AA439,"=55915256",Y434:Y439),2)</f>
        <v>249.9</v>
      </c>
      <c r="AM441" s="11"/>
      <c r="AN441" s="11"/>
      <c r="AO441" s="11">
        <f t="shared" ref="AO441:BD441" si="412">ROUND(BX441,2)</f>
        <v>0</v>
      </c>
      <c r="AP441" s="11">
        <f t="shared" si="412"/>
        <v>824.25</v>
      </c>
      <c r="AQ441" s="11">
        <f t="shared" si="412"/>
        <v>0</v>
      </c>
      <c r="AR441" s="11">
        <f t="shared" si="412"/>
        <v>2517.48</v>
      </c>
      <c r="AS441" s="11">
        <f t="shared" si="412"/>
        <v>0</v>
      </c>
      <c r="AT441" s="11">
        <f t="shared" si="412"/>
        <v>1693.23</v>
      </c>
      <c r="AU441" s="11">
        <f t="shared" si="412"/>
        <v>0</v>
      </c>
      <c r="AV441" s="11">
        <f t="shared" si="412"/>
        <v>1302.28</v>
      </c>
      <c r="AW441" s="11">
        <f t="shared" si="412"/>
        <v>478.03</v>
      </c>
      <c r="AX441" s="11">
        <f t="shared" si="412"/>
        <v>0</v>
      </c>
      <c r="AY441" s="11">
        <f t="shared" si="412"/>
        <v>478.03</v>
      </c>
      <c r="AZ441" s="11">
        <f t="shared" si="412"/>
        <v>824.25</v>
      </c>
      <c r="BA441" s="11">
        <f t="shared" si="412"/>
        <v>0</v>
      </c>
      <c r="BB441" s="11">
        <f t="shared" si="412"/>
        <v>0</v>
      </c>
      <c r="BC441" s="11">
        <f t="shared" si="412"/>
        <v>0</v>
      </c>
      <c r="BD441" s="11">
        <f t="shared" si="412"/>
        <v>0</v>
      </c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>
        <f>ROUND(SUMIF(AA434:AA439,"=55915256",FQ434:FQ439),2)</f>
        <v>0</v>
      </c>
      <c r="BY441" s="11">
        <f>ROUND(SUMIF(AA434:AA439,"=55915256",FR434:FR439),2)</f>
        <v>824.25</v>
      </c>
      <c r="BZ441" s="11">
        <f>ROUND(SUMIF(AA434:AA439,"=55915256",GL434:GL439),2)</f>
        <v>0</v>
      </c>
      <c r="CA441" s="11">
        <f>ROUND(SUMIF(AA434:AA439,"=55915256",GM434:GM439),2)</f>
        <v>2517.48</v>
      </c>
      <c r="CB441" s="11">
        <f>ROUND(SUMIF(AA434:AA439,"=55915256",GN434:GN439),2)</f>
        <v>0</v>
      </c>
      <c r="CC441" s="11">
        <f>ROUND(SUMIF(AA434:AA439,"=55915256",GO434:GO439),2)</f>
        <v>1693.23</v>
      </c>
      <c r="CD441" s="11">
        <f>ROUND(SUMIF(AA434:AA439,"=55915256",GP434:GP439),2)</f>
        <v>0</v>
      </c>
      <c r="CE441" s="11">
        <f>AC441-BX441</f>
        <v>1302.28</v>
      </c>
      <c r="CF441" s="11">
        <f>AC441-BY441</f>
        <v>478.03</v>
      </c>
      <c r="CG441" s="11">
        <f>BX441-BZ441</f>
        <v>0</v>
      </c>
      <c r="CH441" s="11">
        <f>AC441-BX441-BY441+BZ441</f>
        <v>478.03</v>
      </c>
      <c r="CI441" s="11">
        <f>BY441-BZ441</f>
        <v>824.25</v>
      </c>
      <c r="CJ441" s="11">
        <f>ROUND(SUMIF(AA434:AA439,"=55915256",GX434:GX439),2)</f>
        <v>0</v>
      </c>
      <c r="CK441" s="11">
        <f>ROUND(SUMIF(AA434:AA439,"=55915256",GY434:GY439),2)</f>
        <v>0</v>
      </c>
      <c r="CL441" s="11">
        <f>ROUND(SUMIF(AA434:AA439,"=55915256",GZ434:GZ439),2)</f>
        <v>0</v>
      </c>
      <c r="CM441" s="11">
        <f>ROUND(SUMIF(AA434:AA439,"=55915256",HD434:HD439),2)</f>
        <v>0</v>
      </c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  <c r="DC441" s="11"/>
      <c r="DD441" s="11"/>
      <c r="DE441" s="11"/>
      <c r="DF441" s="11"/>
      <c r="DG441" s="12">
        <f t="shared" ref="DG441:DL441" si="413">ROUND(DT441,2)</f>
        <v>38586.21</v>
      </c>
      <c r="DH441" s="12">
        <f t="shared" si="413"/>
        <v>10974.71</v>
      </c>
      <c r="DI441" s="12">
        <f t="shared" si="413"/>
        <v>0</v>
      </c>
      <c r="DJ441" s="12">
        <f t="shared" si="413"/>
        <v>0</v>
      </c>
      <c r="DK441" s="12">
        <f t="shared" si="413"/>
        <v>27611.5</v>
      </c>
      <c r="DL441" s="12">
        <f t="shared" si="413"/>
        <v>0</v>
      </c>
      <c r="DM441" s="12">
        <f>DZ441</f>
        <v>38.822759999999995</v>
      </c>
      <c r="DN441" s="12">
        <f>EA441</f>
        <v>0</v>
      </c>
      <c r="DO441" s="12">
        <f>ROUND(EB441,2)</f>
        <v>0</v>
      </c>
      <c r="DP441" s="12">
        <f>ROUND(EC441,2)</f>
        <v>26783.16</v>
      </c>
      <c r="DQ441" s="12">
        <f>ROUND(ED441,2)</f>
        <v>14081.87</v>
      </c>
      <c r="DR441" s="12"/>
      <c r="DS441" s="12"/>
      <c r="DT441" s="12">
        <f>ROUND(SUMIF(AA434:AA439,"=55915258",O434:O439),2)</f>
        <v>38586.21</v>
      </c>
      <c r="DU441" s="12">
        <f>ROUND(SUMIF(AA434:AA439,"=55915258",P434:P439),2)</f>
        <v>10974.71</v>
      </c>
      <c r="DV441" s="12">
        <f>ROUND(SUMIF(AA434:AA439,"=55915258",Q434:Q439),2)</f>
        <v>0</v>
      </c>
      <c r="DW441" s="12">
        <f>ROUND(SUMIF(AA434:AA439,"=55915258",R434:R439),2)</f>
        <v>0</v>
      </c>
      <c r="DX441" s="12">
        <f>ROUND(SUMIF(AA434:AA439,"=55915258",S434:S439),2)</f>
        <v>27611.5</v>
      </c>
      <c r="DY441" s="12">
        <f>ROUND(SUMIF(AA434:AA439,"=55915258",T434:T439),2)</f>
        <v>0</v>
      </c>
      <c r="DZ441" s="12">
        <f>SUMIF(AA434:AA439,"=55915258",U434:U439)</f>
        <v>38.822759999999995</v>
      </c>
      <c r="EA441" s="12">
        <f>SUMIF(AA434:AA439,"=55915258",V434:V439)</f>
        <v>0</v>
      </c>
      <c r="EB441" s="12">
        <f>ROUND(SUMIF(AA434:AA439,"=55915258",W434:W439),2)</f>
        <v>0</v>
      </c>
      <c r="EC441" s="12">
        <f>ROUND(SUMIF(AA434:AA439,"=55915258",X434:X439),2)</f>
        <v>26783.16</v>
      </c>
      <c r="ED441" s="12">
        <f>ROUND(SUMIF(AA434:AA439,"=55915258",Y434:Y439),2)</f>
        <v>14081.87</v>
      </c>
      <c r="EE441" s="12"/>
      <c r="EF441" s="12"/>
      <c r="EG441" s="12">
        <f t="shared" ref="EG441:EV441" si="414">ROUND(FP441,2)</f>
        <v>0</v>
      </c>
      <c r="EH441" s="12">
        <f t="shared" si="414"/>
        <v>8110.62</v>
      </c>
      <c r="EI441" s="12">
        <f t="shared" si="414"/>
        <v>0</v>
      </c>
      <c r="EJ441" s="12">
        <f t="shared" si="414"/>
        <v>79451.240000000005</v>
      </c>
      <c r="EK441" s="12">
        <f t="shared" si="414"/>
        <v>0</v>
      </c>
      <c r="EL441" s="12">
        <f t="shared" si="414"/>
        <v>71340.62</v>
      </c>
      <c r="EM441" s="12">
        <f t="shared" si="414"/>
        <v>0</v>
      </c>
      <c r="EN441" s="12">
        <f t="shared" si="414"/>
        <v>10974.71</v>
      </c>
      <c r="EO441" s="12">
        <f t="shared" si="414"/>
        <v>2864.09</v>
      </c>
      <c r="EP441" s="12">
        <f t="shared" si="414"/>
        <v>0</v>
      </c>
      <c r="EQ441" s="12">
        <f t="shared" si="414"/>
        <v>2864.09</v>
      </c>
      <c r="ER441" s="12">
        <f t="shared" si="414"/>
        <v>8110.62</v>
      </c>
      <c r="ES441" s="12">
        <f t="shared" si="414"/>
        <v>0</v>
      </c>
      <c r="ET441" s="12">
        <f t="shared" si="414"/>
        <v>0</v>
      </c>
      <c r="EU441" s="12">
        <f t="shared" si="414"/>
        <v>0</v>
      </c>
      <c r="EV441" s="12">
        <f t="shared" si="414"/>
        <v>0</v>
      </c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>
        <f>ROUND(SUMIF(AA434:AA439,"=55915258",FQ434:FQ439),2)</f>
        <v>0</v>
      </c>
      <c r="FQ441" s="12">
        <f>ROUND(SUMIF(AA434:AA439,"=55915258",FR434:FR439),2)</f>
        <v>8110.62</v>
      </c>
      <c r="FR441" s="12">
        <f>ROUND(SUMIF(AA434:AA439,"=55915258",GL434:GL439),2)</f>
        <v>0</v>
      </c>
      <c r="FS441" s="12">
        <f>ROUND(SUMIF(AA434:AA439,"=55915258",GM434:GM439),2)</f>
        <v>79451.240000000005</v>
      </c>
      <c r="FT441" s="12">
        <f>ROUND(SUMIF(AA434:AA439,"=55915258",GN434:GN439),2)</f>
        <v>0</v>
      </c>
      <c r="FU441" s="12">
        <f>ROUND(SUMIF(AA434:AA439,"=55915258",GO434:GO439),2)</f>
        <v>71340.62</v>
      </c>
      <c r="FV441" s="12">
        <f>ROUND(SUMIF(AA434:AA439,"=55915258",GP434:GP439),2)</f>
        <v>0</v>
      </c>
      <c r="FW441" s="12">
        <f>DU441-FP441</f>
        <v>10974.71</v>
      </c>
      <c r="FX441" s="12">
        <f>DU441-FQ441</f>
        <v>2864.0899999999992</v>
      </c>
      <c r="FY441" s="12">
        <f>FP441-FR441</f>
        <v>0</v>
      </c>
      <c r="FZ441" s="12">
        <f>DU441-FP441-FQ441+FR441</f>
        <v>2864.0899999999992</v>
      </c>
      <c r="GA441" s="12">
        <f>FQ441-FR441</f>
        <v>8110.62</v>
      </c>
      <c r="GB441" s="12">
        <f>ROUND(SUMIF(AA434:AA439,"=55915258",GX434:GX439),2)</f>
        <v>0</v>
      </c>
      <c r="GC441" s="12">
        <f>ROUND(SUMIF(AA434:AA439,"=55915258",GY434:GY439),2)</f>
        <v>0</v>
      </c>
      <c r="GD441" s="12">
        <f>ROUND(SUMIF(AA434:AA439,"=55915258",GZ434:GZ439),2)</f>
        <v>0</v>
      </c>
      <c r="GE441" s="12">
        <f>ROUND(SUMIF(AA434:AA439,"=55915258",HD434:HD439),2)</f>
        <v>0</v>
      </c>
      <c r="GF441" s="12"/>
      <c r="GG441" s="12"/>
      <c r="GH441" s="12"/>
      <c r="GI441" s="12"/>
      <c r="GJ441" s="12"/>
      <c r="GK441" s="12"/>
      <c r="GL441" s="12"/>
      <c r="GM441" s="12"/>
      <c r="GN441" s="12"/>
      <c r="GO441" s="12"/>
      <c r="GP441" s="12"/>
      <c r="GQ441" s="12"/>
      <c r="GR441" s="12"/>
      <c r="GS441" s="12"/>
      <c r="GT441" s="12"/>
      <c r="GU441" s="12"/>
      <c r="GV441" s="12"/>
      <c r="GW441" s="12"/>
      <c r="GX441" s="12">
        <v>0</v>
      </c>
    </row>
    <row r="443" spans="1:255" x14ac:dyDescent="0.2">
      <c r="A443" s="13">
        <v>50</v>
      </c>
      <c r="B443" s="13">
        <v>0</v>
      </c>
      <c r="C443" s="13">
        <v>0</v>
      </c>
      <c r="D443" s="13">
        <v>1</v>
      </c>
      <c r="E443" s="13">
        <v>201</v>
      </c>
      <c r="F443" s="13">
        <f>ROUND(Source!O441,O443)</f>
        <v>1792.28</v>
      </c>
      <c r="G443" s="13" t="s">
        <v>93</v>
      </c>
      <c r="H443" s="13" t="s">
        <v>94</v>
      </c>
      <c r="I443" s="13"/>
      <c r="J443" s="13"/>
      <c r="K443" s="13">
        <v>201</v>
      </c>
      <c r="L443" s="13">
        <v>1</v>
      </c>
      <c r="M443" s="13">
        <v>3</v>
      </c>
      <c r="N443" s="13" t="s">
        <v>3</v>
      </c>
      <c r="O443" s="13">
        <v>2</v>
      </c>
      <c r="P443" s="13">
        <f>ROUND(Source!DG441,O443)</f>
        <v>38586.21</v>
      </c>
      <c r="Q443" s="13"/>
      <c r="R443" s="13"/>
      <c r="S443" s="13"/>
      <c r="T443" s="13"/>
      <c r="U443" s="13"/>
      <c r="V443" s="13"/>
      <c r="W443" s="13">
        <v>1792.28</v>
      </c>
      <c r="X443" s="13">
        <v>1</v>
      </c>
      <c r="Y443" s="13">
        <v>1792.28</v>
      </c>
      <c r="Z443" s="13">
        <v>38586.21</v>
      </c>
      <c r="AA443" s="13">
        <v>1</v>
      </c>
      <c r="AB443" s="13">
        <v>38586.21</v>
      </c>
    </row>
    <row r="444" spans="1:255" x14ac:dyDescent="0.2">
      <c r="A444" s="13">
        <v>50</v>
      </c>
      <c r="B444" s="13">
        <v>0</v>
      </c>
      <c r="C444" s="13">
        <v>0</v>
      </c>
      <c r="D444" s="13">
        <v>1</v>
      </c>
      <c r="E444" s="13">
        <v>202</v>
      </c>
      <c r="F444" s="13">
        <f>ROUND(Source!P441,O444)</f>
        <v>1302.28</v>
      </c>
      <c r="G444" s="13" t="s">
        <v>95</v>
      </c>
      <c r="H444" s="13" t="s">
        <v>96</v>
      </c>
      <c r="I444" s="13"/>
      <c r="J444" s="13"/>
      <c r="K444" s="13">
        <v>202</v>
      </c>
      <c r="L444" s="13">
        <v>2</v>
      </c>
      <c r="M444" s="13">
        <v>3</v>
      </c>
      <c r="N444" s="13" t="s">
        <v>3</v>
      </c>
      <c r="O444" s="13">
        <v>2</v>
      </c>
      <c r="P444" s="13">
        <f>ROUND(Source!DH441,O444)</f>
        <v>10974.71</v>
      </c>
      <c r="Q444" s="13"/>
      <c r="R444" s="13"/>
      <c r="S444" s="13"/>
      <c r="T444" s="13"/>
      <c r="U444" s="13"/>
      <c r="V444" s="13"/>
      <c r="W444" s="13">
        <v>1302.28</v>
      </c>
      <c r="X444" s="13">
        <v>1</v>
      </c>
      <c r="Y444" s="13">
        <v>1302.28</v>
      </c>
      <c r="Z444" s="13">
        <v>10974.71</v>
      </c>
      <c r="AA444" s="13">
        <v>1</v>
      </c>
      <c r="AB444" s="13">
        <v>10974.71</v>
      </c>
    </row>
    <row r="445" spans="1:255" x14ac:dyDescent="0.2">
      <c r="A445" s="13">
        <v>50</v>
      </c>
      <c r="B445" s="13">
        <v>0</v>
      </c>
      <c r="C445" s="13">
        <v>0</v>
      </c>
      <c r="D445" s="13">
        <v>1</v>
      </c>
      <c r="E445" s="13">
        <v>222</v>
      </c>
      <c r="F445" s="13">
        <f>ROUND(Source!AO441,O445)</f>
        <v>0</v>
      </c>
      <c r="G445" s="13" t="s">
        <v>97</v>
      </c>
      <c r="H445" s="13" t="s">
        <v>98</v>
      </c>
      <c r="I445" s="13"/>
      <c r="J445" s="13"/>
      <c r="K445" s="13">
        <v>222</v>
      </c>
      <c r="L445" s="13">
        <v>3</v>
      </c>
      <c r="M445" s="13">
        <v>3</v>
      </c>
      <c r="N445" s="13" t="s">
        <v>3</v>
      </c>
      <c r="O445" s="13">
        <v>2</v>
      </c>
      <c r="P445" s="13">
        <f>ROUND(Source!EG441,O445)</f>
        <v>0</v>
      </c>
      <c r="Q445" s="13"/>
      <c r="R445" s="13"/>
      <c r="S445" s="13"/>
      <c r="T445" s="13"/>
      <c r="U445" s="13"/>
      <c r="V445" s="13"/>
      <c r="W445" s="13">
        <v>0</v>
      </c>
      <c r="X445" s="13">
        <v>1</v>
      </c>
      <c r="Y445" s="13">
        <v>0</v>
      </c>
      <c r="Z445" s="13">
        <v>0</v>
      </c>
      <c r="AA445" s="13">
        <v>1</v>
      </c>
      <c r="AB445" s="13">
        <v>0</v>
      </c>
    </row>
    <row r="446" spans="1:255" x14ac:dyDescent="0.2">
      <c r="A446" s="13">
        <v>50</v>
      </c>
      <c r="B446" s="13">
        <v>0</v>
      </c>
      <c r="C446" s="13">
        <v>0</v>
      </c>
      <c r="D446" s="13">
        <v>1</v>
      </c>
      <c r="E446" s="13">
        <v>225</v>
      </c>
      <c r="F446" s="13">
        <f>ROUND(Source!AV441,O446)</f>
        <v>1302.28</v>
      </c>
      <c r="G446" s="13" t="s">
        <v>99</v>
      </c>
      <c r="H446" s="13" t="s">
        <v>100</v>
      </c>
      <c r="I446" s="13"/>
      <c r="J446" s="13"/>
      <c r="K446" s="13">
        <v>225</v>
      </c>
      <c r="L446" s="13">
        <v>4</v>
      </c>
      <c r="M446" s="13">
        <v>3</v>
      </c>
      <c r="N446" s="13" t="s">
        <v>3</v>
      </c>
      <c r="O446" s="13">
        <v>2</v>
      </c>
      <c r="P446" s="13">
        <f>ROUND(Source!EN441,O446)</f>
        <v>10974.71</v>
      </c>
      <c r="Q446" s="13"/>
      <c r="R446" s="13"/>
      <c r="S446" s="13"/>
      <c r="T446" s="13"/>
      <c r="U446" s="13"/>
      <c r="V446" s="13"/>
      <c r="W446" s="13">
        <v>1302.28</v>
      </c>
      <c r="X446" s="13">
        <v>1</v>
      </c>
      <c r="Y446" s="13">
        <v>1302.28</v>
      </c>
      <c r="Z446" s="13">
        <v>10974.71</v>
      </c>
      <c r="AA446" s="13">
        <v>1</v>
      </c>
      <c r="AB446" s="13">
        <v>10974.71</v>
      </c>
    </row>
    <row r="447" spans="1:255" x14ac:dyDescent="0.2">
      <c r="A447" s="13">
        <v>50</v>
      </c>
      <c r="B447" s="13">
        <v>0</v>
      </c>
      <c r="C447" s="13">
        <v>0</v>
      </c>
      <c r="D447" s="13">
        <v>1</v>
      </c>
      <c r="E447" s="13">
        <v>226</v>
      </c>
      <c r="F447" s="13">
        <f>ROUND(Source!AW441,O447)</f>
        <v>478.03</v>
      </c>
      <c r="G447" s="13" t="s">
        <v>101</v>
      </c>
      <c r="H447" s="13" t="s">
        <v>102</v>
      </c>
      <c r="I447" s="13"/>
      <c r="J447" s="13"/>
      <c r="K447" s="13">
        <v>226</v>
      </c>
      <c r="L447" s="13">
        <v>5</v>
      </c>
      <c r="M447" s="13">
        <v>3</v>
      </c>
      <c r="N447" s="13" t="s">
        <v>3</v>
      </c>
      <c r="O447" s="13">
        <v>2</v>
      </c>
      <c r="P447" s="13">
        <f>ROUND(Source!EO441,O447)</f>
        <v>2864.09</v>
      </c>
      <c r="Q447" s="13"/>
      <c r="R447" s="13"/>
      <c r="S447" s="13"/>
      <c r="T447" s="13"/>
      <c r="U447" s="13"/>
      <c r="V447" s="13"/>
      <c r="W447" s="13">
        <v>478.03</v>
      </c>
      <c r="X447" s="13">
        <v>1</v>
      </c>
      <c r="Y447" s="13">
        <v>478.03</v>
      </c>
      <c r="Z447" s="13">
        <v>2864.09</v>
      </c>
      <c r="AA447" s="13">
        <v>1</v>
      </c>
      <c r="AB447" s="13">
        <v>2864.09</v>
      </c>
    </row>
    <row r="448" spans="1:255" x14ac:dyDescent="0.2">
      <c r="A448" s="13">
        <v>50</v>
      </c>
      <c r="B448" s="13">
        <v>0</v>
      </c>
      <c r="C448" s="13">
        <v>0</v>
      </c>
      <c r="D448" s="13">
        <v>1</v>
      </c>
      <c r="E448" s="13">
        <v>227</v>
      </c>
      <c r="F448" s="13">
        <f>ROUND(Source!AX441,O448)</f>
        <v>0</v>
      </c>
      <c r="G448" s="13" t="s">
        <v>103</v>
      </c>
      <c r="H448" s="13" t="s">
        <v>104</v>
      </c>
      <c r="I448" s="13"/>
      <c r="J448" s="13"/>
      <c r="K448" s="13">
        <v>227</v>
      </c>
      <c r="L448" s="13">
        <v>6</v>
      </c>
      <c r="M448" s="13">
        <v>3</v>
      </c>
      <c r="N448" s="13" t="s">
        <v>3</v>
      </c>
      <c r="O448" s="13">
        <v>2</v>
      </c>
      <c r="P448" s="13">
        <f>ROUND(Source!EP441,O448)</f>
        <v>0</v>
      </c>
      <c r="Q448" s="13"/>
      <c r="R448" s="13"/>
      <c r="S448" s="13"/>
      <c r="T448" s="13"/>
      <c r="U448" s="13"/>
      <c r="V448" s="13"/>
      <c r="W448" s="13">
        <v>0</v>
      </c>
      <c r="X448" s="13">
        <v>1</v>
      </c>
      <c r="Y448" s="13">
        <v>0</v>
      </c>
      <c r="Z448" s="13">
        <v>0</v>
      </c>
      <c r="AA448" s="13">
        <v>1</v>
      </c>
      <c r="AB448" s="13">
        <v>0</v>
      </c>
    </row>
    <row r="449" spans="1:28" x14ac:dyDescent="0.2">
      <c r="A449" s="13">
        <v>50</v>
      </c>
      <c r="B449" s="13">
        <v>0</v>
      </c>
      <c r="C449" s="13">
        <v>0</v>
      </c>
      <c r="D449" s="13">
        <v>1</v>
      </c>
      <c r="E449" s="13">
        <v>228</v>
      </c>
      <c r="F449" s="13">
        <f>ROUND(Source!AY441,O449)</f>
        <v>478.03</v>
      </c>
      <c r="G449" s="13" t="s">
        <v>105</v>
      </c>
      <c r="H449" s="13" t="s">
        <v>106</v>
      </c>
      <c r="I449" s="13"/>
      <c r="J449" s="13"/>
      <c r="K449" s="13">
        <v>228</v>
      </c>
      <c r="L449" s="13">
        <v>7</v>
      </c>
      <c r="M449" s="13">
        <v>3</v>
      </c>
      <c r="N449" s="13" t="s">
        <v>3</v>
      </c>
      <c r="O449" s="13">
        <v>2</v>
      </c>
      <c r="P449" s="13">
        <f>ROUND(Source!EQ441,O449)</f>
        <v>2864.09</v>
      </c>
      <c r="Q449" s="13"/>
      <c r="R449" s="13"/>
      <c r="S449" s="13"/>
      <c r="T449" s="13"/>
      <c r="U449" s="13"/>
      <c r="V449" s="13"/>
      <c r="W449" s="13">
        <v>478.03</v>
      </c>
      <c r="X449" s="13">
        <v>1</v>
      </c>
      <c r="Y449" s="13">
        <v>478.03</v>
      </c>
      <c r="Z449" s="13">
        <v>2864.09</v>
      </c>
      <c r="AA449" s="13">
        <v>1</v>
      </c>
      <c r="AB449" s="13">
        <v>2864.09</v>
      </c>
    </row>
    <row r="450" spans="1:28" x14ac:dyDescent="0.2">
      <c r="A450" s="13">
        <v>50</v>
      </c>
      <c r="B450" s="13">
        <v>0</v>
      </c>
      <c r="C450" s="13">
        <v>0</v>
      </c>
      <c r="D450" s="13">
        <v>1</v>
      </c>
      <c r="E450" s="13">
        <v>216</v>
      </c>
      <c r="F450" s="13">
        <f>ROUND(Source!AP441,O450)</f>
        <v>824.25</v>
      </c>
      <c r="G450" s="13" t="s">
        <v>107</v>
      </c>
      <c r="H450" s="13" t="s">
        <v>108</v>
      </c>
      <c r="I450" s="13"/>
      <c r="J450" s="13"/>
      <c r="K450" s="13">
        <v>216</v>
      </c>
      <c r="L450" s="13">
        <v>8</v>
      </c>
      <c r="M450" s="13">
        <v>3</v>
      </c>
      <c r="N450" s="13" t="s">
        <v>3</v>
      </c>
      <c r="O450" s="13">
        <v>2</v>
      </c>
      <c r="P450" s="13">
        <f>ROUND(Source!EH441,O450)</f>
        <v>8110.62</v>
      </c>
      <c r="Q450" s="13"/>
      <c r="R450" s="13"/>
      <c r="S450" s="13"/>
      <c r="T450" s="13"/>
      <c r="U450" s="13"/>
      <c r="V450" s="13"/>
      <c r="W450" s="13">
        <v>824.25</v>
      </c>
      <c r="X450" s="13">
        <v>1</v>
      </c>
      <c r="Y450" s="13">
        <v>824.25</v>
      </c>
      <c r="Z450" s="13">
        <v>8110.62</v>
      </c>
      <c r="AA450" s="13">
        <v>1</v>
      </c>
      <c r="AB450" s="13">
        <v>8110.62</v>
      </c>
    </row>
    <row r="451" spans="1:28" x14ac:dyDescent="0.2">
      <c r="A451" s="13">
        <v>50</v>
      </c>
      <c r="B451" s="13">
        <v>0</v>
      </c>
      <c r="C451" s="13">
        <v>0</v>
      </c>
      <c r="D451" s="13">
        <v>1</v>
      </c>
      <c r="E451" s="13">
        <v>223</v>
      </c>
      <c r="F451" s="13">
        <f>ROUND(Source!AQ441,O451)</f>
        <v>0</v>
      </c>
      <c r="G451" s="13" t="s">
        <v>109</v>
      </c>
      <c r="H451" s="13" t="s">
        <v>110</v>
      </c>
      <c r="I451" s="13"/>
      <c r="J451" s="13"/>
      <c r="K451" s="13">
        <v>223</v>
      </c>
      <c r="L451" s="13">
        <v>9</v>
      </c>
      <c r="M451" s="13">
        <v>3</v>
      </c>
      <c r="N451" s="13" t="s">
        <v>3</v>
      </c>
      <c r="O451" s="13">
        <v>2</v>
      </c>
      <c r="P451" s="13">
        <f>ROUND(Source!EI441,O451)</f>
        <v>0</v>
      </c>
      <c r="Q451" s="13"/>
      <c r="R451" s="13"/>
      <c r="S451" s="13"/>
      <c r="T451" s="13"/>
      <c r="U451" s="13"/>
      <c r="V451" s="13"/>
      <c r="W451" s="13">
        <v>0</v>
      </c>
      <c r="X451" s="13">
        <v>1</v>
      </c>
      <c r="Y451" s="13">
        <v>0</v>
      </c>
      <c r="Z451" s="13">
        <v>0</v>
      </c>
      <c r="AA451" s="13">
        <v>1</v>
      </c>
      <c r="AB451" s="13">
        <v>0</v>
      </c>
    </row>
    <row r="452" spans="1:28" x14ac:dyDescent="0.2">
      <c r="A452" s="13">
        <v>50</v>
      </c>
      <c r="B452" s="13">
        <v>0</v>
      </c>
      <c r="C452" s="13">
        <v>0</v>
      </c>
      <c r="D452" s="13">
        <v>1</v>
      </c>
      <c r="E452" s="13">
        <v>229</v>
      </c>
      <c r="F452" s="13">
        <f>ROUND(Source!AZ441,O452)</f>
        <v>824.25</v>
      </c>
      <c r="G452" s="13" t="s">
        <v>111</v>
      </c>
      <c r="H452" s="13" t="s">
        <v>112</v>
      </c>
      <c r="I452" s="13"/>
      <c r="J452" s="13"/>
      <c r="K452" s="13">
        <v>229</v>
      </c>
      <c r="L452" s="13">
        <v>10</v>
      </c>
      <c r="M452" s="13">
        <v>3</v>
      </c>
      <c r="N452" s="13" t="s">
        <v>3</v>
      </c>
      <c r="O452" s="13">
        <v>2</v>
      </c>
      <c r="P452" s="13">
        <f>ROUND(Source!ER441,O452)</f>
        <v>8110.62</v>
      </c>
      <c r="Q452" s="13"/>
      <c r="R452" s="13"/>
      <c r="S452" s="13"/>
      <c r="T452" s="13"/>
      <c r="U452" s="13"/>
      <c r="V452" s="13"/>
      <c r="W452" s="13">
        <v>824.25</v>
      </c>
      <c r="X452" s="13">
        <v>1</v>
      </c>
      <c r="Y452" s="13">
        <v>824.25</v>
      </c>
      <c r="Z452" s="13">
        <v>8110.62</v>
      </c>
      <c r="AA452" s="13">
        <v>1</v>
      </c>
      <c r="AB452" s="13">
        <v>8110.62</v>
      </c>
    </row>
    <row r="453" spans="1:28" x14ac:dyDescent="0.2">
      <c r="A453" s="13">
        <v>50</v>
      </c>
      <c r="B453" s="13">
        <v>0</v>
      </c>
      <c r="C453" s="13">
        <v>0</v>
      </c>
      <c r="D453" s="13">
        <v>1</v>
      </c>
      <c r="E453" s="13">
        <v>203</v>
      </c>
      <c r="F453" s="13">
        <f>ROUND(Source!Q441,O453)</f>
        <v>0</v>
      </c>
      <c r="G453" s="13" t="s">
        <v>113</v>
      </c>
      <c r="H453" s="13" t="s">
        <v>114</v>
      </c>
      <c r="I453" s="13"/>
      <c r="J453" s="13"/>
      <c r="K453" s="13">
        <v>203</v>
      </c>
      <c r="L453" s="13">
        <v>11</v>
      </c>
      <c r="M453" s="13">
        <v>3</v>
      </c>
      <c r="N453" s="13" t="s">
        <v>3</v>
      </c>
      <c r="O453" s="13">
        <v>2</v>
      </c>
      <c r="P453" s="13">
        <f>ROUND(Source!DI441,O453)</f>
        <v>0</v>
      </c>
      <c r="Q453" s="13"/>
      <c r="R453" s="13"/>
      <c r="S453" s="13"/>
      <c r="T453" s="13"/>
      <c r="U453" s="13"/>
      <c r="V453" s="13"/>
      <c r="W453" s="13">
        <v>0</v>
      </c>
      <c r="X453" s="13">
        <v>1</v>
      </c>
      <c r="Y453" s="13">
        <v>0</v>
      </c>
      <c r="Z453" s="13">
        <v>0</v>
      </c>
      <c r="AA453" s="13">
        <v>1</v>
      </c>
      <c r="AB453" s="13">
        <v>0</v>
      </c>
    </row>
    <row r="454" spans="1:28" x14ac:dyDescent="0.2">
      <c r="A454" s="13">
        <v>50</v>
      </c>
      <c r="B454" s="13">
        <v>0</v>
      </c>
      <c r="C454" s="13">
        <v>0</v>
      </c>
      <c r="D454" s="13">
        <v>1</v>
      </c>
      <c r="E454" s="13">
        <v>231</v>
      </c>
      <c r="F454" s="13">
        <f>ROUND(Source!BB441,O454)</f>
        <v>0</v>
      </c>
      <c r="G454" s="13" t="s">
        <v>115</v>
      </c>
      <c r="H454" s="13" t="s">
        <v>116</v>
      </c>
      <c r="I454" s="13"/>
      <c r="J454" s="13"/>
      <c r="K454" s="13">
        <v>231</v>
      </c>
      <c r="L454" s="13">
        <v>12</v>
      </c>
      <c r="M454" s="13">
        <v>3</v>
      </c>
      <c r="N454" s="13" t="s">
        <v>3</v>
      </c>
      <c r="O454" s="13">
        <v>2</v>
      </c>
      <c r="P454" s="13">
        <f>ROUND(Source!ET441,O454)</f>
        <v>0</v>
      </c>
      <c r="Q454" s="13"/>
      <c r="R454" s="13"/>
      <c r="S454" s="13"/>
      <c r="T454" s="13"/>
      <c r="U454" s="13"/>
      <c r="V454" s="13"/>
      <c r="W454" s="13">
        <v>0</v>
      </c>
      <c r="X454" s="13">
        <v>1</v>
      </c>
      <c r="Y454" s="13">
        <v>0</v>
      </c>
      <c r="Z454" s="13">
        <v>0</v>
      </c>
      <c r="AA454" s="13">
        <v>1</v>
      </c>
      <c r="AB454" s="13">
        <v>0</v>
      </c>
    </row>
    <row r="455" spans="1:28" x14ac:dyDescent="0.2">
      <c r="A455" s="13">
        <v>50</v>
      </c>
      <c r="B455" s="13">
        <v>0</v>
      </c>
      <c r="C455" s="13">
        <v>0</v>
      </c>
      <c r="D455" s="13">
        <v>1</v>
      </c>
      <c r="E455" s="13">
        <v>204</v>
      </c>
      <c r="F455" s="13">
        <f>ROUND(Source!R441,O455)</f>
        <v>0</v>
      </c>
      <c r="G455" s="13" t="s">
        <v>117</v>
      </c>
      <c r="H455" s="13" t="s">
        <v>118</v>
      </c>
      <c r="I455" s="13"/>
      <c r="J455" s="13"/>
      <c r="K455" s="13">
        <v>204</v>
      </c>
      <c r="L455" s="13">
        <v>13</v>
      </c>
      <c r="M455" s="13">
        <v>3</v>
      </c>
      <c r="N455" s="13" t="s">
        <v>3</v>
      </c>
      <c r="O455" s="13">
        <v>2</v>
      </c>
      <c r="P455" s="13">
        <f>ROUND(Source!DJ441,O455)</f>
        <v>0</v>
      </c>
      <c r="Q455" s="13"/>
      <c r="R455" s="13"/>
      <c r="S455" s="13"/>
      <c r="T455" s="13"/>
      <c r="U455" s="13"/>
      <c r="V455" s="13"/>
      <c r="W455" s="13">
        <v>0</v>
      </c>
      <c r="X455" s="13">
        <v>1</v>
      </c>
      <c r="Y455" s="13">
        <v>0</v>
      </c>
      <c r="Z455" s="13">
        <v>0</v>
      </c>
      <c r="AA455" s="13">
        <v>1</v>
      </c>
      <c r="AB455" s="13">
        <v>0</v>
      </c>
    </row>
    <row r="456" spans="1:28" x14ac:dyDescent="0.2">
      <c r="A456" s="13">
        <v>50</v>
      </c>
      <c r="B456" s="13">
        <v>0</v>
      </c>
      <c r="C456" s="13">
        <v>0</v>
      </c>
      <c r="D456" s="13">
        <v>1</v>
      </c>
      <c r="E456" s="13">
        <v>205</v>
      </c>
      <c r="F456" s="13">
        <f>ROUND(Source!S441,O456)</f>
        <v>490</v>
      </c>
      <c r="G456" s="13" t="s">
        <v>119</v>
      </c>
      <c r="H456" s="13" t="s">
        <v>120</v>
      </c>
      <c r="I456" s="13"/>
      <c r="J456" s="13"/>
      <c r="K456" s="13">
        <v>205</v>
      </c>
      <c r="L456" s="13">
        <v>14</v>
      </c>
      <c r="M456" s="13">
        <v>3</v>
      </c>
      <c r="N456" s="13" t="s">
        <v>3</v>
      </c>
      <c r="O456" s="13">
        <v>2</v>
      </c>
      <c r="P456" s="13">
        <f>ROUND(Source!DK441,O456)</f>
        <v>27611.5</v>
      </c>
      <c r="Q456" s="13"/>
      <c r="R456" s="13"/>
      <c r="S456" s="13"/>
      <c r="T456" s="13"/>
      <c r="U456" s="13"/>
      <c r="V456" s="13"/>
      <c r="W456" s="13">
        <v>490</v>
      </c>
      <c r="X456" s="13">
        <v>1</v>
      </c>
      <c r="Y456" s="13">
        <v>490</v>
      </c>
      <c r="Z456" s="13">
        <v>27611.5</v>
      </c>
      <c r="AA456" s="13">
        <v>1</v>
      </c>
      <c r="AB456" s="13">
        <v>27611.5</v>
      </c>
    </row>
    <row r="457" spans="1:28" x14ac:dyDescent="0.2">
      <c r="A457" s="13">
        <v>50</v>
      </c>
      <c r="B457" s="13">
        <v>0</v>
      </c>
      <c r="C457" s="13">
        <v>0</v>
      </c>
      <c r="D457" s="13">
        <v>1</v>
      </c>
      <c r="E457" s="13">
        <v>232</v>
      </c>
      <c r="F457" s="13">
        <f>ROUND(Source!BC441,O457)</f>
        <v>0</v>
      </c>
      <c r="G457" s="13" t="s">
        <v>121</v>
      </c>
      <c r="H457" s="13" t="s">
        <v>122</v>
      </c>
      <c r="I457" s="13"/>
      <c r="J457" s="13"/>
      <c r="K457" s="13">
        <v>232</v>
      </c>
      <c r="L457" s="13">
        <v>15</v>
      </c>
      <c r="M457" s="13">
        <v>3</v>
      </c>
      <c r="N457" s="13" t="s">
        <v>3</v>
      </c>
      <c r="O457" s="13">
        <v>2</v>
      </c>
      <c r="P457" s="13">
        <f>ROUND(Source!EU441,O457)</f>
        <v>0</v>
      </c>
      <c r="Q457" s="13"/>
      <c r="R457" s="13"/>
      <c r="S457" s="13"/>
      <c r="T457" s="13"/>
      <c r="U457" s="13"/>
      <c r="V457" s="13"/>
      <c r="W457" s="13">
        <v>0</v>
      </c>
      <c r="X457" s="13">
        <v>1</v>
      </c>
      <c r="Y457" s="13">
        <v>0</v>
      </c>
      <c r="Z457" s="13">
        <v>0</v>
      </c>
      <c r="AA457" s="13">
        <v>1</v>
      </c>
      <c r="AB457" s="13">
        <v>0</v>
      </c>
    </row>
    <row r="458" spans="1:28" x14ac:dyDescent="0.2">
      <c r="A458" s="13">
        <v>50</v>
      </c>
      <c r="B458" s="13">
        <v>0</v>
      </c>
      <c r="C458" s="13">
        <v>0</v>
      </c>
      <c r="D458" s="13">
        <v>1</v>
      </c>
      <c r="E458" s="13">
        <v>214</v>
      </c>
      <c r="F458" s="13">
        <f>ROUND(Source!AS441,O458)</f>
        <v>0</v>
      </c>
      <c r="G458" s="13" t="s">
        <v>123</v>
      </c>
      <c r="H458" s="13" t="s">
        <v>124</v>
      </c>
      <c r="I458" s="13"/>
      <c r="J458" s="13"/>
      <c r="K458" s="13">
        <v>214</v>
      </c>
      <c r="L458" s="13">
        <v>16</v>
      </c>
      <c r="M458" s="13">
        <v>3</v>
      </c>
      <c r="N458" s="13" t="s">
        <v>3</v>
      </c>
      <c r="O458" s="13">
        <v>2</v>
      </c>
      <c r="P458" s="13">
        <f>ROUND(Source!EK441,O458)</f>
        <v>0</v>
      </c>
      <c r="Q458" s="13"/>
      <c r="R458" s="13"/>
      <c r="S458" s="13"/>
      <c r="T458" s="13"/>
      <c r="U458" s="13"/>
      <c r="V458" s="13"/>
      <c r="W458" s="13">
        <v>0</v>
      </c>
      <c r="X458" s="13">
        <v>1</v>
      </c>
      <c r="Y458" s="13">
        <v>0</v>
      </c>
      <c r="Z458" s="13">
        <v>0</v>
      </c>
      <c r="AA458" s="13">
        <v>1</v>
      </c>
      <c r="AB458" s="13">
        <v>0</v>
      </c>
    </row>
    <row r="459" spans="1:28" x14ac:dyDescent="0.2">
      <c r="A459" s="13">
        <v>50</v>
      </c>
      <c r="B459" s="13">
        <v>0</v>
      </c>
      <c r="C459" s="13">
        <v>0</v>
      </c>
      <c r="D459" s="13">
        <v>1</v>
      </c>
      <c r="E459" s="13">
        <v>215</v>
      </c>
      <c r="F459" s="13">
        <f>ROUND(Source!AT441,O459)</f>
        <v>1693.23</v>
      </c>
      <c r="G459" s="13" t="s">
        <v>125</v>
      </c>
      <c r="H459" s="13" t="s">
        <v>126</v>
      </c>
      <c r="I459" s="13"/>
      <c r="J459" s="13"/>
      <c r="K459" s="13">
        <v>215</v>
      </c>
      <c r="L459" s="13">
        <v>17</v>
      </c>
      <c r="M459" s="13">
        <v>3</v>
      </c>
      <c r="N459" s="13" t="s">
        <v>3</v>
      </c>
      <c r="O459" s="13">
        <v>2</v>
      </c>
      <c r="P459" s="13">
        <f>ROUND(Source!EL441,O459)</f>
        <v>71340.62</v>
      </c>
      <c r="Q459" s="13"/>
      <c r="R459" s="13"/>
      <c r="S459" s="13"/>
      <c r="T459" s="13"/>
      <c r="U459" s="13"/>
      <c r="V459" s="13"/>
      <c r="W459" s="13">
        <v>1693.23</v>
      </c>
      <c r="X459" s="13">
        <v>1</v>
      </c>
      <c r="Y459" s="13">
        <v>1693.23</v>
      </c>
      <c r="Z459" s="13">
        <v>71340.62</v>
      </c>
      <c r="AA459" s="13">
        <v>1</v>
      </c>
      <c r="AB459" s="13">
        <v>71340.62</v>
      </c>
    </row>
    <row r="460" spans="1:28" x14ac:dyDescent="0.2">
      <c r="A460" s="13">
        <v>50</v>
      </c>
      <c r="B460" s="13">
        <v>0</v>
      </c>
      <c r="C460" s="13">
        <v>0</v>
      </c>
      <c r="D460" s="13">
        <v>1</v>
      </c>
      <c r="E460" s="13">
        <v>217</v>
      </c>
      <c r="F460" s="13">
        <f>ROUND(Source!AU441,O460)</f>
        <v>0</v>
      </c>
      <c r="G460" s="13" t="s">
        <v>127</v>
      </c>
      <c r="H460" s="13" t="s">
        <v>128</v>
      </c>
      <c r="I460" s="13"/>
      <c r="J460" s="13"/>
      <c r="K460" s="13">
        <v>217</v>
      </c>
      <c r="L460" s="13">
        <v>18</v>
      </c>
      <c r="M460" s="13">
        <v>3</v>
      </c>
      <c r="N460" s="13" t="s">
        <v>3</v>
      </c>
      <c r="O460" s="13">
        <v>2</v>
      </c>
      <c r="P460" s="13">
        <f>ROUND(Source!EM441,O460)</f>
        <v>0</v>
      </c>
      <c r="Q460" s="13"/>
      <c r="R460" s="13"/>
      <c r="S460" s="13"/>
      <c r="T460" s="13"/>
      <c r="U460" s="13"/>
      <c r="V460" s="13"/>
      <c r="W460" s="13">
        <v>0</v>
      </c>
      <c r="X460" s="13">
        <v>1</v>
      </c>
      <c r="Y460" s="13">
        <v>0</v>
      </c>
      <c r="Z460" s="13">
        <v>0</v>
      </c>
      <c r="AA460" s="13">
        <v>1</v>
      </c>
      <c r="AB460" s="13">
        <v>0</v>
      </c>
    </row>
    <row r="461" spans="1:28" x14ac:dyDescent="0.2">
      <c r="A461" s="13">
        <v>50</v>
      </c>
      <c r="B461" s="13">
        <v>0</v>
      </c>
      <c r="C461" s="13">
        <v>0</v>
      </c>
      <c r="D461" s="13">
        <v>1</v>
      </c>
      <c r="E461" s="13">
        <v>230</v>
      </c>
      <c r="F461" s="13">
        <f>ROUND(Source!BA441,O461)</f>
        <v>0</v>
      </c>
      <c r="G461" s="13" t="s">
        <v>129</v>
      </c>
      <c r="H461" s="13" t="s">
        <v>130</v>
      </c>
      <c r="I461" s="13"/>
      <c r="J461" s="13"/>
      <c r="K461" s="13">
        <v>230</v>
      </c>
      <c r="L461" s="13">
        <v>19</v>
      </c>
      <c r="M461" s="13">
        <v>3</v>
      </c>
      <c r="N461" s="13" t="s">
        <v>3</v>
      </c>
      <c r="O461" s="13">
        <v>2</v>
      </c>
      <c r="P461" s="13">
        <f>ROUND(Source!ES441,O461)</f>
        <v>0</v>
      </c>
      <c r="Q461" s="13"/>
      <c r="R461" s="13"/>
      <c r="S461" s="13"/>
      <c r="T461" s="13"/>
      <c r="U461" s="13"/>
      <c r="V461" s="13"/>
      <c r="W461" s="13">
        <v>0</v>
      </c>
      <c r="X461" s="13">
        <v>1</v>
      </c>
      <c r="Y461" s="13">
        <v>0</v>
      </c>
      <c r="Z461" s="13">
        <v>0</v>
      </c>
      <c r="AA461" s="13">
        <v>1</v>
      </c>
      <c r="AB461" s="13">
        <v>0</v>
      </c>
    </row>
    <row r="462" spans="1:28" x14ac:dyDescent="0.2">
      <c r="A462" s="13">
        <v>50</v>
      </c>
      <c r="B462" s="13">
        <v>0</v>
      </c>
      <c r="C462" s="13">
        <v>0</v>
      </c>
      <c r="D462" s="13">
        <v>1</v>
      </c>
      <c r="E462" s="13">
        <v>206</v>
      </c>
      <c r="F462" s="13">
        <f>ROUND(Source!T441,O462)</f>
        <v>0</v>
      </c>
      <c r="G462" s="13" t="s">
        <v>131</v>
      </c>
      <c r="H462" s="13" t="s">
        <v>132</v>
      </c>
      <c r="I462" s="13"/>
      <c r="J462" s="13"/>
      <c r="K462" s="13">
        <v>206</v>
      </c>
      <c r="L462" s="13">
        <v>20</v>
      </c>
      <c r="M462" s="13">
        <v>3</v>
      </c>
      <c r="N462" s="13" t="s">
        <v>3</v>
      </c>
      <c r="O462" s="13">
        <v>2</v>
      </c>
      <c r="P462" s="13">
        <f>ROUND(Source!DL441,O462)</f>
        <v>0</v>
      </c>
      <c r="Q462" s="13"/>
      <c r="R462" s="13"/>
      <c r="S462" s="13"/>
      <c r="T462" s="13"/>
      <c r="U462" s="13"/>
      <c r="V462" s="13"/>
      <c r="W462" s="13">
        <v>0</v>
      </c>
      <c r="X462" s="13">
        <v>1</v>
      </c>
      <c r="Y462" s="13">
        <v>0</v>
      </c>
      <c r="Z462" s="13">
        <v>0</v>
      </c>
      <c r="AA462" s="13">
        <v>1</v>
      </c>
      <c r="AB462" s="13">
        <v>0</v>
      </c>
    </row>
    <row r="463" spans="1:28" x14ac:dyDescent="0.2">
      <c r="A463" s="13">
        <v>50</v>
      </c>
      <c r="B463" s="13">
        <v>0</v>
      </c>
      <c r="C463" s="13">
        <v>0</v>
      </c>
      <c r="D463" s="13">
        <v>1</v>
      </c>
      <c r="E463" s="13">
        <v>207</v>
      </c>
      <c r="F463" s="13">
        <f>Source!U441</f>
        <v>38.822759999999995</v>
      </c>
      <c r="G463" s="13" t="s">
        <v>133</v>
      </c>
      <c r="H463" s="13" t="s">
        <v>134</v>
      </c>
      <c r="I463" s="13"/>
      <c r="J463" s="13"/>
      <c r="K463" s="13">
        <v>207</v>
      </c>
      <c r="L463" s="13">
        <v>21</v>
      </c>
      <c r="M463" s="13">
        <v>3</v>
      </c>
      <c r="N463" s="13" t="s">
        <v>3</v>
      </c>
      <c r="O463" s="13">
        <v>-1</v>
      </c>
      <c r="P463" s="13">
        <f>Source!DM441</f>
        <v>38.822759999999995</v>
      </c>
      <c r="Q463" s="13"/>
      <c r="R463" s="13"/>
      <c r="S463" s="13"/>
      <c r="T463" s="13"/>
      <c r="U463" s="13"/>
      <c r="V463" s="13"/>
      <c r="W463" s="13">
        <v>38.822760000000002</v>
      </c>
      <c r="X463" s="13">
        <v>1</v>
      </c>
      <c r="Y463" s="13">
        <v>38.822760000000002</v>
      </c>
      <c r="Z463" s="13">
        <v>38.822760000000002</v>
      </c>
      <c r="AA463" s="13">
        <v>1</v>
      </c>
      <c r="AB463" s="13">
        <v>38.822760000000002</v>
      </c>
    </row>
    <row r="464" spans="1:28" x14ac:dyDescent="0.2">
      <c r="A464" s="13">
        <v>50</v>
      </c>
      <c r="B464" s="13">
        <v>0</v>
      </c>
      <c r="C464" s="13">
        <v>0</v>
      </c>
      <c r="D464" s="13">
        <v>1</v>
      </c>
      <c r="E464" s="13">
        <v>208</v>
      </c>
      <c r="F464" s="13">
        <f>Source!V441</f>
        <v>0</v>
      </c>
      <c r="G464" s="13" t="s">
        <v>135</v>
      </c>
      <c r="H464" s="13" t="s">
        <v>136</v>
      </c>
      <c r="I464" s="13"/>
      <c r="J464" s="13"/>
      <c r="K464" s="13">
        <v>208</v>
      </c>
      <c r="L464" s="13">
        <v>22</v>
      </c>
      <c r="M464" s="13">
        <v>3</v>
      </c>
      <c r="N464" s="13" t="s">
        <v>3</v>
      </c>
      <c r="O464" s="13">
        <v>-1</v>
      </c>
      <c r="P464" s="13">
        <f>Source!DN441</f>
        <v>0</v>
      </c>
      <c r="Q464" s="13"/>
      <c r="R464" s="13"/>
      <c r="S464" s="13"/>
      <c r="T464" s="13"/>
      <c r="U464" s="13"/>
      <c r="V464" s="13"/>
      <c r="W464" s="13">
        <v>0</v>
      </c>
      <c r="X464" s="13">
        <v>1</v>
      </c>
      <c r="Y464" s="13">
        <v>0</v>
      </c>
      <c r="Z464" s="13">
        <v>0</v>
      </c>
      <c r="AA464" s="13">
        <v>1</v>
      </c>
      <c r="AB464" s="13">
        <v>0</v>
      </c>
    </row>
    <row r="465" spans="1:206" x14ac:dyDescent="0.2">
      <c r="A465" s="13">
        <v>50</v>
      </c>
      <c r="B465" s="13">
        <v>0</v>
      </c>
      <c r="C465" s="13">
        <v>0</v>
      </c>
      <c r="D465" s="13">
        <v>1</v>
      </c>
      <c r="E465" s="13">
        <v>209</v>
      </c>
      <c r="F465" s="13">
        <f>ROUND(Source!W441,O465)</f>
        <v>0</v>
      </c>
      <c r="G465" s="13" t="s">
        <v>137</v>
      </c>
      <c r="H465" s="13" t="s">
        <v>138</v>
      </c>
      <c r="I465" s="13"/>
      <c r="J465" s="13"/>
      <c r="K465" s="13">
        <v>209</v>
      </c>
      <c r="L465" s="13">
        <v>23</v>
      </c>
      <c r="M465" s="13">
        <v>3</v>
      </c>
      <c r="N465" s="13" t="s">
        <v>3</v>
      </c>
      <c r="O465" s="13">
        <v>2</v>
      </c>
      <c r="P465" s="13">
        <f>ROUND(Source!DO441,O465)</f>
        <v>0</v>
      </c>
      <c r="Q465" s="13"/>
      <c r="R465" s="13"/>
      <c r="S465" s="13"/>
      <c r="T465" s="13"/>
      <c r="U465" s="13"/>
      <c r="V465" s="13"/>
      <c r="W465" s="13">
        <v>0</v>
      </c>
      <c r="X465" s="13">
        <v>1</v>
      </c>
      <c r="Y465" s="13">
        <v>0</v>
      </c>
      <c r="Z465" s="13">
        <v>0</v>
      </c>
      <c r="AA465" s="13">
        <v>1</v>
      </c>
      <c r="AB465" s="13">
        <v>0</v>
      </c>
    </row>
    <row r="466" spans="1:206" x14ac:dyDescent="0.2">
      <c r="A466" s="13">
        <v>50</v>
      </c>
      <c r="B466" s="13">
        <v>0</v>
      </c>
      <c r="C466" s="13">
        <v>0</v>
      </c>
      <c r="D466" s="13">
        <v>1</v>
      </c>
      <c r="E466" s="13">
        <v>233</v>
      </c>
      <c r="F466" s="13">
        <f>ROUND(Source!BD441,O466)</f>
        <v>0</v>
      </c>
      <c r="G466" s="13" t="s">
        <v>139</v>
      </c>
      <c r="H466" s="13" t="s">
        <v>140</v>
      </c>
      <c r="I466" s="13"/>
      <c r="J466" s="13"/>
      <c r="K466" s="13">
        <v>233</v>
      </c>
      <c r="L466" s="13">
        <v>24</v>
      </c>
      <c r="M466" s="13">
        <v>3</v>
      </c>
      <c r="N466" s="13" t="s">
        <v>3</v>
      </c>
      <c r="O466" s="13">
        <v>2</v>
      </c>
      <c r="P466" s="13">
        <f>ROUND(Source!EV441,O466)</f>
        <v>0</v>
      </c>
      <c r="Q466" s="13"/>
      <c r="R466" s="13"/>
      <c r="S466" s="13"/>
      <c r="T466" s="13"/>
      <c r="U466" s="13"/>
      <c r="V466" s="13"/>
      <c r="W466" s="13">
        <v>0</v>
      </c>
      <c r="X466" s="13">
        <v>1</v>
      </c>
      <c r="Y466" s="13">
        <v>0</v>
      </c>
      <c r="Z466" s="13">
        <v>0</v>
      </c>
      <c r="AA466" s="13">
        <v>1</v>
      </c>
      <c r="AB466" s="13">
        <v>0</v>
      </c>
    </row>
    <row r="467" spans="1:206" x14ac:dyDescent="0.2">
      <c r="A467" s="13">
        <v>50</v>
      </c>
      <c r="B467" s="13">
        <v>0</v>
      </c>
      <c r="C467" s="13">
        <v>0</v>
      </c>
      <c r="D467" s="13">
        <v>1</v>
      </c>
      <c r="E467" s="13">
        <v>210</v>
      </c>
      <c r="F467" s="13">
        <f>ROUND(Source!X441,O467)</f>
        <v>475.3</v>
      </c>
      <c r="G467" s="13" t="s">
        <v>141</v>
      </c>
      <c r="H467" s="13" t="s">
        <v>142</v>
      </c>
      <c r="I467" s="13"/>
      <c r="J467" s="13"/>
      <c r="K467" s="13">
        <v>210</v>
      </c>
      <c r="L467" s="13">
        <v>25</v>
      </c>
      <c r="M467" s="13">
        <v>3</v>
      </c>
      <c r="N467" s="13" t="s">
        <v>3</v>
      </c>
      <c r="O467" s="13">
        <v>2</v>
      </c>
      <c r="P467" s="13">
        <f>ROUND(Source!DP441,O467)</f>
        <v>26783.16</v>
      </c>
      <c r="Q467" s="13"/>
      <c r="R467" s="13"/>
      <c r="S467" s="13"/>
      <c r="T467" s="13"/>
      <c r="U467" s="13"/>
      <c r="V467" s="13"/>
      <c r="W467" s="13">
        <v>475.3</v>
      </c>
      <c r="X467" s="13">
        <v>1</v>
      </c>
      <c r="Y467" s="13">
        <v>475.3</v>
      </c>
      <c r="Z467" s="13">
        <v>26783.16</v>
      </c>
      <c r="AA467" s="13">
        <v>1</v>
      </c>
      <c r="AB467" s="13">
        <v>26783.16</v>
      </c>
    </row>
    <row r="468" spans="1:206" x14ac:dyDescent="0.2">
      <c r="A468" s="13">
        <v>50</v>
      </c>
      <c r="B468" s="13">
        <v>0</v>
      </c>
      <c r="C468" s="13">
        <v>0</v>
      </c>
      <c r="D468" s="13">
        <v>1</v>
      </c>
      <c r="E468" s="13">
        <v>211</v>
      </c>
      <c r="F468" s="13">
        <f>ROUND(Source!Y441,O468)</f>
        <v>249.9</v>
      </c>
      <c r="G468" s="13" t="s">
        <v>143</v>
      </c>
      <c r="H468" s="13" t="s">
        <v>144</v>
      </c>
      <c r="I468" s="13"/>
      <c r="J468" s="13"/>
      <c r="K468" s="13">
        <v>211</v>
      </c>
      <c r="L468" s="13">
        <v>26</v>
      </c>
      <c r="M468" s="13">
        <v>3</v>
      </c>
      <c r="N468" s="13" t="s">
        <v>3</v>
      </c>
      <c r="O468" s="13">
        <v>2</v>
      </c>
      <c r="P468" s="13">
        <f>ROUND(Source!DQ441,O468)</f>
        <v>14081.87</v>
      </c>
      <c r="Q468" s="13"/>
      <c r="R468" s="13"/>
      <c r="S468" s="13"/>
      <c r="T468" s="13"/>
      <c r="U468" s="13"/>
      <c r="V468" s="13"/>
      <c r="W468" s="13">
        <v>249.9</v>
      </c>
      <c r="X468" s="13">
        <v>1</v>
      </c>
      <c r="Y468" s="13">
        <v>249.9</v>
      </c>
      <c r="Z468" s="13">
        <v>14081.87</v>
      </c>
      <c r="AA468" s="13">
        <v>1</v>
      </c>
      <c r="AB468" s="13">
        <v>14081.87</v>
      </c>
    </row>
    <row r="469" spans="1:206" x14ac:dyDescent="0.2">
      <c r="A469" s="13">
        <v>50</v>
      </c>
      <c r="B469" s="13">
        <v>0</v>
      </c>
      <c r="C469" s="13">
        <v>0</v>
      </c>
      <c r="D469" s="13">
        <v>1</v>
      </c>
      <c r="E469" s="13">
        <v>224</v>
      </c>
      <c r="F469" s="13">
        <f>ROUND(Source!AR441,O469)</f>
        <v>2517.48</v>
      </c>
      <c r="G469" s="13" t="s">
        <v>145</v>
      </c>
      <c r="H469" s="13" t="s">
        <v>146</v>
      </c>
      <c r="I469" s="13"/>
      <c r="J469" s="13"/>
      <c r="K469" s="13">
        <v>224</v>
      </c>
      <c r="L469" s="13">
        <v>27</v>
      </c>
      <c r="M469" s="13">
        <v>3</v>
      </c>
      <c r="N469" s="13" t="s">
        <v>3</v>
      </c>
      <c r="O469" s="13">
        <v>2</v>
      </c>
      <c r="P469" s="13">
        <f>ROUND(Source!EJ441,O469)</f>
        <v>79451.240000000005</v>
      </c>
      <c r="Q469" s="13"/>
      <c r="R469" s="13"/>
      <c r="S469" s="13"/>
      <c r="T469" s="13"/>
      <c r="U469" s="13"/>
      <c r="V469" s="13"/>
      <c r="W469" s="13">
        <v>2517.48</v>
      </c>
      <c r="X469" s="13">
        <v>1</v>
      </c>
      <c r="Y469" s="13">
        <v>2517.48</v>
      </c>
      <c r="Z469" s="13">
        <v>79451.240000000005</v>
      </c>
      <c r="AA469" s="13">
        <v>1</v>
      </c>
      <c r="AB469" s="13">
        <v>79451.240000000005</v>
      </c>
    </row>
    <row r="471" spans="1:206" x14ac:dyDescent="0.2">
      <c r="A471" s="11">
        <v>51</v>
      </c>
      <c r="B471" s="11">
        <f>B20</f>
        <v>1</v>
      </c>
      <c r="C471" s="11">
        <f>A20</f>
        <v>3</v>
      </c>
      <c r="D471" s="11">
        <f>ROW(A20)</f>
        <v>20</v>
      </c>
      <c r="E471" s="11"/>
      <c r="F471" s="11" t="str">
        <f>IF(F20&lt;&gt;"",F20,"")</f>
        <v>02-01-10</v>
      </c>
      <c r="G471" s="11" t="str">
        <f>IF(G20&lt;&gt;"",G20,"")</f>
        <v>Система охранной сигнализации</v>
      </c>
      <c r="H471" s="11">
        <v>0</v>
      </c>
      <c r="I471" s="11"/>
      <c r="J471" s="11"/>
      <c r="K471" s="11"/>
      <c r="L471" s="11"/>
      <c r="M471" s="11"/>
      <c r="N471" s="11"/>
      <c r="O471" s="11">
        <f t="shared" ref="O471:T471" si="415">ROUND(O59+O118+O173+O218+O259+O308+O355+O400+O441+AB471,2)</f>
        <v>161307.06</v>
      </c>
      <c r="P471" s="11">
        <f t="shared" si="415"/>
        <v>132376.21</v>
      </c>
      <c r="Q471" s="11">
        <f t="shared" si="415"/>
        <v>670.24</v>
      </c>
      <c r="R471" s="11">
        <f t="shared" si="415"/>
        <v>51.93</v>
      </c>
      <c r="S471" s="11">
        <f t="shared" si="415"/>
        <v>28260.61</v>
      </c>
      <c r="T471" s="11">
        <f t="shared" si="415"/>
        <v>0</v>
      </c>
      <c r="U471" s="11">
        <f>U59+U118+U173+U218+U259+U308+U355+U400+U441+AH471</f>
        <v>2479.6719986400003</v>
      </c>
      <c r="V471" s="11">
        <f>V59+V118+V173+V218+V259+V308+V355+V400+V441+AI471</f>
        <v>0</v>
      </c>
      <c r="W471" s="11">
        <f>ROUND(W59+W118+W173+W218+W259+W308+W355+W400+W441+AJ471,2)</f>
        <v>0</v>
      </c>
      <c r="X471" s="11">
        <f>ROUND(X59+X118+X173+X218+X259+X308+X355+X400+X441+AK471,2)</f>
        <v>25831.3</v>
      </c>
      <c r="Y471" s="11">
        <f>ROUND(Y59+Y118+Y173+Y218+Y259+Y308+Y355+Y400+Y441+AL471,2)</f>
        <v>13448.97</v>
      </c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>
        <f t="shared" ref="AO471:BD471" si="416">ROUND(AO59+AO118+AO173+AO218+AO259+AO308+AO355+AO400+AO441+BX471,2)</f>
        <v>0</v>
      </c>
      <c r="AP471" s="11">
        <f t="shared" si="416"/>
        <v>69011.990000000005</v>
      </c>
      <c r="AQ471" s="11">
        <f t="shared" si="416"/>
        <v>0</v>
      </c>
      <c r="AR471" s="11">
        <f t="shared" si="416"/>
        <v>200587.33</v>
      </c>
      <c r="AS471" s="11">
        <f t="shared" si="416"/>
        <v>30622.36</v>
      </c>
      <c r="AT471" s="11">
        <f t="shared" si="416"/>
        <v>100952.98</v>
      </c>
      <c r="AU471" s="11">
        <f t="shared" si="416"/>
        <v>0</v>
      </c>
      <c r="AV471" s="11">
        <f t="shared" si="416"/>
        <v>132376.21</v>
      </c>
      <c r="AW471" s="11">
        <f t="shared" si="416"/>
        <v>63364.22</v>
      </c>
      <c r="AX471" s="11">
        <f t="shared" si="416"/>
        <v>0</v>
      </c>
      <c r="AY471" s="11">
        <f t="shared" si="416"/>
        <v>63364.22</v>
      </c>
      <c r="AZ471" s="11">
        <f t="shared" si="416"/>
        <v>69011.990000000005</v>
      </c>
      <c r="BA471" s="11">
        <f t="shared" si="416"/>
        <v>0</v>
      </c>
      <c r="BB471" s="11">
        <f t="shared" si="416"/>
        <v>0</v>
      </c>
      <c r="BC471" s="11">
        <f t="shared" si="416"/>
        <v>0</v>
      </c>
      <c r="BD471" s="11">
        <f t="shared" si="416"/>
        <v>0</v>
      </c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2">
        <f t="shared" ref="DG471:DL471" si="417">ROUND(DG59+DG118+DG173+DG218+DG259+DG308+DG355+DG400+DG441+DT471,2)</f>
        <v>2699731.42</v>
      </c>
      <c r="DH471" s="12">
        <f t="shared" si="417"/>
        <v>1097868.17</v>
      </c>
      <c r="DI471" s="12">
        <f t="shared" si="417"/>
        <v>9377.86</v>
      </c>
      <c r="DJ471" s="12">
        <f t="shared" si="417"/>
        <v>2926.24</v>
      </c>
      <c r="DK471" s="12">
        <f t="shared" si="417"/>
        <v>1592485.39</v>
      </c>
      <c r="DL471" s="12">
        <f t="shared" si="417"/>
        <v>0</v>
      </c>
      <c r="DM471" s="12">
        <f>DM59+DM118+DM173+DM218+DM259+DM308+DM355+DM400+DM441+DZ471</f>
        <v>2479.6719986400003</v>
      </c>
      <c r="DN471" s="12">
        <f>DN59+DN118+DN173+DN218+DN259+DN308+DN355+DN400+DN441+EA471</f>
        <v>0</v>
      </c>
      <c r="DO471" s="12">
        <f>ROUND(DO59+DO118+DO173+DO218+DO259+DO308+DO355+DO400+DO441+EB471,2)</f>
        <v>0</v>
      </c>
      <c r="DP471" s="12">
        <f>ROUND(DP59+DP118+DP173+DP218+DP259+DP308+DP355+DP400+DP441+EC471,2)</f>
        <v>1455593.57</v>
      </c>
      <c r="DQ471" s="12">
        <f>ROUND(DQ59+DQ118+DQ173+DQ218+DQ259+DQ308+DQ355+DQ400+DQ441+ED471,2)</f>
        <v>757849.72</v>
      </c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>
        <f t="shared" ref="EG471:EV471" si="418">ROUND(EG59+EG118+EG173+EG218+EG259+EG308+EG355+EG400+EG441+FP471,2)</f>
        <v>0</v>
      </c>
      <c r="EH471" s="12">
        <f t="shared" si="418"/>
        <v>665702.61</v>
      </c>
      <c r="EI471" s="12">
        <f t="shared" si="418"/>
        <v>0</v>
      </c>
      <c r="EJ471" s="12">
        <f t="shared" si="418"/>
        <v>4913174.71</v>
      </c>
      <c r="EK471" s="12">
        <f t="shared" si="418"/>
        <v>1725569.61</v>
      </c>
      <c r="EL471" s="12">
        <f t="shared" si="418"/>
        <v>2521902.4900000002</v>
      </c>
      <c r="EM471" s="12">
        <f t="shared" si="418"/>
        <v>0</v>
      </c>
      <c r="EN471" s="12">
        <f t="shared" si="418"/>
        <v>1097868.17</v>
      </c>
      <c r="EO471" s="12">
        <f t="shared" si="418"/>
        <v>432165.56</v>
      </c>
      <c r="EP471" s="12">
        <f t="shared" si="418"/>
        <v>0</v>
      </c>
      <c r="EQ471" s="12">
        <f t="shared" si="418"/>
        <v>432165.56</v>
      </c>
      <c r="ER471" s="12">
        <f t="shared" si="418"/>
        <v>665702.61</v>
      </c>
      <c r="ES471" s="12">
        <f t="shared" si="418"/>
        <v>0</v>
      </c>
      <c r="ET471" s="12">
        <f t="shared" si="418"/>
        <v>0</v>
      </c>
      <c r="EU471" s="12">
        <f t="shared" si="418"/>
        <v>0</v>
      </c>
      <c r="EV471" s="12">
        <f t="shared" si="418"/>
        <v>0</v>
      </c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  <c r="FN471" s="12"/>
      <c r="FO471" s="12"/>
      <c r="FP471" s="12"/>
      <c r="FQ471" s="12"/>
      <c r="FR471" s="12"/>
      <c r="FS471" s="12"/>
      <c r="FT471" s="12"/>
      <c r="FU471" s="12"/>
      <c r="FV471" s="12"/>
      <c r="FW471" s="12"/>
      <c r="FX471" s="12"/>
      <c r="FY471" s="12"/>
      <c r="FZ471" s="12"/>
      <c r="GA471" s="12"/>
      <c r="GB471" s="12"/>
      <c r="GC471" s="12"/>
      <c r="GD471" s="12"/>
      <c r="GE471" s="12"/>
      <c r="GF471" s="12"/>
      <c r="GG471" s="12"/>
      <c r="GH471" s="12"/>
      <c r="GI471" s="12"/>
      <c r="GJ471" s="12"/>
      <c r="GK471" s="12"/>
      <c r="GL471" s="12"/>
      <c r="GM471" s="12"/>
      <c r="GN471" s="12"/>
      <c r="GO471" s="12"/>
      <c r="GP471" s="12"/>
      <c r="GQ471" s="12"/>
      <c r="GR471" s="12"/>
      <c r="GS471" s="12"/>
      <c r="GT471" s="12"/>
      <c r="GU471" s="12"/>
      <c r="GV471" s="12"/>
      <c r="GW471" s="12"/>
      <c r="GX471" s="12">
        <v>0</v>
      </c>
    </row>
    <row r="473" spans="1:206" x14ac:dyDescent="0.2">
      <c r="A473" s="13">
        <v>50</v>
      </c>
      <c r="B473" s="13">
        <v>0</v>
      </c>
      <c r="C473" s="13">
        <v>0</v>
      </c>
      <c r="D473" s="13">
        <v>1</v>
      </c>
      <c r="E473" s="13">
        <v>201</v>
      </c>
      <c r="F473" s="13">
        <f>ROUND(Source!O471,O473)</f>
        <v>161307.06</v>
      </c>
      <c r="G473" s="13" t="s">
        <v>93</v>
      </c>
      <c r="H473" s="13" t="s">
        <v>94</v>
      </c>
      <c r="I473" s="13"/>
      <c r="J473" s="13"/>
      <c r="K473" s="13">
        <v>201</v>
      </c>
      <c r="L473" s="13">
        <v>1</v>
      </c>
      <c r="M473" s="13">
        <v>3</v>
      </c>
      <c r="N473" s="13" t="s">
        <v>3</v>
      </c>
      <c r="O473" s="13">
        <v>2</v>
      </c>
      <c r="P473" s="13">
        <f>ROUND(Source!DG471,O473)</f>
        <v>2699731.42</v>
      </c>
      <c r="Q473" s="13"/>
      <c r="R473" s="13"/>
      <c r="S473" s="13"/>
      <c r="T473" s="13"/>
      <c r="U473" s="13"/>
      <c r="V473" s="13"/>
      <c r="W473" s="13">
        <v>161307.06</v>
      </c>
      <c r="X473" s="13">
        <v>1</v>
      </c>
      <c r="Y473" s="13">
        <v>161307.06</v>
      </c>
      <c r="Z473" s="13">
        <v>2699731.42</v>
      </c>
      <c r="AA473" s="13">
        <v>1</v>
      </c>
      <c r="AB473" s="13">
        <v>2699731.42</v>
      </c>
    </row>
    <row r="474" spans="1:206" x14ac:dyDescent="0.2">
      <c r="A474" s="13">
        <v>50</v>
      </c>
      <c r="B474" s="13">
        <v>0</v>
      </c>
      <c r="C474" s="13">
        <v>0</v>
      </c>
      <c r="D474" s="13">
        <v>1</v>
      </c>
      <c r="E474" s="13">
        <v>202</v>
      </c>
      <c r="F474" s="13">
        <f>ROUND(Source!P471,O474)</f>
        <v>132376.21</v>
      </c>
      <c r="G474" s="13" t="s">
        <v>95</v>
      </c>
      <c r="H474" s="13" t="s">
        <v>96</v>
      </c>
      <c r="I474" s="13"/>
      <c r="J474" s="13"/>
      <c r="K474" s="13">
        <v>202</v>
      </c>
      <c r="L474" s="13">
        <v>2</v>
      </c>
      <c r="M474" s="13">
        <v>3</v>
      </c>
      <c r="N474" s="13" t="s">
        <v>3</v>
      </c>
      <c r="O474" s="13">
        <v>2</v>
      </c>
      <c r="P474" s="13">
        <f>ROUND(Source!DH471,O474)</f>
        <v>1097868.17</v>
      </c>
      <c r="Q474" s="13"/>
      <c r="R474" s="13"/>
      <c r="S474" s="13"/>
      <c r="T474" s="13"/>
      <c r="U474" s="13"/>
      <c r="V474" s="13"/>
      <c r="W474" s="13">
        <v>132376.21</v>
      </c>
      <c r="X474" s="13">
        <v>1</v>
      </c>
      <c r="Y474" s="13">
        <v>132376.21</v>
      </c>
      <c r="Z474" s="13">
        <v>1097868.17</v>
      </c>
      <c r="AA474" s="13">
        <v>1</v>
      </c>
      <c r="AB474" s="13">
        <v>1097868.17</v>
      </c>
    </row>
    <row r="475" spans="1:206" x14ac:dyDescent="0.2">
      <c r="A475" s="13">
        <v>50</v>
      </c>
      <c r="B475" s="13">
        <v>0</v>
      </c>
      <c r="C475" s="13">
        <v>0</v>
      </c>
      <c r="D475" s="13">
        <v>1</v>
      </c>
      <c r="E475" s="13">
        <v>222</v>
      </c>
      <c r="F475" s="13">
        <f>ROUND(Source!AO471,O475)</f>
        <v>0</v>
      </c>
      <c r="G475" s="13" t="s">
        <v>97</v>
      </c>
      <c r="H475" s="13" t="s">
        <v>98</v>
      </c>
      <c r="I475" s="13"/>
      <c r="J475" s="13"/>
      <c r="K475" s="13">
        <v>222</v>
      </c>
      <c r="L475" s="13">
        <v>3</v>
      </c>
      <c r="M475" s="13">
        <v>3</v>
      </c>
      <c r="N475" s="13" t="s">
        <v>3</v>
      </c>
      <c r="O475" s="13">
        <v>2</v>
      </c>
      <c r="P475" s="13">
        <f>ROUND(Source!EG471,O475)</f>
        <v>0</v>
      </c>
      <c r="Q475" s="13"/>
      <c r="R475" s="13"/>
      <c r="S475" s="13"/>
      <c r="T475" s="13"/>
      <c r="U475" s="13"/>
      <c r="V475" s="13"/>
      <c r="W475" s="13">
        <v>0</v>
      </c>
      <c r="X475" s="13">
        <v>1</v>
      </c>
      <c r="Y475" s="13">
        <v>0</v>
      </c>
      <c r="Z475" s="13">
        <v>0</v>
      </c>
      <c r="AA475" s="13">
        <v>1</v>
      </c>
      <c r="AB475" s="13">
        <v>0</v>
      </c>
    </row>
    <row r="476" spans="1:206" x14ac:dyDescent="0.2">
      <c r="A476" s="13">
        <v>50</v>
      </c>
      <c r="B476" s="13">
        <v>0</v>
      </c>
      <c r="C476" s="13">
        <v>0</v>
      </c>
      <c r="D476" s="13">
        <v>1</v>
      </c>
      <c r="E476" s="13">
        <v>225</v>
      </c>
      <c r="F476" s="13">
        <f>ROUND(Source!AV471,O476)</f>
        <v>132376.21</v>
      </c>
      <c r="G476" s="13" t="s">
        <v>99</v>
      </c>
      <c r="H476" s="13" t="s">
        <v>100</v>
      </c>
      <c r="I476" s="13"/>
      <c r="J476" s="13"/>
      <c r="K476" s="13">
        <v>225</v>
      </c>
      <c r="L476" s="13">
        <v>4</v>
      </c>
      <c r="M476" s="13">
        <v>3</v>
      </c>
      <c r="N476" s="13" t="s">
        <v>3</v>
      </c>
      <c r="O476" s="13">
        <v>2</v>
      </c>
      <c r="P476" s="13">
        <f>ROUND(Source!EN471,O476)</f>
        <v>1097868.17</v>
      </c>
      <c r="Q476" s="13"/>
      <c r="R476" s="13"/>
      <c r="S476" s="13"/>
      <c r="T476" s="13"/>
      <c r="U476" s="13"/>
      <c r="V476" s="13"/>
      <c r="W476" s="13">
        <v>132376.21</v>
      </c>
      <c r="X476" s="13">
        <v>1</v>
      </c>
      <c r="Y476" s="13">
        <v>132376.21</v>
      </c>
      <c r="Z476" s="13">
        <v>1097868.17</v>
      </c>
      <c r="AA476" s="13">
        <v>1</v>
      </c>
      <c r="AB476" s="13">
        <v>1097868.17</v>
      </c>
    </row>
    <row r="477" spans="1:206" x14ac:dyDescent="0.2">
      <c r="A477" s="13">
        <v>50</v>
      </c>
      <c r="B477" s="13">
        <v>0</v>
      </c>
      <c r="C477" s="13">
        <v>0</v>
      </c>
      <c r="D477" s="13">
        <v>1</v>
      </c>
      <c r="E477" s="13">
        <v>226</v>
      </c>
      <c r="F477" s="13">
        <f>ROUND(Source!AW471,O477)</f>
        <v>63364.22</v>
      </c>
      <c r="G477" s="13" t="s">
        <v>101</v>
      </c>
      <c r="H477" s="13" t="s">
        <v>102</v>
      </c>
      <c r="I477" s="13"/>
      <c r="J477" s="13"/>
      <c r="K477" s="13">
        <v>226</v>
      </c>
      <c r="L477" s="13">
        <v>5</v>
      </c>
      <c r="M477" s="13">
        <v>3</v>
      </c>
      <c r="N477" s="13" t="s">
        <v>3</v>
      </c>
      <c r="O477" s="13">
        <v>2</v>
      </c>
      <c r="P477" s="13">
        <f>ROUND(Source!EO471,O477)</f>
        <v>432165.56</v>
      </c>
      <c r="Q477" s="13"/>
      <c r="R477" s="13"/>
      <c r="S477" s="13"/>
      <c r="T477" s="13"/>
      <c r="U477" s="13"/>
      <c r="V477" s="13"/>
      <c r="W477" s="13">
        <v>63364.22</v>
      </c>
      <c r="X477" s="13">
        <v>1</v>
      </c>
      <c r="Y477" s="13">
        <v>63364.22</v>
      </c>
      <c r="Z477" s="13">
        <v>432165.56</v>
      </c>
      <c r="AA477" s="13">
        <v>1</v>
      </c>
      <c r="AB477" s="13">
        <v>432165.56</v>
      </c>
    </row>
    <row r="478" spans="1:206" x14ac:dyDescent="0.2">
      <c r="A478" s="13">
        <v>50</v>
      </c>
      <c r="B478" s="13">
        <v>0</v>
      </c>
      <c r="C478" s="13">
        <v>0</v>
      </c>
      <c r="D478" s="13">
        <v>1</v>
      </c>
      <c r="E478" s="13">
        <v>227</v>
      </c>
      <c r="F478" s="13">
        <f>ROUND(Source!AX471,O478)</f>
        <v>0</v>
      </c>
      <c r="G478" s="13" t="s">
        <v>103</v>
      </c>
      <c r="H478" s="13" t="s">
        <v>104</v>
      </c>
      <c r="I478" s="13"/>
      <c r="J478" s="13"/>
      <c r="K478" s="13">
        <v>227</v>
      </c>
      <c r="L478" s="13">
        <v>6</v>
      </c>
      <c r="M478" s="13">
        <v>3</v>
      </c>
      <c r="N478" s="13" t="s">
        <v>3</v>
      </c>
      <c r="O478" s="13">
        <v>2</v>
      </c>
      <c r="P478" s="13">
        <f>ROUND(Source!EP471,O478)</f>
        <v>0</v>
      </c>
      <c r="Q478" s="13"/>
      <c r="R478" s="13"/>
      <c r="S478" s="13"/>
      <c r="T478" s="13"/>
      <c r="U478" s="13"/>
      <c r="V478" s="13"/>
      <c r="W478" s="13">
        <v>0</v>
      </c>
      <c r="X478" s="13">
        <v>1</v>
      </c>
      <c r="Y478" s="13">
        <v>0</v>
      </c>
      <c r="Z478" s="13">
        <v>0</v>
      </c>
      <c r="AA478" s="13">
        <v>1</v>
      </c>
      <c r="AB478" s="13">
        <v>0</v>
      </c>
    </row>
    <row r="479" spans="1:206" x14ac:dyDescent="0.2">
      <c r="A479" s="13">
        <v>50</v>
      </c>
      <c r="B479" s="13">
        <v>0</v>
      </c>
      <c r="C479" s="13">
        <v>0</v>
      </c>
      <c r="D479" s="13">
        <v>1</v>
      </c>
      <c r="E479" s="13">
        <v>228</v>
      </c>
      <c r="F479" s="13">
        <f>ROUND(Source!AY471,O479)</f>
        <v>63364.22</v>
      </c>
      <c r="G479" s="13" t="s">
        <v>105</v>
      </c>
      <c r="H479" s="13" t="s">
        <v>106</v>
      </c>
      <c r="I479" s="13"/>
      <c r="J479" s="13"/>
      <c r="K479" s="13">
        <v>228</v>
      </c>
      <c r="L479" s="13">
        <v>7</v>
      </c>
      <c r="M479" s="13">
        <v>3</v>
      </c>
      <c r="N479" s="13" t="s">
        <v>3</v>
      </c>
      <c r="O479" s="13">
        <v>2</v>
      </c>
      <c r="P479" s="13">
        <f>ROUND(Source!EQ471,O479)</f>
        <v>432165.56</v>
      </c>
      <c r="Q479" s="13"/>
      <c r="R479" s="13"/>
      <c r="S479" s="13"/>
      <c r="T479" s="13"/>
      <c r="U479" s="13"/>
      <c r="V479" s="13"/>
      <c r="W479" s="13">
        <v>63364.22</v>
      </c>
      <c r="X479" s="13">
        <v>1</v>
      </c>
      <c r="Y479" s="13">
        <v>63364.22</v>
      </c>
      <c r="Z479" s="13">
        <v>432165.56</v>
      </c>
      <c r="AA479" s="13">
        <v>1</v>
      </c>
      <c r="AB479" s="13">
        <v>432165.56</v>
      </c>
    </row>
    <row r="480" spans="1:206" x14ac:dyDescent="0.2">
      <c r="A480" s="13">
        <v>50</v>
      </c>
      <c r="B480" s="13">
        <v>0</v>
      </c>
      <c r="C480" s="13">
        <v>0</v>
      </c>
      <c r="D480" s="13">
        <v>1</v>
      </c>
      <c r="E480" s="13">
        <v>216</v>
      </c>
      <c r="F480" s="13">
        <f>ROUND(Source!AP471,O480)</f>
        <v>69011.990000000005</v>
      </c>
      <c r="G480" s="13" t="s">
        <v>107</v>
      </c>
      <c r="H480" s="13" t="s">
        <v>108</v>
      </c>
      <c r="I480" s="13"/>
      <c r="J480" s="13"/>
      <c r="K480" s="13">
        <v>216</v>
      </c>
      <c r="L480" s="13">
        <v>8</v>
      </c>
      <c r="M480" s="13">
        <v>3</v>
      </c>
      <c r="N480" s="13" t="s">
        <v>3</v>
      </c>
      <c r="O480" s="13">
        <v>2</v>
      </c>
      <c r="P480" s="13">
        <f>ROUND(Source!EH471,O480)</f>
        <v>665702.61</v>
      </c>
      <c r="Q480" s="13"/>
      <c r="R480" s="13"/>
      <c r="S480" s="13"/>
      <c r="T480" s="13"/>
      <c r="U480" s="13"/>
      <c r="V480" s="13"/>
      <c r="W480" s="13">
        <v>69011.990000000005</v>
      </c>
      <c r="X480" s="13">
        <v>1</v>
      </c>
      <c r="Y480" s="13">
        <v>69011.990000000005</v>
      </c>
      <c r="Z480" s="13">
        <v>665702.61</v>
      </c>
      <c r="AA480" s="13">
        <v>1</v>
      </c>
      <c r="AB480" s="13">
        <v>665702.61</v>
      </c>
    </row>
    <row r="481" spans="1:28" x14ac:dyDescent="0.2">
      <c r="A481" s="13">
        <v>50</v>
      </c>
      <c r="B481" s="13">
        <v>0</v>
      </c>
      <c r="C481" s="13">
        <v>0</v>
      </c>
      <c r="D481" s="13">
        <v>1</v>
      </c>
      <c r="E481" s="13">
        <v>223</v>
      </c>
      <c r="F481" s="13">
        <f>ROUND(Source!AQ471,O481)</f>
        <v>0</v>
      </c>
      <c r="G481" s="13" t="s">
        <v>109</v>
      </c>
      <c r="H481" s="13" t="s">
        <v>110</v>
      </c>
      <c r="I481" s="13"/>
      <c r="J481" s="13"/>
      <c r="K481" s="13">
        <v>223</v>
      </c>
      <c r="L481" s="13">
        <v>9</v>
      </c>
      <c r="M481" s="13">
        <v>3</v>
      </c>
      <c r="N481" s="13" t="s">
        <v>3</v>
      </c>
      <c r="O481" s="13">
        <v>2</v>
      </c>
      <c r="P481" s="13">
        <f>ROUND(Source!EI471,O481)</f>
        <v>0</v>
      </c>
      <c r="Q481" s="13"/>
      <c r="R481" s="13"/>
      <c r="S481" s="13"/>
      <c r="T481" s="13"/>
      <c r="U481" s="13"/>
      <c r="V481" s="13"/>
      <c r="W481" s="13">
        <v>0</v>
      </c>
      <c r="X481" s="13">
        <v>1</v>
      </c>
      <c r="Y481" s="13">
        <v>0</v>
      </c>
      <c r="Z481" s="13">
        <v>0</v>
      </c>
      <c r="AA481" s="13">
        <v>1</v>
      </c>
      <c r="AB481" s="13">
        <v>0</v>
      </c>
    </row>
    <row r="482" spans="1:28" x14ac:dyDescent="0.2">
      <c r="A482" s="13">
        <v>50</v>
      </c>
      <c r="B482" s="13">
        <v>0</v>
      </c>
      <c r="C482" s="13">
        <v>0</v>
      </c>
      <c r="D482" s="13">
        <v>1</v>
      </c>
      <c r="E482" s="13">
        <v>229</v>
      </c>
      <c r="F482" s="13">
        <f>ROUND(Source!AZ471,O482)</f>
        <v>69011.990000000005</v>
      </c>
      <c r="G482" s="13" t="s">
        <v>111</v>
      </c>
      <c r="H482" s="13" t="s">
        <v>112</v>
      </c>
      <c r="I482" s="13"/>
      <c r="J482" s="13"/>
      <c r="K482" s="13">
        <v>229</v>
      </c>
      <c r="L482" s="13">
        <v>10</v>
      </c>
      <c r="M482" s="13">
        <v>3</v>
      </c>
      <c r="N482" s="13" t="s">
        <v>3</v>
      </c>
      <c r="O482" s="13">
        <v>2</v>
      </c>
      <c r="P482" s="13">
        <f>ROUND(Source!ER471,O482)</f>
        <v>665702.61</v>
      </c>
      <c r="Q482" s="13"/>
      <c r="R482" s="13"/>
      <c r="S482" s="13"/>
      <c r="T482" s="13"/>
      <c r="U482" s="13"/>
      <c r="V482" s="13"/>
      <c r="W482" s="13">
        <v>69011.990000000005</v>
      </c>
      <c r="X482" s="13">
        <v>1</v>
      </c>
      <c r="Y482" s="13">
        <v>69011.990000000005</v>
      </c>
      <c r="Z482" s="13">
        <v>665702.61</v>
      </c>
      <c r="AA482" s="13">
        <v>1</v>
      </c>
      <c r="AB482" s="13">
        <v>665702.61</v>
      </c>
    </row>
    <row r="483" spans="1:28" x14ac:dyDescent="0.2">
      <c r="A483" s="13">
        <v>50</v>
      </c>
      <c r="B483" s="13">
        <v>0</v>
      </c>
      <c r="C483" s="13">
        <v>0</v>
      </c>
      <c r="D483" s="13">
        <v>1</v>
      </c>
      <c r="E483" s="13">
        <v>203</v>
      </c>
      <c r="F483" s="13">
        <f>ROUND(Source!Q471,O483)</f>
        <v>670.24</v>
      </c>
      <c r="G483" s="13" t="s">
        <v>113</v>
      </c>
      <c r="H483" s="13" t="s">
        <v>114</v>
      </c>
      <c r="I483" s="13"/>
      <c r="J483" s="13"/>
      <c r="K483" s="13">
        <v>203</v>
      </c>
      <c r="L483" s="13">
        <v>11</v>
      </c>
      <c r="M483" s="13">
        <v>3</v>
      </c>
      <c r="N483" s="13" t="s">
        <v>3</v>
      </c>
      <c r="O483" s="13">
        <v>2</v>
      </c>
      <c r="P483" s="13">
        <f>ROUND(Source!DI471,O483)</f>
        <v>9377.86</v>
      </c>
      <c r="Q483" s="13"/>
      <c r="R483" s="13"/>
      <c r="S483" s="13"/>
      <c r="T483" s="13"/>
      <c r="U483" s="13"/>
      <c r="V483" s="13"/>
      <c r="W483" s="13">
        <v>670.24</v>
      </c>
      <c r="X483" s="13">
        <v>1</v>
      </c>
      <c r="Y483" s="13">
        <v>670.24</v>
      </c>
      <c r="Z483" s="13">
        <v>9377.86</v>
      </c>
      <c r="AA483" s="13">
        <v>1</v>
      </c>
      <c r="AB483" s="13">
        <v>9377.86</v>
      </c>
    </row>
    <row r="484" spans="1:28" x14ac:dyDescent="0.2">
      <c r="A484" s="13">
        <v>50</v>
      </c>
      <c r="B484" s="13">
        <v>0</v>
      </c>
      <c r="C484" s="13">
        <v>0</v>
      </c>
      <c r="D484" s="13">
        <v>1</v>
      </c>
      <c r="E484" s="13">
        <v>231</v>
      </c>
      <c r="F484" s="13">
        <f>ROUND(Source!BB471,O484)</f>
        <v>0</v>
      </c>
      <c r="G484" s="13" t="s">
        <v>115</v>
      </c>
      <c r="H484" s="13" t="s">
        <v>116</v>
      </c>
      <c r="I484" s="13"/>
      <c r="J484" s="13"/>
      <c r="K484" s="13">
        <v>231</v>
      </c>
      <c r="L484" s="13">
        <v>12</v>
      </c>
      <c r="M484" s="13">
        <v>3</v>
      </c>
      <c r="N484" s="13" t="s">
        <v>3</v>
      </c>
      <c r="O484" s="13">
        <v>2</v>
      </c>
      <c r="P484" s="13">
        <f>ROUND(Source!ET471,O484)</f>
        <v>0</v>
      </c>
      <c r="Q484" s="13"/>
      <c r="R484" s="13"/>
      <c r="S484" s="13"/>
      <c r="T484" s="13"/>
      <c r="U484" s="13"/>
      <c r="V484" s="13"/>
      <c r="W484" s="13">
        <v>0</v>
      </c>
      <c r="X484" s="13">
        <v>1</v>
      </c>
      <c r="Y484" s="13">
        <v>0</v>
      </c>
      <c r="Z484" s="13">
        <v>0</v>
      </c>
      <c r="AA484" s="13">
        <v>1</v>
      </c>
      <c r="AB484" s="13">
        <v>0</v>
      </c>
    </row>
    <row r="485" spans="1:28" x14ac:dyDescent="0.2">
      <c r="A485" s="13">
        <v>50</v>
      </c>
      <c r="B485" s="13">
        <v>0</v>
      </c>
      <c r="C485" s="13">
        <v>0</v>
      </c>
      <c r="D485" s="13">
        <v>1</v>
      </c>
      <c r="E485" s="13">
        <v>204</v>
      </c>
      <c r="F485" s="13">
        <f>ROUND(Source!R471,O485)</f>
        <v>51.93</v>
      </c>
      <c r="G485" s="13" t="s">
        <v>117</v>
      </c>
      <c r="H485" s="13" t="s">
        <v>118</v>
      </c>
      <c r="I485" s="13"/>
      <c r="J485" s="13"/>
      <c r="K485" s="13">
        <v>204</v>
      </c>
      <c r="L485" s="13">
        <v>13</v>
      </c>
      <c r="M485" s="13">
        <v>3</v>
      </c>
      <c r="N485" s="13" t="s">
        <v>3</v>
      </c>
      <c r="O485" s="13">
        <v>2</v>
      </c>
      <c r="P485" s="13">
        <f>ROUND(Source!DJ471,O485)</f>
        <v>2926.24</v>
      </c>
      <c r="Q485" s="13"/>
      <c r="R485" s="13"/>
      <c r="S485" s="13"/>
      <c r="T485" s="13"/>
      <c r="U485" s="13"/>
      <c r="V485" s="13"/>
      <c r="W485" s="13">
        <v>51.93</v>
      </c>
      <c r="X485" s="13">
        <v>1</v>
      </c>
      <c r="Y485" s="13">
        <v>51.93</v>
      </c>
      <c r="Z485" s="13">
        <v>2926.24</v>
      </c>
      <c r="AA485" s="13">
        <v>1</v>
      </c>
      <c r="AB485" s="13">
        <v>2926.24</v>
      </c>
    </row>
    <row r="486" spans="1:28" x14ac:dyDescent="0.2">
      <c r="A486" s="13">
        <v>50</v>
      </c>
      <c r="B486" s="13">
        <v>0</v>
      </c>
      <c r="C486" s="13">
        <v>0</v>
      </c>
      <c r="D486" s="13">
        <v>1</v>
      </c>
      <c r="E486" s="13">
        <v>205</v>
      </c>
      <c r="F486" s="13">
        <f>ROUND(Source!S471,O486)</f>
        <v>28260.61</v>
      </c>
      <c r="G486" s="13" t="s">
        <v>119</v>
      </c>
      <c r="H486" s="13" t="s">
        <v>120</v>
      </c>
      <c r="I486" s="13"/>
      <c r="J486" s="13"/>
      <c r="K486" s="13">
        <v>205</v>
      </c>
      <c r="L486" s="13">
        <v>14</v>
      </c>
      <c r="M486" s="13">
        <v>3</v>
      </c>
      <c r="N486" s="13" t="s">
        <v>3</v>
      </c>
      <c r="O486" s="13">
        <v>2</v>
      </c>
      <c r="P486" s="13">
        <f>ROUND(Source!DK471,O486)</f>
        <v>1592485.39</v>
      </c>
      <c r="Q486" s="13"/>
      <c r="R486" s="13"/>
      <c r="S486" s="13"/>
      <c r="T486" s="13"/>
      <c r="U486" s="13"/>
      <c r="V486" s="13"/>
      <c r="W486" s="13">
        <v>28260.61</v>
      </c>
      <c r="X486" s="13">
        <v>1</v>
      </c>
      <c r="Y486" s="13">
        <v>28260.61</v>
      </c>
      <c r="Z486" s="13">
        <v>1592485.39</v>
      </c>
      <c r="AA486" s="13">
        <v>1</v>
      </c>
      <c r="AB486" s="13">
        <v>1592485.39</v>
      </c>
    </row>
    <row r="487" spans="1:28" x14ac:dyDescent="0.2">
      <c r="A487" s="13">
        <v>50</v>
      </c>
      <c r="B487" s="13">
        <v>0</v>
      </c>
      <c r="C487" s="13">
        <v>0</v>
      </c>
      <c r="D487" s="13">
        <v>1</v>
      </c>
      <c r="E487" s="13">
        <v>232</v>
      </c>
      <c r="F487" s="13">
        <f>ROUND(Source!BC471,O487)</f>
        <v>0</v>
      </c>
      <c r="G487" s="13" t="s">
        <v>121</v>
      </c>
      <c r="H487" s="13" t="s">
        <v>122</v>
      </c>
      <c r="I487" s="13"/>
      <c r="J487" s="13"/>
      <c r="K487" s="13">
        <v>232</v>
      </c>
      <c r="L487" s="13">
        <v>15</v>
      </c>
      <c r="M487" s="13">
        <v>3</v>
      </c>
      <c r="N487" s="13" t="s">
        <v>3</v>
      </c>
      <c r="O487" s="13">
        <v>2</v>
      </c>
      <c r="P487" s="13">
        <f>ROUND(Source!EU471,O487)</f>
        <v>0</v>
      </c>
      <c r="Q487" s="13"/>
      <c r="R487" s="13"/>
      <c r="S487" s="13"/>
      <c r="T487" s="13"/>
      <c r="U487" s="13"/>
      <c r="V487" s="13"/>
      <c r="W487" s="13">
        <v>0</v>
      </c>
      <c r="X487" s="13">
        <v>1</v>
      </c>
      <c r="Y487" s="13">
        <v>0</v>
      </c>
      <c r="Z487" s="13">
        <v>0</v>
      </c>
      <c r="AA487" s="13">
        <v>1</v>
      </c>
      <c r="AB487" s="13">
        <v>0</v>
      </c>
    </row>
    <row r="488" spans="1:28" x14ac:dyDescent="0.2">
      <c r="A488" s="13">
        <v>50</v>
      </c>
      <c r="B488" s="13">
        <v>0</v>
      </c>
      <c r="C488" s="13">
        <v>0</v>
      </c>
      <c r="D488" s="13">
        <v>1</v>
      </c>
      <c r="E488" s="13">
        <v>214</v>
      </c>
      <c r="F488" s="13">
        <f>ROUND(Source!AS471,O488)</f>
        <v>30622.36</v>
      </c>
      <c r="G488" s="13" t="s">
        <v>123</v>
      </c>
      <c r="H488" s="13" t="s">
        <v>124</v>
      </c>
      <c r="I488" s="13"/>
      <c r="J488" s="13"/>
      <c r="K488" s="13">
        <v>214</v>
      </c>
      <c r="L488" s="13">
        <v>16</v>
      </c>
      <c r="M488" s="13">
        <v>3</v>
      </c>
      <c r="N488" s="13" t="s">
        <v>3</v>
      </c>
      <c r="O488" s="13">
        <v>2</v>
      </c>
      <c r="P488" s="13">
        <f>ROUND(Source!EK471,O488)</f>
        <v>1725569.61</v>
      </c>
      <c r="Q488" s="13"/>
      <c r="R488" s="13"/>
      <c r="S488" s="13"/>
      <c r="T488" s="13"/>
      <c r="U488" s="13"/>
      <c r="V488" s="13"/>
      <c r="W488" s="13">
        <v>30622.36</v>
      </c>
      <c r="X488" s="13">
        <v>1</v>
      </c>
      <c r="Y488" s="13">
        <v>30622.36</v>
      </c>
      <c r="Z488" s="13">
        <v>1725569.61</v>
      </c>
      <c r="AA488" s="13">
        <v>1</v>
      </c>
      <c r="AB488" s="13">
        <v>1725569.61</v>
      </c>
    </row>
    <row r="489" spans="1:28" x14ac:dyDescent="0.2">
      <c r="A489" s="13">
        <v>50</v>
      </c>
      <c r="B489" s="13">
        <v>0</v>
      </c>
      <c r="C489" s="13">
        <v>0</v>
      </c>
      <c r="D489" s="13">
        <v>1</v>
      </c>
      <c r="E489" s="13">
        <v>215</v>
      </c>
      <c r="F489" s="13">
        <f>ROUND(Source!AT471,O489)</f>
        <v>100952.98</v>
      </c>
      <c r="G489" s="13" t="s">
        <v>125</v>
      </c>
      <c r="H489" s="13" t="s">
        <v>126</v>
      </c>
      <c r="I489" s="13"/>
      <c r="J489" s="13"/>
      <c r="K489" s="13">
        <v>215</v>
      </c>
      <c r="L489" s="13">
        <v>17</v>
      </c>
      <c r="M489" s="13">
        <v>3</v>
      </c>
      <c r="N489" s="13" t="s">
        <v>3</v>
      </c>
      <c r="O489" s="13">
        <v>2</v>
      </c>
      <c r="P489" s="13">
        <f>ROUND(Source!EL471,O489)</f>
        <v>2521902.4900000002</v>
      </c>
      <c r="Q489" s="13"/>
      <c r="R489" s="13"/>
      <c r="S489" s="13"/>
      <c r="T489" s="13"/>
      <c r="U489" s="13"/>
      <c r="V489" s="13"/>
      <c r="W489" s="13">
        <v>100952.98</v>
      </c>
      <c r="X489" s="13">
        <v>1</v>
      </c>
      <c r="Y489" s="13">
        <v>100952.98</v>
      </c>
      <c r="Z489" s="13">
        <v>2521902.4900000002</v>
      </c>
      <c r="AA489" s="13">
        <v>1</v>
      </c>
      <c r="AB489" s="13">
        <v>2521902.4900000002</v>
      </c>
    </row>
    <row r="490" spans="1:28" x14ac:dyDescent="0.2">
      <c r="A490" s="13">
        <v>50</v>
      </c>
      <c r="B490" s="13">
        <v>0</v>
      </c>
      <c r="C490" s="13">
        <v>0</v>
      </c>
      <c r="D490" s="13">
        <v>1</v>
      </c>
      <c r="E490" s="13">
        <v>217</v>
      </c>
      <c r="F490" s="13">
        <f>ROUND(Source!AU471,O490)</f>
        <v>0</v>
      </c>
      <c r="G490" s="13" t="s">
        <v>127</v>
      </c>
      <c r="H490" s="13" t="s">
        <v>128</v>
      </c>
      <c r="I490" s="13"/>
      <c r="J490" s="13"/>
      <c r="K490" s="13">
        <v>217</v>
      </c>
      <c r="L490" s="13">
        <v>18</v>
      </c>
      <c r="M490" s="13">
        <v>3</v>
      </c>
      <c r="N490" s="13" t="s">
        <v>3</v>
      </c>
      <c r="O490" s="13">
        <v>2</v>
      </c>
      <c r="P490" s="13">
        <f>ROUND(Source!EM471,O490)</f>
        <v>0</v>
      </c>
      <c r="Q490" s="13"/>
      <c r="R490" s="13"/>
      <c r="S490" s="13"/>
      <c r="T490" s="13"/>
      <c r="U490" s="13"/>
      <c r="V490" s="13"/>
      <c r="W490" s="13">
        <v>0</v>
      </c>
      <c r="X490" s="13">
        <v>1</v>
      </c>
      <c r="Y490" s="13">
        <v>0</v>
      </c>
      <c r="Z490" s="13">
        <v>0</v>
      </c>
      <c r="AA490" s="13">
        <v>1</v>
      </c>
      <c r="AB490" s="13">
        <v>0</v>
      </c>
    </row>
    <row r="491" spans="1:28" x14ac:dyDescent="0.2">
      <c r="A491" s="13">
        <v>50</v>
      </c>
      <c r="B491" s="13">
        <v>0</v>
      </c>
      <c r="C491" s="13">
        <v>0</v>
      </c>
      <c r="D491" s="13">
        <v>1</v>
      </c>
      <c r="E491" s="13">
        <v>230</v>
      </c>
      <c r="F491" s="13">
        <f>ROUND(Source!BA471,O491)</f>
        <v>0</v>
      </c>
      <c r="G491" s="13" t="s">
        <v>129</v>
      </c>
      <c r="H491" s="13" t="s">
        <v>130</v>
      </c>
      <c r="I491" s="13"/>
      <c r="J491" s="13"/>
      <c r="K491" s="13">
        <v>230</v>
      </c>
      <c r="L491" s="13">
        <v>19</v>
      </c>
      <c r="M491" s="13">
        <v>3</v>
      </c>
      <c r="N491" s="13" t="s">
        <v>3</v>
      </c>
      <c r="O491" s="13">
        <v>2</v>
      </c>
      <c r="P491" s="13">
        <f>ROUND(Source!ES471,O491)</f>
        <v>0</v>
      </c>
      <c r="Q491" s="13"/>
      <c r="R491" s="13"/>
      <c r="S491" s="13"/>
      <c r="T491" s="13"/>
      <c r="U491" s="13"/>
      <c r="V491" s="13"/>
      <c r="W491" s="13">
        <v>0</v>
      </c>
      <c r="X491" s="13">
        <v>1</v>
      </c>
      <c r="Y491" s="13">
        <v>0</v>
      </c>
      <c r="Z491" s="13">
        <v>0</v>
      </c>
      <c r="AA491" s="13">
        <v>1</v>
      </c>
      <c r="AB491" s="13">
        <v>0</v>
      </c>
    </row>
    <row r="492" spans="1:28" x14ac:dyDescent="0.2">
      <c r="A492" s="13">
        <v>50</v>
      </c>
      <c r="B492" s="13">
        <v>0</v>
      </c>
      <c r="C492" s="13">
        <v>0</v>
      </c>
      <c r="D492" s="13">
        <v>1</v>
      </c>
      <c r="E492" s="13">
        <v>206</v>
      </c>
      <c r="F492" s="13">
        <f>ROUND(Source!T471,O492)</f>
        <v>0</v>
      </c>
      <c r="G492" s="13" t="s">
        <v>131</v>
      </c>
      <c r="H492" s="13" t="s">
        <v>132</v>
      </c>
      <c r="I492" s="13"/>
      <c r="J492" s="13"/>
      <c r="K492" s="13">
        <v>206</v>
      </c>
      <c r="L492" s="13">
        <v>20</v>
      </c>
      <c r="M492" s="13">
        <v>3</v>
      </c>
      <c r="N492" s="13" t="s">
        <v>3</v>
      </c>
      <c r="O492" s="13">
        <v>2</v>
      </c>
      <c r="P492" s="13">
        <f>ROUND(Source!DL471,O492)</f>
        <v>0</v>
      </c>
      <c r="Q492" s="13"/>
      <c r="R492" s="13"/>
      <c r="S492" s="13"/>
      <c r="T492" s="13"/>
      <c r="U492" s="13"/>
      <c r="V492" s="13"/>
      <c r="W492" s="13">
        <v>0</v>
      </c>
      <c r="X492" s="13">
        <v>1</v>
      </c>
      <c r="Y492" s="13">
        <v>0</v>
      </c>
      <c r="Z492" s="13">
        <v>0</v>
      </c>
      <c r="AA492" s="13">
        <v>1</v>
      </c>
      <c r="AB492" s="13">
        <v>0</v>
      </c>
    </row>
    <row r="493" spans="1:28" x14ac:dyDescent="0.2">
      <c r="A493" s="13">
        <v>50</v>
      </c>
      <c r="B493" s="13">
        <v>0</v>
      </c>
      <c r="C493" s="13">
        <v>0</v>
      </c>
      <c r="D493" s="13">
        <v>1</v>
      </c>
      <c r="E493" s="13">
        <v>207</v>
      </c>
      <c r="F493" s="13">
        <f>Source!U471</f>
        <v>2479.6719986400003</v>
      </c>
      <c r="G493" s="13" t="s">
        <v>133</v>
      </c>
      <c r="H493" s="13" t="s">
        <v>134</v>
      </c>
      <c r="I493" s="13"/>
      <c r="J493" s="13"/>
      <c r="K493" s="13">
        <v>207</v>
      </c>
      <c r="L493" s="13">
        <v>21</v>
      </c>
      <c r="M493" s="13">
        <v>3</v>
      </c>
      <c r="N493" s="13" t="s">
        <v>3</v>
      </c>
      <c r="O493" s="13">
        <v>-1</v>
      </c>
      <c r="P493" s="13">
        <f>Source!DM471</f>
        <v>2479.6719986400003</v>
      </c>
      <c r="Q493" s="13"/>
      <c r="R493" s="13"/>
      <c r="S493" s="13"/>
      <c r="T493" s="13"/>
      <c r="U493" s="13"/>
      <c r="V493" s="13"/>
      <c r="W493" s="13">
        <v>2479.6719986399999</v>
      </c>
      <c r="X493" s="13">
        <v>1</v>
      </c>
      <c r="Y493" s="13">
        <v>2479.6719986399999</v>
      </c>
      <c r="Z493" s="13">
        <v>2479.6719986399999</v>
      </c>
      <c r="AA493" s="13">
        <v>1</v>
      </c>
      <c r="AB493" s="13">
        <v>2479.6719986399999</v>
      </c>
    </row>
    <row r="494" spans="1:28" x14ac:dyDescent="0.2">
      <c r="A494" s="13">
        <v>50</v>
      </c>
      <c r="B494" s="13">
        <v>0</v>
      </c>
      <c r="C494" s="13">
        <v>0</v>
      </c>
      <c r="D494" s="13">
        <v>1</v>
      </c>
      <c r="E494" s="13">
        <v>208</v>
      </c>
      <c r="F494" s="13">
        <f>Source!V471</f>
        <v>0</v>
      </c>
      <c r="G494" s="13" t="s">
        <v>135</v>
      </c>
      <c r="H494" s="13" t="s">
        <v>136</v>
      </c>
      <c r="I494" s="13"/>
      <c r="J494" s="13"/>
      <c r="K494" s="13">
        <v>208</v>
      </c>
      <c r="L494" s="13">
        <v>22</v>
      </c>
      <c r="M494" s="13">
        <v>3</v>
      </c>
      <c r="N494" s="13" t="s">
        <v>3</v>
      </c>
      <c r="O494" s="13">
        <v>-1</v>
      </c>
      <c r="P494" s="13">
        <f>Source!DN471</f>
        <v>0</v>
      </c>
      <c r="Q494" s="13"/>
      <c r="R494" s="13"/>
      <c r="S494" s="13"/>
      <c r="T494" s="13"/>
      <c r="U494" s="13"/>
      <c r="V494" s="13"/>
      <c r="W494" s="13">
        <v>0</v>
      </c>
      <c r="X494" s="13">
        <v>1</v>
      </c>
      <c r="Y494" s="13">
        <v>0</v>
      </c>
      <c r="Z494" s="13">
        <v>0</v>
      </c>
      <c r="AA494" s="13">
        <v>1</v>
      </c>
      <c r="AB494" s="13">
        <v>0</v>
      </c>
    </row>
    <row r="495" spans="1:28" x14ac:dyDescent="0.2">
      <c r="A495" s="13">
        <v>50</v>
      </c>
      <c r="B495" s="13">
        <v>0</v>
      </c>
      <c r="C495" s="13">
        <v>0</v>
      </c>
      <c r="D495" s="13">
        <v>1</v>
      </c>
      <c r="E495" s="13">
        <v>209</v>
      </c>
      <c r="F495" s="13">
        <f>ROUND(Source!W471,O495)</f>
        <v>0</v>
      </c>
      <c r="G495" s="13" t="s">
        <v>137</v>
      </c>
      <c r="H495" s="13" t="s">
        <v>138</v>
      </c>
      <c r="I495" s="13"/>
      <c r="J495" s="13"/>
      <c r="K495" s="13">
        <v>209</v>
      </c>
      <c r="L495" s="13">
        <v>23</v>
      </c>
      <c r="M495" s="13">
        <v>3</v>
      </c>
      <c r="N495" s="13" t="s">
        <v>3</v>
      </c>
      <c r="O495" s="13">
        <v>2</v>
      </c>
      <c r="P495" s="13">
        <f>ROUND(Source!DO471,O495)</f>
        <v>0</v>
      </c>
      <c r="Q495" s="13"/>
      <c r="R495" s="13"/>
      <c r="S495" s="13"/>
      <c r="T495" s="13"/>
      <c r="U495" s="13"/>
      <c r="V495" s="13"/>
      <c r="W495" s="13">
        <v>0</v>
      </c>
      <c r="X495" s="13">
        <v>1</v>
      </c>
      <c r="Y495" s="13">
        <v>0</v>
      </c>
      <c r="Z495" s="13">
        <v>0</v>
      </c>
      <c r="AA495" s="13">
        <v>1</v>
      </c>
      <c r="AB495" s="13">
        <v>0</v>
      </c>
    </row>
    <row r="496" spans="1:28" x14ac:dyDescent="0.2">
      <c r="A496" s="13">
        <v>50</v>
      </c>
      <c r="B496" s="13">
        <v>0</v>
      </c>
      <c r="C496" s="13">
        <v>0</v>
      </c>
      <c r="D496" s="13">
        <v>1</v>
      </c>
      <c r="E496" s="13">
        <v>233</v>
      </c>
      <c r="F496" s="13">
        <f>ROUND(Source!BD471,O496)</f>
        <v>0</v>
      </c>
      <c r="G496" s="13" t="s">
        <v>139</v>
      </c>
      <c r="H496" s="13" t="s">
        <v>140</v>
      </c>
      <c r="I496" s="13"/>
      <c r="J496" s="13"/>
      <c r="K496" s="13">
        <v>233</v>
      </c>
      <c r="L496" s="13">
        <v>24</v>
      </c>
      <c r="M496" s="13">
        <v>3</v>
      </c>
      <c r="N496" s="13" t="s">
        <v>3</v>
      </c>
      <c r="O496" s="13">
        <v>2</v>
      </c>
      <c r="P496" s="13">
        <f>ROUND(Source!EV471,O496)</f>
        <v>0</v>
      </c>
      <c r="Q496" s="13"/>
      <c r="R496" s="13"/>
      <c r="S496" s="13"/>
      <c r="T496" s="13"/>
      <c r="U496" s="13"/>
      <c r="V496" s="13"/>
      <c r="W496" s="13">
        <v>0</v>
      </c>
      <c r="X496" s="13">
        <v>1</v>
      </c>
      <c r="Y496" s="13">
        <v>0</v>
      </c>
      <c r="Z496" s="13">
        <v>0</v>
      </c>
      <c r="AA496" s="13">
        <v>1</v>
      </c>
      <c r="AB496" s="13">
        <v>0</v>
      </c>
    </row>
    <row r="497" spans="1:206" x14ac:dyDescent="0.2">
      <c r="A497" s="13">
        <v>50</v>
      </c>
      <c r="B497" s="13">
        <v>0</v>
      </c>
      <c r="C497" s="13">
        <v>0</v>
      </c>
      <c r="D497" s="13">
        <v>1</v>
      </c>
      <c r="E497" s="13">
        <v>210</v>
      </c>
      <c r="F497" s="13">
        <f>ROUND(Source!X471,O497)</f>
        <v>25831.3</v>
      </c>
      <c r="G497" s="13" t="s">
        <v>141</v>
      </c>
      <c r="H497" s="13" t="s">
        <v>142</v>
      </c>
      <c r="I497" s="13"/>
      <c r="J497" s="13"/>
      <c r="K497" s="13">
        <v>210</v>
      </c>
      <c r="L497" s="13">
        <v>25</v>
      </c>
      <c r="M497" s="13">
        <v>3</v>
      </c>
      <c r="N497" s="13" t="s">
        <v>3</v>
      </c>
      <c r="O497" s="13">
        <v>2</v>
      </c>
      <c r="P497" s="13">
        <f>ROUND(Source!DP471,O497)</f>
        <v>1455593.57</v>
      </c>
      <c r="Q497" s="13"/>
      <c r="R497" s="13"/>
      <c r="S497" s="13"/>
      <c r="T497" s="13"/>
      <c r="U497" s="13"/>
      <c r="V497" s="13"/>
      <c r="W497" s="13">
        <v>25831.3</v>
      </c>
      <c r="X497" s="13">
        <v>1</v>
      </c>
      <c r="Y497" s="13">
        <v>25831.3</v>
      </c>
      <c r="Z497" s="13">
        <v>1455593.57</v>
      </c>
      <c r="AA497" s="13">
        <v>1</v>
      </c>
      <c r="AB497" s="13">
        <v>1455593.57</v>
      </c>
    </row>
    <row r="498" spans="1:206" x14ac:dyDescent="0.2">
      <c r="A498" s="13">
        <v>50</v>
      </c>
      <c r="B498" s="13">
        <v>0</v>
      </c>
      <c r="C498" s="13">
        <v>0</v>
      </c>
      <c r="D498" s="13">
        <v>1</v>
      </c>
      <c r="E498" s="13">
        <v>211</v>
      </c>
      <c r="F498" s="13">
        <f>ROUND(Source!Y471,O498)</f>
        <v>13448.97</v>
      </c>
      <c r="G498" s="13" t="s">
        <v>143</v>
      </c>
      <c r="H498" s="13" t="s">
        <v>144</v>
      </c>
      <c r="I498" s="13"/>
      <c r="J498" s="13"/>
      <c r="K498" s="13">
        <v>211</v>
      </c>
      <c r="L498" s="13">
        <v>26</v>
      </c>
      <c r="M498" s="13">
        <v>3</v>
      </c>
      <c r="N498" s="13" t="s">
        <v>3</v>
      </c>
      <c r="O498" s="13">
        <v>2</v>
      </c>
      <c r="P498" s="13">
        <f>ROUND(Source!DQ471,O498)</f>
        <v>757849.72</v>
      </c>
      <c r="Q498" s="13"/>
      <c r="R498" s="13"/>
      <c r="S498" s="13"/>
      <c r="T498" s="13"/>
      <c r="U498" s="13"/>
      <c r="V498" s="13"/>
      <c r="W498" s="13">
        <v>13448.97</v>
      </c>
      <c r="X498" s="13">
        <v>1</v>
      </c>
      <c r="Y498" s="13">
        <v>13448.97</v>
      </c>
      <c r="Z498" s="13">
        <v>757849.72</v>
      </c>
      <c r="AA498" s="13">
        <v>1</v>
      </c>
      <c r="AB498" s="13">
        <v>757849.72</v>
      </c>
    </row>
    <row r="499" spans="1:206" x14ac:dyDescent="0.2">
      <c r="A499" s="13">
        <v>50</v>
      </c>
      <c r="B499" s="13">
        <v>0</v>
      </c>
      <c r="C499" s="13">
        <v>0</v>
      </c>
      <c r="D499" s="13">
        <v>1</v>
      </c>
      <c r="E499" s="13">
        <v>224</v>
      </c>
      <c r="F499" s="13">
        <f>ROUND(Source!AR471,O499)</f>
        <v>200587.33</v>
      </c>
      <c r="G499" s="13" t="s">
        <v>145</v>
      </c>
      <c r="H499" s="13" t="s">
        <v>146</v>
      </c>
      <c r="I499" s="13"/>
      <c r="J499" s="13"/>
      <c r="K499" s="13">
        <v>224</v>
      </c>
      <c r="L499" s="13">
        <v>27</v>
      </c>
      <c r="M499" s="13">
        <v>3</v>
      </c>
      <c r="N499" s="13" t="s">
        <v>3</v>
      </c>
      <c r="O499" s="13">
        <v>2</v>
      </c>
      <c r="P499" s="13">
        <f>ROUND(Source!EJ471,O499)</f>
        <v>4913174.71</v>
      </c>
      <c r="Q499" s="13"/>
      <c r="R499" s="13"/>
      <c r="S499" s="13"/>
      <c r="T499" s="13"/>
      <c r="U499" s="13"/>
      <c r="V499" s="13"/>
      <c r="W499" s="13">
        <v>200587.33</v>
      </c>
      <c r="X499" s="13">
        <v>1</v>
      </c>
      <c r="Y499" s="13">
        <v>200587.33</v>
      </c>
      <c r="Z499" s="13">
        <v>4913174.71</v>
      </c>
      <c r="AA499" s="13">
        <v>1</v>
      </c>
      <c r="AB499" s="13">
        <v>4913174.71</v>
      </c>
    </row>
    <row r="501" spans="1:206" x14ac:dyDescent="0.2">
      <c r="A501" s="11">
        <v>51</v>
      </c>
      <c r="B501" s="11">
        <f>B12</f>
        <v>540</v>
      </c>
      <c r="C501" s="11">
        <f>A12</f>
        <v>1</v>
      </c>
      <c r="D501" s="11">
        <f>ROW(A12)</f>
        <v>12</v>
      </c>
      <c r="E501" s="11"/>
      <c r="F501" s="11" t="str">
        <f>IF(F12&lt;&gt;"",F12,"")</f>
        <v>02-01-10</v>
      </c>
      <c r="G501" s="11" t="str">
        <f>IF(G12&lt;&gt;"",G12,"")</f>
        <v>02-01-10 СОТС</v>
      </c>
      <c r="H501" s="11">
        <v>0</v>
      </c>
      <c r="I501" s="11"/>
      <c r="J501" s="11"/>
      <c r="K501" s="11"/>
      <c r="L501" s="11"/>
      <c r="M501" s="11"/>
      <c r="N501" s="11"/>
      <c r="O501" s="11">
        <f t="shared" ref="O501:T501" si="419">ROUND(O471,2)</f>
        <v>161307.06</v>
      </c>
      <c r="P501" s="11">
        <f t="shared" si="419"/>
        <v>132376.21</v>
      </c>
      <c r="Q501" s="11">
        <f t="shared" si="419"/>
        <v>670.24</v>
      </c>
      <c r="R501" s="11">
        <f t="shared" si="419"/>
        <v>51.93</v>
      </c>
      <c r="S501" s="11">
        <f t="shared" si="419"/>
        <v>28260.61</v>
      </c>
      <c r="T501" s="11">
        <f t="shared" si="419"/>
        <v>0</v>
      </c>
      <c r="U501" s="11">
        <f>U471</f>
        <v>2479.6719986400003</v>
      </c>
      <c r="V501" s="11">
        <f>V471</f>
        <v>0</v>
      </c>
      <c r="W501" s="11">
        <f>ROUND(W471,2)</f>
        <v>0</v>
      </c>
      <c r="X501" s="11">
        <f>ROUND(X471,2)</f>
        <v>25831.3</v>
      </c>
      <c r="Y501" s="11">
        <f>ROUND(Y471,2)</f>
        <v>13448.97</v>
      </c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>
        <f t="shared" ref="AO501:BD501" si="420">ROUND(AO471,2)</f>
        <v>0</v>
      </c>
      <c r="AP501" s="11">
        <f t="shared" si="420"/>
        <v>69011.990000000005</v>
      </c>
      <c r="AQ501" s="11">
        <f t="shared" si="420"/>
        <v>0</v>
      </c>
      <c r="AR501" s="11">
        <f t="shared" si="420"/>
        <v>200587.33</v>
      </c>
      <c r="AS501" s="11">
        <f t="shared" si="420"/>
        <v>30622.36</v>
      </c>
      <c r="AT501" s="11">
        <f t="shared" si="420"/>
        <v>100952.98</v>
      </c>
      <c r="AU501" s="11">
        <f t="shared" si="420"/>
        <v>0</v>
      </c>
      <c r="AV501" s="11">
        <f t="shared" si="420"/>
        <v>132376.21</v>
      </c>
      <c r="AW501" s="11">
        <f t="shared" si="420"/>
        <v>63364.22</v>
      </c>
      <c r="AX501" s="11">
        <f t="shared" si="420"/>
        <v>0</v>
      </c>
      <c r="AY501" s="11">
        <f t="shared" si="420"/>
        <v>63364.22</v>
      </c>
      <c r="AZ501" s="11">
        <f t="shared" si="420"/>
        <v>69011.990000000005</v>
      </c>
      <c r="BA501" s="11">
        <f t="shared" si="420"/>
        <v>0</v>
      </c>
      <c r="BB501" s="11">
        <f t="shared" si="420"/>
        <v>0</v>
      </c>
      <c r="BC501" s="11">
        <f t="shared" si="420"/>
        <v>0</v>
      </c>
      <c r="BD501" s="11">
        <f t="shared" si="420"/>
        <v>0</v>
      </c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  <c r="CD501" s="11"/>
      <c r="CE501" s="11"/>
      <c r="CF501" s="11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2">
        <f t="shared" ref="DG501:DL501" si="421">ROUND(DG471,2)</f>
        <v>2699731.42</v>
      </c>
      <c r="DH501" s="12">
        <f t="shared" si="421"/>
        <v>1097868.17</v>
      </c>
      <c r="DI501" s="12">
        <f t="shared" si="421"/>
        <v>9377.86</v>
      </c>
      <c r="DJ501" s="12">
        <f t="shared" si="421"/>
        <v>2926.24</v>
      </c>
      <c r="DK501" s="12">
        <f t="shared" si="421"/>
        <v>1592485.39</v>
      </c>
      <c r="DL501" s="12">
        <f t="shared" si="421"/>
        <v>0</v>
      </c>
      <c r="DM501" s="12">
        <f>DM471</f>
        <v>2479.6719986400003</v>
      </c>
      <c r="DN501" s="12">
        <f>DN471</f>
        <v>0</v>
      </c>
      <c r="DO501" s="12">
        <f>ROUND(DO471,2)</f>
        <v>0</v>
      </c>
      <c r="DP501" s="12">
        <f>ROUND(DP471,2)</f>
        <v>1455593.57</v>
      </c>
      <c r="DQ501" s="12">
        <f>ROUND(DQ471,2)</f>
        <v>757849.72</v>
      </c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>
        <f t="shared" ref="EG501:EV501" si="422">ROUND(EG471,2)</f>
        <v>0</v>
      </c>
      <c r="EH501" s="12">
        <f t="shared" si="422"/>
        <v>665702.61</v>
      </c>
      <c r="EI501" s="12">
        <f t="shared" si="422"/>
        <v>0</v>
      </c>
      <c r="EJ501" s="12">
        <f t="shared" si="422"/>
        <v>4913174.71</v>
      </c>
      <c r="EK501" s="12">
        <f t="shared" si="422"/>
        <v>1725569.61</v>
      </c>
      <c r="EL501" s="12">
        <f t="shared" si="422"/>
        <v>2521902.4900000002</v>
      </c>
      <c r="EM501" s="12">
        <f t="shared" si="422"/>
        <v>0</v>
      </c>
      <c r="EN501" s="12">
        <f t="shared" si="422"/>
        <v>1097868.17</v>
      </c>
      <c r="EO501" s="12">
        <f t="shared" si="422"/>
        <v>432165.56</v>
      </c>
      <c r="EP501" s="12">
        <f t="shared" si="422"/>
        <v>0</v>
      </c>
      <c r="EQ501" s="12">
        <f t="shared" si="422"/>
        <v>432165.56</v>
      </c>
      <c r="ER501" s="12">
        <f t="shared" si="422"/>
        <v>665702.61</v>
      </c>
      <c r="ES501" s="12">
        <f t="shared" si="422"/>
        <v>0</v>
      </c>
      <c r="ET501" s="12">
        <f t="shared" si="422"/>
        <v>0</v>
      </c>
      <c r="EU501" s="12">
        <f t="shared" si="422"/>
        <v>0</v>
      </c>
      <c r="EV501" s="12">
        <f t="shared" si="422"/>
        <v>0</v>
      </c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  <c r="FN501" s="12"/>
      <c r="FO501" s="12"/>
      <c r="FP501" s="12"/>
      <c r="FQ501" s="12"/>
      <c r="FR501" s="12"/>
      <c r="FS501" s="12"/>
      <c r="FT501" s="12"/>
      <c r="FU501" s="12"/>
      <c r="FV501" s="12"/>
      <c r="FW501" s="12"/>
      <c r="FX501" s="12"/>
      <c r="FY501" s="12"/>
      <c r="FZ501" s="12"/>
      <c r="GA501" s="12"/>
      <c r="GB501" s="12"/>
      <c r="GC501" s="12"/>
      <c r="GD501" s="12"/>
      <c r="GE501" s="12"/>
      <c r="GF501" s="12"/>
      <c r="GG501" s="12"/>
      <c r="GH501" s="12"/>
      <c r="GI501" s="12"/>
      <c r="GJ501" s="12"/>
      <c r="GK501" s="12"/>
      <c r="GL501" s="12"/>
      <c r="GM501" s="12"/>
      <c r="GN501" s="12"/>
      <c r="GO501" s="12"/>
      <c r="GP501" s="12"/>
      <c r="GQ501" s="12"/>
      <c r="GR501" s="12"/>
      <c r="GS501" s="12"/>
      <c r="GT501" s="12"/>
      <c r="GU501" s="12"/>
      <c r="GV501" s="12"/>
      <c r="GW501" s="12"/>
      <c r="GX501" s="12">
        <v>0</v>
      </c>
    </row>
    <row r="503" spans="1:206" x14ac:dyDescent="0.2">
      <c r="A503" s="13">
        <v>50</v>
      </c>
      <c r="B503" s="13">
        <v>0</v>
      </c>
      <c r="C503" s="13">
        <v>0</v>
      </c>
      <c r="D503" s="13">
        <v>1</v>
      </c>
      <c r="E503" s="13">
        <v>201</v>
      </c>
      <c r="F503" s="13">
        <f>ROUND(Source!O501,O503)</f>
        <v>161307.06</v>
      </c>
      <c r="G503" s="13" t="s">
        <v>93</v>
      </c>
      <c r="H503" s="13" t="s">
        <v>94</v>
      </c>
      <c r="I503" s="13"/>
      <c r="J503" s="13"/>
      <c r="K503" s="13">
        <v>201</v>
      </c>
      <c r="L503" s="13">
        <v>1</v>
      </c>
      <c r="M503" s="13">
        <v>3</v>
      </c>
      <c r="N503" s="13" t="s">
        <v>3</v>
      </c>
      <c r="O503" s="13">
        <v>2</v>
      </c>
      <c r="P503" s="13">
        <f>ROUND(Source!DG501,O503)</f>
        <v>2699731.42</v>
      </c>
      <c r="Q503" s="13"/>
      <c r="R503" s="13"/>
      <c r="S503" s="13"/>
      <c r="T503" s="13"/>
      <c r="U503" s="13"/>
      <c r="V503" s="13"/>
      <c r="W503" s="13">
        <v>161307.06</v>
      </c>
      <c r="X503" s="13">
        <v>1</v>
      </c>
      <c r="Y503" s="13">
        <v>161307.06</v>
      </c>
      <c r="Z503" s="13">
        <v>2699731.42</v>
      </c>
      <c r="AA503" s="13">
        <v>1</v>
      </c>
      <c r="AB503" s="13">
        <v>2699731.42</v>
      </c>
    </row>
    <row r="504" spans="1:206" x14ac:dyDescent="0.2">
      <c r="A504" s="13">
        <v>50</v>
      </c>
      <c r="B504" s="13">
        <v>0</v>
      </c>
      <c r="C504" s="13">
        <v>0</v>
      </c>
      <c r="D504" s="13">
        <v>1</v>
      </c>
      <c r="E504" s="13">
        <v>202</v>
      </c>
      <c r="F504" s="13">
        <f>ROUND(Source!P501,O504)</f>
        <v>132376.21</v>
      </c>
      <c r="G504" s="13" t="s">
        <v>95</v>
      </c>
      <c r="H504" s="13" t="s">
        <v>96</v>
      </c>
      <c r="I504" s="13"/>
      <c r="J504" s="13"/>
      <c r="K504" s="13">
        <v>202</v>
      </c>
      <c r="L504" s="13">
        <v>2</v>
      </c>
      <c r="M504" s="13">
        <v>3</v>
      </c>
      <c r="N504" s="13" t="s">
        <v>3</v>
      </c>
      <c r="O504" s="13">
        <v>2</v>
      </c>
      <c r="P504" s="13">
        <f>ROUND(Source!DH501,O504)</f>
        <v>1097868.17</v>
      </c>
      <c r="Q504" s="13"/>
      <c r="R504" s="13"/>
      <c r="S504" s="13"/>
      <c r="T504" s="13"/>
      <c r="U504" s="13"/>
      <c r="V504" s="13"/>
      <c r="W504" s="13">
        <v>132376.21</v>
      </c>
      <c r="X504" s="13">
        <v>1</v>
      </c>
      <c r="Y504" s="13">
        <v>132376.21</v>
      </c>
      <c r="Z504" s="13">
        <v>1097868.17</v>
      </c>
      <c r="AA504" s="13">
        <v>1</v>
      </c>
      <c r="AB504" s="13">
        <v>1097868.17</v>
      </c>
    </row>
    <row r="505" spans="1:206" x14ac:dyDescent="0.2">
      <c r="A505" s="13">
        <v>50</v>
      </c>
      <c r="B505" s="13">
        <v>0</v>
      </c>
      <c r="C505" s="13">
        <v>0</v>
      </c>
      <c r="D505" s="13">
        <v>1</v>
      </c>
      <c r="E505" s="13">
        <v>222</v>
      </c>
      <c r="F505" s="13">
        <f>ROUND(Source!AO501,O505)</f>
        <v>0</v>
      </c>
      <c r="G505" s="13" t="s">
        <v>97</v>
      </c>
      <c r="H505" s="13" t="s">
        <v>98</v>
      </c>
      <c r="I505" s="13"/>
      <c r="J505" s="13"/>
      <c r="K505" s="13">
        <v>222</v>
      </c>
      <c r="L505" s="13">
        <v>3</v>
      </c>
      <c r="M505" s="13">
        <v>3</v>
      </c>
      <c r="N505" s="13" t="s">
        <v>3</v>
      </c>
      <c r="O505" s="13">
        <v>2</v>
      </c>
      <c r="P505" s="13">
        <f>ROUND(Source!EG501,O505)</f>
        <v>0</v>
      </c>
      <c r="Q505" s="13"/>
      <c r="R505" s="13"/>
      <c r="S505" s="13"/>
      <c r="T505" s="13"/>
      <c r="U505" s="13"/>
      <c r="V505" s="13"/>
      <c r="W505" s="13">
        <v>0</v>
      </c>
      <c r="X505" s="13">
        <v>1</v>
      </c>
      <c r="Y505" s="13">
        <v>0</v>
      </c>
      <c r="Z505" s="13">
        <v>0</v>
      </c>
      <c r="AA505" s="13">
        <v>1</v>
      </c>
      <c r="AB505" s="13">
        <v>0</v>
      </c>
    </row>
    <row r="506" spans="1:206" x14ac:dyDescent="0.2">
      <c r="A506" s="13">
        <v>50</v>
      </c>
      <c r="B506" s="13">
        <v>0</v>
      </c>
      <c r="C506" s="13">
        <v>0</v>
      </c>
      <c r="D506" s="13">
        <v>1</v>
      </c>
      <c r="E506" s="13">
        <v>225</v>
      </c>
      <c r="F506" s="13">
        <f>ROUND(Source!AV501,O506)</f>
        <v>132376.21</v>
      </c>
      <c r="G506" s="13" t="s">
        <v>99</v>
      </c>
      <c r="H506" s="13" t="s">
        <v>100</v>
      </c>
      <c r="I506" s="13"/>
      <c r="J506" s="13"/>
      <c r="K506" s="13">
        <v>225</v>
      </c>
      <c r="L506" s="13">
        <v>4</v>
      </c>
      <c r="M506" s="13">
        <v>3</v>
      </c>
      <c r="N506" s="13" t="s">
        <v>3</v>
      </c>
      <c r="O506" s="13">
        <v>2</v>
      </c>
      <c r="P506" s="13">
        <f>ROUND(Source!EN501,O506)</f>
        <v>1097868.17</v>
      </c>
      <c r="Q506" s="13"/>
      <c r="R506" s="13"/>
      <c r="S506" s="13"/>
      <c r="T506" s="13"/>
      <c r="U506" s="13"/>
      <c r="V506" s="13"/>
      <c r="W506" s="13">
        <v>132376.21</v>
      </c>
      <c r="X506" s="13">
        <v>1</v>
      </c>
      <c r="Y506" s="13">
        <v>132376.21</v>
      </c>
      <c r="Z506" s="13">
        <v>1097868.17</v>
      </c>
      <c r="AA506" s="13">
        <v>1</v>
      </c>
      <c r="AB506" s="13">
        <v>1097868.17</v>
      </c>
    </row>
    <row r="507" spans="1:206" x14ac:dyDescent="0.2">
      <c r="A507" s="13">
        <v>50</v>
      </c>
      <c r="B507" s="13">
        <v>0</v>
      </c>
      <c r="C507" s="13">
        <v>0</v>
      </c>
      <c r="D507" s="13">
        <v>1</v>
      </c>
      <c r="E507" s="13">
        <v>226</v>
      </c>
      <c r="F507" s="13">
        <f>ROUND(Source!AW501,O507)</f>
        <v>63364.22</v>
      </c>
      <c r="G507" s="13" t="s">
        <v>101</v>
      </c>
      <c r="H507" s="13" t="s">
        <v>102</v>
      </c>
      <c r="I507" s="13"/>
      <c r="J507" s="13"/>
      <c r="K507" s="13">
        <v>226</v>
      </c>
      <c r="L507" s="13">
        <v>5</v>
      </c>
      <c r="M507" s="13">
        <v>3</v>
      </c>
      <c r="N507" s="13" t="s">
        <v>3</v>
      </c>
      <c r="O507" s="13">
        <v>2</v>
      </c>
      <c r="P507" s="13">
        <f>ROUND(Source!EO501,O507)</f>
        <v>432165.56</v>
      </c>
      <c r="Q507" s="13"/>
      <c r="R507" s="13"/>
      <c r="S507" s="13"/>
      <c r="T507" s="13"/>
      <c r="U507" s="13"/>
      <c r="V507" s="13"/>
      <c r="W507" s="13">
        <v>63364.22</v>
      </c>
      <c r="X507" s="13">
        <v>1</v>
      </c>
      <c r="Y507" s="13">
        <v>63364.22</v>
      </c>
      <c r="Z507" s="13">
        <v>432165.56</v>
      </c>
      <c r="AA507" s="13">
        <v>1</v>
      </c>
      <c r="AB507" s="13">
        <v>432165.56</v>
      </c>
    </row>
    <row r="508" spans="1:206" x14ac:dyDescent="0.2">
      <c r="A508" s="13">
        <v>50</v>
      </c>
      <c r="B508" s="13">
        <v>0</v>
      </c>
      <c r="C508" s="13">
        <v>0</v>
      </c>
      <c r="D508" s="13">
        <v>1</v>
      </c>
      <c r="E508" s="13">
        <v>227</v>
      </c>
      <c r="F508" s="13">
        <f>ROUND(Source!AX501,O508)</f>
        <v>0</v>
      </c>
      <c r="G508" s="13" t="s">
        <v>103</v>
      </c>
      <c r="H508" s="13" t="s">
        <v>104</v>
      </c>
      <c r="I508" s="13"/>
      <c r="J508" s="13"/>
      <c r="K508" s="13">
        <v>227</v>
      </c>
      <c r="L508" s="13">
        <v>6</v>
      </c>
      <c r="M508" s="13">
        <v>3</v>
      </c>
      <c r="N508" s="13" t="s">
        <v>3</v>
      </c>
      <c r="O508" s="13">
        <v>2</v>
      </c>
      <c r="P508" s="13">
        <f>ROUND(Source!EP501,O508)</f>
        <v>0</v>
      </c>
      <c r="Q508" s="13"/>
      <c r="R508" s="13"/>
      <c r="S508" s="13"/>
      <c r="T508" s="13"/>
      <c r="U508" s="13"/>
      <c r="V508" s="13"/>
      <c r="W508" s="13">
        <v>0</v>
      </c>
      <c r="X508" s="13">
        <v>1</v>
      </c>
      <c r="Y508" s="13">
        <v>0</v>
      </c>
      <c r="Z508" s="13">
        <v>0</v>
      </c>
      <c r="AA508" s="13">
        <v>1</v>
      </c>
      <c r="AB508" s="13">
        <v>0</v>
      </c>
    </row>
    <row r="509" spans="1:206" x14ac:dyDescent="0.2">
      <c r="A509" s="13">
        <v>50</v>
      </c>
      <c r="B509" s="13">
        <v>0</v>
      </c>
      <c r="C509" s="13">
        <v>0</v>
      </c>
      <c r="D509" s="13">
        <v>1</v>
      </c>
      <c r="E509" s="13">
        <v>228</v>
      </c>
      <c r="F509" s="13">
        <f>ROUND(Source!AY501,O509)</f>
        <v>63364.22</v>
      </c>
      <c r="G509" s="13" t="s">
        <v>105</v>
      </c>
      <c r="H509" s="13" t="s">
        <v>106</v>
      </c>
      <c r="I509" s="13"/>
      <c r="J509" s="13"/>
      <c r="K509" s="13">
        <v>228</v>
      </c>
      <c r="L509" s="13">
        <v>7</v>
      </c>
      <c r="M509" s="13">
        <v>3</v>
      </c>
      <c r="N509" s="13" t="s">
        <v>3</v>
      </c>
      <c r="O509" s="13">
        <v>2</v>
      </c>
      <c r="P509" s="13">
        <f>ROUND(Source!EQ501,O509)</f>
        <v>432165.56</v>
      </c>
      <c r="Q509" s="13"/>
      <c r="R509" s="13"/>
      <c r="S509" s="13"/>
      <c r="T509" s="13"/>
      <c r="U509" s="13"/>
      <c r="V509" s="13"/>
      <c r="W509" s="13">
        <v>63364.22</v>
      </c>
      <c r="X509" s="13">
        <v>1</v>
      </c>
      <c r="Y509" s="13">
        <v>63364.22</v>
      </c>
      <c r="Z509" s="13">
        <v>432165.56</v>
      </c>
      <c r="AA509" s="13">
        <v>1</v>
      </c>
      <c r="AB509" s="13">
        <v>432165.56</v>
      </c>
    </row>
    <row r="510" spans="1:206" x14ac:dyDescent="0.2">
      <c r="A510" s="13">
        <v>50</v>
      </c>
      <c r="B510" s="13">
        <v>0</v>
      </c>
      <c r="C510" s="13">
        <v>0</v>
      </c>
      <c r="D510" s="13">
        <v>1</v>
      </c>
      <c r="E510" s="13">
        <v>216</v>
      </c>
      <c r="F510" s="13">
        <f>ROUND(Source!AP501,O510)</f>
        <v>69011.990000000005</v>
      </c>
      <c r="G510" s="13" t="s">
        <v>107</v>
      </c>
      <c r="H510" s="13" t="s">
        <v>108</v>
      </c>
      <c r="I510" s="13"/>
      <c r="J510" s="13"/>
      <c r="K510" s="13">
        <v>216</v>
      </c>
      <c r="L510" s="13">
        <v>8</v>
      </c>
      <c r="M510" s="13">
        <v>3</v>
      </c>
      <c r="N510" s="13" t="s">
        <v>3</v>
      </c>
      <c r="O510" s="13">
        <v>2</v>
      </c>
      <c r="P510" s="13">
        <f>ROUND(Source!EH501,O510)</f>
        <v>665702.61</v>
      </c>
      <c r="Q510" s="13"/>
      <c r="R510" s="13"/>
      <c r="S510" s="13"/>
      <c r="T510" s="13"/>
      <c r="U510" s="13"/>
      <c r="V510" s="13"/>
      <c r="W510" s="13">
        <v>69011.990000000005</v>
      </c>
      <c r="X510" s="13">
        <v>1</v>
      </c>
      <c r="Y510" s="13">
        <v>69011.990000000005</v>
      </c>
      <c r="Z510" s="13">
        <v>665702.61</v>
      </c>
      <c r="AA510" s="13">
        <v>1</v>
      </c>
      <c r="AB510" s="13">
        <v>665702.61</v>
      </c>
    </row>
    <row r="511" spans="1:206" x14ac:dyDescent="0.2">
      <c r="A511" s="13">
        <v>50</v>
      </c>
      <c r="B511" s="13">
        <v>0</v>
      </c>
      <c r="C511" s="13">
        <v>0</v>
      </c>
      <c r="D511" s="13">
        <v>1</v>
      </c>
      <c r="E511" s="13">
        <v>223</v>
      </c>
      <c r="F511" s="13">
        <f>ROUND(Source!AQ501,O511)</f>
        <v>0</v>
      </c>
      <c r="G511" s="13" t="s">
        <v>109</v>
      </c>
      <c r="H511" s="13" t="s">
        <v>110</v>
      </c>
      <c r="I511" s="13"/>
      <c r="J511" s="13"/>
      <c r="K511" s="13">
        <v>223</v>
      </c>
      <c r="L511" s="13">
        <v>9</v>
      </c>
      <c r="M511" s="13">
        <v>3</v>
      </c>
      <c r="N511" s="13" t="s">
        <v>3</v>
      </c>
      <c r="O511" s="13">
        <v>2</v>
      </c>
      <c r="P511" s="13">
        <f>ROUND(Source!EI501,O511)</f>
        <v>0</v>
      </c>
      <c r="Q511" s="13"/>
      <c r="R511" s="13"/>
      <c r="S511" s="13"/>
      <c r="T511" s="13"/>
      <c r="U511" s="13"/>
      <c r="V511" s="13"/>
      <c r="W511" s="13">
        <v>0</v>
      </c>
      <c r="X511" s="13">
        <v>1</v>
      </c>
      <c r="Y511" s="13">
        <v>0</v>
      </c>
      <c r="Z511" s="13">
        <v>0</v>
      </c>
      <c r="AA511" s="13">
        <v>1</v>
      </c>
      <c r="AB511" s="13">
        <v>0</v>
      </c>
    </row>
    <row r="512" spans="1:206" x14ac:dyDescent="0.2">
      <c r="A512" s="13">
        <v>50</v>
      </c>
      <c r="B512" s="13">
        <v>0</v>
      </c>
      <c r="C512" s="13">
        <v>0</v>
      </c>
      <c r="D512" s="13">
        <v>1</v>
      </c>
      <c r="E512" s="13">
        <v>229</v>
      </c>
      <c r="F512" s="13">
        <f>ROUND(Source!AZ501,O512)</f>
        <v>69011.990000000005</v>
      </c>
      <c r="G512" s="13" t="s">
        <v>111</v>
      </c>
      <c r="H512" s="13" t="s">
        <v>112</v>
      </c>
      <c r="I512" s="13"/>
      <c r="J512" s="13"/>
      <c r="K512" s="13">
        <v>229</v>
      </c>
      <c r="L512" s="13">
        <v>10</v>
      </c>
      <c r="M512" s="13">
        <v>3</v>
      </c>
      <c r="N512" s="13" t="s">
        <v>3</v>
      </c>
      <c r="O512" s="13">
        <v>2</v>
      </c>
      <c r="P512" s="13">
        <f>ROUND(Source!ER501,O512)</f>
        <v>665702.61</v>
      </c>
      <c r="Q512" s="13"/>
      <c r="R512" s="13"/>
      <c r="S512" s="13"/>
      <c r="T512" s="13"/>
      <c r="U512" s="13"/>
      <c r="V512" s="13"/>
      <c r="W512" s="13">
        <v>69011.990000000005</v>
      </c>
      <c r="X512" s="13">
        <v>1</v>
      </c>
      <c r="Y512" s="13">
        <v>69011.990000000005</v>
      </c>
      <c r="Z512" s="13">
        <v>665702.61</v>
      </c>
      <c r="AA512" s="13">
        <v>1</v>
      </c>
      <c r="AB512" s="13">
        <v>665702.61</v>
      </c>
    </row>
    <row r="513" spans="1:28" x14ac:dyDescent="0.2">
      <c r="A513" s="13">
        <v>50</v>
      </c>
      <c r="B513" s="13">
        <v>0</v>
      </c>
      <c r="C513" s="13">
        <v>0</v>
      </c>
      <c r="D513" s="13">
        <v>1</v>
      </c>
      <c r="E513" s="13">
        <v>203</v>
      </c>
      <c r="F513" s="13">
        <f>ROUND(Source!Q501,O513)</f>
        <v>670.24</v>
      </c>
      <c r="G513" s="13" t="s">
        <v>113</v>
      </c>
      <c r="H513" s="13" t="s">
        <v>114</v>
      </c>
      <c r="I513" s="13"/>
      <c r="J513" s="13"/>
      <c r="K513" s="13">
        <v>203</v>
      </c>
      <c r="L513" s="13">
        <v>11</v>
      </c>
      <c r="M513" s="13">
        <v>3</v>
      </c>
      <c r="N513" s="13" t="s">
        <v>3</v>
      </c>
      <c r="O513" s="13">
        <v>2</v>
      </c>
      <c r="P513" s="13">
        <f>ROUND(Source!DI501,O513)</f>
        <v>9377.86</v>
      </c>
      <c r="Q513" s="13"/>
      <c r="R513" s="13"/>
      <c r="S513" s="13"/>
      <c r="T513" s="13"/>
      <c r="U513" s="13"/>
      <c r="V513" s="13"/>
      <c r="W513" s="13">
        <v>670.24</v>
      </c>
      <c r="X513" s="13">
        <v>1</v>
      </c>
      <c r="Y513" s="13">
        <v>670.24</v>
      </c>
      <c r="Z513" s="13">
        <v>9377.86</v>
      </c>
      <c r="AA513" s="13">
        <v>1</v>
      </c>
      <c r="AB513" s="13">
        <v>9377.86</v>
      </c>
    </row>
    <row r="514" spans="1:28" x14ac:dyDescent="0.2">
      <c r="A514" s="13">
        <v>50</v>
      </c>
      <c r="B514" s="13">
        <v>0</v>
      </c>
      <c r="C514" s="13">
        <v>0</v>
      </c>
      <c r="D514" s="13">
        <v>1</v>
      </c>
      <c r="E514" s="13">
        <v>231</v>
      </c>
      <c r="F514" s="13">
        <f>ROUND(Source!BB501,O514)</f>
        <v>0</v>
      </c>
      <c r="G514" s="13" t="s">
        <v>115</v>
      </c>
      <c r="H514" s="13" t="s">
        <v>116</v>
      </c>
      <c r="I514" s="13"/>
      <c r="J514" s="13"/>
      <c r="K514" s="13">
        <v>231</v>
      </c>
      <c r="L514" s="13">
        <v>12</v>
      </c>
      <c r="M514" s="13">
        <v>3</v>
      </c>
      <c r="N514" s="13" t="s">
        <v>3</v>
      </c>
      <c r="O514" s="13">
        <v>2</v>
      </c>
      <c r="P514" s="13">
        <f>ROUND(Source!ET501,O514)</f>
        <v>0</v>
      </c>
      <c r="Q514" s="13"/>
      <c r="R514" s="13"/>
      <c r="S514" s="13"/>
      <c r="T514" s="13"/>
      <c r="U514" s="13"/>
      <c r="V514" s="13"/>
      <c r="W514" s="13">
        <v>0</v>
      </c>
      <c r="X514" s="13">
        <v>1</v>
      </c>
      <c r="Y514" s="13">
        <v>0</v>
      </c>
      <c r="Z514" s="13">
        <v>0</v>
      </c>
      <c r="AA514" s="13">
        <v>1</v>
      </c>
      <c r="AB514" s="13">
        <v>0</v>
      </c>
    </row>
    <row r="515" spans="1:28" x14ac:dyDescent="0.2">
      <c r="A515" s="13">
        <v>50</v>
      </c>
      <c r="B515" s="13">
        <v>0</v>
      </c>
      <c r="C515" s="13">
        <v>0</v>
      </c>
      <c r="D515" s="13">
        <v>1</v>
      </c>
      <c r="E515" s="13">
        <v>204</v>
      </c>
      <c r="F515" s="13">
        <f>ROUND(Source!R501,O515)</f>
        <v>51.93</v>
      </c>
      <c r="G515" s="13" t="s">
        <v>117</v>
      </c>
      <c r="H515" s="13" t="s">
        <v>118</v>
      </c>
      <c r="I515" s="13"/>
      <c r="J515" s="13"/>
      <c r="K515" s="13">
        <v>204</v>
      </c>
      <c r="L515" s="13">
        <v>13</v>
      </c>
      <c r="M515" s="13">
        <v>3</v>
      </c>
      <c r="N515" s="13" t="s">
        <v>3</v>
      </c>
      <c r="O515" s="13">
        <v>2</v>
      </c>
      <c r="P515" s="13">
        <f>ROUND(Source!DJ501,O515)</f>
        <v>2926.24</v>
      </c>
      <c r="Q515" s="13"/>
      <c r="R515" s="13"/>
      <c r="S515" s="13"/>
      <c r="T515" s="13"/>
      <c r="U515" s="13"/>
      <c r="V515" s="13"/>
      <c r="W515" s="13">
        <v>51.93</v>
      </c>
      <c r="X515" s="13">
        <v>1</v>
      </c>
      <c r="Y515" s="13">
        <v>51.93</v>
      </c>
      <c r="Z515" s="13">
        <v>2926.24</v>
      </c>
      <c r="AA515" s="13">
        <v>1</v>
      </c>
      <c r="AB515" s="13">
        <v>2926.24</v>
      </c>
    </row>
    <row r="516" spans="1:28" x14ac:dyDescent="0.2">
      <c r="A516" s="13">
        <v>50</v>
      </c>
      <c r="B516" s="13">
        <v>0</v>
      </c>
      <c r="C516" s="13">
        <v>0</v>
      </c>
      <c r="D516" s="13">
        <v>1</v>
      </c>
      <c r="E516" s="13">
        <v>205</v>
      </c>
      <c r="F516" s="13">
        <f>ROUND(Source!S501,O516)</f>
        <v>28260.61</v>
      </c>
      <c r="G516" s="13" t="s">
        <v>119</v>
      </c>
      <c r="H516" s="13" t="s">
        <v>120</v>
      </c>
      <c r="I516" s="13"/>
      <c r="J516" s="13"/>
      <c r="K516" s="13">
        <v>205</v>
      </c>
      <c r="L516" s="13">
        <v>14</v>
      </c>
      <c r="M516" s="13">
        <v>3</v>
      </c>
      <c r="N516" s="13" t="s">
        <v>3</v>
      </c>
      <c r="O516" s="13">
        <v>2</v>
      </c>
      <c r="P516" s="13">
        <f>ROUND(Source!DK501,O516)</f>
        <v>1592485.39</v>
      </c>
      <c r="Q516" s="13"/>
      <c r="R516" s="13"/>
      <c r="S516" s="13"/>
      <c r="T516" s="13"/>
      <c r="U516" s="13"/>
      <c r="V516" s="13"/>
      <c r="W516" s="13">
        <v>28260.61</v>
      </c>
      <c r="X516" s="13">
        <v>1</v>
      </c>
      <c r="Y516" s="13">
        <v>28260.61</v>
      </c>
      <c r="Z516" s="13">
        <v>1592485.39</v>
      </c>
      <c r="AA516" s="13">
        <v>1</v>
      </c>
      <c r="AB516" s="13">
        <v>1592485.39</v>
      </c>
    </row>
    <row r="517" spans="1:28" x14ac:dyDescent="0.2">
      <c r="A517" s="13">
        <v>50</v>
      </c>
      <c r="B517" s="13">
        <v>0</v>
      </c>
      <c r="C517" s="13">
        <v>0</v>
      </c>
      <c r="D517" s="13">
        <v>1</v>
      </c>
      <c r="E517" s="13">
        <v>232</v>
      </c>
      <c r="F517" s="13">
        <f>ROUND(Source!BC501,O517)</f>
        <v>0</v>
      </c>
      <c r="G517" s="13" t="s">
        <v>121</v>
      </c>
      <c r="H517" s="13" t="s">
        <v>122</v>
      </c>
      <c r="I517" s="13"/>
      <c r="J517" s="13"/>
      <c r="K517" s="13">
        <v>232</v>
      </c>
      <c r="L517" s="13">
        <v>15</v>
      </c>
      <c r="M517" s="13">
        <v>3</v>
      </c>
      <c r="N517" s="13" t="s">
        <v>3</v>
      </c>
      <c r="O517" s="13">
        <v>2</v>
      </c>
      <c r="P517" s="13">
        <f>ROUND(Source!EU501,O517)</f>
        <v>0</v>
      </c>
      <c r="Q517" s="13"/>
      <c r="R517" s="13"/>
      <c r="S517" s="13"/>
      <c r="T517" s="13"/>
      <c r="U517" s="13"/>
      <c r="V517" s="13"/>
      <c r="W517" s="13">
        <v>0</v>
      </c>
      <c r="X517" s="13">
        <v>1</v>
      </c>
      <c r="Y517" s="13">
        <v>0</v>
      </c>
      <c r="Z517" s="13">
        <v>0</v>
      </c>
      <c r="AA517" s="13">
        <v>1</v>
      </c>
      <c r="AB517" s="13">
        <v>0</v>
      </c>
    </row>
    <row r="518" spans="1:28" x14ac:dyDescent="0.2">
      <c r="A518" s="13">
        <v>50</v>
      </c>
      <c r="B518" s="13">
        <v>0</v>
      </c>
      <c r="C518" s="13">
        <v>0</v>
      </c>
      <c r="D518" s="13">
        <v>1</v>
      </c>
      <c r="E518" s="13">
        <v>214</v>
      </c>
      <c r="F518" s="13">
        <f>ROUND(Source!AS501,O518)</f>
        <v>30622.36</v>
      </c>
      <c r="G518" s="13" t="s">
        <v>123</v>
      </c>
      <c r="H518" s="13" t="s">
        <v>124</v>
      </c>
      <c r="I518" s="13"/>
      <c r="J518" s="13"/>
      <c r="K518" s="13">
        <v>214</v>
      </c>
      <c r="L518" s="13">
        <v>16</v>
      </c>
      <c r="M518" s="13">
        <v>3</v>
      </c>
      <c r="N518" s="13" t="s">
        <v>3</v>
      </c>
      <c r="O518" s="13">
        <v>2</v>
      </c>
      <c r="P518" s="13">
        <f>ROUND(Source!EK501,O518)</f>
        <v>1725569.61</v>
      </c>
      <c r="Q518" s="13"/>
      <c r="R518" s="13"/>
      <c r="S518" s="13"/>
      <c r="T518" s="13"/>
      <c r="U518" s="13"/>
      <c r="V518" s="13"/>
      <c r="W518" s="13">
        <v>30622.36</v>
      </c>
      <c r="X518" s="13">
        <v>1</v>
      </c>
      <c r="Y518" s="13">
        <v>30622.36</v>
      </c>
      <c r="Z518" s="13">
        <v>1725569.61</v>
      </c>
      <c r="AA518" s="13">
        <v>1</v>
      </c>
      <c r="AB518" s="13">
        <v>1725569.61</v>
      </c>
    </row>
    <row r="519" spans="1:28" x14ac:dyDescent="0.2">
      <c r="A519" s="13">
        <v>50</v>
      </c>
      <c r="B519" s="13">
        <v>0</v>
      </c>
      <c r="C519" s="13">
        <v>0</v>
      </c>
      <c r="D519" s="13">
        <v>1</v>
      </c>
      <c r="E519" s="13">
        <v>215</v>
      </c>
      <c r="F519" s="13">
        <f>ROUND(Source!AT501,O519)</f>
        <v>100952.98</v>
      </c>
      <c r="G519" s="13" t="s">
        <v>125</v>
      </c>
      <c r="H519" s="13" t="s">
        <v>126</v>
      </c>
      <c r="I519" s="13"/>
      <c r="J519" s="13"/>
      <c r="K519" s="13">
        <v>215</v>
      </c>
      <c r="L519" s="13">
        <v>17</v>
      </c>
      <c r="M519" s="13">
        <v>3</v>
      </c>
      <c r="N519" s="13" t="s">
        <v>3</v>
      </c>
      <c r="O519" s="13">
        <v>2</v>
      </c>
      <c r="P519" s="13">
        <f>ROUND(Source!EL501,O519)</f>
        <v>2521902.4900000002</v>
      </c>
      <c r="Q519" s="13"/>
      <c r="R519" s="13"/>
      <c r="S519" s="13"/>
      <c r="T519" s="13"/>
      <c r="U519" s="13"/>
      <c r="V519" s="13"/>
      <c r="W519" s="13">
        <v>100952.98</v>
      </c>
      <c r="X519" s="13">
        <v>1</v>
      </c>
      <c r="Y519" s="13">
        <v>100952.98</v>
      </c>
      <c r="Z519" s="13">
        <v>2521902.4900000002</v>
      </c>
      <c r="AA519" s="13">
        <v>1</v>
      </c>
      <c r="AB519" s="13">
        <v>2521902.4900000002</v>
      </c>
    </row>
    <row r="520" spans="1:28" x14ac:dyDescent="0.2">
      <c r="A520" s="13">
        <v>50</v>
      </c>
      <c r="B520" s="13">
        <v>0</v>
      </c>
      <c r="C520" s="13">
        <v>0</v>
      </c>
      <c r="D520" s="13">
        <v>1</v>
      </c>
      <c r="E520" s="13">
        <v>217</v>
      </c>
      <c r="F520" s="13">
        <f>ROUND(Source!AU501,O520)</f>
        <v>0</v>
      </c>
      <c r="G520" s="13" t="s">
        <v>127</v>
      </c>
      <c r="H520" s="13" t="s">
        <v>128</v>
      </c>
      <c r="I520" s="13"/>
      <c r="J520" s="13"/>
      <c r="K520" s="13">
        <v>217</v>
      </c>
      <c r="L520" s="13">
        <v>18</v>
      </c>
      <c r="M520" s="13">
        <v>3</v>
      </c>
      <c r="N520" s="13" t="s">
        <v>3</v>
      </c>
      <c r="O520" s="13">
        <v>2</v>
      </c>
      <c r="P520" s="13">
        <f>ROUND(Source!EM501,O520)</f>
        <v>0</v>
      </c>
      <c r="Q520" s="13"/>
      <c r="R520" s="13"/>
      <c r="S520" s="13"/>
      <c r="T520" s="13"/>
      <c r="U520" s="13"/>
      <c r="V520" s="13"/>
      <c r="W520" s="13">
        <v>0</v>
      </c>
      <c r="X520" s="13">
        <v>1</v>
      </c>
      <c r="Y520" s="13">
        <v>0</v>
      </c>
      <c r="Z520" s="13">
        <v>0</v>
      </c>
      <c r="AA520" s="13">
        <v>1</v>
      </c>
      <c r="AB520" s="13">
        <v>0</v>
      </c>
    </row>
    <row r="521" spans="1:28" x14ac:dyDescent="0.2">
      <c r="A521" s="13">
        <v>50</v>
      </c>
      <c r="B521" s="13">
        <v>0</v>
      </c>
      <c r="C521" s="13">
        <v>0</v>
      </c>
      <c r="D521" s="13">
        <v>1</v>
      </c>
      <c r="E521" s="13">
        <v>230</v>
      </c>
      <c r="F521" s="13">
        <f>ROUND(Source!BA501,O521)</f>
        <v>0</v>
      </c>
      <c r="G521" s="13" t="s">
        <v>129</v>
      </c>
      <c r="H521" s="13" t="s">
        <v>130</v>
      </c>
      <c r="I521" s="13"/>
      <c r="J521" s="13"/>
      <c r="K521" s="13">
        <v>230</v>
      </c>
      <c r="L521" s="13">
        <v>19</v>
      </c>
      <c r="M521" s="13">
        <v>3</v>
      </c>
      <c r="N521" s="13" t="s">
        <v>3</v>
      </c>
      <c r="O521" s="13">
        <v>2</v>
      </c>
      <c r="P521" s="13">
        <f>ROUND(Source!ES501,O521)</f>
        <v>0</v>
      </c>
      <c r="Q521" s="13"/>
      <c r="R521" s="13"/>
      <c r="S521" s="13"/>
      <c r="T521" s="13"/>
      <c r="U521" s="13"/>
      <c r="V521" s="13"/>
      <c r="W521" s="13">
        <v>0</v>
      </c>
      <c r="X521" s="13">
        <v>1</v>
      </c>
      <c r="Y521" s="13">
        <v>0</v>
      </c>
      <c r="Z521" s="13">
        <v>0</v>
      </c>
      <c r="AA521" s="13">
        <v>1</v>
      </c>
      <c r="AB521" s="13">
        <v>0</v>
      </c>
    </row>
    <row r="522" spans="1:28" x14ac:dyDescent="0.2">
      <c r="A522" s="13">
        <v>50</v>
      </c>
      <c r="B522" s="13">
        <v>0</v>
      </c>
      <c r="C522" s="13">
        <v>0</v>
      </c>
      <c r="D522" s="13">
        <v>1</v>
      </c>
      <c r="E522" s="13">
        <v>206</v>
      </c>
      <c r="F522" s="13">
        <f>ROUND(Source!T501,O522)</f>
        <v>0</v>
      </c>
      <c r="G522" s="13" t="s">
        <v>131</v>
      </c>
      <c r="H522" s="13" t="s">
        <v>132</v>
      </c>
      <c r="I522" s="13"/>
      <c r="J522" s="13"/>
      <c r="K522" s="13">
        <v>206</v>
      </c>
      <c r="L522" s="13">
        <v>20</v>
      </c>
      <c r="M522" s="13">
        <v>3</v>
      </c>
      <c r="N522" s="13" t="s">
        <v>3</v>
      </c>
      <c r="O522" s="13">
        <v>2</v>
      </c>
      <c r="P522" s="13">
        <f>ROUND(Source!DL501,O522)</f>
        <v>0</v>
      </c>
      <c r="Q522" s="13"/>
      <c r="R522" s="13"/>
      <c r="S522" s="13"/>
      <c r="T522" s="13"/>
      <c r="U522" s="13"/>
      <c r="V522" s="13"/>
      <c r="W522" s="13">
        <v>0</v>
      </c>
      <c r="X522" s="13">
        <v>1</v>
      </c>
      <c r="Y522" s="13">
        <v>0</v>
      </c>
      <c r="Z522" s="13">
        <v>0</v>
      </c>
      <c r="AA522" s="13">
        <v>1</v>
      </c>
      <c r="AB522" s="13">
        <v>0</v>
      </c>
    </row>
    <row r="523" spans="1:28" x14ac:dyDescent="0.2">
      <c r="A523" s="13">
        <v>50</v>
      </c>
      <c r="B523" s="13">
        <v>0</v>
      </c>
      <c r="C523" s="13">
        <v>0</v>
      </c>
      <c r="D523" s="13">
        <v>1</v>
      </c>
      <c r="E523" s="13">
        <v>207</v>
      </c>
      <c r="F523" s="13">
        <f>Source!U501</f>
        <v>2479.6719986400003</v>
      </c>
      <c r="G523" s="13" t="s">
        <v>133</v>
      </c>
      <c r="H523" s="13" t="s">
        <v>134</v>
      </c>
      <c r="I523" s="13"/>
      <c r="J523" s="13"/>
      <c r="K523" s="13">
        <v>207</v>
      </c>
      <c r="L523" s="13">
        <v>21</v>
      </c>
      <c r="M523" s="13">
        <v>3</v>
      </c>
      <c r="N523" s="13" t="s">
        <v>3</v>
      </c>
      <c r="O523" s="13">
        <v>-1</v>
      </c>
      <c r="P523" s="13">
        <f>Source!DM501</f>
        <v>2479.6719986400003</v>
      </c>
      <c r="Q523" s="13"/>
      <c r="R523" s="13"/>
      <c r="S523" s="13"/>
      <c r="T523" s="13"/>
      <c r="U523" s="13"/>
      <c r="V523" s="13"/>
      <c r="W523" s="13">
        <v>2479.6719986399999</v>
      </c>
      <c r="X523" s="13">
        <v>1</v>
      </c>
      <c r="Y523" s="13">
        <v>2479.6719986399999</v>
      </c>
      <c r="Z523" s="13">
        <v>2479.6719986399999</v>
      </c>
      <c r="AA523" s="13">
        <v>1</v>
      </c>
      <c r="AB523" s="13">
        <v>2479.6719986399999</v>
      </c>
    </row>
    <row r="524" spans="1:28" x14ac:dyDescent="0.2">
      <c r="A524" s="13">
        <v>50</v>
      </c>
      <c r="B524" s="13">
        <v>0</v>
      </c>
      <c r="C524" s="13">
        <v>0</v>
      </c>
      <c r="D524" s="13">
        <v>1</v>
      </c>
      <c r="E524" s="13">
        <v>208</v>
      </c>
      <c r="F524" s="13">
        <f>Source!V501</f>
        <v>0</v>
      </c>
      <c r="G524" s="13" t="s">
        <v>135</v>
      </c>
      <c r="H524" s="13" t="s">
        <v>136</v>
      </c>
      <c r="I524" s="13"/>
      <c r="J524" s="13"/>
      <c r="K524" s="13">
        <v>208</v>
      </c>
      <c r="L524" s="13">
        <v>22</v>
      </c>
      <c r="M524" s="13">
        <v>3</v>
      </c>
      <c r="N524" s="13" t="s">
        <v>3</v>
      </c>
      <c r="O524" s="13">
        <v>-1</v>
      </c>
      <c r="P524" s="13">
        <f>Source!DN501</f>
        <v>0</v>
      </c>
      <c r="Q524" s="13"/>
      <c r="R524" s="13"/>
      <c r="S524" s="13"/>
      <c r="T524" s="13"/>
      <c r="U524" s="13"/>
      <c r="V524" s="13"/>
      <c r="W524" s="13">
        <v>0</v>
      </c>
      <c r="X524" s="13">
        <v>1</v>
      </c>
      <c r="Y524" s="13">
        <v>0</v>
      </c>
      <c r="Z524" s="13">
        <v>0</v>
      </c>
      <c r="AA524" s="13">
        <v>1</v>
      </c>
      <c r="AB524" s="13">
        <v>0</v>
      </c>
    </row>
    <row r="525" spans="1:28" x14ac:dyDescent="0.2">
      <c r="A525" s="13">
        <v>50</v>
      </c>
      <c r="B525" s="13">
        <v>0</v>
      </c>
      <c r="C525" s="13">
        <v>0</v>
      </c>
      <c r="D525" s="13">
        <v>1</v>
      </c>
      <c r="E525" s="13">
        <v>209</v>
      </c>
      <c r="F525" s="13">
        <f>ROUND(Source!W501,O525)</f>
        <v>0</v>
      </c>
      <c r="G525" s="13" t="s">
        <v>137</v>
      </c>
      <c r="H525" s="13" t="s">
        <v>138</v>
      </c>
      <c r="I525" s="13"/>
      <c r="J525" s="13"/>
      <c r="K525" s="13">
        <v>209</v>
      </c>
      <c r="L525" s="13">
        <v>23</v>
      </c>
      <c r="M525" s="13">
        <v>3</v>
      </c>
      <c r="N525" s="13" t="s">
        <v>3</v>
      </c>
      <c r="O525" s="13">
        <v>2</v>
      </c>
      <c r="P525" s="13">
        <f>ROUND(Source!DO501,O525)</f>
        <v>0</v>
      </c>
      <c r="Q525" s="13"/>
      <c r="R525" s="13"/>
      <c r="S525" s="13"/>
      <c r="T525" s="13"/>
      <c r="U525" s="13"/>
      <c r="V525" s="13"/>
      <c r="W525" s="13">
        <v>0</v>
      </c>
      <c r="X525" s="13">
        <v>1</v>
      </c>
      <c r="Y525" s="13">
        <v>0</v>
      </c>
      <c r="Z525" s="13">
        <v>0</v>
      </c>
      <c r="AA525" s="13">
        <v>1</v>
      </c>
      <c r="AB525" s="13">
        <v>0</v>
      </c>
    </row>
    <row r="526" spans="1:28" x14ac:dyDescent="0.2">
      <c r="A526" s="13">
        <v>50</v>
      </c>
      <c r="B526" s="13">
        <v>0</v>
      </c>
      <c r="C526" s="13">
        <v>0</v>
      </c>
      <c r="D526" s="13">
        <v>1</v>
      </c>
      <c r="E526" s="13">
        <v>233</v>
      </c>
      <c r="F526" s="13">
        <f>ROUND(Source!BD501,O526)</f>
        <v>0</v>
      </c>
      <c r="G526" s="13" t="s">
        <v>139</v>
      </c>
      <c r="H526" s="13" t="s">
        <v>140</v>
      </c>
      <c r="I526" s="13"/>
      <c r="J526" s="13"/>
      <c r="K526" s="13">
        <v>233</v>
      </c>
      <c r="L526" s="13">
        <v>24</v>
      </c>
      <c r="M526" s="13">
        <v>3</v>
      </c>
      <c r="N526" s="13" t="s">
        <v>3</v>
      </c>
      <c r="O526" s="13">
        <v>2</v>
      </c>
      <c r="P526" s="13">
        <f>ROUND(Source!EV501,O526)</f>
        <v>0</v>
      </c>
      <c r="Q526" s="13"/>
      <c r="R526" s="13"/>
      <c r="S526" s="13"/>
      <c r="T526" s="13"/>
      <c r="U526" s="13"/>
      <c r="V526" s="13"/>
      <c r="W526" s="13">
        <v>0</v>
      </c>
      <c r="X526" s="13">
        <v>1</v>
      </c>
      <c r="Y526" s="13">
        <v>0</v>
      </c>
      <c r="Z526" s="13">
        <v>0</v>
      </c>
      <c r="AA526" s="13">
        <v>1</v>
      </c>
      <c r="AB526" s="13">
        <v>0</v>
      </c>
    </row>
    <row r="527" spans="1:28" x14ac:dyDescent="0.2">
      <c r="A527" s="13">
        <v>50</v>
      </c>
      <c r="B527" s="13">
        <v>0</v>
      </c>
      <c r="C527" s="13">
        <v>0</v>
      </c>
      <c r="D527" s="13">
        <v>1</v>
      </c>
      <c r="E527" s="13">
        <v>210</v>
      </c>
      <c r="F527" s="13">
        <f>ROUND(Source!X501,O527)</f>
        <v>25831.3</v>
      </c>
      <c r="G527" s="13" t="s">
        <v>141</v>
      </c>
      <c r="H527" s="13" t="s">
        <v>142</v>
      </c>
      <c r="I527" s="13"/>
      <c r="J527" s="13"/>
      <c r="K527" s="13">
        <v>210</v>
      </c>
      <c r="L527" s="13">
        <v>25</v>
      </c>
      <c r="M527" s="13">
        <v>3</v>
      </c>
      <c r="N527" s="13" t="s">
        <v>3</v>
      </c>
      <c r="O527" s="13">
        <v>2</v>
      </c>
      <c r="P527" s="13">
        <f>ROUND(Source!DP501,O527)</f>
        <v>1455593.57</v>
      </c>
      <c r="Q527" s="13"/>
      <c r="R527" s="13"/>
      <c r="S527" s="13"/>
      <c r="T527" s="13"/>
      <c r="U527" s="13"/>
      <c r="V527" s="13"/>
      <c r="W527" s="13">
        <v>25831.3</v>
      </c>
      <c r="X527" s="13">
        <v>1</v>
      </c>
      <c r="Y527" s="13">
        <v>25831.3</v>
      </c>
      <c r="Z527" s="13">
        <v>1455593.57</v>
      </c>
      <c r="AA527" s="13">
        <v>1</v>
      </c>
      <c r="AB527" s="13">
        <v>1455593.57</v>
      </c>
    </row>
    <row r="528" spans="1:28" x14ac:dyDescent="0.2">
      <c r="A528" s="13">
        <v>50</v>
      </c>
      <c r="B528" s="13">
        <v>0</v>
      </c>
      <c r="C528" s="13">
        <v>0</v>
      </c>
      <c r="D528" s="13">
        <v>1</v>
      </c>
      <c r="E528" s="13">
        <v>211</v>
      </c>
      <c r="F528" s="13">
        <f>ROUND(Source!Y501,O528)</f>
        <v>13448.97</v>
      </c>
      <c r="G528" s="13" t="s">
        <v>143</v>
      </c>
      <c r="H528" s="13" t="s">
        <v>144</v>
      </c>
      <c r="I528" s="13"/>
      <c r="J528" s="13"/>
      <c r="K528" s="13">
        <v>211</v>
      </c>
      <c r="L528" s="13">
        <v>26</v>
      </c>
      <c r="M528" s="13">
        <v>3</v>
      </c>
      <c r="N528" s="13" t="s">
        <v>3</v>
      </c>
      <c r="O528" s="13">
        <v>2</v>
      </c>
      <c r="P528" s="13">
        <f>ROUND(Source!DQ501,O528)</f>
        <v>757849.72</v>
      </c>
      <c r="Q528" s="13"/>
      <c r="R528" s="13"/>
      <c r="S528" s="13"/>
      <c r="T528" s="13"/>
      <c r="U528" s="13"/>
      <c r="V528" s="13"/>
      <c r="W528" s="13">
        <v>13448.97</v>
      </c>
      <c r="X528" s="13">
        <v>1</v>
      </c>
      <c r="Y528" s="13">
        <v>13448.97</v>
      </c>
      <c r="Z528" s="13">
        <v>757849.72</v>
      </c>
      <c r="AA528" s="13">
        <v>1</v>
      </c>
      <c r="AB528" s="13">
        <v>757849.72</v>
      </c>
    </row>
    <row r="529" spans="1:50" x14ac:dyDescent="0.2">
      <c r="A529" s="13">
        <v>50</v>
      </c>
      <c r="B529" s="13">
        <v>0</v>
      </c>
      <c r="C529" s="13">
        <v>0</v>
      </c>
      <c r="D529" s="13">
        <v>1</v>
      </c>
      <c r="E529" s="13">
        <v>224</v>
      </c>
      <c r="F529" s="13">
        <f>ROUND(Source!AR501,O529)</f>
        <v>200587.33</v>
      </c>
      <c r="G529" s="13" t="s">
        <v>145</v>
      </c>
      <c r="H529" s="13" t="s">
        <v>146</v>
      </c>
      <c r="I529" s="13"/>
      <c r="J529" s="13"/>
      <c r="K529" s="13">
        <v>224</v>
      </c>
      <c r="L529" s="13">
        <v>27</v>
      </c>
      <c r="M529" s="13">
        <v>3</v>
      </c>
      <c r="N529" s="13" t="s">
        <v>3</v>
      </c>
      <c r="O529" s="13">
        <v>2</v>
      </c>
      <c r="P529" s="13">
        <f>ROUND(Source!EJ501,O529)</f>
        <v>4913174.71</v>
      </c>
      <c r="Q529" s="13"/>
      <c r="R529" s="13"/>
      <c r="S529" s="13"/>
      <c r="T529" s="13"/>
      <c r="U529" s="13"/>
      <c r="V529" s="13"/>
      <c r="W529" s="13">
        <v>200587.33</v>
      </c>
      <c r="X529" s="13">
        <v>1</v>
      </c>
      <c r="Y529" s="13">
        <v>200587.33</v>
      </c>
      <c r="Z529" s="13">
        <v>4913174.71</v>
      </c>
      <c r="AA529" s="13">
        <v>1</v>
      </c>
      <c r="AB529" s="13">
        <v>4913174.71</v>
      </c>
    </row>
    <row r="532" spans="1:50" x14ac:dyDescent="0.2">
      <c r="A532" s="3">
        <v>70</v>
      </c>
      <c r="B532" s="3">
        <v>1</v>
      </c>
      <c r="D532" s="3">
        <v>1</v>
      </c>
      <c r="E532" s="3" t="s">
        <v>345</v>
      </c>
      <c r="F532" s="3" t="s">
        <v>346</v>
      </c>
      <c r="G532" s="3">
        <v>0</v>
      </c>
      <c r="H532" s="3">
        <v>0</v>
      </c>
      <c r="I532" s="3" t="s">
        <v>3</v>
      </c>
      <c r="J532" s="3">
        <v>1</v>
      </c>
      <c r="K532" s="3">
        <v>0</v>
      </c>
      <c r="L532" s="3" t="s">
        <v>3</v>
      </c>
      <c r="M532" s="3" t="s">
        <v>3</v>
      </c>
      <c r="N532" s="3">
        <v>0</v>
      </c>
      <c r="O532" s="3">
        <v>0</v>
      </c>
      <c r="P532" s="3" t="s">
        <v>3</v>
      </c>
    </row>
    <row r="533" spans="1:50" x14ac:dyDescent="0.2">
      <c r="A533" s="3">
        <v>70</v>
      </c>
      <c r="B533" s="3">
        <v>1</v>
      </c>
      <c r="D533" s="3">
        <v>2</v>
      </c>
      <c r="E533" s="3" t="s">
        <v>347</v>
      </c>
      <c r="F533" s="3" t="s">
        <v>348</v>
      </c>
      <c r="G533" s="3">
        <v>1</v>
      </c>
      <c r="H533" s="3">
        <v>0</v>
      </c>
      <c r="I533" s="3" t="s">
        <v>3</v>
      </c>
      <c r="J533" s="3">
        <v>1</v>
      </c>
      <c r="K533" s="3">
        <v>0</v>
      </c>
      <c r="L533" s="3" t="s">
        <v>3</v>
      </c>
      <c r="M533" s="3" t="s">
        <v>3</v>
      </c>
      <c r="N533" s="3">
        <v>0</v>
      </c>
      <c r="O533" s="3">
        <v>1</v>
      </c>
      <c r="P533" s="3" t="s">
        <v>3</v>
      </c>
    </row>
    <row r="534" spans="1:50" x14ac:dyDescent="0.2">
      <c r="A534" s="3">
        <v>70</v>
      </c>
      <c r="B534" s="3">
        <v>1</v>
      </c>
      <c r="D534" s="3">
        <v>3</v>
      </c>
      <c r="E534" s="3" t="s">
        <v>349</v>
      </c>
      <c r="F534" s="3" t="s">
        <v>350</v>
      </c>
      <c r="G534" s="3">
        <v>1</v>
      </c>
      <c r="H534" s="3">
        <v>0</v>
      </c>
      <c r="I534" s="3" t="s">
        <v>3</v>
      </c>
      <c r="J534" s="3">
        <v>0</v>
      </c>
      <c r="K534" s="3">
        <v>0</v>
      </c>
      <c r="L534" s="3" t="s">
        <v>3</v>
      </c>
      <c r="M534" s="3" t="s">
        <v>3</v>
      </c>
      <c r="N534" s="3">
        <v>0</v>
      </c>
      <c r="O534" s="3">
        <v>1</v>
      </c>
      <c r="P534" s="3" t="s">
        <v>3</v>
      </c>
    </row>
    <row r="535" spans="1:50" x14ac:dyDescent="0.2">
      <c r="A535" s="3">
        <v>70</v>
      </c>
      <c r="B535" s="3">
        <v>1</v>
      </c>
      <c r="D535" s="3">
        <v>4</v>
      </c>
      <c r="E535" s="3" t="s">
        <v>351</v>
      </c>
      <c r="F535" s="3" t="s">
        <v>352</v>
      </c>
      <c r="G535" s="3">
        <v>1</v>
      </c>
      <c r="H535" s="3">
        <v>0</v>
      </c>
      <c r="I535" s="3" t="s">
        <v>3</v>
      </c>
      <c r="J535" s="3">
        <v>0</v>
      </c>
      <c r="K535" s="3">
        <v>0</v>
      </c>
      <c r="L535" s="3" t="s">
        <v>3</v>
      </c>
      <c r="M535" s="3" t="s">
        <v>3</v>
      </c>
      <c r="N535" s="3">
        <v>0</v>
      </c>
      <c r="O535" s="3">
        <v>1</v>
      </c>
      <c r="P535" s="3" t="s">
        <v>3</v>
      </c>
    </row>
    <row r="536" spans="1:50" x14ac:dyDescent="0.2">
      <c r="A536" s="3">
        <v>70</v>
      </c>
      <c r="B536" s="3">
        <v>1</v>
      </c>
      <c r="D536" s="3">
        <v>5</v>
      </c>
      <c r="E536" s="3" t="s">
        <v>353</v>
      </c>
      <c r="F536" s="3" t="s">
        <v>354</v>
      </c>
      <c r="G536" s="3">
        <v>0</v>
      </c>
      <c r="H536" s="3">
        <v>0</v>
      </c>
      <c r="I536" s="3" t="s">
        <v>3</v>
      </c>
      <c r="J536" s="3">
        <v>0</v>
      </c>
      <c r="K536" s="3">
        <v>0</v>
      </c>
      <c r="L536" s="3" t="s">
        <v>3</v>
      </c>
      <c r="M536" s="3" t="s">
        <v>3</v>
      </c>
      <c r="N536" s="3">
        <v>0</v>
      </c>
      <c r="O536" s="3">
        <v>0</v>
      </c>
      <c r="P536" s="3" t="s">
        <v>3</v>
      </c>
    </row>
    <row r="538" spans="1:50" x14ac:dyDescent="0.2">
      <c r="A538" s="3">
        <v>-1</v>
      </c>
    </row>
    <row r="540" spans="1:50" x14ac:dyDescent="0.2">
      <c r="A540" s="12">
        <v>75</v>
      </c>
      <c r="B540" s="12" t="s">
        <v>355</v>
      </c>
      <c r="C540" s="12">
        <v>2000</v>
      </c>
      <c r="D540" s="12">
        <v>0</v>
      </c>
      <c r="E540" s="12">
        <v>1</v>
      </c>
      <c r="F540" s="12">
        <v>0</v>
      </c>
      <c r="G540" s="12">
        <v>0</v>
      </c>
      <c r="H540" s="12">
        <v>1</v>
      </c>
      <c r="I540" s="12">
        <v>1</v>
      </c>
      <c r="J540" s="12">
        <v>3</v>
      </c>
      <c r="K540" s="12">
        <v>0</v>
      </c>
      <c r="L540" s="12">
        <v>0</v>
      </c>
      <c r="M540" s="12">
        <v>0</v>
      </c>
      <c r="N540" s="12">
        <v>55915256</v>
      </c>
      <c r="O540" s="12">
        <v>1</v>
      </c>
    </row>
    <row r="541" spans="1:50" x14ac:dyDescent="0.2">
      <c r="A541" s="14">
        <v>1</v>
      </c>
      <c r="B541" s="14" t="s">
        <v>356</v>
      </c>
      <c r="C541" s="14" t="s">
        <v>357</v>
      </c>
      <c r="D541" s="14">
        <v>2000</v>
      </c>
      <c r="E541" s="14">
        <v>1</v>
      </c>
      <c r="F541" s="14">
        <v>1</v>
      </c>
      <c r="G541" s="14">
        <v>1</v>
      </c>
      <c r="H541" s="14">
        <v>0</v>
      </c>
      <c r="I541" s="14">
        <v>2</v>
      </c>
      <c r="J541" s="14">
        <v>1</v>
      </c>
      <c r="K541" s="14">
        <v>1</v>
      </c>
      <c r="L541" s="14">
        <v>1</v>
      </c>
      <c r="M541" s="14">
        <v>1</v>
      </c>
      <c r="N541" s="14">
        <v>1</v>
      </c>
      <c r="O541" s="14">
        <v>1</v>
      </c>
      <c r="P541" s="14">
        <v>1</v>
      </c>
      <c r="Q541" s="14">
        <v>1</v>
      </c>
      <c r="R541" s="14" t="s">
        <v>3</v>
      </c>
      <c r="S541" s="14" t="s">
        <v>3</v>
      </c>
      <c r="T541" s="14" t="s">
        <v>3</v>
      </c>
      <c r="U541" s="14" t="s">
        <v>3</v>
      </c>
      <c r="V541" s="14" t="s">
        <v>3</v>
      </c>
      <c r="W541" s="14" t="s">
        <v>3</v>
      </c>
      <c r="X541" s="14" t="s">
        <v>3</v>
      </c>
      <c r="Y541" s="14" t="s">
        <v>3</v>
      </c>
      <c r="Z541" s="14" t="s">
        <v>3</v>
      </c>
      <c r="AA541" s="14" t="s">
        <v>265</v>
      </c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>
        <v>55915257</v>
      </c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</row>
    <row r="542" spans="1:50" x14ac:dyDescent="0.2">
      <c r="A542" s="12">
        <v>75</v>
      </c>
      <c r="B542" s="12" t="s">
        <v>358</v>
      </c>
      <c r="C542" s="12">
        <v>2026</v>
      </c>
      <c r="D542" s="12">
        <v>1</v>
      </c>
      <c r="E542" s="12">
        <v>0</v>
      </c>
      <c r="F542" s="12"/>
      <c r="G542" s="12">
        <v>0</v>
      </c>
      <c r="H542" s="12">
        <v>1</v>
      </c>
      <c r="I542" s="12">
        <v>1</v>
      </c>
      <c r="J542" s="12">
        <v>1</v>
      </c>
      <c r="K542" s="12">
        <v>0</v>
      </c>
      <c r="L542" s="12">
        <v>0</v>
      </c>
      <c r="M542" s="12">
        <v>1</v>
      </c>
      <c r="N542" s="12">
        <v>55915258</v>
      </c>
      <c r="O542" s="12">
        <v>2</v>
      </c>
    </row>
    <row r="543" spans="1:50" x14ac:dyDescent="0.2">
      <c r="A543" s="14">
        <v>1</v>
      </c>
      <c r="B543" s="14" t="s">
        <v>356</v>
      </c>
      <c r="C543" s="14" t="s">
        <v>357</v>
      </c>
      <c r="D543" s="14">
        <v>2026</v>
      </c>
      <c r="E543" s="14">
        <v>1</v>
      </c>
      <c r="F543" s="14">
        <v>1</v>
      </c>
      <c r="G543" s="14">
        <v>1</v>
      </c>
      <c r="H543" s="14">
        <v>0</v>
      </c>
      <c r="I543" s="14">
        <v>2</v>
      </c>
      <c r="J543" s="14">
        <v>1</v>
      </c>
      <c r="K543" s="14">
        <v>7.57</v>
      </c>
      <c r="L543" s="14">
        <v>9.84</v>
      </c>
      <c r="M543" s="14">
        <v>1</v>
      </c>
      <c r="N543" s="14">
        <v>1</v>
      </c>
      <c r="O543" s="14">
        <v>7.57</v>
      </c>
      <c r="P543" s="14">
        <v>9.84</v>
      </c>
      <c r="Q543" s="14">
        <v>1</v>
      </c>
      <c r="R543" s="14" t="s">
        <v>3</v>
      </c>
      <c r="S543" s="14" t="s">
        <v>3</v>
      </c>
      <c r="T543" s="14" t="s">
        <v>3</v>
      </c>
      <c r="U543" s="14" t="s">
        <v>3</v>
      </c>
      <c r="V543" s="14" t="s">
        <v>3</v>
      </c>
      <c r="W543" s="14" t="s">
        <v>3</v>
      </c>
      <c r="X543" s="14" t="s">
        <v>3</v>
      </c>
      <c r="Y543" s="14" t="s">
        <v>3</v>
      </c>
      <c r="Z543" s="14" t="s">
        <v>3</v>
      </c>
      <c r="AA543" s="14" t="s">
        <v>359</v>
      </c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>
        <v>55915259</v>
      </c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</row>
    <row r="544" spans="1:50" x14ac:dyDescent="0.2">
      <c r="A544" s="14">
        <v>1</v>
      </c>
      <c r="B544" s="14" t="s">
        <v>356</v>
      </c>
      <c r="C544" s="14" t="s">
        <v>360</v>
      </c>
      <c r="D544" s="14">
        <v>2026</v>
      </c>
      <c r="E544" s="14">
        <v>1</v>
      </c>
      <c r="F544" s="14">
        <v>1</v>
      </c>
      <c r="G544" s="14">
        <v>1</v>
      </c>
      <c r="H544" s="14">
        <v>0</v>
      </c>
      <c r="I544" s="14">
        <v>2</v>
      </c>
      <c r="J544" s="14">
        <v>1</v>
      </c>
      <c r="K544" s="14">
        <v>7.57</v>
      </c>
      <c r="L544" s="14">
        <v>9.84</v>
      </c>
      <c r="M544" s="14">
        <v>1</v>
      </c>
      <c r="N544" s="14">
        <v>1</v>
      </c>
      <c r="O544" s="14">
        <v>7.57</v>
      </c>
      <c r="P544" s="14">
        <v>9.84</v>
      </c>
      <c r="Q544" s="14">
        <v>1</v>
      </c>
      <c r="R544" s="14" t="s">
        <v>3</v>
      </c>
      <c r="S544" s="14" t="s">
        <v>3</v>
      </c>
      <c r="T544" s="14" t="s">
        <v>3</v>
      </c>
      <c r="U544" s="14" t="s">
        <v>3</v>
      </c>
      <c r="V544" s="14" t="s">
        <v>3</v>
      </c>
      <c r="W544" s="14" t="s">
        <v>3</v>
      </c>
      <c r="X544" s="14" t="s">
        <v>3</v>
      </c>
      <c r="Y544" s="14" t="s">
        <v>3</v>
      </c>
      <c r="Z544" s="14" t="s">
        <v>3</v>
      </c>
      <c r="AA544" s="14" t="s">
        <v>361</v>
      </c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>
        <v>55915260</v>
      </c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</row>
    <row r="548" spans="1:5" x14ac:dyDescent="0.2">
      <c r="A548" s="3">
        <v>65</v>
      </c>
      <c r="C548" s="3">
        <v>1</v>
      </c>
      <c r="D548" s="3">
        <v>0</v>
      </c>
      <c r="E548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362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1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x14ac:dyDescent="0.2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10</v>
      </c>
      <c r="BZ12" s="1" t="s">
        <v>11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13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14</v>
      </c>
      <c r="CR12" s="1" t="s">
        <v>15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55915256</v>
      </c>
      <c r="E14" s="1">
        <v>55915258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5</v>
      </c>
      <c r="D16" s="7" t="s">
        <v>16</v>
      </c>
      <c r="E16" s="8">
        <f>ROUND((Source!F488)/1000,2)</f>
        <v>30.62</v>
      </c>
      <c r="F16" s="8">
        <f>ROUND((Source!F489)/1000,2)</f>
        <v>100.95</v>
      </c>
      <c r="G16" s="8">
        <f>ROUND((Source!F480)/1000,2)</f>
        <v>69.010000000000005</v>
      </c>
      <c r="H16" s="8">
        <f>ROUND((Source!F490)/1000+(Source!F491)/1000,2)</f>
        <v>0</v>
      </c>
      <c r="I16" s="8">
        <f>E16+F16+G16+H16</f>
        <v>200.57999999999998</v>
      </c>
      <c r="J16" s="8">
        <f>ROUND((Source!F486+Source!F485)/1000,2)</f>
        <v>28.31</v>
      </c>
      <c r="K16" s="8">
        <v>293.68</v>
      </c>
      <c r="L16" s="8">
        <v>0</v>
      </c>
      <c r="M16" s="8">
        <v>0</v>
      </c>
      <c r="N16" s="8">
        <f>I16+L16+M16</f>
        <v>200.57999999999998</v>
      </c>
      <c r="T16" s="9">
        <f>ROUND((Source!P488)/1000,2)</f>
        <v>1725.57</v>
      </c>
      <c r="U16" s="9">
        <f>ROUND((Source!P489)/1000,2)</f>
        <v>2521.9</v>
      </c>
      <c r="V16" s="9">
        <f>ROUND((Source!P480)/1000,2)</f>
        <v>665.7</v>
      </c>
      <c r="W16" s="9">
        <f>ROUND((Source!P490)/1000+(Source!P491)/1000,2)</f>
        <v>0</v>
      </c>
      <c r="X16" s="9">
        <f>T16+U16+V16+W16</f>
        <v>4913.17</v>
      </c>
      <c r="Y16" s="9">
        <f>ROUND((Source!P486+Source!P485)/1000,2)</f>
        <v>1595.41</v>
      </c>
      <c r="Z16" s="9">
        <v>3797.6</v>
      </c>
      <c r="AA16" s="9">
        <v>0</v>
      </c>
      <c r="AB16" s="9">
        <v>0</v>
      </c>
      <c r="AC16" s="9">
        <f>X16+AA16+AB16</f>
        <v>4913.17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161307.06</v>
      </c>
      <c r="AU16" s="8">
        <v>132376.21</v>
      </c>
      <c r="AV16" s="8">
        <v>0</v>
      </c>
      <c r="AW16" s="8">
        <v>69011.990000000005</v>
      </c>
      <c r="AX16" s="8">
        <v>0</v>
      </c>
      <c r="AY16" s="8">
        <v>670.24</v>
      </c>
      <c r="AZ16" s="8">
        <v>51.93</v>
      </c>
      <c r="BA16" s="8">
        <v>28260.61</v>
      </c>
      <c r="BB16" s="8">
        <v>30622.36</v>
      </c>
      <c r="BC16" s="8">
        <v>100952.98</v>
      </c>
      <c r="BD16" s="8">
        <v>0</v>
      </c>
      <c r="BE16" s="8">
        <v>0</v>
      </c>
      <c r="BF16" s="8">
        <v>2479.6719986399999</v>
      </c>
      <c r="BG16" s="8">
        <v>0</v>
      </c>
      <c r="BH16" s="8">
        <v>0</v>
      </c>
      <c r="BI16" s="8">
        <v>25831.3</v>
      </c>
      <c r="BJ16" s="8">
        <v>13448.97</v>
      </c>
      <c r="BK16" s="8">
        <v>200587.33</v>
      </c>
      <c r="BR16" s="9">
        <v>2699731.42</v>
      </c>
      <c r="BS16" s="9">
        <v>1097868.17</v>
      </c>
      <c r="BT16" s="9">
        <v>0</v>
      </c>
      <c r="BU16" s="9">
        <v>665702.61</v>
      </c>
      <c r="BV16" s="9">
        <v>0</v>
      </c>
      <c r="BW16" s="9">
        <v>9377.86</v>
      </c>
      <c r="BX16" s="9">
        <v>2926.24</v>
      </c>
      <c r="BY16" s="9">
        <v>1592485.39</v>
      </c>
      <c r="BZ16" s="9">
        <v>1725569.61</v>
      </c>
      <c r="CA16" s="9">
        <v>2521902.4900000002</v>
      </c>
      <c r="CB16" s="9">
        <v>0</v>
      </c>
      <c r="CC16" s="9">
        <v>0</v>
      </c>
      <c r="CD16" s="9">
        <v>2479.6719986399999</v>
      </c>
      <c r="CE16" s="9">
        <v>0</v>
      </c>
      <c r="CF16" s="9">
        <v>0</v>
      </c>
      <c r="CG16" s="9">
        <v>1455593.57</v>
      </c>
      <c r="CH16" s="9">
        <v>757849.72</v>
      </c>
      <c r="CI16" s="9">
        <v>4913174.71</v>
      </c>
    </row>
    <row r="18" spans="1:29" x14ac:dyDescent="0.2">
      <c r="A18">
        <v>51</v>
      </c>
      <c r="E18">
        <v>30.62</v>
      </c>
      <c r="F18">
        <v>100.95</v>
      </c>
      <c r="G18">
        <v>69.010000000000005</v>
      </c>
      <c r="H18">
        <v>0</v>
      </c>
      <c r="I18">
        <v>200.58</v>
      </c>
      <c r="J18">
        <v>28.31</v>
      </c>
      <c r="K18">
        <v>293.68</v>
      </c>
      <c r="L18">
        <v>0</v>
      </c>
      <c r="M18">
        <v>0</v>
      </c>
      <c r="N18">
        <v>200.58</v>
      </c>
      <c r="T18">
        <v>1725.57</v>
      </c>
      <c r="U18">
        <v>2521.9</v>
      </c>
      <c r="V18">
        <v>665.7</v>
      </c>
      <c r="W18">
        <v>0</v>
      </c>
      <c r="X18">
        <v>4913.17</v>
      </c>
      <c r="Y18">
        <v>1595.41</v>
      </c>
      <c r="Z18">
        <v>3797.6</v>
      </c>
      <c r="AA18">
        <v>0</v>
      </c>
      <c r="AB18">
        <v>0</v>
      </c>
      <c r="AC18">
        <v>4913.17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161307.06</v>
      </c>
      <c r="G20" s="5" t="s">
        <v>93</v>
      </c>
      <c r="H20" s="5" t="s">
        <v>94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2699731.42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132376.21</v>
      </c>
      <c r="G21" s="5" t="s">
        <v>95</v>
      </c>
      <c r="H21" s="5" t="s">
        <v>96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1097868.17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97</v>
      </c>
      <c r="H22" s="5" t="s">
        <v>98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132376.21</v>
      </c>
      <c r="G23" s="5" t="s">
        <v>99</v>
      </c>
      <c r="H23" s="5" t="s">
        <v>100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1097868.17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63364.22</v>
      </c>
      <c r="G24" s="5" t="s">
        <v>101</v>
      </c>
      <c r="H24" s="5" t="s">
        <v>102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432165.56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103</v>
      </c>
      <c r="H25" s="5" t="s">
        <v>104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63364.22</v>
      </c>
      <c r="G26" s="5" t="s">
        <v>105</v>
      </c>
      <c r="H26" s="5" t="s">
        <v>106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432165.56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69011.990000000005</v>
      </c>
      <c r="G27" s="5" t="s">
        <v>107</v>
      </c>
      <c r="H27" s="5" t="s">
        <v>108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665702.61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109</v>
      </c>
      <c r="H28" s="5" t="s">
        <v>110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69011.990000000005</v>
      </c>
      <c r="G29" s="5" t="s">
        <v>111</v>
      </c>
      <c r="H29" s="5" t="s">
        <v>112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665702.61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670.24</v>
      </c>
      <c r="G30" s="5" t="s">
        <v>113</v>
      </c>
      <c r="H30" s="5" t="s">
        <v>114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9377.86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115</v>
      </c>
      <c r="H31" s="5" t="s">
        <v>116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51.93</v>
      </c>
      <c r="G32" s="5" t="s">
        <v>117</v>
      </c>
      <c r="H32" s="5" t="s">
        <v>118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2926.24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28260.61</v>
      </c>
      <c r="G33" s="5" t="s">
        <v>119</v>
      </c>
      <c r="H33" s="5" t="s">
        <v>120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1592485.39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121</v>
      </c>
      <c r="H34" s="5" t="s">
        <v>122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30622.36</v>
      </c>
      <c r="G35" s="5" t="s">
        <v>123</v>
      </c>
      <c r="H35" s="5" t="s">
        <v>124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1725569.61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100952.98</v>
      </c>
      <c r="G36" s="5" t="s">
        <v>125</v>
      </c>
      <c r="H36" s="5" t="s">
        <v>126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2521902.4900000002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127</v>
      </c>
      <c r="H37" s="5" t="s">
        <v>128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129</v>
      </c>
      <c r="H38" s="5" t="s">
        <v>130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131</v>
      </c>
      <c r="H39" s="5" t="s">
        <v>132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2479.6719986399999</v>
      </c>
      <c r="G40" s="5" t="s">
        <v>133</v>
      </c>
      <c r="H40" s="5" t="s">
        <v>134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2479.6719986399999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135</v>
      </c>
      <c r="H41" s="5" t="s">
        <v>136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137</v>
      </c>
      <c r="H42" s="5" t="s">
        <v>138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139</v>
      </c>
      <c r="H43" s="5" t="s">
        <v>140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25831.3</v>
      </c>
      <c r="G44" s="5" t="s">
        <v>141</v>
      </c>
      <c r="H44" s="5" t="s">
        <v>142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1455593.57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13448.97</v>
      </c>
      <c r="G45" s="5" t="s">
        <v>143</v>
      </c>
      <c r="H45" s="5" t="s">
        <v>144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757849.72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200587.33</v>
      </c>
      <c r="G46" s="5" t="s">
        <v>145</v>
      </c>
      <c r="H46" s="5" t="s">
        <v>146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4913174.71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355</v>
      </c>
      <c r="C51" s="4">
        <v>2000</v>
      </c>
      <c r="D51" s="4">
        <v>0</v>
      </c>
      <c r="E51" s="4">
        <v>1</v>
      </c>
      <c r="F51" s="4">
        <v>0</v>
      </c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0</v>
      </c>
      <c r="N51" s="4">
        <v>55915256</v>
      </c>
      <c r="O51" s="4">
        <v>1</v>
      </c>
    </row>
    <row r="52" spans="1:50" x14ac:dyDescent="0.2">
      <c r="A52" s="6">
        <v>1</v>
      </c>
      <c r="B52" s="6" t="s">
        <v>356</v>
      </c>
      <c r="C52" s="6" t="s">
        <v>357</v>
      </c>
      <c r="D52" s="6">
        <v>2000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265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55915257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4">
        <v>75</v>
      </c>
      <c r="B53" s="4" t="s">
        <v>358</v>
      </c>
      <c r="C53" s="4">
        <v>2026</v>
      </c>
      <c r="D53" s="4">
        <v>1</v>
      </c>
      <c r="E53" s="4">
        <v>0</v>
      </c>
      <c r="F53" s="4"/>
      <c r="G53" s="4">
        <v>0</v>
      </c>
      <c r="H53" s="4">
        <v>1</v>
      </c>
      <c r="I53" s="4">
        <v>1</v>
      </c>
      <c r="J53" s="4">
        <v>1</v>
      </c>
      <c r="K53" s="4">
        <v>0</v>
      </c>
      <c r="L53" s="4">
        <v>0</v>
      </c>
      <c r="M53" s="4">
        <v>1</v>
      </c>
      <c r="N53" s="4">
        <v>55915258</v>
      </c>
      <c r="O53" s="4">
        <v>2</v>
      </c>
    </row>
    <row r="54" spans="1:50" x14ac:dyDescent="0.2">
      <c r="A54" s="6">
        <v>1</v>
      </c>
      <c r="B54" s="6" t="s">
        <v>356</v>
      </c>
      <c r="C54" s="6" t="s">
        <v>357</v>
      </c>
      <c r="D54" s="6">
        <v>2026</v>
      </c>
      <c r="E54" s="6">
        <v>1</v>
      </c>
      <c r="F54" s="6">
        <v>1</v>
      </c>
      <c r="G54" s="6">
        <v>1</v>
      </c>
      <c r="H54" s="6">
        <v>0</v>
      </c>
      <c r="I54" s="6">
        <v>2</v>
      </c>
      <c r="J54" s="6">
        <v>1</v>
      </c>
      <c r="K54" s="6">
        <v>7.57</v>
      </c>
      <c r="L54" s="6">
        <v>9.84</v>
      </c>
      <c r="M54" s="6">
        <v>1</v>
      </c>
      <c r="N54" s="6">
        <v>1</v>
      </c>
      <c r="O54" s="6">
        <v>7.57</v>
      </c>
      <c r="P54" s="6">
        <v>9.84</v>
      </c>
      <c r="Q54" s="6">
        <v>1</v>
      </c>
      <c r="R54" s="6" t="s">
        <v>3</v>
      </c>
      <c r="S54" s="6" t="s">
        <v>3</v>
      </c>
      <c r="T54" s="6" t="s">
        <v>3</v>
      </c>
      <c r="U54" s="6" t="s">
        <v>3</v>
      </c>
      <c r="V54" s="6" t="s">
        <v>3</v>
      </c>
      <c r="W54" s="6" t="s">
        <v>3</v>
      </c>
      <c r="X54" s="6" t="s">
        <v>3</v>
      </c>
      <c r="Y54" s="6" t="s">
        <v>3</v>
      </c>
      <c r="Z54" s="6" t="s">
        <v>3</v>
      </c>
      <c r="AA54" s="6" t="s">
        <v>359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>
        <v>55915259</v>
      </c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 x14ac:dyDescent="0.2">
      <c r="A55" s="6">
        <v>1</v>
      </c>
      <c r="B55" s="6" t="s">
        <v>356</v>
      </c>
      <c r="C55" s="6" t="s">
        <v>360</v>
      </c>
      <c r="D55" s="6">
        <v>2026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7.57</v>
      </c>
      <c r="L55" s="6">
        <v>9.84</v>
      </c>
      <c r="M55" s="6">
        <v>1</v>
      </c>
      <c r="N55" s="6">
        <v>1</v>
      </c>
      <c r="O55" s="6">
        <v>7.57</v>
      </c>
      <c r="P55" s="6">
        <v>9.84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361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55915260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17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55915256</v>
      </c>
      <c r="C1">
        <v>55983112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363</v>
      </c>
      <c r="J1" t="s">
        <v>3</v>
      </c>
      <c r="K1" t="s">
        <v>364</v>
      </c>
      <c r="L1">
        <v>1191</v>
      </c>
      <c r="N1">
        <v>1013</v>
      </c>
      <c r="O1" t="s">
        <v>365</v>
      </c>
      <c r="P1" t="s">
        <v>365</v>
      </c>
      <c r="Q1">
        <v>1</v>
      </c>
      <c r="W1">
        <v>0</v>
      </c>
      <c r="X1">
        <v>476480486</v>
      </c>
      <c r="Y1">
        <f>((AT1*1.2)*0.3)</f>
        <v>2.052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5.7</v>
      </c>
      <c r="AU1" t="s">
        <v>25</v>
      </c>
      <c r="AV1">
        <v>1</v>
      </c>
      <c r="AW1">
        <v>2</v>
      </c>
      <c r="AX1">
        <v>55983114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2.052</v>
      </c>
      <c r="CW1">
        <v>0</v>
      </c>
      <c r="CX1">
        <f>ROUND(Y1*Source!I28,9)</f>
        <v>2.052</v>
      </c>
      <c r="CY1">
        <f>AD1</f>
        <v>0</v>
      </c>
      <c r="CZ1">
        <f>AH1</f>
        <v>0</v>
      </c>
      <c r="DA1">
        <f>AL1</f>
        <v>1</v>
      </c>
      <c r="DB1">
        <f>ROUND(((ROUND(AT1*CZ1,2)*1.2)*0.3),6)</f>
        <v>0</v>
      </c>
      <c r="DC1">
        <f>ROUND(((ROUND(AT1*AG1,2)*1.2)*0.3),6)</f>
        <v>0</v>
      </c>
      <c r="DD1" t="s">
        <v>3</v>
      </c>
      <c r="DE1" t="s">
        <v>3</v>
      </c>
      <c r="DF1">
        <f t="shared" ref="DF1:DF7" si="0">ROUND(ROUND(AE1,2)*CX1,2)</f>
        <v>0</v>
      </c>
      <c r="DG1">
        <f t="shared" ref="DG1:DG32" si="1">ROUND(ROUND(AF1,2)*CX1,2)</f>
        <v>0</v>
      </c>
      <c r="DH1">
        <f t="shared" ref="DH1:DH32" si="2">ROUND(ROUND(AG1,2)*CX1,2)</f>
        <v>0</v>
      </c>
      <c r="DI1">
        <f t="shared" ref="DI1:DI32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ROW(Source!A29)</f>
        <v>29</v>
      </c>
      <c r="B2">
        <v>55915258</v>
      </c>
      <c r="C2">
        <v>55983112</v>
      </c>
      <c r="D2">
        <v>55424304</v>
      </c>
      <c r="E2">
        <v>1081</v>
      </c>
      <c r="F2">
        <v>1</v>
      </c>
      <c r="G2">
        <v>1081</v>
      </c>
      <c r="H2">
        <v>1</v>
      </c>
      <c r="I2" t="s">
        <v>363</v>
      </c>
      <c r="J2" t="s">
        <v>3</v>
      </c>
      <c r="K2" t="s">
        <v>364</v>
      </c>
      <c r="L2">
        <v>1191</v>
      </c>
      <c r="N2">
        <v>1013</v>
      </c>
      <c r="O2" t="s">
        <v>365</v>
      </c>
      <c r="P2" t="s">
        <v>365</v>
      </c>
      <c r="Q2">
        <v>1</v>
      </c>
      <c r="W2">
        <v>0</v>
      </c>
      <c r="X2">
        <v>476480486</v>
      </c>
      <c r="Y2">
        <f>((AT2*1.2)*0.3)</f>
        <v>2.052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5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5.7</v>
      </c>
      <c r="AU2" t="s">
        <v>25</v>
      </c>
      <c r="AV2">
        <v>1</v>
      </c>
      <c r="AW2">
        <v>2</v>
      </c>
      <c r="AX2">
        <v>55983114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U2">
        <f>ROUND(AT2*Source!I29*AH2*AL2,2)</f>
        <v>0</v>
      </c>
      <c r="CV2">
        <f>ROUND(Y2*Source!I29,9)</f>
        <v>2.052</v>
      </c>
      <c r="CW2">
        <v>0</v>
      </c>
      <c r="CX2">
        <f>ROUND(Y2*Source!I29,9)</f>
        <v>2.052</v>
      </c>
      <c r="CY2">
        <f>AD2</f>
        <v>0</v>
      </c>
      <c r="CZ2">
        <f>AH2</f>
        <v>0</v>
      </c>
      <c r="DA2">
        <f>AL2</f>
        <v>1</v>
      </c>
      <c r="DB2">
        <f>ROUND(((ROUND(AT2*CZ2,2)*1.2)*0.3),6)</f>
        <v>0</v>
      </c>
      <c r="DC2">
        <f>ROUND(((ROUND(AT2*AG2,2)*1.2)*0.3),6)</f>
        <v>0</v>
      </c>
      <c r="DD2" t="s">
        <v>3</v>
      </c>
      <c r="DE2" t="s">
        <v>3</v>
      </c>
      <c r="DF2">
        <f t="shared" si="0"/>
        <v>0</v>
      </c>
      <c r="DG2">
        <f t="shared" si="1"/>
        <v>0</v>
      </c>
      <c r="DH2">
        <f t="shared" si="2"/>
        <v>0</v>
      </c>
      <c r="DI2">
        <f t="shared" si="3"/>
        <v>0</v>
      </c>
      <c r="DJ2">
        <f>DI2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ROW(Source!A30)</f>
        <v>30</v>
      </c>
      <c r="B3">
        <v>55915256</v>
      </c>
      <c r="C3">
        <v>55983115</v>
      </c>
      <c r="D3">
        <v>55424304</v>
      </c>
      <c r="E3">
        <v>1081</v>
      </c>
      <c r="F3">
        <v>1</v>
      </c>
      <c r="G3">
        <v>1081</v>
      </c>
      <c r="H3">
        <v>1</v>
      </c>
      <c r="I3" t="s">
        <v>363</v>
      </c>
      <c r="J3" t="s">
        <v>3</v>
      </c>
      <c r="K3" t="s">
        <v>364</v>
      </c>
      <c r="L3">
        <v>1191</v>
      </c>
      <c r="N3">
        <v>1013</v>
      </c>
      <c r="O3" t="s">
        <v>365</v>
      </c>
      <c r="P3" t="s">
        <v>365</v>
      </c>
      <c r="Q3">
        <v>1</v>
      </c>
      <c r="W3">
        <v>0</v>
      </c>
      <c r="X3">
        <v>476480486</v>
      </c>
      <c r="Y3">
        <f>((AT3*1.2)*0.3)</f>
        <v>0.95399999999999985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2.65</v>
      </c>
      <c r="AU3" t="s">
        <v>25</v>
      </c>
      <c r="AV3">
        <v>1</v>
      </c>
      <c r="AW3">
        <v>2</v>
      </c>
      <c r="AX3">
        <v>55983120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ROUND(AT3*Source!I30*AH3*AL3,2)</f>
        <v>0</v>
      </c>
      <c r="CV3">
        <f>ROUND(Y3*Source!I30,9)</f>
        <v>0.95399999999999996</v>
      </c>
      <c r="CW3">
        <v>0</v>
      </c>
      <c r="CX3">
        <f>ROUND(Y3*Source!I30,9)</f>
        <v>0.95399999999999996</v>
      </c>
      <c r="CY3">
        <f>AD3</f>
        <v>0</v>
      </c>
      <c r="CZ3">
        <f>AH3</f>
        <v>0</v>
      </c>
      <c r="DA3">
        <f>AL3</f>
        <v>1</v>
      </c>
      <c r="DB3">
        <f>ROUND(((ROUND(AT3*CZ3,2)*1.2)*0.3),6)</f>
        <v>0</v>
      </c>
      <c r="DC3">
        <f>ROUND(((ROUND(AT3*AG3,2)*1.2)*0.3),6)</f>
        <v>0</v>
      </c>
      <c r="DD3" t="s">
        <v>3</v>
      </c>
      <c r="DE3" t="s">
        <v>3</v>
      </c>
      <c r="DF3">
        <f t="shared" si="0"/>
        <v>0</v>
      </c>
      <c r="DG3">
        <f t="shared" si="1"/>
        <v>0</v>
      </c>
      <c r="DH3">
        <f t="shared" si="2"/>
        <v>0</v>
      </c>
      <c r="DI3">
        <f t="shared" si="3"/>
        <v>0</v>
      </c>
      <c r="DJ3">
        <f>DI3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ROW(Source!A30)</f>
        <v>30</v>
      </c>
      <c r="B4">
        <v>55915256</v>
      </c>
      <c r="C4">
        <v>55983115</v>
      </c>
      <c r="D4">
        <v>55461074</v>
      </c>
      <c r="E4">
        <v>1</v>
      </c>
      <c r="F4">
        <v>1</v>
      </c>
      <c r="G4">
        <v>1081</v>
      </c>
      <c r="H4">
        <v>3</v>
      </c>
      <c r="I4" t="s">
        <v>366</v>
      </c>
      <c r="J4" t="s">
        <v>367</v>
      </c>
      <c r="K4" t="s">
        <v>368</v>
      </c>
      <c r="L4">
        <v>1346</v>
      </c>
      <c r="N4">
        <v>1009</v>
      </c>
      <c r="O4" t="s">
        <v>339</v>
      </c>
      <c r="P4" t="s">
        <v>339</v>
      </c>
      <c r="Q4">
        <v>1</v>
      </c>
      <c r="W4">
        <v>0</v>
      </c>
      <c r="X4">
        <v>-861631226</v>
      </c>
      <c r="Y4">
        <f>((AT4*1)*0)</f>
        <v>0</v>
      </c>
      <c r="AA4">
        <v>27.62</v>
      </c>
      <c r="AB4">
        <v>0</v>
      </c>
      <c r="AC4">
        <v>0</v>
      </c>
      <c r="AD4">
        <v>0</v>
      </c>
      <c r="AE4">
        <v>27.62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6.2700000000000004E-3</v>
      </c>
      <c r="AU4" t="s">
        <v>24</v>
      </c>
      <c r="AV4">
        <v>0</v>
      </c>
      <c r="AW4">
        <v>2</v>
      </c>
      <c r="AX4">
        <v>55983121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ROUND(Y4*Source!I30,9)</f>
        <v>0</v>
      </c>
      <c r="CY4">
        <f>AA4</f>
        <v>27.62</v>
      </c>
      <c r="CZ4">
        <f>AE4</f>
        <v>27.62</v>
      </c>
      <c r="DA4">
        <f>AI4</f>
        <v>1</v>
      </c>
      <c r="DB4">
        <f>ROUND(((ROUND(AT4*CZ4,2)*1)*0),6)</f>
        <v>0</v>
      </c>
      <c r="DC4">
        <f>ROUND(((ROUND(AT4*AG4,2)*1)*0),6)</f>
        <v>0</v>
      </c>
      <c r="DD4" t="s">
        <v>3</v>
      </c>
      <c r="DE4" t="s">
        <v>3</v>
      </c>
      <c r="DF4">
        <f t="shared" si="0"/>
        <v>0</v>
      </c>
      <c r="DG4">
        <f t="shared" si="1"/>
        <v>0</v>
      </c>
      <c r="DH4">
        <f t="shared" si="2"/>
        <v>0</v>
      </c>
      <c r="DI4">
        <f t="shared" si="3"/>
        <v>0</v>
      </c>
      <c r="DJ4">
        <f>DF4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ROW(Source!A30)</f>
        <v>30</v>
      </c>
      <c r="B5">
        <v>55915256</v>
      </c>
      <c r="C5">
        <v>55983115</v>
      </c>
      <c r="D5">
        <v>55459793</v>
      </c>
      <c r="E5">
        <v>1</v>
      </c>
      <c r="F5">
        <v>1</v>
      </c>
      <c r="G5">
        <v>1081</v>
      </c>
      <c r="H5">
        <v>3</v>
      </c>
      <c r="I5" t="s">
        <v>369</v>
      </c>
      <c r="J5" t="s">
        <v>370</v>
      </c>
      <c r="K5" t="s">
        <v>371</v>
      </c>
      <c r="L5">
        <v>1348</v>
      </c>
      <c r="N5">
        <v>1009</v>
      </c>
      <c r="O5" t="s">
        <v>324</v>
      </c>
      <c r="P5" t="s">
        <v>324</v>
      </c>
      <c r="Q5">
        <v>1000</v>
      </c>
      <c r="W5">
        <v>0</v>
      </c>
      <c r="X5">
        <v>-761454284</v>
      </c>
      <c r="Y5">
        <f>((AT5*1)*0)</f>
        <v>0</v>
      </c>
      <c r="AA5">
        <v>64123.05</v>
      </c>
      <c r="AB5">
        <v>0</v>
      </c>
      <c r="AC5">
        <v>0</v>
      </c>
      <c r="AD5">
        <v>0</v>
      </c>
      <c r="AE5">
        <v>64123.05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1.0000000000000001E-5</v>
      </c>
      <c r="AU5" t="s">
        <v>24</v>
      </c>
      <c r="AV5">
        <v>0</v>
      </c>
      <c r="AW5">
        <v>2</v>
      </c>
      <c r="AX5">
        <v>55983122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ROUND(Y5*Source!I30,9)</f>
        <v>0</v>
      </c>
      <c r="CY5">
        <f>AA5</f>
        <v>64123.05</v>
      </c>
      <c r="CZ5">
        <f>AE5</f>
        <v>64123.05</v>
      </c>
      <c r="DA5">
        <f>AI5</f>
        <v>1</v>
      </c>
      <c r="DB5">
        <f>ROUND(((ROUND(AT5*CZ5,2)*1)*0),6)</f>
        <v>0</v>
      </c>
      <c r="DC5">
        <f>ROUND(((ROUND(AT5*AG5,2)*1)*0),6)</f>
        <v>0</v>
      </c>
      <c r="DD5" t="s">
        <v>3</v>
      </c>
      <c r="DE5" t="s">
        <v>3</v>
      </c>
      <c r="DF5">
        <f t="shared" si="0"/>
        <v>0</v>
      </c>
      <c r="DG5">
        <f t="shared" si="1"/>
        <v>0</v>
      </c>
      <c r="DH5">
        <f t="shared" si="2"/>
        <v>0</v>
      </c>
      <c r="DI5">
        <f t="shared" si="3"/>
        <v>0</v>
      </c>
      <c r="DJ5">
        <f>DF5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ROW(Source!A30)</f>
        <v>30</v>
      </c>
      <c r="B6">
        <v>55915256</v>
      </c>
      <c r="C6">
        <v>55983115</v>
      </c>
      <c r="D6">
        <v>55469253</v>
      </c>
      <c r="E6">
        <v>1</v>
      </c>
      <c r="F6">
        <v>1</v>
      </c>
      <c r="G6">
        <v>1081</v>
      </c>
      <c r="H6">
        <v>3</v>
      </c>
      <c r="I6" t="s">
        <v>372</v>
      </c>
      <c r="J6" t="s">
        <v>373</v>
      </c>
      <c r="K6" t="s">
        <v>374</v>
      </c>
      <c r="L6">
        <v>1354</v>
      </c>
      <c r="N6">
        <v>1010</v>
      </c>
      <c r="O6" t="s">
        <v>191</v>
      </c>
      <c r="P6" t="s">
        <v>191</v>
      </c>
      <c r="Q6">
        <v>1</v>
      </c>
      <c r="W6">
        <v>0</v>
      </c>
      <c r="X6">
        <v>-32785108</v>
      </c>
      <c r="Y6">
        <f>((AT6*1)*0)</f>
        <v>0</v>
      </c>
      <c r="AA6">
        <v>15.25</v>
      </c>
      <c r="AB6">
        <v>0</v>
      </c>
      <c r="AC6">
        <v>0</v>
      </c>
      <c r="AD6">
        <v>0</v>
      </c>
      <c r="AE6">
        <v>15.25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0.1</v>
      </c>
      <c r="AU6" t="s">
        <v>24</v>
      </c>
      <c r="AV6">
        <v>0</v>
      </c>
      <c r="AW6">
        <v>2</v>
      </c>
      <c r="AX6">
        <v>55983123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ROUND(Y6*Source!I30,9)</f>
        <v>0</v>
      </c>
      <c r="CY6">
        <f>AA6</f>
        <v>15.25</v>
      </c>
      <c r="CZ6">
        <f>AE6</f>
        <v>15.25</v>
      </c>
      <c r="DA6">
        <f>AI6</f>
        <v>1</v>
      </c>
      <c r="DB6">
        <f>ROUND(((ROUND(AT6*CZ6,2)*1)*0),6)</f>
        <v>0</v>
      </c>
      <c r="DC6">
        <f>ROUND(((ROUND(AT6*AG6,2)*1)*0),6)</f>
        <v>0</v>
      </c>
      <c r="DD6" t="s">
        <v>3</v>
      </c>
      <c r="DE6" t="s">
        <v>3</v>
      </c>
      <c r="DF6">
        <f t="shared" si="0"/>
        <v>0</v>
      </c>
      <c r="DG6">
        <f t="shared" si="1"/>
        <v>0</v>
      </c>
      <c r="DH6">
        <f t="shared" si="2"/>
        <v>0</v>
      </c>
      <c r="DI6">
        <f t="shared" si="3"/>
        <v>0</v>
      </c>
      <c r="DJ6">
        <f>DF6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ROW(Source!A31)</f>
        <v>31</v>
      </c>
      <c r="B7">
        <v>55915258</v>
      </c>
      <c r="C7">
        <v>55983115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363</v>
      </c>
      <c r="J7" t="s">
        <v>3</v>
      </c>
      <c r="K7" t="s">
        <v>364</v>
      </c>
      <c r="L7">
        <v>1191</v>
      </c>
      <c r="N7">
        <v>1013</v>
      </c>
      <c r="O7" t="s">
        <v>365</v>
      </c>
      <c r="P7" t="s">
        <v>365</v>
      </c>
      <c r="Q7">
        <v>1</v>
      </c>
      <c r="W7">
        <v>0</v>
      </c>
      <c r="X7">
        <v>476480486</v>
      </c>
      <c r="Y7">
        <f>((AT7*1.2)*0.3)</f>
        <v>0.95399999999999985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5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2.65</v>
      </c>
      <c r="AU7" t="s">
        <v>25</v>
      </c>
      <c r="AV7">
        <v>1</v>
      </c>
      <c r="AW7">
        <v>2</v>
      </c>
      <c r="AX7">
        <v>55983120</v>
      </c>
      <c r="AY7">
        <v>1</v>
      </c>
      <c r="AZ7">
        <v>0</v>
      </c>
      <c r="BA7">
        <v>8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ROUND(AT7*Source!I31*AH7*AL7,2)</f>
        <v>0</v>
      </c>
      <c r="CV7">
        <f>ROUND(Y7*Source!I31,9)</f>
        <v>0.95399999999999996</v>
      </c>
      <c r="CW7">
        <v>0</v>
      </c>
      <c r="CX7">
        <f>ROUND(Y7*Source!I31,9)</f>
        <v>0.95399999999999996</v>
      </c>
      <c r="CY7">
        <f>AD7</f>
        <v>0</v>
      </c>
      <c r="CZ7">
        <f>AH7</f>
        <v>0</v>
      </c>
      <c r="DA7">
        <f>AL7</f>
        <v>1</v>
      </c>
      <c r="DB7">
        <f>ROUND(((ROUND(AT7*CZ7,2)*1.2)*0.3),6)</f>
        <v>0</v>
      </c>
      <c r="DC7">
        <f>ROUND(((ROUND(AT7*AG7,2)*1.2)*0.3),6)</f>
        <v>0</v>
      </c>
      <c r="DD7" t="s">
        <v>3</v>
      </c>
      <c r="DE7" t="s">
        <v>3</v>
      </c>
      <c r="DF7">
        <f t="shared" si="0"/>
        <v>0</v>
      </c>
      <c r="DG7">
        <f t="shared" si="1"/>
        <v>0</v>
      </c>
      <c r="DH7">
        <f t="shared" si="2"/>
        <v>0</v>
      </c>
      <c r="DI7">
        <f t="shared" si="3"/>
        <v>0</v>
      </c>
      <c r="DJ7">
        <f>DI7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ROW(Source!A31)</f>
        <v>31</v>
      </c>
      <c r="B8">
        <v>55915258</v>
      </c>
      <c r="C8">
        <v>55983115</v>
      </c>
      <c r="D8">
        <v>55461074</v>
      </c>
      <c r="E8">
        <v>1</v>
      </c>
      <c r="F8">
        <v>1</v>
      </c>
      <c r="G8">
        <v>1081</v>
      </c>
      <c r="H8">
        <v>3</v>
      </c>
      <c r="I8" t="s">
        <v>366</v>
      </c>
      <c r="J8" t="s">
        <v>367</v>
      </c>
      <c r="K8" t="s">
        <v>368</v>
      </c>
      <c r="L8">
        <v>1346</v>
      </c>
      <c r="N8">
        <v>1009</v>
      </c>
      <c r="O8" t="s">
        <v>339</v>
      </c>
      <c r="P8" t="s">
        <v>339</v>
      </c>
      <c r="Q8">
        <v>1</v>
      </c>
      <c r="W8">
        <v>0</v>
      </c>
      <c r="X8">
        <v>-861631226</v>
      </c>
      <c r="Y8">
        <f>((AT8*1)*0)</f>
        <v>0</v>
      </c>
      <c r="AA8">
        <v>163.51</v>
      </c>
      <c r="AB8">
        <v>0</v>
      </c>
      <c r="AC8">
        <v>0</v>
      </c>
      <c r="AD8">
        <v>0</v>
      </c>
      <c r="AE8">
        <v>27.62</v>
      </c>
      <c r="AF8">
        <v>0</v>
      </c>
      <c r="AG8">
        <v>0</v>
      </c>
      <c r="AH8">
        <v>0</v>
      </c>
      <c r="AI8">
        <v>5.92</v>
      </c>
      <c r="AJ8">
        <v>1</v>
      </c>
      <c r="AK8">
        <v>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6.2700000000000004E-3</v>
      </c>
      <c r="AU8" t="s">
        <v>24</v>
      </c>
      <c r="AV8">
        <v>0</v>
      </c>
      <c r="AW8">
        <v>2</v>
      </c>
      <c r="AX8">
        <v>55983121</v>
      </c>
      <c r="AY8">
        <v>1</v>
      </c>
      <c r="AZ8">
        <v>0</v>
      </c>
      <c r="BA8">
        <v>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ROUND(Y8*Source!I31,9)</f>
        <v>0</v>
      </c>
      <c r="CY8">
        <f>AA8</f>
        <v>163.51</v>
      </c>
      <c r="CZ8">
        <f>AE8</f>
        <v>27.62</v>
      </c>
      <c r="DA8">
        <f>AI8</f>
        <v>5.92</v>
      </c>
      <c r="DB8">
        <f>ROUND(((ROUND(AT8*CZ8,2)*1)*0),6)</f>
        <v>0</v>
      </c>
      <c r="DC8">
        <f>ROUND(((ROUND(AT8*AG8,2)*1)*0),6)</f>
        <v>0</v>
      </c>
      <c r="DD8" t="s">
        <v>3</v>
      </c>
      <c r="DE8" t="s">
        <v>3</v>
      </c>
      <c r="DF8">
        <f>ROUND(ROUND(AE8*AI8,2)*CX8,2)</f>
        <v>0</v>
      </c>
      <c r="DG8">
        <f t="shared" si="1"/>
        <v>0</v>
      </c>
      <c r="DH8">
        <f t="shared" si="2"/>
        <v>0</v>
      </c>
      <c r="DI8">
        <f t="shared" si="3"/>
        <v>0</v>
      </c>
      <c r="DJ8">
        <f>DF8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ROW(Source!A31)</f>
        <v>31</v>
      </c>
      <c r="B9">
        <v>55915258</v>
      </c>
      <c r="C9">
        <v>55983115</v>
      </c>
      <c r="D9">
        <v>55459793</v>
      </c>
      <c r="E9">
        <v>1</v>
      </c>
      <c r="F9">
        <v>1</v>
      </c>
      <c r="G9">
        <v>1081</v>
      </c>
      <c r="H9">
        <v>3</v>
      </c>
      <c r="I9" t="s">
        <v>369</v>
      </c>
      <c r="J9" t="s">
        <v>370</v>
      </c>
      <c r="K9" t="s">
        <v>371</v>
      </c>
      <c r="L9">
        <v>1348</v>
      </c>
      <c r="N9">
        <v>1009</v>
      </c>
      <c r="O9" t="s">
        <v>324</v>
      </c>
      <c r="P9" t="s">
        <v>324</v>
      </c>
      <c r="Q9">
        <v>1000</v>
      </c>
      <c r="W9">
        <v>0</v>
      </c>
      <c r="X9">
        <v>-761454284</v>
      </c>
      <c r="Y9">
        <f>((AT9*1)*0)</f>
        <v>0</v>
      </c>
      <c r="AA9">
        <v>1930745.04</v>
      </c>
      <c r="AB9">
        <v>0</v>
      </c>
      <c r="AC9">
        <v>0</v>
      </c>
      <c r="AD9">
        <v>0</v>
      </c>
      <c r="AE9">
        <v>64123.05</v>
      </c>
      <c r="AF9">
        <v>0</v>
      </c>
      <c r="AG9">
        <v>0</v>
      </c>
      <c r="AH9">
        <v>0</v>
      </c>
      <c r="AI9">
        <v>30.11</v>
      </c>
      <c r="AJ9">
        <v>1</v>
      </c>
      <c r="AK9">
        <v>1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1.0000000000000001E-5</v>
      </c>
      <c r="AU9" t="s">
        <v>24</v>
      </c>
      <c r="AV9">
        <v>0</v>
      </c>
      <c r="AW9">
        <v>2</v>
      </c>
      <c r="AX9">
        <v>55983122</v>
      </c>
      <c r="AY9">
        <v>1</v>
      </c>
      <c r="AZ9">
        <v>0</v>
      </c>
      <c r="BA9">
        <v>10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ROUND(Y9*Source!I31,9)</f>
        <v>0</v>
      </c>
      <c r="CY9">
        <f>AA9</f>
        <v>1930745.04</v>
      </c>
      <c r="CZ9">
        <f>AE9</f>
        <v>64123.05</v>
      </c>
      <c r="DA9">
        <f>AI9</f>
        <v>30.11</v>
      </c>
      <c r="DB9">
        <f>ROUND(((ROUND(AT9*CZ9,2)*1)*0),6)</f>
        <v>0</v>
      </c>
      <c r="DC9">
        <f>ROUND(((ROUND(AT9*AG9,2)*1)*0),6)</f>
        <v>0</v>
      </c>
      <c r="DD9" t="s">
        <v>3</v>
      </c>
      <c r="DE9" t="s">
        <v>3</v>
      </c>
      <c r="DF9">
        <f>ROUND(ROUND(AE9*AI9,2)*CX9,2)</f>
        <v>0</v>
      </c>
      <c r="DG9">
        <f t="shared" si="1"/>
        <v>0</v>
      </c>
      <c r="DH9">
        <f t="shared" si="2"/>
        <v>0</v>
      </c>
      <c r="DI9">
        <f t="shared" si="3"/>
        <v>0</v>
      </c>
      <c r="DJ9">
        <f>DF9</f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ROW(Source!A31)</f>
        <v>31</v>
      </c>
      <c r="B10">
        <v>55915258</v>
      </c>
      <c r="C10">
        <v>55983115</v>
      </c>
      <c r="D10">
        <v>55469253</v>
      </c>
      <c r="E10">
        <v>1</v>
      </c>
      <c r="F10">
        <v>1</v>
      </c>
      <c r="G10">
        <v>1081</v>
      </c>
      <c r="H10">
        <v>3</v>
      </c>
      <c r="I10" t="s">
        <v>372</v>
      </c>
      <c r="J10" t="s">
        <v>373</v>
      </c>
      <c r="K10" t="s">
        <v>374</v>
      </c>
      <c r="L10">
        <v>1354</v>
      </c>
      <c r="N10">
        <v>1010</v>
      </c>
      <c r="O10" t="s">
        <v>191</v>
      </c>
      <c r="P10" t="s">
        <v>191</v>
      </c>
      <c r="Q10">
        <v>1</v>
      </c>
      <c r="W10">
        <v>0</v>
      </c>
      <c r="X10">
        <v>-32785108</v>
      </c>
      <c r="Y10">
        <f>((AT10*1)*0)</f>
        <v>0</v>
      </c>
      <c r="AA10">
        <v>36.14</v>
      </c>
      <c r="AB10">
        <v>0</v>
      </c>
      <c r="AC10">
        <v>0</v>
      </c>
      <c r="AD10">
        <v>0</v>
      </c>
      <c r="AE10">
        <v>15.25</v>
      </c>
      <c r="AF10">
        <v>0</v>
      </c>
      <c r="AG10">
        <v>0</v>
      </c>
      <c r="AH10">
        <v>0</v>
      </c>
      <c r="AI10">
        <v>2.37</v>
      </c>
      <c r="AJ10">
        <v>1</v>
      </c>
      <c r="AK10">
        <v>1</v>
      </c>
      <c r="AL10">
        <v>1</v>
      </c>
      <c r="AM10">
        <v>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0.1</v>
      </c>
      <c r="AU10" t="s">
        <v>24</v>
      </c>
      <c r="AV10">
        <v>0</v>
      </c>
      <c r="AW10">
        <v>2</v>
      </c>
      <c r="AX10">
        <v>55983123</v>
      </c>
      <c r="AY10">
        <v>1</v>
      </c>
      <c r="AZ10">
        <v>0</v>
      </c>
      <c r="BA10">
        <v>11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ROUND(Y10*Source!I31,9)</f>
        <v>0</v>
      </c>
      <c r="CY10">
        <f>AA10</f>
        <v>36.14</v>
      </c>
      <c r="CZ10">
        <f>AE10</f>
        <v>15.25</v>
      </c>
      <c r="DA10">
        <f>AI10</f>
        <v>2.37</v>
      </c>
      <c r="DB10">
        <f>ROUND(((ROUND(AT10*CZ10,2)*1)*0),6)</f>
        <v>0</v>
      </c>
      <c r="DC10">
        <f>ROUND(((ROUND(AT10*AG10,2)*1)*0),6)</f>
        <v>0</v>
      </c>
      <c r="DD10" t="s">
        <v>3</v>
      </c>
      <c r="DE10" t="s">
        <v>3</v>
      </c>
      <c r="DF10">
        <f>ROUND(ROUND(AE10*AI10,2)*CX10,2)</f>
        <v>0</v>
      </c>
      <c r="DG10">
        <f t="shared" si="1"/>
        <v>0</v>
      </c>
      <c r="DH10">
        <f t="shared" si="2"/>
        <v>0</v>
      </c>
      <c r="DI10">
        <f t="shared" si="3"/>
        <v>0</v>
      </c>
      <c r="DJ10">
        <f>DF10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ROW(Source!A32)</f>
        <v>32</v>
      </c>
      <c r="B11">
        <v>55915256</v>
      </c>
      <c r="C11">
        <v>55983125</v>
      </c>
      <c r="D11">
        <v>55424304</v>
      </c>
      <c r="E11">
        <v>1081</v>
      </c>
      <c r="F11">
        <v>1</v>
      </c>
      <c r="G11">
        <v>1081</v>
      </c>
      <c r="H11">
        <v>1</v>
      </c>
      <c r="I11" t="s">
        <v>363</v>
      </c>
      <c r="J11" t="s">
        <v>3</v>
      </c>
      <c r="K11" t="s">
        <v>364</v>
      </c>
      <c r="L11">
        <v>1191</v>
      </c>
      <c r="N11">
        <v>1013</v>
      </c>
      <c r="O11" t="s">
        <v>365</v>
      </c>
      <c r="P11" t="s">
        <v>365</v>
      </c>
      <c r="Q11">
        <v>1</v>
      </c>
      <c r="W11">
        <v>0</v>
      </c>
      <c r="X11">
        <v>476480486</v>
      </c>
      <c r="Y11">
        <f t="shared" ref="Y11:Y23" si="4">((AT11*1.2)*0.3)</f>
        <v>0.86399999999999999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2.4</v>
      </c>
      <c r="AU11" t="s">
        <v>25</v>
      </c>
      <c r="AV11">
        <v>1</v>
      </c>
      <c r="AW11">
        <v>2</v>
      </c>
      <c r="AX11">
        <v>55983127</v>
      </c>
      <c r="AY11">
        <v>1</v>
      </c>
      <c r="AZ11">
        <v>0</v>
      </c>
      <c r="BA11">
        <v>13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ROUND(AT11*Source!I32*AH11*AL11,2)</f>
        <v>0</v>
      </c>
      <c r="CV11">
        <f>ROUND(Y11*Source!I32,9)</f>
        <v>0.86399999999999999</v>
      </c>
      <c r="CW11">
        <v>0</v>
      </c>
      <c r="CX11">
        <f>ROUND(Y11*Source!I32,9)</f>
        <v>0.86399999999999999</v>
      </c>
      <c r="CY11">
        <f t="shared" ref="CY11:CY23" si="5">AD11</f>
        <v>0</v>
      </c>
      <c r="CZ11">
        <f t="shared" ref="CZ11:CZ23" si="6">AH11</f>
        <v>0</v>
      </c>
      <c r="DA11">
        <f t="shared" ref="DA11:DA23" si="7">AL11</f>
        <v>1</v>
      </c>
      <c r="DB11">
        <f t="shared" ref="DB11:DB23" si="8">ROUND(((ROUND(AT11*CZ11,2)*1.2)*0.3),6)</f>
        <v>0</v>
      </c>
      <c r="DC11">
        <f t="shared" ref="DC11:DC23" si="9">ROUND(((ROUND(AT11*AG11,2)*1.2)*0.3),6)</f>
        <v>0</v>
      </c>
      <c r="DD11" t="s">
        <v>3</v>
      </c>
      <c r="DE11" t="s">
        <v>3</v>
      </c>
      <c r="DF11">
        <f t="shared" ref="DF11:DF26" si="10">ROUND(ROUND(AE11,2)*CX11,2)</f>
        <v>0</v>
      </c>
      <c r="DG11">
        <f t="shared" si="1"/>
        <v>0</v>
      </c>
      <c r="DH11">
        <f t="shared" si="2"/>
        <v>0</v>
      </c>
      <c r="DI11">
        <f t="shared" si="3"/>
        <v>0</v>
      </c>
      <c r="DJ11">
        <f t="shared" ref="DJ11:DJ23" si="11"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ROW(Source!A33)</f>
        <v>33</v>
      </c>
      <c r="B12">
        <v>55915258</v>
      </c>
      <c r="C12">
        <v>55983125</v>
      </c>
      <c r="D12">
        <v>55424304</v>
      </c>
      <c r="E12">
        <v>1081</v>
      </c>
      <c r="F12">
        <v>1</v>
      </c>
      <c r="G12">
        <v>1081</v>
      </c>
      <c r="H12">
        <v>1</v>
      </c>
      <c r="I12" t="s">
        <v>363</v>
      </c>
      <c r="J12" t="s">
        <v>3</v>
      </c>
      <c r="K12" t="s">
        <v>364</v>
      </c>
      <c r="L12">
        <v>1191</v>
      </c>
      <c r="N12">
        <v>1013</v>
      </c>
      <c r="O12" t="s">
        <v>365</v>
      </c>
      <c r="P12" t="s">
        <v>365</v>
      </c>
      <c r="Q12">
        <v>1</v>
      </c>
      <c r="W12">
        <v>0</v>
      </c>
      <c r="X12">
        <v>476480486</v>
      </c>
      <c r="Y12">
        <f t="shared" si="4"/>
        <v>0.86399999999999999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5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2.4</v>
      </c>
      <c r="AU12" t="s">
        <v>25</v>
      </c>
      <c r="AV12">
        <v>1</v>
      </c>
      <c r="AW12">
        <v>2</v>
      </c>
      <c r="AX12">
        <v>55983127</v>
      </c>
      <c r="AY12">
        <v>1</v>
      </c>
      <c r="AZ12">
        <v>0</v>
      </c>
      <c r="BA12">
        <v>14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U12">
        <f>ROUND(AT12*Source!I33*AH12*AL12,2)</f>
        <v>0</v>
      </c>
      <c r="CV12">
        <f>ROUND(Y12*Source!I33,9)</f>
        <v>0.86399999999999999</v>
      </c>
      <c r="CW12">
        <v>0</v>
      </c>
      <c r="CX12">
        <f>ROUND(Y12*Source!I33,9)</f>
        <v>0.86399999999999999</v>
      </c>
      <c r="CY12">
        <f t="shared" si="5"/>
        <v>0</v>
      </c>
      <c r="CZ12">
        <f t="shared" si="6"/>
        <v>0</v>
      </c>
      <c r="DA12">
        <f t="shared" si="7"/>
        <v>1</v>
      </c>
      <c r="DB12">
        <f t="shared" si="8"/>
        <v>0</v>
      </c>
      <c r="DC12">
        <f t="shared" si="9"/>
        <v>0</v>
      </c>
      <c r="DD12" t="s">
        <v>3</v>
      </c>
      <c r="DE12" t="s">
        <v>3</v>
      </c>
      <c r="DF12">
        <f t="shared" si="10"/>
        <v>0</v>
      </c>
      <c r="DG12">
        <f t="shared" si="1"/>
        <v>0</v>
      </c>
      <c r="DH12">
        <f t="shared" si="2"/>
        <v>0</v>
      </c>
      <c r="DI12">
        <f t="shared" si="3"/>
        <v>0</v>
      </c>
      <c r="DJ12">
        <f t="shared" si="11"/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ROW(Source!A34)</f>
        <v>34</v>
      </c>
      <c r="B13">
        <v>55915256</v>
      </c>
      <c r="C13">
        <v>55983128</v>
      </c>
      <c r="D13">
        <v>55424304</v>
      </c>
      <c r="E13">
        <v>1081</v>
      </c>
      <c r="F13">
        <v>1</v>
      </c>
      <c r="G13">
        <v>1081</v>
      </c>
      <c r="H13">
        <v>1</v>
      </c>
      <c r="I13" t="s">
        <v>363</v>
      </c>
      <c r="J13" t="s">
        <v>3</v>
      </c>
      <c r="K13" t="s">
        <v>364</v>
      </c>
      <c r="L13">
        <v>1191</v>
      </c>
      <c r="N13">
        <v>1013</v>
      </c>
      <c r="O13" t="s">
        <v>365</v>
      </c>
      <c r="P13" t="s">
        <v>365</v>
      </c>
      <c r="Q13">
        <v>1</v>
      </c>
      <c r="W13">
        <v>0</v>
      </c>
      <c r="X13">
        <v>476480486</v>
      </c>
      <c r="Y13">
        <f t="shared" si="4"/>
        <v>0.432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1.2</v>
      </c>
      <c r="AU13" t="s">
        <v>25</v>
      </c>
      <c r="AV13">
        <v>1</v>
      </c>
      <c r="AW13">
        <v>2</v>
      </c>
      <c r="AX13">
        <v>55983130</v>
      </c>
      <c r="AY13">
        <v>1</v>
      </c>
      <c r="AZ13">
        <v>0</v>
      </c>
      <c r="BA13">
        <v>15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U13">
        <f>ROUND(AT13*Source!I34*AH13*AL13,2)</f>
        <v>0</v>
      </c>
      <c r="CV13">
        <f>ROUND(Y13*Source!I34,9)</f>
        <v>13.391999999999999</v>
      </c>
      <c r="CW13">
        <v>0</v>
      </c>
      <c r="CX13">
        <f>ROUND(Y13*Source!I34,9)</f>
        <v>13.391999999999999</v>
      </c>
      <c r="CY13">
        <f t="shared" si="5"/>
        <v>0</v>
      </c>
      <c r="CZ13">
        <f t="shared" si="6"/>
        <v>0</v>
      </c>
      <c r="DA13">
        <f t="shared" si="7"/>
        <v>1</v>
      </c>
      <c r="DB13">
        <f t="shared" si="8"/>
        <v>0</v>
      </c>
      <c r="DC13">
        <f t="shared" si="9"/>
        <v>0</v>
      </c>
      <c r="DD13" t="s">
        <v>3</v>
      </c>
      <c r="DE13" t="s">
        <v>3</v>
      </c>
      <c r="DF13">
        <f t="shared" si="10"/>
        <v>0</v>
      </c>
      <c r="DG13">
        <f t="shared" si="1"/>
        <v>0</v>
      </c>
      <c r="DH13">
        <f t="shared" si="2"/>
        <v>0</v>
      </c>
      <c r="DI13">
        <f t="shared" si="3"/>
        <v>0</v>
      </c>
      <c r="DJ13">
        <f t="shared" si="11"/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ROW(Source!A35)</f>
        <v>35</v>
      </c>
      <c r="B14">
        <v>55915258</v>
      </c>
      <c r="C14">
        <v>55983128</v>
      </c>
      <c r="D14">
        <v>55424304</v>
      </c>
      <c r="E14">
        <v>1081</v>
      </c>
      <c r="F14">
        <v>1</v>
      </c>
      <c r="G14">
        <v>1081</v>
      </c>
      <c r="H14">
        <v>1</v>
      </c>
      <c r="I14" t="s">
        <v>363</v>
      </c>
      <c r="J14" t="s">
        <v>3</v>
      </c>
      <c r="K14" t="s">
        <v>364</v>
      </c>
      <c r="L14">
        <v>1191</v>
      </c>
      <c r="N14">
        <v>1013</v>
      </c>
      <c r="O14" t="s">
        <v>365</v>
      </c>
      <c r="P14" t="s">
        <v>365</v>
      </c>
      <c r="Q14">
        <v>1</v>
      </c>
      <c r="W14">
        <v>0</v>
      </c>
      <c r="X14">
        <v>476480486</v>
      </c>
      <c r="Y14">
        <f t="shared" si="4"/>
        <v>0.432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5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1.2</v>
      </c>
      <c r="AU14" t="s">
        <v>25</v>
      </c>
      <c r="AV14">
        <v>1</v>
      </c>
      <c r="AW14">
        <v>2</v>
      </c>
      <c r="AX14">
        <v>55983130</v>
      </c>
      <c r="AY14">
        <v>1</v>
      </c>
      <c r="AZ14">
        <v>0</v>
      </c>
      <c r="BA14">
        <v>16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U14">
        <f>ROUND(AT14*Source!I35*AH14*AL14,2)</f>
        <v>0</v>
      </c>
      <c r="CV14">
        <f>ROUND(Y14*Source!I35,9)</f>
        <v>13.391999999999999</v>
      </c>
      <c r="CW14">
        <v>0</v>
      </c>
      <c r="CX14">
        <f>ROUND(Y14*Source!I35,9)</f>
        <v>13.391999999999999</v>
      </c>
      <c r="CY14">
        <f t="shared" si="5"/>
        <v>0</v>
      </c>
      <c r="CZ14">
        <f t="shared" si="6"/>
        <v>0</v>
      </c>
      <c r="DA14">
        <f t="shared" si="7"/>
        <v>1</v>
      </c>
      <c r="DB14">
        <f t="shared" si="8"/>
        <v>0</v>
      </c>
      <c r="DC14">
        <f t="shared" si="9"/>
        <v>0</v>
      </c>
      <c r="DD14" t="s">
        <v>3</v>
      </c>
      <c r="DE14" t="s">
        <v>3</v>
      </c>
      <c r="DF14">
        <f t="shared" si="10"/>
        <v>0</v>
      </c>
      <c r="DG14">
        <f t="shared" si="1"/>
        <v>0</v>
      </c>
      <c r="DH14">
        <f t="shared" si="2"/>
        <v>0</v>
      </c>
      <c r="DI14">
        <f t="shared" si="3"/>
        <v>0</v>
      </c>
      <c r="DJ14">
        <f t="shared" si="11"/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ROW(Source!A36)</f>
        <v>36</v>
      </c>
      <c r="B15">
        <v>55915256</v>
      </c>
      <c r="C15">
        <v>55983131</v>
      </c>
      <c r="D15">
        <v>55424304</v>
      </c>
      <c r="E15">
        <v>1081</v>
      </c>
      <c r="F15">
        <v>1</v>
      </c>
      <c r="G15">
        <v>1081</v>
      </c>
      <c r="H15">
        <v>1</v>
      </c>
      <c r="I15" t="s">
        <v>363</v>
      </c>
      <c r="J15" t="s">
        <v>3</v>
      </c>
      <c r="K15" t="s">
        <v>364</v>
      </c>
      <c r="L15">
        <v>1191</v>
      </c>
      <c r="N15">
        <v>1013</v>
      </c>
      <c r="O15" t="s">
        <v>365</v>
      </c>
      <c r="P15" t="s">
        <v>365</v>
      </c>
      <c r="Q15">
        <v>1</v>
      </c>
      <c r="W15">
        <v>0</v>
      </c>
      <c r="X15">
        <v>476480486</v>
      </c>
      <c r="Y15">
        <f t="shared" si="4"/>
        <v>2.052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5.7</v>
      </c>
      <c r="AU15" t="s">
        <v>25</v>
      </c>
      <c r="AV15">
        <v>1</v>
      </c>
      <c r="AW15">
        <v>2</v>
      </c>
      <c r="AX15">
        <v>55983133</v>
      </c>
      <c r="AY15">
        <v>1</v>
      </c>
      <c r="AZ15">
        <v>0</v>
      </c>
      <c r="BA15">
        <v>17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U15">
        <f>ROUND(AT15*Source!I36*AH15*AL15,2)</f>
        <v>0</v>
      </c>
      <c r="CV15">
        <f>ROUND(Y15*Source!I36,9)</f>
        <v>2.052</v>
      </c>
      <c r="CW15">
        <v>0</v>
      </c>
      <c r="CX15">
        <f>ROUND(Y15*Source!I36,9)</f>
        <v>2.052</v>
      </c>
      <c r="CY15">
        <f t="shared" si="5"/>
        <v>0</v>
      </c>
      <c r="CZ15">
        <f t="shared" si="6"/>
        <v>0</v>
      </c>
      <c r="DA15">
        <f t="shared" si="7"/>
        <v>1</v>
      </c>
      <c r="DB15">
        <f t="shared" si="8"/>
        <v>0</v>
      </c>
      <c r="DC15">
        <f t="shared" si="9"/>
        <v>0</v>
      </c>
      <c r="DD15" t="s">
        <v>3</v>
      </c>
      <c r="DE15" t="s">
        <v>3</v>
      </c>
      <c r="DF15">
        <f t="shared" si="10"/>
        <v>0</v>
      </c>
      <c r="DG15">
        <f t="shared" si="1"/>
        <v>0</v>
      </c>
      <c r="DH15">
        <f t="shared" si="2"/>
        <v>0</v>
      </c>
      <c r="DI15">
        <f t="shared" si="3"/>
        <v>0</v>
      </c>
      <c r="DJ15">
        <f t="shared" si="11"/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ROW(Source!A37)</f>
        <v>37</v>
      </c>
      <c r="B16">
        <v>55915258</v>
      </c>
      <c r="C16">
        <v>55983131</v>
      </c>
      <c r="D16">
        <v>55424304</v>
      </c>
      <c r="E16">
        <v>1081</v>
      </c>
      <c r="F16">
        <v>1</v>
      </c>
      <c r="G16">
        <v>1081</v>
      </c>
      <c r="H16">
        <v>1</v>
      </c>
      <c r="I16" t="s">
        <v>363</v>
      </c>
      <c r="J16" t="s">
        <v>3</v>
      </c>
      <c r="K16" t="s">
        <v>364</v>
      </c>
      <c r="L16">
        <v>1191</v>
      </c>
      <c r="N16">
        <v>1013</v>
      </c>
      <c r="O16" t="s">
        <v>365</v>
      </c>
      <c r="P16" t="s">
        <v>365</v>
      </c>
      <c r="Q16">
        <v>1</v>
      </c>
      <c r="W16">
        <v>0</v>
      </c>
      <c r="X16">
        <v>476480486</v>
      </c>
      <c r="Y16">
        <f t="shared" si="4"/>
        <v>2.052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5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5.7</v>
      </c>
      <c r="AU16" t="s">
        <v>25</v>
      </c>
      <c r="AV16">
        <v>1</v>
      </c>
      <c r="AW16">
        <v>2</v>
      </c>
      <c r="AX16">
        <v>55983133</v>
      </c>
      <c r="AY16">
        <v>1</v>
      </c>
      <c r="AZ16">
        <v>0</v>
      </c>
      <c r="BA16">
        <v>18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ROUND(AT16*Source!I37*AH16*AL16,2)</f>
        <v>0</v>
      </c>
      <c r="CV16">
        <f>ROUND(Y16*Source!I37,9)</f>
        <v>2.052</v>
      </c>
      <c r="CW16">
        <v>0</v>
      </c>
      <c r="CX16">
        <f>ROUND(Y16*Source!I37,9)</f>
        <v>2.052</v>
      </c>
      <c r="CY16">
        <f t="shared" si="5"/>
        <v>0</v>
      </c>
      <c r="CZ16">
        <f t="shared" si="6"/>
        <v>0</v>
      </c>
      <c r="DA16">
        <f t="shared" si="7"/>
        <v>1</v>
      </c>
      <c r="DB16">
        <f t="shared" si="8"/>
        <v>0</v>
      </c>
      <c r="DC16">
        <f t="shared" si="9"/>
        <v>0</v>
      </c>
      <c r="DD16" t="s">
        <v>3</v>
      </c>
      <c r="DE16" t="s">
        <v>3</v>
      </c>
      <c r="DF16">
        <f t="shared" si="10"/>
        <v>0</v>
      </c>
      <c r="DG16">
        <f t="shared" si="1"/>
        <v>0</v>
      </c>
      <c r="DH16">
        <f t="shared" si="2"/>
        <v>0</v>
      </c>
      <c r="DI16">
        <f t="shared" si="3"/>
        <v>0</v>
      </c>
      <c r="DJ16">
        <f t="shared" si="11"/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ROW(Source!A38)</f>
        <v>38</v>
      </c>
      <c r="B17">
        <v>55915256</v>
      </c>
      <c r="C17">
        <v>55983134</v>
      </c>
      <c r="D17">
        <v>55424304</v>
      </c>
      <c r="E17">
        <v>1081</v>
      </c>
      <c r="F17">
        <v>1</v>
      </c>
      <c r="G17">
        <v>1081</v>
      </c>
      <c r="H17">
        <v>1</v>
      </c>
      <c r="I17" t="s">
        <v>363</v>
      </c>
      <c r="J17" t="s">
        <v>3</v>
      </c>
      <c r="K17" t="s">
        <v>364</v>
      </c>
      <c r="L17">
        <v>1191</v>
      </c>
      <c r="N17">
        <v>1013</v>
      </c>
      <c r="O17" t="s">
        <v>365</v>
      </c>
      <c r="P17" t="s">
        <v>365</v>
      </c>
      <c r="Q17">
        <v>1</v>
      </c>
      <c r="W17">
        <v>0</v>
      </c>
      <c r="X17">
        <v>476480486</v>
      </c>
      <c r="Y17">
        <f t="shared" si="4"/>
        <v>0.64800000000000002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1.8</v>
      </c>
      <c r="AU17" t="s">
        <v>25</v>
      </c>
      <c r="AV17">
        <v>1</v>
      </c>
      <c r="AW17">
        <v>2</v>
      </c>
      <c r="AX17">
        <v>55983136</v>
      </c>
      <c r="AY17">
        <v>1</v>
      </c>
      <c r="AZ17">
        <v>0</v>
      </c>
      <c r="BA17">
        <v>19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U17">
        <f>ROUND(AT17*Source!I38*AH17*AL17,2)</f>
        <v>0</v>
      </c>
      <c r="CV17">
        <f>ROUND(Y17*Source!I38,9)</f>
        <v>0.64800000000000002</v>
      </c>
      <c r="CW17">
        <v>0</v>
      </c>
      <c r="CX17">
        <f>ROUND(Y17*Source!I38,9)</f>
        <v>0.64800000000000002</v>
      </c>
      <c r="CY17">
        <f t="shared" si="5"/>
        <v>0</v>
      </c>
      <c r="CZ17">
        <f t="shared" si="6"/>
        <v>0</v>
      </c>
      <c r="DA17">
        <f t="shared" si="7"/>
        <v>1</v>
      </c>
      <c r="DB17">
        <f t="shared" si="8"/>
        <v>0</v>
      </c>
      <c r="DC17">
        <f t="shared" si="9"/>
        <v>0</v>
      </c>
      <c r="DD17" t="s">
        <v>3</v>
      </c>
      <c r="DE17" t="s">
        <v>3</v>
      </c>
      <c r="DF17">
        <f t="shared" si="10"/>
        <v>0</v>
      </c>
      <c r="DG17">
        <f t="shared" si="1"/>
        <v>0</v>
      </c>
      <c r="DH17">
        <f t="shared" si="2"/>
        <v>0</v>
      </c>
      <c r="DI17">
        <f t="shared" si="3"/>
        <v>0</v>
      </c>
      <c r="DJ17">
        <f t="shared" si="11"/>
        <v>0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ROW(Source!A39)</f>
        <v>39</v>
      </c>
      <c r="B18">
        <v>55915258</v>
      </c>
      <c r="C18">
        <v>55983134</v>
      </c>
      <c r="D18">
        <v>55424304</v>
      </c>
      <c r="E18">
        <v>1081</v>
      </c>
      <c r="F18">
        <v>1</v>
      </c>
      <c r="G18">
        <v>1081</v>
      </c>
      <c r="H18">
        <v>1</v>
      </c>
      <c r="I18" t="s">
        <v>363</v>
      </c>
      <c r="J18" t="s">
        <v>3</v>
      </c>
      <c r="K18" t="s">
        <v>364</v>
      </c>
      <c r="L18">
        <v>1191</v>
      </c>
      <c r="N18">
        <v>1013</v>
      </c>
      <c r="O18" t="s">
        <v>365</v>
      </c>
      <c r="P18" t="s">
        <v>365</v>
      </c>
      <c r="Q18">
        <v>1</v>
      </c>
      <c r="W18">
        <v>0</v>
      </c>
      <c r="X18">
        <v>476480486</v>
      </c>
      <c r="Y18">
        <f t="shared" si="4"/>
        <v>0.64800000000000002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5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1.8</v>
      </c>
      <c r="AU18" t="s">
        <v>25</v>
      </c>
      <c r="AV18">
        <v>1</v>
      </c>
      <c r="AW18">
        <v>2</v>
      </c>
      <c r="AX18">
        <v>55983136</v>
      </c>
      <c r="AY18">
        <v>1</v>
      </c>
      <c r="AZ18">
        <v>0</v>
      </c>
      <c r="BA18">
        <v>20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U18">
        <f>ROUND(AT18*Source!I39*AH18*AL18,2)</f>
        <v>0</v>
      </c>
      <c r="CV18">
        <f>ROUND(Y18*Source!I39,9)</f>
        <v>0.64800000000000002</v>
      </c>
      <c r="CW18">
        <v>0</v>
      </c>
      <c r="CX18">
        <f>ROUND(Y18*Source!I39,9)</f>
        <v>0.64800000000000002</v>
      </c>
      <c r="CY18">
        <f t="shared" si="5"/>
        <v>0</v>
      </c>
      <c r="CZ18">
        <f t="shared" si="6"/>
        <v>0</v>
      </c>
      <c r="DA18">
        <f t="shared" si="7"/>
        <v>1</v>
      </c>
      <c r="DB18">
        <f t="shared" si="8"/>
        <v>0</v>
      </c>
      <c r="DC18">
        <f t="shared" si="9"/>
        <v>0</v>
      </c>
      <c r="DD18" t="s">
        <v>3</v>
      </c>
      <c r="DE18" t="s">
        <v>3</v>
      </c>
      <c r="DF18">
        <f t="shared" si="10"/>
        <v>0</v>
      </c>
      <c r="DG18">
        <f t="shared" si="1"/>
        <v>0</v>
      </c>
      <c r="DH18">
        <f t="shared" si="2"/>
        <v>0</v>
      </c>
      <c r="DI18">
        <f t="shared" si="3"/>
        <v>0</v>
      </c>
      <c r="DJ18">
        <f t="shared" si="11"/>
        <v>0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ROW(Source!A40)</f>
        <v>40</v>
      </c>
      <c r="B19">
        <v>55915256</v>
      </c>
      <c r="C19">
        <v>55983137</v>
      </c>
      <c r="D19">
        <v>55424304</v>
      </c>
      <c r="E19">
        <v>1081</v>
      </c>
      <c r="F19">
        <v>1</v>
      </c>
      <c r="G19">
        <v>1081</v>
      </c>
      <c r="H19">
        <v>1</v>
      </c>
      <c r="I19" t="s">
        <v>363</v>
      </c>
      <c r="J19" t="s">
        <v>3</v>
      </c>
      <c r="K19" t="s">
        <v>364</v>
      </c>
      <c r="L19">
        <v>1191</v>
      </c>
      <c r="N19">
        <v>1013</v>
      </c>
      <c r="O19" t="s">
        <v>365</v>
      </c>
      <c r="P19" t="s">
        <v>365</v>
      </c>
      <c r="Q19">
        <v>1</v>
      </c>
      <c r="W19">
        <v>0</v>
      </c>
      <c r="X19">
        <v>476480486</v>
      </c>
      <c r="Y19">
        <f t="shared" si="4"/>
        <v>0.3024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-2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0.84</v>
      </c>
      <c r="AU19" t="s">
        <v>25</v>
      </c>
      <c r="AV19">
        <v>1</v>
      </c>
      <c r="AW19">
        <v>2</v>
      </c>
      <c r="AX19">
        <v>55983139</v>
      </c>
      <c r="AY19">
        <v>1</v>
      </c>
      <c r="AZ19">
        <v>0</v>
      </c>
      <c r="BA19">
        <v>21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ROUND(AT19*Source!I40*AH19*AL19,2)</f>
        <v>0</v>
      </c>
      <c r="CV19">
        <f>ROUND(Y19*Source!I40,9)</f>
        <v>46.872</v>
      </c>
      <c r="CW19">
        <v>0</v>
      </c>
      <c r="CX19">
        <f>ROUND(Y19*Source!I40,9)</f>
        <v>46.872</v>
      </c>
      <c r="CY19">
        <f t="shared" si="5"/>
        <v>0</v>
      </c>
      <c r="CZ19">
        <f t="shared" si="6"/>
        <v>0</v>
      </c>
      <c r="DA19">
        <f t="shared" si="7"/>
        <v>1</v>
      </c>
      <c r="DB19">
        <f t="shared" si="8"/>
        <v>0</v>
      </c>
      <c r="DC19">
        <f t="shared" si="9"/>
        <v>0</v>
      </c>
      <c r="DD19" t="s">
        <v>3</v>
      </c>
      <c r="DE19" t="s">
        <v>3</v>
      </c>
      <c r="DF19">
        <f t="shared" si="10"/>
        <v>0</v>
      </c>
      <c r="DG19">
        <f t="shared" si="1"/>
        <v>0</v>
      </c>
      <c r="DH19">
        <f t="shared" si="2"/>
        <v>0</v>
      </c>
      <c r="DI19">
        <f t="shared" si="3"/>
        <v>0</v>
      </c>
      <c r="DJ19">
        <f t="shared" si="11"/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ROW(Source!A41)</f>
        <v>41</v>
      </c>
      <c r="B20">
        <v>55915258</v>
      </c>
      <c r="C20">
        <v>55983137</v>
      </c>
      <c r="D20">
        <v>55424304</v>
      </c>
      <c r="E20">
        <v>1081</v>
      </c>
      <c r="F20">
        <v>1</v>
      </c>
      <c r="G20">
        <v>1081</v>
      </c>
      <c r="H20">
        <v>1</v>
      </c>
      <c r="I20" t="s">
        <v>363</v>
      </c>
      <c r="J20" t="s">
        <v>3</v>
      </c>
      <c r="K20" t="s">
        <v>364</v>
      </c>
      <c r="L20">
        <v>1191</v>
      </c>
      <c r="N20">
        <v>1013</v>
      </c>
      <c r="O20" t="s">
        <v>365</v>
      </c>
      <c r="P20" t="s">
        <v>365</v>
      </c>
      <c r="Q20">
        <v>1</v>
      </c>
      <c r="W20">
        <v>0</v>
      </c>
      <c r="X20">
        <v>476480486</v>
      </c>
      <c r="Y20">
        <f t="shared" si="4"/>
        <v>0.3024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5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0.84</v>
      </c>
      <c r="AU20" t="s">
        <v>25</v>
      </c>
      <c r="AV20">
        <v>1</v>
      </c>
      <c r="AW20">
        <v>2</v>
      </c>
      <c r="AX20">
        <v>55983139</v>
      </c>
      <c r="AY20">
        <v>1</v>
      </c>
      <c r="AZ20">
        <v>0</v>
      </c>
      <c r="BA20">
        <v>22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U20">
        <f>ROUND(AT20*Source!I41*AH20*AL20,2)</f>
        <v>0</v>
      </c>
      <c r="CV20">
        <f>ROUND(Y20*Source!I41,9)</f>
        <v>46.872</v>
      </c>
      <c r="CW20">
        <v>0</v>
      </c>
      <c r="CX20">
        <f>ROUND(Y20*Source!I41,9)</f>
        <v>46.872</v>
      </c>
      <c r="CY20">
        <f t="shared" si="5"/>
        <v>0</v>
      </c>
      <c r="CZ20">
        <f t="shared" si="6"/>
        <v>0</v>
      </c>
      <c r="DA20">
        <f t="shared" si="7"/>
        <v>1</v>
      </c>
      <c r="DB20">
        <f t="shared" si="8"/>
        <v>0</v>
      </c>
      <c r="DC20">
        <f t="shared" si="9"/>
        <v>0</v>
      </c>
      <c r="DD20" t="s">
        <v>3</v>
      </c>
      <c r="DE20" t="s">
        <v>3</v>
      </c>
      <c r="DF20">
        <f t="shared" si="10"/>
        <v>0</v>
      </c>
      <c r="DG20">
        <f t="shared" si="1"/>
        <v>0</v>
      </c>
      <c r="DH20">
        <f t="shared" si="2"/>
        <v>0</v>
      </c>
      <c r="DI20">
        <f t="shared" si="3"/>
        <v>0</v>
      </c>
      <c r="DJ20">
        <f t="shared" si="11"/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ROW(Source!A42)</f>
        <v>42</v>
      </c>
      <c r="B21">
        <v>55915256</v>
      </c>
      <c r="C21">
        <v>55983140</v>
      </c>
      <c r="D21">
        <v>55424304</v>
      </c>
      <c r="E21">
        <v>1081</v>
      </c>
      <c r="F21">
        <v>1</v>
      </c>
      <c r="G21">
        <v>1081</v>
      </c>
      <c r="H21">
        <v>1</v>
      </c>
      <c r="I21" t="s">
        <v>363</v>
      </c>
      <c r="J21" t="s">
        <v>3</v>
      </c>
      <c r="K21" t="s">
        <v>364</v>
      </c>
      <c r="L21">
        <v>1191</v>
      </c>
      <c r="N21">
        <v>1013</v>
      </c>
      <c r="O21" t="s">
        <v>365</v>
      </c>
      <c r="P21" t="s">
        <v>365</v>
      </c>
      <c r="Q21">
        <v>1</v>
      </c>
      <c r="W21">
        <v>0</v>
      </c>
      <c r="X21">
        <v>476480486</v>
      </c>
      <c r="Y21">
        <f t="shared" si="4"/>
        <v>0.3024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0.84</v>
      </c>
      <c r="AU21" t="s">
        <v>25</v>
      </c>
      <c r="AV21">
        <v>1</v>
      </c>
      <c r="AW21">
        <v>2</v>
      </c>
      <c r="AX21">
        <v>55983142</v>
      </c>
      <c r="AY21">
        <v>1</v>
      </c>
      <c r="AZ21">
        <v>0</v>
      </c>
      <c r="BA21">
        <v>23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U21">
        <f>ROUND(AT21*Source!I42*AH21*AL21,2)</f>
        <v>0</v>
      </c>
      <c r="CV21">
        <f>ROUND(Y21*Source!I42,9)</f>
        <v>35.078400000000002</v>
      </c>
      <c r="CW21">
        <v>0</v>
      </c>
      <c r="CX21">
        <f>ROUND(Y21*Source!I42,9)</f>
        <v>35.078400000000002</v>
      </c>
      <c r="CY21">
        <f t="shared" si="5"/>
        <v>0</v>
      </c>
      <c r="CZ21">
        <f t="shared" si="6"/>
        <v>0</v>
      </c>
      <c r="DA21">
        <f t="shared" si="7"/>
        <v>1</v>
      </c>
      <c r="DB21">
        <f t="shared" si="8"/>
        <v>0</v>
      </c>
      <c r="DC21">
        <f t="shared" si="9"/>
        <v>0</v>
      </c>
      <c r="DD21" t="s">
        <v>3</v>
      </c>
      <c r="DE21" t="s">
        <v>3</v>
      </c>
      <c r="DF21">
        <f t="shared" si="10"/>
        <v>0</v>
      </c>
      <c r="DG21">
        <f t="shared" si="1"/>
        <v>0</v>
      </c>
      <c r="DH21">
        <f t="shared" si="2"/>
        <v>0</v>
      </c>
      <c r="DI21">
        <f t="shared" si="3"/>
        <v>0</v>
      </c>
      <c r="DJ21">
        <f t="shared" si="11"/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ROW(Source!A43)</f>
        <v>43</v>
      </c>
      <c r="B22">
        <v>55915258</v>
      </c>
      <c r="C22">
        <v>55983140</v>
      </c>
      <c r="D22">
        <v>55424304</v>
      </c>
      <c r="E22">
        <v>1081</v>
      </c>
      <c r="F22">
        <v>1</v>
      </c>
      <c r="G22">
        <v>1081</v>
      </c>
      <c r="H22">
        <v>1</v>
      </c>
      <c r="I22" t="s">
        <v>363</v>
      </c>
      <c r="J22" t="s">
        <v>3</v>
      </c>
      <c r="K22" t="s">
        <v>364</v>
      </c>
      <c r="L22">
        <v>1191</v>
      </c>
      <c r="N22">
        <v>1013</v>
      </c>
      <c r="O22" t="s">
        <v>365</v>
      </c>
      <c r="P22" t="s">
        <v>365</v>
      </c>
      <c r="Q22">
        <v>1</v>
      </c>
      <c r="W22">
        <v>0</v>
      </c>
      <c r="X22">
        <v>476480486</v>
      </c>
      <c r="Y22">
        <f t="shared" si="4"/>
        <v>0.3024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5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0.84</v>
      </c>
      <c r="AU22" t="s">
        <v>25</v>
      </c>
      <c r="AV22">
        <v>1</v>
      </c>
      <c r="AW22">
        <v>2</v>
      </c>
      <c r="AX22">
        <v>55983142</v>
      </c>
      <c r="AY22">
        <v>1</v>
      </c>
      <c r="AZ22">
        <v>0</v>
      </c>
      <c r="BA22">
        <v>24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U22">
        <f>ROUND(AT22*Source!I43*AH22*AL22,2)</f>
        <v>0</v>
      </c>
      <c r="CV22">
        <f>ROUND(Y22*Source!I43,9)</f>
        <v>35.078400000000002</v>
      </c>
      <c r="CW22">
        <v>0</v>
      </c>
      <c r="CX22">
        <f>ROUND(Y22*Source!I43,9)</f>
        <v>35.078400000000002</v>
      </c>
      <c r="CY22">
        <f t="shared" si="5"/>
        <v>0</v>
      </c>
      <c r="CZ22">
        <f t="shared" si="6"/>
        <v>0</v>
      </c>
      <c r="DA22">
        <f t="shared" si="7"/>
        <v>1</v>
      </c>
      <c r="DB22">
        <f t="shared" si="8"/>
        <v>0</v>
      </c>
      <c r="DC22">
        <f t="shared" si="9"/>
        <v>0</v>
      </c>
      <c r="DD22" t="s">
        <v>3</v>
      </c>
      <c r="DE22" t="s">
        <v>3</v>
      </c>
      <c r="DF22">
        <f t="shared" si="10"/>
        <v>0</v>
      </c>
      <c r="DG22">
        <f t="shared" si="1"/>
        <v>0</v>
      </c>
      <c r="DH22">
        <f t="shared" si="2"/>
        <v>0</v>
      </c>
      <c r="DI22">
        <f t="shared" si="3"/>
        <v>0</v>
      </c>
      <c r="DJ22">
        <f t="shared" si="11"/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ROW(Source!A44)</f>
        <v>44</v>
      </c>
      <c r="B23">
        <v>55915256</v>
      </c>
      <c r="C23">
        <v>55983143</v>
      </c>
      <c r="D23">
        <v>55424304</v>
      </c>
      <c r="E23">
        <v>1081</v>
      </c>
      <c r="F23">
        <v>1</v>
      </c>
      <c r="G23">
        <v>1081</v>
      </c>
      <c r="H23">
        <v>1</v>
      </c>
      <c r="I23" t="s">
        <v>363</v>
      </c>
      <c r="J23" t="s">
        <v>3</v>
      </c>
      <c r="K23" t="s">
        <v>364</v>
      </c>
      <c r="L23">
        <v>1191</v>
      </c>
      <c r="N23">
        <v>1013</v>
      </c>
      <c r="O23" t="s">
        <v>365</v>
      </c>
      <c r="P23" t="s">
        <v>365</v>
      </c>
      <c r="Q23">
        <v>1</v>
      </c>
      <c r="W23">
        <v>0</v>
      </c>
      <c r="X23">
        <v>476480486</v>
      </c>
      <c r="Y23">
        <f t="shared" si="4"/>
        <v>0.36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1</v>
      </c>
      <c r="AU23" t="s">
        <v>25</v>
      </c>
      <c r="AV23">
        <v>1</v>
      </c>
      <c r="AW23">
        <v>2</v>
      </c>
      <c r="AX23">
        <v>55983147</v>
      </c>
      <c r="AY23">
        <v>1</v>
      </c>
      <c r="AZ23">
        <v>0</v>
      </c>
      <c r="BA23">
        <v>25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ROUND(AT23*Source!I44*AH23*AL23,2)</f>
        <v>0</v>
      </c>
      <c r="CV23">
        <f>ROUND(Y23*Source!I44,9)</f>
        <v>3.6</v>
      </c>
      <c r="CW23">
        <v>0</v>
      </c>
      <c r="CX23">
        <f>ROUND(Y23*Source!I44,9)</f>
        <v>3.6</v>
      </c>
      <c r="CY23">
        <f t="shared" si="5"/>
        <v>0</v>
      </c>
      <c r="CZ23">
        <f t="shared" si="6"/>
        <v>0</v>
      </c>
      <c r="DA23">
        <f t="shared" si="7"/>
        <v>1</v>
      </c>
      <c r="DB23">
        <f t="shared" si="8"/>
        <v>0</v>
      </c>
      <c r="DC23">
        <f t="shared" si="9"/>
        <v>0</v>
      </c>
      <c r="DD23" t="s">
        <v>3</v>
      </c>
      <c r="DE23" t="s">
        <v>3</v>
      </c>
      <c r="DF23">
        <f t="shared" si="10"/>
        <v>0</v>
      </c>
      <c r="DG23">
        <f t="shared" si="1"/>
        <v>0</v>
      </c>
      <c r="DH23">
        <f t="shared" si="2"/>
        <v>0</v>
      </c>
      <c r="DI23">
        <f t="shared" si="3"/>
        <v>0</v>
      </c>
      <c r="DJ23">
        <f t="shared" si="11"/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ROW(Source!A44)</f>
        <v>44</v>
      </c>
      <c r="B24">
        <v>55915256</v>
      </c>
      <c r="C24">
        <v>55983143</v>
      </c>
      <c r="D24">
        <v>55459793</v>
      </c>
      <c r="E24">
        <v>1</v>
      </c>
      <c r="F24">
        <v>1</v>
      </c>
      <c r="G24">
        <v>1081</v>
      </c>
      <c r="H24">
        <v>3</v>
      </c>
      <c r="I24" t="s">
        <v>369</v>
      </c>
      <c r="J24" t="s">
        <v>370</v>
      </c>
      <c r="K24" t="s">
        <v>371</v>
      </c>
      <c r="L24">
        <v>1348</v>
      </c>
      <c r="N24">
        <v>1009</v>
      </c>
      <c r="O24" t="s">
        <v>324</v>
      </c>
      <c r="P24" t="s">
        <v>324</v>
      </c>
      <c r="Q24">
        <v>1000</v>
      </c>
      <c r="W24">
        <v>0</v>
      </c>
      <c r="X24">
        <v>-761454284</v>
      </c>
      <c r="Y24">
        <f>((AT24*1)*0)</f>
        <v>0</v>
      </c>
      <c r="AA24">
        <v>64123.05</v>
      </c>
      <c r="AB24">
        <v>0</v>
      </c>
      <c r="AC24">
        <v>0</v>
      </c>
      <c r="AD24">
        <v>0</v>
      </c>
      <c r="AE24">
        <v>64123.05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1.0000000000000001E-5</v>
      </c>
      <c r="AU24" t="s">
        <v>24</v>
      </c>
      <c r="AV24">
        <v>0</v>
      </c>
      <c r="AW24">
        <v>2</v>
      </c>
      <c r="AX24">
        <v>55983148</v>
      </c>
      <c r="AY24">
        <v>1</v>
      </c>
      <c r="AZ24">
        <v>0</v>
      </c>
      <c r="BA24">
        <v>26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ROUND(Y24*Source!I44,9)</f>
        <v>0</v>
      </c>
      <c r="CY24">
        <f>AA24</f>
        <v>64123.05</v>
      </c>
      <c r="CZ24">
        <f>AE24</f>
        <v>64123.05</v>
      </c>
      <c r="DA24">
        <f>AI24</f>
        <v>1</v>
      </c>
      <c r="DB24">
        <f>ROUND(((ROUND(AT24*CZ24,2)*1)*0),6)</f>
        <v>0</v>
      </c>
      <c r="DC24">
        <f>ROUND(((ROUND(AT24*AG24,2)*1)*0),6)</f>
        <v>0</v>
      </c>
      <c r="DD24" t="s">
        <v>3</v>
      </c>
      <c r="DE24" t="s">
        <v>3</v>
      </c>
      <c r="DF24">
        <f t="shared" si="10"/>
        <v>0</v>
      </c>
      <c r="DG24">
        <f t="shared" si="1"/>
        <v>0</v>
      </c>
      <c r="DH24">
        <f t="shared" si="2"/>
        <v>0</v>
      </c>
      <c r="DI24">
        <f t="shared" si="3"/>
        <v>0</v>
      </c>
      <c r="DJ24">
        <f>DF24</f>
        <v>0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ROW(Source!A44)</f>
        <v>44</v>
      </c>
      <c r="B25">
        <v>55915256</v>
      </c>
      <c r="C25">
        <v>55983143</v>
      </c>
      <c r="D25">
        <v>55487942</v>
      </c>
      <c r="E25">
        <v>1</v>
      </c>
      <c r="F25">
        <v>1</v>
      </c>
      <c r="G25">
        <v>1081</v>
      </c>
      <c r="H25">
        <v>3</v>
      </c>
      <c r="I25" t="s">
        <v>375</v>
      </c>
      <c r="J25" t="s">
        <v>376</v>
      </c>
      <c r="K25" t="s">
        <v>377</v>
      </c>
      <c r="L25">
        <v>1303</v>
      </c>
      <c r="N25">
        <v>1003</v>
      </c>
      <c r="O25" t="s">
        <v>378</v>
      </c>
      <c r="P25" t="s">
        <v>378</v>
      </c>
      <c r="Q25">
        <v>1000</v>
      </c>
      <c r="W25">
        <v>0</v>
      </c>
      <c r="X25">
        <v>-1692873835</v>
      </c>
      <c r="Y25">
        <f>((AT25*1)*0)</f>
        <v>0</v>
      </c>
      <c r="AA25">
        <v>516.63</v>
      </c>
      <c r="AB25">
        <v>0</v>
      </c>
      <c r="AC25">
        <v>0</v>
      </c>
      <c r="AD25">
        <v>0</v>
      </c>
      <c r="AE25">
        <v>516.63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2E-3</v>
      </c>
      <c r="AU25" t="s">
        <v>24</v>
      </c>
      <c r="AV25">
        <v>0</v>
      </c>
      <c r="AW25">
        <v>2</v>
      </c>
      <c r="AX25">
        <v>55983149</v>
      </c>
      <c r="AY25">
        <v>1</v>
      </c>
      <c r="AZ25">
        <v>0</v>
      </c>
      <c r="BA25">
        <v>27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ROUND(Y25*Source!I44,9)</f>
        <v>0</v>
      </c>
      <c r="CY25">
        <f>AA25</f>
        <v>516.63</v>
      </c>
      <c r="CZ25">
        <f>AE25</f>
        <v>516.63</v>
      </c>
      <c r="DA25">
        <f>AI25</f>
        <v>1</v>
      </c>
      <c r="DB25">
        <f>ROUND(((ROUND(AT25*CZ25,2)*1)*0),6)</f>
        <v>0</v>
      </c>
      <c r="DC25">
        <f>ROUND(((ROUND(AT25*AG25,2)*1)*0),6)</f>
        <v>0</v>
      </c>
      <c r="DD25" t="s">
        <v>3</v>
      </c>
      <c r="DE25" t="s">
        <v>3</v>
      </c>
      <c r="DF25">
        <f t="shared" si="10"/>
        <v>0</v>
      </c>
      <c r="DG25">
        <f t="shared" si="1"/>
        <v>0</v>
      </c>
      <c r="DH25">
        <f t="shared" si="2"/>
        <v>0</v>
      </c>
      <c r="DI25">
        <f t="shared" si="3"/>
        <v>0</v>
      </c>
      <c r="DJ25">
        <f>DF25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ROW(Source!A45)</f>
        <v>45</v>
      </c>
      <c r="B26">
        <v>55915258</v>
      </c>
      <c r="C26">
        <v>55983143</v>
      </c>
      <c r="D26">
        <v>55424304</v>
      </c>
      <c r="E26">
        <v>1081</v>
      </c>
      <c r="F26">
        <v>1</v>
      </c>
      <c r="G26">
        <v>1081</v>
      </c>
      <c r="H26">
        <v>1</v>
      </c>
      <c r="I26" t="s">
        <v>363</v>
      </c>
      <c r="J26" t="s">
        <v>3</v>
      </c>
      <c r="K26" t="s">
        <v>364</v>
      </c>
      <c r="L26">
        <v>1191</v>
      </c>
      <c r="N26">
        <v>1013</v>
      </c>
      <c r="O26" t="s">
        <v>365</v>
      </c>
      <c r="P26" t="s">
        <v>365</v>
      </c>
      <c r="Q26">
        <v>1</v>
      </c>
      <c r="W26">
        <v>0</v>
      </c>
      <c r="X26">
        <v>476480486</v>
      </c>
      <c r="Y26">
        <f>((AT26*1.2)*0.3)</f>
        <v>0.36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5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1</v>
      </c>
      <c r="AU26" t="s">
        <v>25</v>
      </c>
      <c r="AV26">
        <v>1</v>
      </c>
      <c r="AW26">
        <v>2</v>
      </c>
      <c r="AX26">
        <v>55983147</v>
      </c>
      <c r="AY26">
        <v>1</v>
      </c>
      <c r="AZ26">
        <v>0</v>
      </c>
      <c r="BA26">
        <v>29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U26">
        <f>ROUND(AT26*Source!I45*AH26*AL26,2)</f>
        <v>0</v>
      </c>
      <c r="CV26">
        <f>ROUND(Y26*Source!I45,9)</f>
        <v>3.6</v>
      </c>
      <c r="CW26">
        <v>0</v>
      </c>
      <c r="CX26">
        <f>ROUND(Y26*Source!I45,9)</f>
        <v>3.6</v>
      </c>
      <c r="CY26">
        <f>AD26</f>
        <v>0</v>
      </c>
      <c r="CZ26">
        <f>AH26</f>
        <v>0</v>
      </c>
      <c r="DA26">
        <f>AL26</f>
        <v>1</v>
      </c>
      <c r="DB26">
        <f>ROUND(((ROUND(AT26*CZ26,2)*1.2)*0.3),6)</f>
        <v>0</v>
      </c>
      <c r="DC26">
        <f>ROUND(((ROUND(AT26*AG26,2)*1.2)*0.3),6)</f>
        <v>0</v>
      </c>
      <c r="DD26" t="s">
        <v>3</v>
      </c>
      <c r="DE26" t="s">
        <v>3</v>
      </c>
      <c r="DF26">
        <f t="shared" si="10"/>
        <v>0</v>
      </c>
      <c r="DG26">
        <f t="shared" si="1"/>
        <v>0</v>
      </c>
      <c r="DH26">
        <f t="shared" si="2"/>
        <v>0</v>
      </c>
      <c r="DI26">
        <f t="shared" si="3"/>
        <v>0</v>
      </c>
      <c r="DJ26">
        <f>DI26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ROW(Source!A45)</f>
        <v>45</v>
      </c>
      <c r="B27">
        <v>55915258</v>
      </c>
      <c r="C27">
        <v>55983143</v>
      </c>
      <c r="D27">
        <v>55459793</v>
      </c>
      <c r="E27">
        <v>1</v>
      </c>
      <c r="F27">
        <v>1</v>
      </c>
      <c r="G27">
        <v>1081</v>
      </c>
      <c r="H27">
        <v>3</v>
      </c>
      <c r="I27" t="s">
        <v>369</v>
      </c>
      <c r="J27" t="s">
        <v>370</v>
      </c>
      <c r="K27" t="s">
        <v>371</v>
      </c>
      <c r="L27">
        <v>1348</v>
      </c>
      <c r="N27">
        <v>1009</v>
      </c>
      <c r="O27" t="s">
        <v>324</v>
      </c>
      <c r="P27" t="s">
        <v>324</v>
      </c>
      <c r="Q27">
        <v>1000</v>
      </c>
      <c r="W27">
        <v>0</v>
      </c>
      <c r="X27">
        <v>-761454284</v>
      </c>
      <c r="Y27">
        <f>((AT27*1)*0)</f>
        <v>0</v>
      </c>
      <c r="AA27">
        <v>1930745.04</v>
      </c>
      <c r="AB27">
        <v>0</v>
      </c>
      <c r="AC27">
        <v>0</v>
      </c>
      <c r="AD27">
        <v>0</v>
      </c>
      <c r="AE27">
        <v>64123.05</v>
      </c>
      <c r="AF27">
        <v>0</v>
      </c>
      <c r="AG27">
        <v>0</v>
      </c>
      <c r="AH27">
        <v>0</v>
      </c>
      <c r="AI27">
        <v>30.11</v>
      </c>
      <c r="AJ27">
        <v>1</v>
      </c>
      <c r="AK27">
        <v>1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1.0000000000000001E-5</v>
      </c>
      <c r="AU27" t="s">
        <v>24</v>
      </c>
      <c r="AV27">
        <v>0</v>
      </c>
      <c r="AW27">
        <v>2</v>
      </c>
      <c r="AX27">
        <v>55983148</v>
      </c>
      <c r="AY27">
        <v>1</v>
      </c>
      <c r="AZ27">
        <v>0</v>
      </c>
      <c r="BA27">
        <v>30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ROUND(Y27*Source!I45,9)</f>
        <v>0</v>
      </c>
      <c r="CY27">
        <f>AA27</f>
        <v>1930745.04</v>
      </c>
      <c r="CZ27">
        <f>AE27</f>
        <v>64123.05</v>
      </c>
      <c r="DA27">
        <f>AI27</f>
        <v>30.11</v>
      </c>
      <c r="DB27">
        <f>ROUND(((ROUND(AT27*CZ27,2)*1)*0),6)</f>
        <v>0</v>
      </c>
      <c r="DC27">
        <f>ROUND(((ROUND(AT27*AG27,2)*1)*0),6)</f>
        <v>0</v>
      </c>
      <c r="DD27" t="s">
        <v>3</v>
      </c>
      <c r="DE27" t="s">
        <v>3</v>
      </c>
      <c r="DF27">
        <f>ROUND(ROUND(AE27*AI27,2)*CX27,2)</f>
        <v>0</v>
      </c>
      <c r="DG27">
        <f t="shared" si="1"/>
        <v>0</v>
      </c>
      <c r="DH27">
        <f t="shared" si="2"/>
        <v>0</v>
      </c>
      <c r="DI27">
        <f t="shared" si="3"/>
        <v>0</v>
      </c>
      <c r="DJ27">
        <f>DF27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ROW(Source!A45)</f>
        <v>45</v>
      </c>
      <c r="B28">
        <v>55915258</v>
      </c>
      <c r="C28">
        <v>55983143</v>
      </c>
      <c r="D28">
        <v>55487942</v>
      </c>
      <c r="E28">
        <v>1</v>
      </c>
      <c r="F28">
        <v>1</v>
      </c>
      <c r="G28">
        <v>1081</v>
      </c>
      <c r="H28">
        <v>3</v>
      </c>
      <c r="I28" t="s">
        <v>375</v>
      </c>
      <c r="J28" t="s">
        <v>376</v>
      </c>
      <c r="K28" t="s">
        <v>377</v>
      </c>
      <c r="L28">
        <v>1303</v>
      </c>
      <c r="N28">
        <v>1003</v>
      </c>
      <c r="O28" t="s">
        <v>378</v>
      </c>
      <c r="P28" t="s">
        <v>378</v>
      </c>
      <c r="Q28">
        <v>1000</v>
      </c>
      <c r="W28">
        <v>0</v>
      </c>
      <c r="X28">
        <v>-1692873835</v>
      </c>
      <c r="Y28">
        <f>((AT28*1)*0)</f>
        <v>0</v>
      </c>
      <c r="AA28">
        <v>5269.63</v>
      </c>
      <c r="AB28">
        <v>0</v>
      </c>
      <c r="AC28">
        <v>0</v>
      </c>
      <c r="AD28">
        <v>0</v>
      </c>
      <c r="AE28">
        <v>516.63</v>
      </c>
      <c r="AF28">
        <v>0</v>
      </c>
      <c r="AG28">
        <v>0</v>
      </c>
      <c r="AH28">
        <v>0</v>
      </c>
      <c r="AI28">
        <v>10.199999999999999</v>
      </c>
      <c r="AJ28">
        <v>1</v>
      </c>
      <c r="AK28">
        <v>1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2E-3</v>
      </c>
      <c r="AU28" t="s">
        <v>24</v>
      </c>
      <c r="AV28">
        <v>0</v>
      </c>
      <c r="AW28">
        <v>2</v>
      </c>
      <c r="AX28">
        <v>55983149</v>
      </c>
      <c r="AY28">
        <v>1</v>
      </c>
      <c r="AZ28">
        <v>0</v>
      </c>
      <c r="BA28">
        <v>31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ROUND(Y28*Source!I45,9)</f>
        <v>0</v>
      </c>
      <c r="CY28">
        <f>AA28</f>
        <v>5269.63</v>
      </c>
      <c r="CZ28">
        <f>AE28</f>
        <v>516.63</v>
      </c>
      <c r="DA28">
        <f>AI28</f>
        <v>10.199999999999999</v>
      </c>
      <c r="DB28">
        <f>ROUND(((ROUND(AT28*CZ28,2)*1)*0),6)</f>
        <v>0</v>
      </c>
      <c r="DC28">
        <f>ROUND(((ROUND(AT28*AG28,2)*1)*0),6)</f>
        <v>0</v>
      </c>
      <c r="DD28" t="s">
        <v>3</v>
      </c>
      <c r="DE28" t="s">
        <v>3</v>
      </c>
      <c r="DF28">
        <f>ROUND(ROUND(AE28*AI28,2)*CX28,2)</f>
        <v>0</v>
      </c>
      <c r="DG28">
        <f t="shared" si="1"/>
        <v>0</v>
      </c>
      <c r="DH28">
        <f t="shared" si="2"/>
        <v>0</v>
      </c>
      <c r="DI28">
        <f t="shared" si="3"/>
        <v>0</v>
      </c>
      <c r="DJ28">
        <f>DF28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ROW(Source!A46)</f>
        <v>46</v>
      </c>
      <c r="B29">
        <v>55915256</v>
      </c>
      <c r="C29">
        <v>55983151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363</v>
      </c>
      <c r="J29" t="s">
        <v>3</v>
      </c>
      <c r="K29" t="s">
        <v>364</v>
      </c>
      <c r="L29">
        <v>1191</v>
      </c>
      <c r="N29">
        <v>1013</v>
      </c>
      <c r="O29" t="s">
        <v>365</v>
      </c>
      <c r="P29" t="s">
        <v>365</v>
      </c>
      <c r="Q29">
        <v>1</v>
      </c>
      <c r="W29">
        <v>0</v>
      </c>
      <c r="X29">
        <v>476480486</v>
      </c>
      <c r="Y29">
        <f>((AT29*1.2)*0.3)</f>
        <v>0.126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0.35</v>
      </c>
      <c r="AU29" t="s">
        <v>25</v>
      </c>
      <c r="AV29">
        <v>1</v>
      </c>
      <c r="AW29">
        <v>2</v>
      </c>
      <c r="AX29">
        <v>55983153</v>
      </c>
      <c r="AY29">
        <v>1</v>
      </c>
      <c r="AZ29">
        <v>0</v>
      </c>
      <c r="BA29">
        <v>33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ROUND(AT29*Source!I46*AH29*AL29,2)</f>
        <v>0</v>
      </c>
      <c r="CV29">
        <f>ROUND(Y29*Source!I46,9)</f>
        <v>5.2919999999999998</v>
      </c>
      <c r="CW29">
        <v>0</v>
      </c>
      <c r="CX29">
        <f>ROUND(Y29*Source!I46,9)</f>
        <v>5.2919999999999998</v>
      </c>
      <c r="CY29">
        <f>AD29</f>
        <v>0</v>
      </c>
      <c r="CZ29">
        <f>AH29</f>
        <v>0</v>
      </c>
      <c r="DA29">
        <f>AL29</f>
        <v>1</v>
      </c>
      <c r="DB29">
        <f>ROUND(((ROUND(AT29*CZ29,2)*1.2)*0.3),6)</f>
        <v>0</v>
      </c>
      <c r="DC29">
        <f>ROUND(((ROUND(AT29*AG29,2)*1.2)*0.3),6)</f>
        <v>0</v>
      </c>
      <c r="DD29" t="s">
        <v>3</v>
      </c>
      <c r="DE29" t="s">
        <v>3</v>
      </c>
      <c r="DF29">
        <f t="shared" ref="DF29:DF35" si="12">ROUND(ROUND(AE29,2)*CX29,2)</f>
        <v>0</v>
      </c>
      <c r="DG29">
        <f t="shared" si="1"/>
        <v>0</v>
      </c>
      <c r="DH29">
        <f t="shared" si="2"/>
        <v>0</v>
      </c>
      <c r="DI29">
        <f t="shared" si="3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ROW(Source!A47)</f>
        <v>47</v>
      </c>
      <c r="B30">
        <v>55915258</v>
      </c>
      <c r="C30">
        <v>55983151</v>
      </c>
      <c r="D30">
        <v>55424304</v>
      </c>
      <c r="E30">
        <v>1081</v>
      </c>
      <c r="F30">
        <v>1</v>
      </c>
      <c r="G30">
        <v>1081</v>
      </c>
      <c r="H30">
        <v>1</v>
      </c>
      <c r="I30" t="s">
        <v>363</v>
      </c>
      <c r="J30" t="s">
        <v>3</v>
      </c>
      <c r="K30" t="s">
        <v>364</v>
      </c>
      <c r="L30">
        <v>1191</v>
      </c>
      <c r="N30">
        <v>1013</v>
      </c>
      <c r="O30" t="s">
        <v>365</v>
      </c>
      <c r="P30" t="s">
        <v>365</v>
      </c>
      <c r="Q30">
        <v>1</v>
      </c>
      <c r="W30">
        <v>0</v>
      </c>
      <c r="X30">
        <v>476480486</v>
      </c>
      <c r="Y30">
        <f>((AT30*1.2)*0.3)</f>
        <v>0.126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5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0.35</v>
      </c>
      <c r="AU30" t="s">
        <v>25</v>
      </c>
      <c r="AV30">
        <v>1</v>
      </c>
      <c r="AW30">
        <v>2</v>
      </c>
      <c r="AX30">
        <v>55983153</v>
      </c>
      <c r="AY30">
        <v>1</v>
      </c>
      <c r="AZ30">
        <v>0</v>
      </c>
      <c r="BA30">
        <v>34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U30">
        <f>ROUND(AT30*Source!I47*AH30*AL30,2)</f>
        <v>0</v>
      </c>
      <c r="CV30">
        <f>ROUND(Y30*Source!I47,9)</f>
        <v>5.2919999999999998</v>
      </c>
      <c r="CW30">
        <v>0</v>
      </c>
      <c r="CX30">
        <f>ROUND(Y30*Source!I47,9)</f>
        <v>5.2919999999999998</v>
      </c>
      <c r="CY30">
        <f>AD30</f>
        <v>0</v>
      </c>
      <c r="CZ30">
        <f>AH30</f>
        <v>0</v>
      </c>
      <c r="DA30">
        <f>AL30</f>
        <v>1</v>
      </c>
      <c r="DB30">
        <f>ROUND(((ROUND(AT30*CZ30,2)*1.2)*0.3),6)</f>
        <v>0</v>
      </c>
      <c r="DC30">
        <f>ROUND(((ROUND(AT30*AG30,2)*1.2)*0.3),6)</f>
        <v>0</v>
      </c>
      <c r="DD30" t="s">
        <v>3</v>
      </c>
      <c r="DE30" t="s">
        <v>3</v>
      </c>
      <c r="DF30">
        <f t="shared" si="12"/>
        <v>0</v>
      </c>
      <c r="DG30">
        <f t="shared" si="1"/>
        <v>0</v>
      </c>
      <c r="DH30">
        <f t="shared" si="2"/>
        <v>0</v>
      </c>
      <c r="DI30">
        <f t="shared" si="3"/>
        <v>0</v>
      </c>
      <c r="DJ30">
        <f>DI30</f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ROW(Source!A48)</f>
        <v>48</v>
      </c>
      <c r="B31">
        <v>55915256</v>
      </c>
      <c r="C31">
        <v>55983154</v>
      </c>
      <c r="D31">
        <v>55424304</v>
      </c>
      <c r="E31">
        <v>1081</v>
      </c>
      <c r="F31">
        <v>1</v>
      </c>
      <c r="G31">
        <v>1081</v>
      </c>
      <c r="H31">
        <v>1</v>
      </c>
      <c r="I31" t="s">
        <v>363</v>
      </c>
      <c r="J31" t="s">
        <v>3</v>
      </c>
      <c r="K31" t="s">
        <v>364</v>
      </c>
      <c r="L31">
        <v>1191</v>
      </c>
      <c r="N31">
        <v>1013</v>
      </c>
      <c r="O31" t="s">
        <v>365</v>
      </c>
      <c r="P31" t="s">
        <v>365</v>
      </c>
      <c r="Q31">
        <v>1</v>
      </c>
      <c r="W31">
        <v>0</v>
      </c>
      <c r="X31">
        <v>476480486</v>
      </c>
      <c r="Y31">
        <f>((AT31*1.2)*0.3)</f>
        <v>1.1447999999999998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3.18</v>
      </c>
      <c r="AU31" t="s">
        <v>25</v>
      </c>
      <c r="AV31">
        <v>1</v>
      </c>
      <c r="AW31">
        <v>2</v>
      </c>
      <c r="AX31">
        <v>55983159</v>
      </c>
      <c r="AY31">
        <v>1</v>
      </c>
      <c r="AZ31">
        <v>0</v>
      </c>
      <c r="BA31">
        <v>35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ROUND(AT31*Source!I48*AH31*AL31,2)</f>
        <v>0</v>
      </c>
      <c r="CV31">
        <f>ROUND(Y31*Source!I48,9)</f>
        <v>4.5792000000000002</v>
      </c>
      <c r="CW31">
        <v>0</v>
      </c>
      <c r="CX31">
        <f>ROUND(Y31*Source!I48,9)</f>
        <v>4.5792000000000002</v>
      </c>
      <c r="CY31">
        <f>AD31</f>
        <v>0</v>
      </c>
      <c r="CZ31">
        <f>AH31</f>
        <v>0</v>
      </c>
      <c r="DA31">
        <f>AL31</f>
        <v>1</v>
      </c>
      <c r="DB31">
        <f>ROUND(((ROUND(AT31*CZ31,2)*1.2)*0.3),6)</f>
        <v>0</v>
      </c>
      <c r="DC31">
        <f>ROUND(((ROUND(AT31*AG31,2)*1.2)*0.3),6)</f>
        <v>0</v>
      </c>
      <c r="DD31" t="s">
        <v>3</v>
      </c>
      <c r="DE31" t="s">
        <v>3</v>
      </c>
      <c r="DF31">
        <f t="shared" si="12"/>
        <v>0</v>
      </c>
      <c r="DG31">
        <f t="shared" si="1"/>
        <v>0</v>
      </c>
      <c r="DH31">
        <f t="shared" si="2"/>
        <v>0</v>
      </c>
      <c r="DI31">
        <f t="shared" si="3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ROW(Source!A48)</f>
        <v>48</v>
      </c>
      <c r="B32">
        <v>55915256</v>
      </c>
      <c r="C32">
        <v>55983154</v>
      </c>
      <c r="D32">
        <v>55461074</v>
      </c>
      <c r="E32">
        <v>1</v>
      </c>
      <c r="F32">
        <v>1</v>
      </c>
      <c r="G32">
        <v>1081</v>
      </c>
      <c r="H32">
        <v>3</v>
      </c>
      <c r="I32" t="s">
        <v>366</v>
      </c>
      <c r="J32" t="s">
        <v>367</v>
      </c>
      <c r="K32" t="s">
        <v>368</v>
      </c>
      <c r="L32">
        <v>1346</v>
      </c>
      <c r="N32">
        <v>1009</v>
      </c>
      <c r="O32" t="s">
        <v>339</v>
      </c>
      <c r="P32" t="s">
        <v>339</v>
      </c>
      <c r="Q32">
        <v>1</v>
      </c>
      <c r="W32">
        <v>0</v>
      </c>
      <c r="X32">
        <v>-861631226</v>
      </c>
      <c r="Y32">
        <f>((AT32*1)*0)</f>
        <v>0</v>
      </c>
      <c r="AA32">
        <v>27.62</v>
      </c>
      <c r="AB32">
        <v>0</v>
      </c>
      <c r="AC32">
        <v>0</v>
      </c>
      <c r="AD32">
        <v>0</v>
      </c>
      <c r="AE32">
        <v>27.62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6.2700000000000004E-3</v>
      </c>
      <c r="AU32" t="s">
        <v>24</v>
      </c>
      <c r="AV32">
        <v>0</v>
      </c>
      <c r="AW32">
        <v>2</v>
      </c>
      <c r="AX32">
        <v>55983160</v>
      </c>
      <c r="AY32">
        <v>1</v>
      </c>
      <c r="AZ32">
        <v>0</v>
      </c>
      <c r="BA32">
        <v>36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ROUND(Y32*Source!I48,9)</f>
        <v>0</v>
      </c>
      <c r="CY32">
        <f>AA32</f>
        <v>27.62</v>
      </c>
      <c r="CZ32">
        <f>AE32</f>
        <v>27.62</v>
      </c>
      <c r="DA32">
        <f>AI32</f>
        <v>1</v>
      </c>
      <c r="DB32">
        <f>ROUND(((ROUND(AT32*CZ32,2)*1)*0),6)</f>
        <v>0</v>
      </c>
      <c r="DC32">
        <f>ROUND(((ROUND(AT32*AG32,2)*1)*0),6)</f>
        <v>0</v>
      </c>
      <c r="DD32" t="s">
        <v>3</v>
      </c>
      <c r="DE32" t="s">
        <v>3</v>
      </c>
      <c r="DF32">
        <f t="shared" si="12"/>
        <v>0</v>
      </c>
      <c r="DG32">
        <f t="shared" si="1"/>
        <v>0</v>
      </c>
      <c r="DH32">
        <f t="shared" si="2"/>
        <v>0</v>
      </c>
      <c r="DI32">
        <f t="shared" si="3"/>
        <v>0</v>
      </c>
      <c r="DJ32">
        <f>DF32</f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ROW(Source!A48)</f>
        <v>48</v>
      </c>
      <c r="B33">
        <v>55915256</v>
      </c>
      <c r="C33">
        <v>55983154</v>
      </c>
      <c r="D33">
        <v>55459793</v>
      </c>
      <c r="E33">
        <v>1</v>
      </c>
      <c r="F33">
        <v>1</v>
      </c>
      <c r="G33">
        <v>1081</v>
      </c>
      <c r="H33">
        <v>3</v>
      </c>
      <c r="I33" t="s">
        <v>369</v>
      </c>
      <c r="J33" t="s">
        <v>370</v>
      </c>
      <c r="K33" t="s">
        <v>371</v>
      </c>
      <c r="L33">
        <v>1348</v>
      </c>
      <c r="N33">
        <v>1009</v>
      </c>
      <c r="O33" t="s">
        <v>324</v>
      </c>
      <c r="P33" t="s">
        <v>324</v>
      </c>
      <c r="Q33">
        <v>1000</v>
      </c>
      <c r="W33">
        <v>0</v>
      </c>
      <c r="X33">
        <v>-761454284</v>
      </c>
      <c r="Y33">
        <f>((AT33*1)*0)</f>
        <v>0</v>
      </c>
      <c r="AA33">
        <v>64123.05</v>
      </c>
      <c r="AB33">
        <v>0</v>
      </c>
      <c r="AC33">
        <v>0</v>
      </c>
      <c r="AD33">
        <v>0</v>
      </c>
      <c r="AE33">
        <v>64123.05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1.0000000000000001E-5</v>
      </c>
      <c r="AU33" t="s">
        <v>24</v>
      </c>
      <c r="AV33">
        <v>0</v>
      </c>
      <c r="AW33">
        <v>2</v>
      </c>
      <c r="AX33">
        <v>55983161</v>
      </c>
      <c r="AY33">
        <v>1</v>
      </c>
      <c r="AZ33">
        <v>0</v>
      </c>
      <c r="BA33">
        <v>37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ROUND(Y33*Source!I48,9)</f>
        <v>0</v>
      </c>
      <c r="CY33">
        <f>AA33</f>
        <v>64123.05</v>
      </c>
      <c r="CZ33">
        <f>AE33</f>
        <v>64123.05</v>
      </c>
      <c r="DA33">
        <f>AI33</f>
        <v>1</v>
      </c>
      <c r="DB33">
        <f>ROUND(((ROUND(AT33*CZ33,2)*1)*0),6)</f>
        <v>0</v>
      </c>
      <c r="DC33">
        <f>ROUND(((ROUND(AT33*AG33,2)*1)*0),6)</f>
        <v>0</v>
      </c>
      <c r="DD33" t="s">
        <v>3</v>
      </c>
      <c r="DE33" t="s">
        <v>3</v>
      </c>
      <c r="DF33">
        <f t="shared" si="12"/>
        <v>0</v>
      </c>
      <c r="DG33">
        <f t="shared" ref="DG33:DG64" si="13">ROUND(ROUND(AF33,2)*CX33,2)</f>
        <v>0</v>
      </c>
      <c r="DH33">
        <f t="shared" ref="DH33:DH64" si="14">ROUND(ROUND(AG33,2)*CX33,2)</f>
        <v>0</v>
      </c>
      <c r="DI33">
        <f t="shared" ref="DI33:DI64" si="15">ROUND(ROUND(AH33,2)*CX33,2)</f>
        <v>0</v>
      </c>
      <c r="DJ33">
        <f>DF33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ROW(Source!A48)</f>
        <v>48</v>
      </c>
      <c r="B34">
        <v>55915256</v>
      </c>
      <c r="C34">
        <v>55983154</v>
      </c>
      <c r="D34">
        <v>55469253</v>
      </c>
      <c r="E34">
        <v>1</v>
      </c>
      <c r="F34">
        <v>1</v>
      </c>
      <c r="G34">
        <v>1081</v>
      </c>
      <c r="H34">
        <v>3</v>
      </c>
      <c r="I34" t="s">
        <v>372</v>
      </c>
      <c r="J34" t="s">
        <v>373</v>
      </c>
      <c r="K34" t="s">
        <v>374</v>
      </c>
      <c r="L34">
        <v>1354</v>
      </c>
      <c r="N34">
        <v>1010</v>
      </c>
      <c r="O34" t="s">
        <v>191</v>
      </c>
      <c r="P34" t="s">
        <v>191</v>
      </c>
      <c r="Q34">
        <v>1</v>
      </c>
      <c r="W34">
        <v>0</v>
      </c>
      <c r="X34">
        <v>-32785108</v>
      </c>
      <c r="Y34">
        <f>((AT34*1)*0)</f>
        <v>0</v>
      </c>
      <c r="AA34">
        <v>15.25</v>
      </c>
      <c r="AB34">
        <v>0</v>
      </c>
      <c r="AC34">
        <v>0</v>
      </c>
      <c r="AD34">
        <v>0</v>
      </c>
      <c r="AE34">
        <v>15.25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0.1</v>
      </c>
      <c r="AU34" t="s">
        <v>24</v>
      </c>
      <c r="AV34">
        <v>0</v>
      </c>
      <c r="AW34">
        <v>2</v>
      </c>
      <c r="AX34">
        <v>55983162</v>
      </c>
      <c r="AY34">
        <v>1</v>
      </c>
      <c r="AZ34">
        <v>0</v>
      </c>
      <c r="BA34">
        <v>38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ROUND(Y34*Source!I48,9)</f>
        <v>0</v>
      </c>
      <c r="CY34">
        <f>AA34</f>
        <v>15.25</v>
      </c>
      <c r="CZ34">
        <f>AE34</f>
        <v>15.25</v>
      </c>
      <c r="DA34">
        <f>AI34</f>
        <v>1</v>
      </c>
      <c r="DB34">
        <f>ROUND(((ROUND(AT34*CZ34,2)*1)*0),6)</f>
        <v>0</v>
      </c>
      <c r="DC34">
        <f>ROUND(((ROUND(AT34*AG34,2)*1)*0),6)</f>
        <v>0</v>
      </c>
      <c r="DD34" t="s">
        <v>3</v>
      </c>
      <c r="DE34" t="s">
        <v>3</v>
      </c>
      <c r="DF34">
        <f t="shared" si="12"/>
        <v>0</v>
      </c>
      <c r="DG34">
        <f t="shared" si="13"/>
        <v>0</v>
      </c>
      <c r="DH34">
        <f t="shared" si="14"/>
        <v>0</v>
      </c>
      <c r="DI34">
        <f t="shared" si="15"/>
        <v>0</v>
      </c>
      <c r="DJ34">
        <f>DF34</f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ROW(Source!A49)</f>
        <v>49</v>
      </c>
      <c r="B35">
        <v>55915258</v>
      </c>
      <c r="C35">
        <v>55983154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363</v>
      </c>
      <c r="J35" t="s">
        <v>3</v>
      </c>
      <c r="K35" t="s">
        <v>364</v>
      </c>
      <c r="L35">
        <v>1191</v>
      </c>
      <c r="N35">
        <v>1013</v>
      </c>
      <c r="O35" t="s">
        <v>365</v>
      </c>
      <c r="P35" t="s">
        <v>365</v>
      </c>
      <c r="Q35">
        <v>1</v>
      </c>
      <c r="W35">
        <v>0</v>
      </c>
      <c r="X35">
        <v>476480486</v>
      </c>
      <c r="Y35">
        <f>((AT35*1.2)*0.3)</f>
        <v>1.1447999999999998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5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3.18</v>
      </c>
      <c r="AU35" t="s">
        <v>25</v>
      </c>
      <c r="AV35">
        <v>1</v>
      </c>
      <c r="AW35">
        <v>2</v>
      </c>
      <c r="AX35">
        <v>55983159</v>
      </c>
      <c r="AY35">
        <v>1</v>
      </c>
      <c r="AZ35">
        <v>0</v>
      </c>
      <c r="BA35">
        <v>40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U35">
        <f>ROUND(AT35*Source!I49*AH35*AL35,2)</f>
        <v>0</v>
      </c>
      <c r="CV35">
        <f>ROUND(Y35*Source!I49,9)</f>
        <v>4.5792000000000002</v>
      </c>
      <c r="CW35">
        <v>0</v>
      </c>
      <c r="CX35">
        <f>ROUND(Y35*Source!I49,9)</f>
        <v>4.5792000000000002</v>
      </c>
      <c r="CY35">
        <f>AD35</f>
        <v>0</v>
      </c>
      <c r="CZ35">
        <f>AH35</f>
        <v>0</v>
      </c>
      <c r="DA35">
        <f>AL35</f>
        <v>1</v>
      </c>
      <c r="DB35">
        <f>ROUND(((ROUND(AT35*CZ35,2)*1.2)*0.3),6)</f>
        <v>0</v>
      </c>
      <c r="DC35">
        <f>ROUND(((ROUND(AT35*AG35,2)*1.2)*0.3),6)</f>
        <v>0</v>
      </c>
      <c r="DD35" t="s">
        <v>3</v>
      </c>
      <c r="DE35" t="s">
        <v>3</v>
      </c>
      <c r="DF35">
        <f t="shared" si="12"/>
        <v>0</v>
      </c>
      <c r="DG35">
        <f t="shared" si="13"/>
        <v>0</v>
      </c>
      <c r="DH35">
        <f t="shared" si="14"/>
        <v>0</v>
      </c>
      <c r="DI35">
        <f t="shared" si="15"/>
        <v>0</v>
      </c>
      <c r="DJ35">
        <f>DI35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ROW(Source!A49)</f>
        <v>49</v>
      </c>
      <c r="B36">
        <v>55915258</v>
      </c>
      <c r="C36">
        <v>55983154</v>
      </c>
      <c r="D36">
        <v>55461074</v>
      </c>
      <c r="E36">
        <v>1</v>
      </c>
      <c r="F36">
        <v>1</v>
      </c>
      <c r="G36">
        <v>1081</v>
      </c>
      <c r="H36">
        <v>3</v>
      </c>
      <c r="I36" t="s">
        <v>366</v>
      </c>
      <c r="J36" t="s">
        <v>367</v>
      </c>
      <c r="K36" t="s">
        <v>368</v>
      </c>
      <c r="L36">
        <v>1346</v>
      </c>
      <c r="N36">
        <v>1009</v>
      </c>
      <c r="O36" t="s">
        <v>339</v>
      </c>
      <c r="P36" t="s">
        <v>339</v>
      </c>
      <c r="Q36">
        <v>1</v>
      </c>
      <c r="W36">
        <v>0</v>
      </c>
      <c r="X36">
        <v>-861631226</v>
      </c>
      <c r="Y36">
        <f>((AT36*1)*0)</f>
        <v>0</v>
      </c>
      <c r="AA36">
        <v>163.51</v>
      </c>
      <c r="AB36">
        <v>0</v>
      </c>
      <c r="AC36">
        <v>0</v>
      </c>
      <c r="AD36">
        <v>0</v>
      </c>
      <c r="AE36">
        <v>27.62</v>
      </c>
      <c r="AF36">
        <v>0</v>
      </c>
      <c r="AG36">
        <v>0</v>
      </c>
      <c r="AH36">
        <v>0</v>
      </c>
      <c r="AI36">
        <v>5.92</v>
      </c>
      <c r="AJ36">
        <v>1</v>
      </c>
      <c r="AK36">
        <v>1</v>
      </c>
      <c r="AL36">
        <v>1</v>
      </c>
      <c r="AM36">
        <v>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6.2700000000000004E-3</v>
      </c>
      <c r="AU36" t="s">
        <v>24</v>
      </c>
      <c r="AV36">
        <v>0</v>
      </c>
      <c r="AW36">
        <v>2</v>
      </c>
      <c r="AX36">
        <v>55983160</v>
      </c>
      <c r="AY36">
        <v>1</v>
      </c>
      <c r="AZ36">
        <v>0</v>
      </c>
      <c r="BA36">
        <v>41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v>0</v>
      </c>
      <c r="CX36">
        <f>ROUND(Y36*Source!I49,9)</f>
        <v>0</v>
      </c>
      <c r="CY36">
        <f>AA36</f>
        <v>163.51</v>
      </c>
      <c r="CZ36">
        <f>AE36</f>
        <v>27.62</v>
      </c>
      <c r="DA36">
        <f>AI36</f>
        <v>5.92</v>
      </c>
      <c r="DB36">
        <f>ROUND(((ROUND(AT36*CZ36,2)*1)*0),6)</f>
        <v>0</v>
      </c>
      <c r="DC36">
        <f>ROUND(((ROUND(AT36*AG36,2)*1)*0),6)</f>
        <v>0</v>
      </c>
      <c r="DD36" t="s">
        <v>3</v>
      </c>
      <c r="DE36" t="s">
        <v>3</v>
      </c>
      <c r="DF36">
        <f>ROUND(ROUND(AE36*AI36,2)*CX36,2)</f>
        <v>0</v>
      </c>
      <c r="DG36">
        <f t="shared" si="13"/>
        <v>0</v>
      </c>
      <c r="DH36">
        <f t="shared" si="14"/>
        <v>0</v>
      </c>
      <c r="DI36">
        <f t="shared" si="15"/>
        <v>0</v>
      </c>
      <c r="DJ36">
        <f>DF36</f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ROW(Source!A49)</f>
        <v>49</v>
      </c>
      <c r="B37">
        <v>55915258</v>
      </c>
      <c r="C37">
        <v>55983154</v>
      </c>
      <c r="D37">
        <v>55459793</v>
      </c>
      <c r="E37">
        <v>1</v>
      </c>
      <c r="F37">
        <v>1</v>
      </c>
      <c r="G37">
        <v>1081</v>
      </c>
      <c r="H37">
        <v>3</v>
      </c>
      <c r="I37" t="s">
        <v>369</v>
      </c>
      <c r="J37" t="s">
        <v>370</v>
      </c>
      <c r="K37" t="s">
        <v>371</v>
      </c>
      <c r="L37">
        <v>1348</v>
      </c>
      <c r="N37">
        <v>1009</v>
      </c>
      <c r="O37" t="s">
        <v>324</v>
      </c>
      <c r="P37" t="s">
        <v>324</v>
      </c>
      <c r="Q37">
        <v>1000</v>
      </c>
      <c r="W37">
        <v>0</v>
      </c>
      <c r="X37">
        <v>-761454284</v>
      </c>
      <c r="Y37">
        <f>((AT37*1)*0)</f>
        <v>0</v>
      </c>
      <c r="AA37">
        <v>1930745.04</v>
      </c>
      <c r="AB37">
        <v>0</v>
      </c>
      <c r="AC37">
        <v>0</v>
      </c>
      <c r="AD37">
        <v>0</v>
      </c>
      <c r="AE37">
        <v>64123.05</v>
      </c>
      <c r="AF37">
        <v>0</v>
      </c>
      <c r="AG37">
        <v>0</v>
      </c>
      <c r="AH37">
        <v>0</v>
      </c>
      <c r="AI37">
        <v>30.11</v>
      </c>
      <c r="AJ37">
        <v>1</v>
      </c>
      <c r="AK37">
        <v>1</v>
      </c>
      <c r="AL37">
        <v>1</v>
      </c>
      <c r="AM37">
        <v>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1.0000000000000001E-5</v>
      </c>
      <c r="AU37" t="s">
        <v>24</v>
      </c>
      <c r="AV37">
        <v>0</v>
      </c>
      <c r="AW37">
        <v>2</v>
      </c>
      <c r="AX37">
        <v>55983161</v>
      </c>
      <c r="AY37">
        <v>1</v>
      </c>
      <c r="AZ37">
        <v>0</v>
      </c>
      <c r="BA37">
        <v>42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ROUND(Y37*Source!I49,9)</f>
        <v>0</v>
      </c>
      <c r="CY37">
        <f>AA37</f>
        <v>1930745.04</v>
      </c>
      <c r="CZ37">
        <f>AE37</f>
        <v>64123.05</v>
      </c>
      <c r="DA37">
        <f>AI37</f>
        <v>30.11</v>
      </c>
      <c r="DB37">
        <f>ROUND(((ROUND(AT37*CZ37,2)*1)*0),6)</f>
        <v>0</v>
      </c>
      <c r="DC37">
        <f>ROUND(((ROUND(AT37*AG37,2)*1)*0),6)</f>
        <v>0</v>
      </c>
      <c r="DD37" t="s">
        <v>3</v>
      </c>
      <c r="DE37" t="s">
        <v>3</v>
      </c>
      <c r="DF37">
        <f>ROUND(ROUND(AE37*AI37,2)*CX37,2)</f>
        <v>0</v>
      </c>
      <c r="DG37">
        <f t="shared" si="13"/>
        <v>0</v>
      </c>
      <c r="DH37">
        <f t="shared" si="14"/>
        <v>0</v>
      </c>
      <c r="DI37">
        <f t="shared" si="15"/>
        <v>0</v>
      </c>
      <c r="DJ37">
        <f>DF37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ROW(Source!A49)</f>
        <v>49</v>
      </c>
      <c r="B38">
        <v>55915258</v>
      </c>
      <c r="C38">
        <v>55983154</v>
      </c>
      <c r="D38">
        <v>55469253</v>
      </c>
      <c r="E38">
        <v>1</v>
      </c>
      <c r="F38">
        <v>1</v>
      </c>
      <c r="G38">
        <v>1081</v>
      </c>
      <c r="H38">
        <v>3</v>
      </c>
      <c r="I38" t="s">
        <v>372</v>
      </c>
      <c r="J38" t="s">
        <v>373</v>
      </c>
      <c r="K38" t="s">
        <v>374</v>
      </c>
      <c r="L38">
        <v>1354</v>
      </c>
      <c r="N38">
        <v>1010</v>
      </c>
      <c r="O38" t="s">
        <v>191</v>
      </c>
      <c r="P38" t="s">
        <v>191</v>
      </c>
      <c r="Q38">
        <v>1</v>
      </c>
      <c r="W38">
        <v>0</v>
      </c>
      <c r="X38">
        <v>-32785108</v>
      </c>
      <c r="Y38">
        <f>((AT38*1)*0)</f>
        <v>0</v>
      </c>
      <c r="AA38">
        <v>36.14</v>
      </c>
      <c r="AB38">
        <v>0</v>
      </c>
      <c r="AC38">
        <v>0</v>
      </c>
      <c r="AD38">
        <v>0</v>
      </c>
      <c r="AE38">
        <v>15.25</v>
      </c>
      <c r="AF38">
        <v>0</v>
      </c>
      <c r="AG38">
        <v>0</v>
      </c>
      <c r="AH38">
        <v>0</v>
      </c>
      <c r="AI38">
        <v>2.37</v>
      </c>
      <c r="AJ38">
        <v>1</v>
      </c>
      <c r="AK38">
        <v>1</v>
      </c>
      <c r="AL38">
        <v>1</v>
      </c>
      <c r="AM38">
        <v>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0.1</v>
      </c>
      <c r="AU38" t="s">
        <v>24</v>
      </c>
      <c r="AV38">
        <v>0</v>
      </c>
      <c r="AW38">
        <v>2</v>
      </c>
      <c r="AX38">
        <v>55983162</v>
      </c>
      <c r="AY38">
        <v>1</v>
      </c>
      <c r="AZ38">
        <v>0</v>
      </c>
      <c r="BA38">
        <v>43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ROUND(Y38*Source!I49,9)</f>
        <v>0</v>
      </c>
      <c r="CY38">
        <f>AA38</f>
        <v>36.14</v>
      </c>
      <c r="CZ38">
        <f>AE38</f>
        <v>15.25</v>
      </c>
      <c r="DA38">
        <f>AI38</f>
        <v>2.37</v>
      </c>
      <c r="DB38">
        <f>ROUND(((ROUND(AT38*CZ38,2)*1)*0),6)</f>
        <v>0</v>
      </c>
      <c r="DC38">
        <f>ROUND(((ROUND(AT38*AG38,2)*1)*0),6)</f>
        <v>0</v>
      </c>
      <c r="DD38" t="s">
        <v>3</v>
      </c>
      <c r="DE38" t="s">
        <v>3</v>
      </c>
      <c r="DF38">
        <f>ROUND(ROUND(AE38*AI38,2)*CX38,2)</f>
        <v>0</v>
      </c>
      <c r="DG38">
        <f t="shared" si="13"/>
        <v>0</v>
      </c>
      <c r="DH38">
        <f t="shared" si="14"/>
        <v>0</v>
      </c>
      <c r="DI38">
        <f t="shared" si="15"/>
        <v>0</v>
      </c>
      <c r="DJ38">
        <f>DF38</f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ROW(Source!A50)</f>
        <v>50</v>
      </c>
      <c r="B39">
        <v>55915256</v>
      </c>
      <c r="C39">
        <v>55983164</v>
      </c>
      <c r="D39">
        <v>55424304</v>
      </c>
      <c r="E39">
        <v>1081</v>
      </c>
      <c r="F39">
        <v>1</v>
      </c>
      <c r="G39">
        <v>1081</v>
      </c>
      <c r="H39">
        <v>1</v>
      </c>
      <c r="I39" t="s">
        <v>363</v>
      </c>
      <c r="J39" t="s">
        <v>3</v>
      </c>
      <c r="K39" t="s">
        <v>364</v>
      </c>
      <c r="L39">
        <v>1191</v>
      </c>
      <c r="N39">
        <v>1013</v>
      </c>
      <c r="O39" t="s">
        <v>365</v>
      </c>
      <c r="P39" t="s">
        <v>365</v>
      </c>
      <c r="Q39">
        <v>1</v>
      </c>
      <c r="W39">
        <v>0</v>
      </c>
      <c r="X39">
        <v>476480486</v>
      </c>
      <c r="Y39">
        <f>((AT39*1.2)*0.3)</f>
        <v>1.1447999999999998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3.18</v>
      </c>
      <c r="AU39" t="s">
        <v>25</v>
      </c>
      <c r="AV39">
        <v>1</v>
      </c>
      <c r="AW39">
        <v>2</v>
      </c>
      <c r="AX39">
        <v>55983169</v>
      </c>
      <c r="AY39">
        <v>1</v>
      </c>
      <c r="AZ39">
        <v>0</v>
      </c>
      <c r="BA39">
        <v>45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U39">
        <f>ROUND(AT39*Source!I50*AH39*AL39,2)</f>
        <v>0</v>
      </c>
      <c r="CV39">
        <f>ROUND(Y39*Source!I50,9)</f>
        <v>5.7240000000000002</v>
      </c>
      <c r="CW39">
        <v>0</v>
      </c>
      <c r="CX39">
        <f>ROUND(Y39*Source!I50,9)</f>
        <v>5.7240000000000002</v>
      </c>
      <c r="CY39">
        <f>AD39</f>
        <v>0</v>
      </c>
      <c r="CZ39">
        <f>AH39</f>
        <v>0</v>
      </c>
      <c r="DA39">
        <f>AL39</f>
        <v>1</v>
      </c>
      <c r="DB39">
        <f>ROUND(((ROUND(AT39*CZ39,2)*1.2)*0.3),6)</f>
        <v>0</v>
      </c>
      <c r="DC39">
        <f>ROUND(((ROUND(AT39*AG39,2)*1.2)*0.3),6)</f>
        <v>0</v>
      </c>
      <c r="DD39" t="s">
        <v>3</v>
      </c>
      <c r="DE39" t="s">
        <v>3</v>
      </c>
      <c r="DF39">
        <f>ROUND(ROUND(AE39,2)*CX39,2)</f>
        <v>0</v>
      </c>
      <c r="DG39">
        <f t="shared" si="13"/>
        <v>0</v>
      </c>
      <c r="DH39">
        <f t="shared" si="14"/>
        <v>0</v>
      </c>
      <c r="DI39">
        <f t="shared" si="15"/>
        <v>0</v>
      </c>
      <c r="DJ39">
        <f>DI39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ROW(Source!A50)</f>
        <v>50</v>
      </c>
      <c r="B40">
        <v>55915256</v>
      </c>
      <c r="C40">
        <v>55983164</v>
      </c>
      <c r="D40">
        <v>55461074</v>
      </c>
      <c r="E40">
        <v>1</v>
      </c>
      <c r="F40">
        <v>1</v>
      </c>
      <c r="G40">
        <v>1081</v>
      </c>
      <c r="H40">
        <v>3</v>
      </c>
      <c r="I40" t="s">
        <v>366</v>
      </c>
      <c r="J40" t="s">
        <v>367</v>
      </c>
      <c r="K40" t="s">
        <v>368</v>
      </c>
      <c r="L40">
        <v>1346</v>
      </c>
      <c r="N40">
        <v>1009</v>
      </c>
      <c r="O40" t="s">
        <v>339</v>
      </c>
      <c r="P40" t="s">
        <v>339</v>
      </c>
      <c r="Q40">
        <v>1</v>
      </c>
      <c r="W40">
        <v>0</v>
      </c>
      <c r="X40">
        <v>-861631226</v>
      </c>
      <c r="Y40">
        <f>((AT40*1)*0)</f>
        <v>0</v>
      </c>
      <c r="AA40">
        <v>27.62</v>
      </c>
      <c r="AB40">
        <v>0</v>
      </c>
      <c r="AC40">
        <v>0</v>
      </c>
      <c r="AD40">
        <v>0</v>
      </c>
      <c r="AE40">
        <v>27.62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-2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6.2700000000000004E-3</v>
      </c>
      <c r="AU40" t="s">
        <v>24</v>
      </c>
      <c r="AV40">
        <v>0</v>
      </c>
      <c r="AW40">
        <v>2</v>
      </c>
      <c r="AX40">
        <v>55983170</v>
      </c>
      <c r="AY40">
        <v>1</v>
      </c>
      <c r="AZ40">
        <v>0</v>
      </c>
      <c r="BA40">
        <v>46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ROUND(Y40*Source!I50,9)</f>
        <v>0</v>
      </c>
      <c r="CY40">
        <f>AA40</f>
        <v>27.62</v>
      </c>
      <c r="CZ40">
        <f>AE40</f>
        <v>27.62</v>
      </c>
      <c r="DA40">
        <f>AI40</f>
        <v>1</v>
      </c>
      <c r="DB40">
        <f>ROUND(((ROUND(AT40*CZ40,2)*1)*0),6)</f>
        <v>0</v>
      </c>
      <c r="DC40">
        <f>ROUND(((ROUND(AT40*AG40,2)*1)*0),6)</f>
        <v>0</v>
      </c>
      <c r="DD40" t="s">
        <v>3</v>
      </c>
      <c r="DE40" t="s">
        <v>3</v>
      </c>
      <c r="DF40">
        <f>ROUND(ROUND(AE40,2)*CX40,2)</f>
        <v>0</v>
      </c>
      <c r="DG40">
        <f t="shared" si="13"/>
        <v>0</v>
      </c>
      <c r="DH40">
        <f t="shared" si="14"/>
        <v>0</v>
      </c>
      <c r="DI40">
        <f t="shared" si="15"/>
        <v>0</v>
      </c>
      <c r="DJ40">
        <f>DF40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ROW(Source!A50)</f>
        <v>50</v>
      </c>
      <c r="B41">
        <v>55915256</v>
      </c>
      <c r="C41">
        <v>55983164</v>
      </c>
      <c r="D41">
        <v>55459793</v>
      </c>
      <c r="E41">
        <v>1</v>
      </c>
      <c r="F41">
        <v>1</v>
      </c>
      <c r="G41">
        <v>1081</v>
      </c>
      <c r="H41">
        <v>3</v>
      </c>
      <c r="I41" t="s">
        <v>369</v>
      </c>
      <c r="J41" t="s">
        <v>370</v>
      </c>
      <c r="K41" t="s">
        <v>371</v>
      </c>
      <c r="L41">
        <v>1348</v>
      </c>
      <c r="N41">
        <v>1009</v>
      </c>
      <c r="O41" t="s">
        <v>324</v>
      </c>
      <c r="P41" t="s">
        <v>324</v>
      </c>
      <c r="Q41">
        <v>1000</v>
      </c>
      <c r="W41">
        <v>0</v>
      </c>
      <c r="X41">
        <v>-761454284</v>
      </c>
      <c r="Y41">
        <f>((AT41*1)*0)</f>
        <v>0</v>
      </c>
      <c r="AA41">
        <v>64123.05</v>
      </c>
      <c r="AB41">
        <v>0</v>
      </c>
      <c r="AC41">
        <v>0</v>
      </c>
      <c r="AD41">
        <v>0</v>
      </c>
      <c r="AE41">
        <v>64123.05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1.0000000000000001E-5</v>
      </c>
      <c r="AU41" t="s">
        <v>24</v>
      </c>
      <c r="AV41">
        <v>0</v>
      </c>
      <c r="AW41">
        <v>2</v>
      </c>
      <c r="AX41">
        <v>55983171</v>
      </c>
      <c r="AY41">
        <v>1</v>
      </c>
      <c r="AZ41">
        <v>0</v>
      </c>
      <c r="BA41">
        <v>47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ROUND(Y41*Source!I50,9)</f>
        <v>0</v>
      </c>
      <c r="CY41">
        <f>AA41</f>
        <v>64123.05</v>
      </c>
      <c r="CZ41">
        <f>AE41</f>
        <v>64123.05</v>
      </c>
      <c r="DA41">
        <f>AI41</f>
        <v>1</v>
      </c>
      <c r="DB41">
        <f>ROUND(((ROUND(AT41*CZ41,2)*1)*0),6)</f>
        <v>0</v>
      </c>
      <c r="DC41">
        <f>ROUND(((ROUND(AT41*AG41,2)*1)*0),6)</f>
        <v>0</v>
      </c>
      <c r="DD41" t="s">
        <v>3</v>
      </c>
      <c r="DE41" t="s">
        <v>3</v>
      </c>
      <c r="DF41">
        <f>ROUND(ROUND(AE41,2)*CX41,2)</f>
        <v>0</v>
      </c>
      <c r="DG41">
        <f t="shared" si="13"/>
        <v>0</v>
      </c>
      <c r="DH41">
        <f t="shared" si="14"/>
        <v>0</v>
      </c>
      <c r="DI41">
        <f t="shared" si="15"/>
        <v>0</v>
      </c>
      <c r="DJ41">
        <f>DF41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ROW(Source!A50)</f>
        <v>50</v>
      </c>
      <c r="B42">
        <v>55915256</v>
      </c>
      <c r="C42">
        <v>55983164</v>
      </c>
      <c r="D42">
        <v>55469253</v>
      </c>
      <c r="E42">
        <v>1</v>
      </c>
      <c r="F42">
        <v>1</v>
      </c>
      <c r="G42">
        <v>1081</v>
      </c>
      <c r="H42">
        <v>3</v>
      </c>
      <c r="I42" t="s">
        <v>372</v>
      </c>
      <c r="J42" t="s">
        <v>373</v>
      </c>
      <c r="K42" t="s">
        <v>374</v>
      </c>
      <c r="L42">
        <v>1354</v>
      </c>
      <c r="N42">
        <v>1010</v>
      </c>
      <c r="O42" t="s">
        <v>191</v>
      </c>
      <c r="P42" t="s">
        <v>191</v>
      </c>
      <c r="Q42">
        <v>1</v>
      </c>
      <c r="W42">
        <v>0</v>
      </c>
      <c r="X42">
        <v>-32785108</v>
      </c>
      <c r="Y42">
        <f>((AT42*1)*0)</f>
        <v>0</v>
      </c>
      <c r="AA42">
        <v>15.25</v>
      </c>
      <c r="AB42">
        <v>0</v>
      </c>
      <c r="AC42">
        <v>0</v>
      </c>
      <c r="AD42">
        <v>0</v>
      </c>
      <c r="AE42">
        <v>15.25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-2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0.1</v>
      </c>
      <c r="AU42" t="s">
        <v>24</v>
      </c>
      <c r="AV42">
        <v>0</v>
      </c>
      <c r="AW42">
        <v>2</v>
      </c>
      <c r="AX42">
        <v>55983172</v>
      </c>
      <c r="AY42">
        <v>1</v>
      </c>
      <c r="AZ42">
        <v>0</v>
      </c>
      <c r="BA42">
        <v>48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ROUND(Y42*Source!I50,9)</f>
        <v>0</v>
      </c>
      <c r="CY42">
        <f>AA42</f>
        <v>15.25</v>
      </c>
      <c r="CZ42">
        <f>AE42</f>
        <v>15.25</v>
      </c>
      <c r="DA42">
        <f>AI42</f>
        <v>1</v>
      </c>
      <c r="DB42">
        <f>ROUND(((ROUND(AT42*CZ42,2)*1)*0),6)</f>
        <v>0</v>
      </c>
      <c r="DC42">
        <f>ROUND(((ROUND(AT42*AG42,2)*1)*0),6)</f>
        <v>0</v>
      </c>
      <c r="DD42" t="s">
        <v>3</v>
      </c>
      <c r="DE42" t="s">
        <v>3</v>
      </c>
      <c r="DF42">
        <f>ROUND(ROUND(AE42,2)*CX42,2)</f>
        <v>0</v>
      </c>
      <c r="DG42">
        <f t="shared" si="13"/>
        <v>0</v>
      </c>
      <c r="DH42">
        <f t="shared" si="14"/>
        <v>0</v>
      </c>
      <c r="DI42">
        <f t="shared" si="15"/>
        <v>0</v>
      </c>
      <c r="DJ42">
        <f>DF42</f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ROW(Source!A51)</f>
        <v>51</v>
      </c>
      <c r="B43">
        <v>55915258</v>
      </c>
      <c r="C43">
        <v>55983164</v>
      </c>
      <c r="D43">
        <v>55424304</v>
      </c>
      <c r="E43">
        <v>1081</v>
      </c>
      <c r="F43">
        <v>1</v>
      </c>
      <c r="G43">
        <v>1081</v>
      </c>
      <c r="H43">
        <v>1</v>
      </c>
      <c r="I43" t="s">
        <v>363</v>
      </c>
      <c r="J43" t="s">
        <v>3</v>
      </c>
      <c r="K43" t="s">
        <v>364</v>
      </c>
      <c r="L43">
        <v>1191</v>
      </c>
      <c r="N43">
        <v>1013</v>
      </c>
      <c r="O43" t="s">
        <v>365</v>
      </c>
      <c r="P43" t="s">
        <v>365</v>
      </c>
      <c r="Q43">
        <v>1</v>
      </c>
      <c r="W43">
        <v>0</v>
      </c>
      <c r="X43">
        <v>476480486</v>
      </c>
      <c r="Y43">
        <f>((AT43*1.2)*0.3)</f>
        <v>1.1447999999999998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5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3.18</v>
      </c>
      <c r="AU43" t="s">
        <v>25</v>
      </c>
      <c r="AV43">
        <v>1</v>
      </c>
      <c r="AW43">
        <v>2</v>
      </c>
      <c r="AX43">
        <v>55983169</v>
      </c>
      <c r="AY43">
        <v>1</v>
      </c>
      <c r="AZ43">
        <v>0</v>
      </c>
      <c r="BA43">
        <v>50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U43">
        <f>ROUND(AT43*Source!I51*AH43*AL43,2)</f>
        <v>0</v>
      </c>
      <c r="CV43">
        <f>ROUND(Y43*Source!I51,9)</f>
        <v>5.7240000000000002</v>
      </c>
      <c r="CW43">
        <v>0</v>
      </c>
      <c r="CX43">
        <f>ROUND(Y43*Source!I51,9)</f>
        <v>5.7240000000000002</v>
      </c>
      <c r="CY43">
        <f>AD43</f>
        <v>0</v>
      </c>
      <c r="CZ43">
        <f>AH43</f>
        <v>0</v>
      </c>
      <c r="DA43">
        <f>AL43</f>
        <v>1</v>
      </c>
      <c r="DB43">
        <f>ROUND(((ROUND(AT43*CZ43,2)*1.2)*0.3),6)</f>
        <v>0</v>
      </c>
      <c r="DC43">
        <f>ROUND(((ROUND(AT43*AG43,2)*1.2)*0.3),6)</f>
        <v>0</v>
      </c>
      <c r="DD43" t="s">
        <v>3</v>
      </c>
      <c r="DE43" t="s">
        <v>3</v>
      </c>
      <c r="DF43">
        <f>ROUND(ROUND(AE43,2)*CX43,2)</f>
        <v>0</v>
      </c>
      <c r="DG43">
        <f t="shared" si="13"/>
        <v>0</v>
      </c>
      <c r="DH43">
        <f t="shared" si="14"/>
        <v>0</v>
      </c>
      <c r="DI43">
        <f t="shared" si="15"/>
        <v>0</v>
      </c>
      <c r="DJ43">
        <f>DI43</f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ROW(Source!A51)</f>
        <v>51</v>
      </c>
      <c r="B44">
        <v>55915258</v>
      </c>
      <c r="C44">
        <v>55983164</v>
      </c>
      <c r="D44">
        <v>55461074</v>
      </c>
      <c r="E44">
        <v>1</v>
      </c>
      <c r="F44">
        <v>1</v>
      </c>
      <c r="G44">
        <v>1081</v>
      </c>
      <c r="H44">
        <v>3</v>
      </c>
      <c r="I44" t="s">
        <v>366</v>
      </c>
      <c r="J44" t="s">
        <v>367</v>
      </c>
      <c r="K44" t="s">
        <v>368</v>
      </c>
      <c r="L44">
        <v>1346</v>
      </c>
      <c r="N44">
        <v>1009</v>
      </c>
      <c r="O44" t="s">
        <v>339</v>
      </c>
      <c r="P44" t="s">
        <v>339</v>
      </c>
      <c r="Q44">
        <v>1</v>
      </c>
      <c r="W44">
        <v>0</v>
      </c>
      <c r="X44">
        <v>-861631226</v>
      </c>
      <c r="Y44">
        <f>((AT44*1)*0)</f>
        <v>0</v>
      </c>
      <c r="AA44">
        <v>163.51</v>
      </c>
      <c r="AB44">
        <v>0</v>
      </c>
      <c r="AC44">
        <v>0</v>
      </c>
      <c r="AD44">
        <v>0</v>
      </c>
      <c r="AE44">
        <v>27.62</v>
      </c>
      <c r="AF44">
        <v>0</v>
      </c>
      <c r="AG44">
        <v>0</v>
      </c>
      <c r="AH44">
        <v>0</v>
      </c>
      <c r="AI44">
        <v>5.92</v>
      </c>
      <c r="AJ44">
        <v>1</v>
      </c>
      <c r="AK44">
        <v>1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6.2700000000000004E-3</v>
      </c>
      <c r="AU44" t="s">
        <v>24</v>
      </c>
      <c r="AV44">
        <v>0</v>
      </c>
      <c r="AW44">
        <v>2</v>
      </c>
      <c r="AX44">
        <v>55983170</v>
      </c>
      <c r="AY44">
        <v>1</v>
      </c>
      <c r="AZ44">
        <v>0</v>
      </c>
      <c r="BA44">
        <v>51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ROUND(Y44*Source!I51,9)</f>
        <v>0</v>
      </c>
      <c r="CY44">
        <f>AA44</f>
        <v>163.51</v>
      </c>
      <c r="CZ44">
        <f>AE44</f>
        <v>27.62</v>
      </c>
      <c r="DA44">
        <f>AI44</f>
        <v>5.92</v>
      </c>
      <c r="DB44">
        <f>ROUND(((ROUND(AT44*CZ44,2)*1)*0),6)</f>
        <v>0</v>
      </c>
      <c r="DC44">
        <f>ROUND(((ROUND(AT44*AG44,2)*1)*0),6)</f>
        <v>0</v>
      </c>
      <c r="DD44" t="s">
        <v>3</v>
      </c>
      <c r="DE44" t="s">
        <v>3</v>
      </c>
      <c r="DF44">
        <f>ROUND(ROUND(AE44*AI44,2)*CX44,2)</f>
        <v>0</v>
      </c>
      <c r="DG44">
        <f t="shared" si="13"/>
        <v>0</v>
      </c>
      <c r="DH44">
        <f t="shared" si="14"/>
        <v>0</v>
      </c>
      <c r="DI44">
        <f t="shared" si="15"/>
        <v>0</v>
      </c>
      <c r="DJ44">
        <f>DF44</f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ROW(Source!A51)</f>
        <v>51</v>
      </c>
      <c r="B45">
        <v>55915258</v>
      </c>
      <c r="C45">
        <v>55983164</v>
      </c>
      <c r="D45">
        <v>55459793</v>
      </c>
      <c r="E45">
        <v>1</v>
      </c>
      <c r="F45">
        <v>1</v>
      </c>
      <c r="G45">
        <v>1081</v>
      </c>
      <c r="H45">
        <v>3</v>
      </c>
      <c r="I45" t="s">
        <v>369</v>
      </c>
      <c r="J45" t="s">
        <v>370</v>
      </c>
      <c r="K45" t="s">
        <v>371</v>
      </c>
      <c r="L45">
        <v>1348</v>
      </c>
      <c r="N45">
        <v>1009</v>
      </c>
      <c r="O45" t="s">
        <v>324</v>
      </c>
      <c r="P45" t="s">
        <v>324</v>
      </c>
      <c r="Q45">
        <v>1000</v>
      </c>
      <c r="W45">
        <v>0</v>
      </c>
      <c r="X45">
        <v>-761454284</v>
      </c>
      <c r="Y45">
        <f>((AT45*1)*0)</f>
        <v>0</v>
      </c>
      <c r="AA45">
        <v>1930745.04</v>
      </c>
      <c r="AB45">
        <v>0</v>
      </c>
      <c r="AC45">
        <v>0</v>
      </c>
      <c r="AD45">
        <v>0</v>
      </c>
      <c r="AE45">
        <v>64123.05</v>
      </c>
      <c r="AF45">
        <v>0</v>
      </c>
      <c r="AG45">
        <v>0</v>
      </c>
      <c r="AH45">
        <v>0</v>
      </c>
      <c r="AI45">
        <v>30.11</v>
      </c>
      <c r="AJ45">
        <v>1</v>
      </c>
      <c r="AK45">
        <v>1</v>
      </c>
      <c r="AL45">
        <v>1</v>
      </c>
      <c r="AM45">
        <v>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1.0000000000000001E-5</v>
      </c>
      <c r="AU45" t="s">
        <v>24</v>
      </c>
      <c r="AV45">
        <v>0</v>
      </c>
      <c r="AW45">
        <v>2</v>
      </c>
      <c r="AX45">
        <v>55983171</v>
      </c>
      <c r="AY45">
        <v>1</v>
      </c>
      <c r="AZ45">
        <v>0</v>
      </c>
      <c r="BA45">
        <v>52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v>0</v>
      </c>
      <c r="CX45">
        <f>ROUND(Y45*Source!I51,9)</f>
        <v>0</v>
      </c>
      <c r="CY45">
        <f>AA45</f>
        <v>1930745.04</v>
      </c>
      <c r="CZ45">
        <f>AE45</f>
        <v>64123.05</v>
      </c>
      <c r="DA45">
        <f>AI45</f>
        <v>30.11</v>
      </c>
      <c r="DB45">
        <f>ROUND(((ROUND(AT45*CZ45,2)*1)*0),6)</f>
        <v>0</v>
      </c>
      <c r="DC45">
        <f>ROUND(((ROUND(AT45*AG45,2)*1)*0),6)</f>
        <v>0</v>
      </c>
      <c r="DD45" t="s">
        <v>3</v>
      </c>
      <c r="DE45" t="s">
        <v>3</v>
      </c>
      <c r="DF45">
        <f>ROUND(ROUND(AE45*AI45,2)*CX45,2)</f>
        <v>0</v>
      </c>
      <c r="DG45">
        <f t="shared" si="13"/>
        <v>0</v>
      </c>
      <c r="DH45">
        <f t="shared" si="14"/>
        <v>0</v>
      </c>
      <c r="DI45">
        <f t="shared" si="15"/>
        <v>0</v>
      </c>
      <c r="DJ45">
        <f>DF45</f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ROW(Source!A51)</f>
        <v>51</v>
      </c>
      <c r="B46">
        <v>55915258</v>
      </c>
      <c r="C46">
        <v>55983164</v>
      </c>
      <c r="D46">
        <v>55469253</v>
      </c>
      <c r="E46">
        <v>1</v>
      </c>
      <c r="F46">
        <v>1</v>
      </c>
      <c r="G46">
        <v>1081</v>
      </c>
      <c r="H46">
        <v>3</v>
      </c>
      <c r="I46" t="s">
        <v>372</v>
      </c>
      <c r="J46" t="s">
        <v>373</v>
      </c>
      <c r="K46" t="s">
        <v>374</v>
      </c>
      <c r="L46">
        <v>1354</v>
      </c>
      <c r="N46">
        <v>1010</v>
      </c>
      <c r="O46" t="s">
        <v>191</v>
      </c>
      <c r="P46" t="s">
        <v>191</v>
      </c>
      <c r="Q46">
        <v>1</v>
      </c>
      <c r="W46">
        <v>0</v>
      </c>
      <c r="X46">
        <v>-32785108</v>
      </c>
      <c r="Y46">
        <f>((AT46*1)*0)</f>
        <v>0</v>
      </c>
      <c r="AA46">
        <v>36.14</v>
      </c>
      <c r="AB46">
        <v>0</v>
      </c>
      <c r="AC46">
        <v>0</v>
      </c>
      <c r="AD46">
        <v>0</v>
      </c>
      <c r="AE46">
        <v>15.25</v>
      </c>
      <c r="AF46">
        <v>0</v>
      </c>
      <c r="AG46">
        <v>0</v>
      </c>
      <c r="AH46">
        <v>0</v>
      </c>
      <c r="AI46">
        <v>2.37</v>
      </c>
      <c r="AJ46">
        <v>1</v>
      </c>
      <c r="AK46">
        <v>1</v>
      </c>
      <c r="AL46">
        <v>1</v>
      </c>
      <c r="AM46">
        <v>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0.1</v>
      </c>
      <c r="AU46" t="s">
        <v>24</v>
      </c>
      <c r="AV46">
        <v>0</v>
      </c>
      <c r="AW46">
        <v>2</v>
      </c>
      <c r="AX46">
        <v>55983172</v>
      </c>
      <c r="AY46">
        <v>1</v>
      </c>
      <c r="AZ46">
        <v>0</v>
      </c>
      <c r="BA46">
        <v>53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ROUND(Y46*Source!I51,9)</f>
        <v>0</v>
      </c>
      <c r="CY46">
        <f>AA46</f>
        <v>36.14</v>
      </c>
      <c r="CZ46">
        <f>AE46</f>
        <v>15.25</v>
      </c>
      <c r="DA46">
        <f>AI46</f>
        <v>2.37</v>
      </c>
      <c r="DB46">
        <f>ROUND(((ROUND(AT46*CZ46,2)*1)*0),6)</f>
        <v>0</v>
      </c>
      <c r="DC46">
        <f>ROUND(((ROUND(AT46*AG46,2)*1)*0),6)</f>
        <v>0</v>
      </c>
      <c r="DD46" t="s">
        <v>3</v>
      </c>
      <c r="DE46" t="s">
        <v>3</v>
      </c>
      <c r="DF46">
        <f>ROUND(ROUND(AE46*AI46,2)*CX46,2)</f>
        <v>0</v>
      </c>
      <c r="DG46">
        <f t="shared" si="13"/>
        <v>0</v>
      </c>
      <c r="DH46">
        <f t="shared" si="14"/>
        <v>0</v>
      </c>
      <c r="DI46">
        <f t="shared" si="15"/>
        <v>0</v>
      </c>
      <c r="DJ46">
        <f>DF46</f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ROW(Source!A52)</f>
        <v>52</v>
      </c>
      <c r="B47">
        <v>55915256</v>
      </c>
      <c r="C47">
        <v>55983174</v>
      </c>
      <c r="D47">
        <v>55424304</v>
      </c>
      <c r="E47">
        <v>1081</v>
      </c>
      <c r="F47">
        <v>1</v>
      </c>
      <c r="G47">
        <v>1081</v>
      </c>
      <c r="H47">
        <v>1</v>
      </c>
      <c r="I47" t="s">
        <v>363</v>
      </c>
      <c r="J47" t="s">
        <v>3</v>
      </c>
      <c r="K47" t="s">
        <v>364</v>
      </c>
      <c r="L47">
        <v>1191</v>
      </c>
      <c r="N47">
        <v>1013</v>
      </c>
      <c r="O47" t="s">
        <v>365</v>
      </c>
      <c r="P47" t="s">
        <v>365</v>
      </c>
      <c r="Q47">
        <v>1</v>
      </c>
      <c r="W47">
        <v>0</v>
      </c>
      <c r="X47">
        <v>476480486</v>
      </c>
      <c r="Y47">
        <f>(AT47*1.2)</f>
        <v>11.568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9.64</v>
      </c>
      <c r="AU47" t="s">
        <v>78</v>
      </c>
      <c r="AV47">
        <v>1</v>
      </c>
      <c r="AW47">
        <v>2</v>
      </c>
      <c r="AX47">
        <v>55983176</v>
      </c>
      <c r="AY47">
        <v>1</v>
      </c>
      <c r="AZ47">
        <v>0</v>
      </c>
      <c r="BA47">
        <v>55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U47">
        <f>ROUND(AT47*Source!I52*AH47*AL47,2)</f>
        <v>0</v>
      </c>
      <c r="CV47">
        <f>ROUND(Y47*Source!I52,9)</f>
        <v>374.34048000000001</v>
      </c>
      <c r="CW47">
        <v>0</v>
      </c>
      <c r="CX47">
        <f>ROUND(Y47*Source!I52,9)</f>
        <v>374.34048000000001</v>
      </c>
      <c r="CY47">
        <f>AD47</f>
        <v>0</v>
      </c>
      <c r="CZ47">
        <f>AH47</f>
        <v>0</v>
      </c>
      <c r="DA47">
        <f>AL47</f>
        <v>1</v>
      </c>
      <c r="DB47">
        <f>ROUND((ROUND(AT47*CZ47,2)*1.2),6)</f>
        <v>0</v>
      </c>
      <c r="DC47">
        <f>ROUND((ROUND(AT47*AG47,2)*1.2),6)</f>
        <v>0</v>
      </c>
      <c r="DD47" t="s">
        <v>3</v>
      </c>
      <c r="DE47" t="s">
        <v>3</v>
      </c>
      <c r="DF47">
        <f>ROUND(ROUND(AE47,2)*CX47,2)</f>
        <v>0</v>
      </c>
      <c r="DG47">
        <f t="shared" si="13"/>
        <v>0</v>
      </c>
      <c r="DH47">
        <f t="shared" si="14"/>
        <v>0</v>
      </c>
      <c r="DI47">
        <f t="shared" si="15"/>
        <v>0</v>
      </c>
      <c r="DJ47">
        <f>DI47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ROW(Source!A53)</f>
        <v>53</v>
      </c>
      <c r="B48">
        <v>55915258</v>
      </c>
      <c r="C48">
        <v>55983174</v>
      </c>
      <c r="D48">
        <v>55424304</v>
      </c>
      <c r="E48">
        <v>1081</v>
      </c>
      <c r="F48">
        <v>1</v>
      </c>
      <c r="G48">
        <v>1081</v>
      </c>
      <c r="H48">
        <v>1</v>
      </c>
      <c r="I48" t="s">
        <v>363</v>
      </c>
      <c r="J48" t="s">
        <v>3</v>
      </c>
      <c r="K48" t="s">
        <v>364</v>
      </c>
      <c r="L48">
        <v>1191</v>
      </c>
      <c r="N48">
        <v>1013</v>
      </c>
      <c r="O48" t="s">
        <v>365</v>
      </c>
      <c r="P48" t="s">
        <v>365</v>
      </c>
      <c r="Q48">
        <v>1</v>
      </c>
      <c r="W48">
        <v>0</v>
      </c>
      <c r="X48">
        <v>476480486</v>
      </c>
      <c r="Y48">
        <f>(AT48*1.2)</f>
        <v>11.568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5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9.64</v>
      </c>
      <c r="AU48" t="s">
        <v>78</v>
      </c>
      <c r="AV48">
        <v>1</v>
      </c>
      <c r="AW48">
        <v>2</v>
      </c>
      <c r="AX48">
        <v>55983176</v>
      </c>
      <c r="AY48">
        <v>1</v>
      </c>
      <c r="AZ48">
        <v>0</v>
      </c>
      <c r="BA48">
        <v>56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U48">
        <f>ROUND(AT48*Source!I53*AH48*AL48,2)</f>
        <v>0</v>
      </c>
      <c r="CV48">
        <f>ROUND(Y48*Source!I53,9)</f>
        <v>374.34048000000001</v>
      </c>
      <c r="CW48">
        <v>0</v>
      </c>
      <c r="CX48">
        <f>ROUND(Y48*Source!I53,9)</f>
        <v>374.34048000000001</v>
      </c>
      <c r="CY48">
        <f>AD48</f>
        <v>0</v>
      </c>
      <c r="CZ48">
        <f>AH48</f>
        <v>0</v>
      </c>
      <c r="DA48">
        <f>AL48</f>
        <v>1</v>
      </c>
      <c r="DB48">
        <f>ROUND((ROUND(AT48*CZ48,2)*1.2),6)</f>
        <v>0</v>
      </c>
      <c r="DC48">
        <f>ROUND((ROUND(AT48*AG48,2)*1.2),6)</f>
        <v>0</v>
      </c>
      <c r="DD48" t="s">
        <v>3</v>
      </c>
      <c r="DE48" t="s">
        <v>3</v>
      </c>
      <c r="DF48">
        <f>ROUND(ROUND(AE48,2)*CX48,2)</f>
        <v>0</v>
      </c>
      <c r="DG48">
        <f t="shared" si="13"/>
        <v>0</v>
      </c>
      <c r="DH48">
        <f t="shared" si="14"/>
        <v>0</v>
      </c>
      <c r="DI48">
        <f t="shared" si="15"/>
        <v>0</v>
      </c>
      <c r="DJ48">
        <f>DI48</f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ROW(Source!A54)</f>
        <v>54</v>
      </c>
      <c r="B49">
        <v>55915256</v>
      </c>
      <c r="C49">
        <v>55983177</v>
      </c>
      <c r="D49">
        <v>55424304</v>
      </c>
      <c r="E49">
        <v>1081</v>
      </c>
      <c r="F49">
        <v>1</v>
      </c>
      <c r="G49">
        <v>1081</v>
      </c>
      <c r="H49">
        <v>1</v>
      </c>
      <c r="I49" t="s">
        <v>363</v>
      </c>
      <c r="J49" t="s">
        <v>3</v>
      </c>
      <c r="K49" t="s">
        <v>364</v>
      </c>
      <c r="L49">
        <v>1191</v>
      </c>
      <c r="N49">
        <v>1013</v>
      </c>
      <c r="O49" t="s">
        <v>365</v>
      </c>
      <c r="P49" t="s">
        <v>365</v>
      </c>
      <c r="Q49">
        <v>1</v>
      </c>
      <c r="W49">
        <v>0</v>
      </c>
      <c r="X49">
        <v>476480486</v>
      </c>
      <c r="Y49">
        <f>(AT49*1.2)</f>
        <v>36.527999999999999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30.44</v>
      </c>
      <c r="AU49" t="s">
        <v>78</v>
      </c>
      <c r="AV49">
        <v>1</v>
      </c>
      <c r="AW49">
        <v>2</v>
      </c>
      <c r="AX49">
        <v>55983180</v>
      </c>
      <c r="AY49">
        <v>1</v>
      </c>
      <c r="AZ49">
        <v>0</v>
      </c>
      <c r="BA49">
        <v>57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U49">
        <f>ROUND(AT49*Source!I54*AH49*AL49,2)</f>
        <v>0</v>
      </c>
      <c r="CV49">
        <f>ROUND(Y49*Source!I54,9)</f>
        <v>799.59792000000004</v>
      </c>
      <c r="CW49">
        <v>0</v>
      </c>
      <c r="CX49">
        <f>ROUND(Y49*Source!I54,9)</f>
        <v>799.59792000000004</v>
      </c>
      <c r="CY49">
        <f>AD49</f>
        <v>0</v>
      </c>
      <c r="CZ49">
        <f>AH49</f>
        <v>0</v>
      </c>
      <c r="DA49">
        <f>AL49</f>
        <v>1</v>
      </c>
      <c r="DB49">
        <f>ROUND((ROUND(AT49*CZ49,2)*1.2),6)</f>
        <v>0</v>
      </c>
      <c r="DC49">
        <f>ROUND((ROUND(AT49*AG49,2)*1.2),6)</f>
        <v>0</v>
      </c>
      <c r="DD49" t="s">
        <v>3</v>
      </c>
      <c r="DE49" t="s">
        <v>3</v>
      </c>
      <c r="DF49">
        <f>ROUND(ROUND(AE49,2)*CX49,2)</f>
        <v>0</v>
      </c>
      <c r="DG49">
        <f t="shared" si="13"/>
        <v>0</v>
      </c>
      <c r="DH49">
        <f t="shared" si="14"/>
        <v>0</v>
      </c>
      <c r="DI49">
        <f t="shared" si="15"/>
        <v>0</v>
      </c>
      <c r="DJ49">
        <f>DI49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ROW(Source!A54)</f>
        <v>54</v>
      </c>
      <c r="B50">
        <v>55915256</v>
      </c>
      <c r="C50">
        <v>55983177</v>
      </c>
      <c r="D50">
        <v>55424288</v>
      </c>
      <c r="E50">
        <v>1081</v>
      </c>
      <c r="F50">
        <v>1</v>
      </c>
      <c r="G50">
        <v>1081</v>
      </c>
      <c r="H50">
        <v>3</v>
      </c>
      <c r="I50" t="s">
        <v>379</v>
      </c>
      <c r="J50" t="s">
        <v>3</v>
      </c>
      <c r="K50" t="s">
        <v>380</v>
      </c>
      <c r="L50">
        <v>1348</v>
      </c>
      <c r="N50">
        <v>1009</v>
      </c>
      <c r="O50" t="s">
        <v>324</v>
      </c>
      <c r="P50" t="s">
        <v>324</v>
      </c>
      <c r="Q50">
        <v>1000</v>
      </c>
      <c r="W50">
        <v>0</v>
      </c>
      <c r="X50">
        <v>1489638031</v>
      </c>
      <c r="Y50">
        <f>(AT50*1)</f>
        <v>0.247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0.247</v>
      </c>
      <c r="AU50" t="s">
        <v>77</v>
      </c>
      <c r="AV50">
        <v>0</v>
      </c>
      <c r="AW50">
        <v>2</v>
      </c>
      <c r="AX50">
        <v>55983181</v>
      </c>
      <c r="AY50">
        <v>1</v>
      </c>
      <c r="AZ50">
        <v>0</v>
      </c>
      <c r="BA50">
        <v>58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ROUND(Y50*Source!I54,9)</f>
        <v>5.4068300000000002</v>
      </c>
      <c r="CY50">
        <f>AA50</f>
        <v>0</v>
      </c>
      <c r="CZ50">
        <f>AE50</f>
        <v>0</v>
      </c>
      <c r="DA50">
        <f>AI50</f>
        <v>1</v>
      </c>
      <c r="DB50">
        <f>ROUND((ROUND(AT50*CZ50,2)*1),6)</f>
        <v>0</v>
      </c>
      <c r="DC50">
        <f>ROUND((ROUND(AT50*AG50,2)*1),6)</f>
        <v>0</v>
      </c>
      <c r="DD50" t="s">
        <v>3</v>
      </c>
      <c r="DE50" t="s">
        <v>3</v>
      </c>
      <c r="DF50">
        <f>ROUND(ROUND(AE50,2)*CX50,2)</f>
        <v>0</v>
      </c>
      <c r="DG50">
        <f t="shared" si="13"/>
        <v>0</v>
      </c>
      <c r="DH50">
        <f t="shared" si="14"/>
        <v>0</v>
      </c>
      <c r="DI50">
        <f t="shared" si="15"/>
        <v>0</v>
      </c>
      <c r="DJ50">
        <f>DF50</f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ROW(Source!A55)</f>
        <v>55</v>
      </c>
      <c r="B51">
        <v>55915258</v>
      </c>
      <c r="C51">
        <v>55983177</v>
      </c>
      <c r="D51">
        <v>55424304</v>
      </c>
      <c r="E51">
        <v>1081</v>
      </c>
      <c r="F51">
        <v>1</v>
      </c>
      <c r="G51">
        <v>1081</v>
      </c>
      <c r="H51">
        <v>1</v>
      </c>
      <c r="I51" t="s">
        <v>363</v>
      </c>
      <c r="J51" t="s">
        <v>3</v>
      </c>
      <c r="K51" t="s">
        <v>364</v>
      </c>
      <c r="L51">
        <v>1191</v>
      </c>
      <c r="N51">
        <v>1013</v>
      </c>
      <c r="O51" t="s">
        <v>365</v>
      </c>
      <c r="P51" t="s">
        <v>365</v>
      </c>
      <c r="Q51">
        <v>1</v>
      </c>
      <c r="W51">
        <v>0</v>
      </c>
      <c r="X51">
        <v>476480486</v>
      </c>
      <c r="Y51">
        <f>(AT51*1.2)</f>
        <v>36.527999999999999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5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30.44</v>
      </c>
      <c r="AU51" t="s">
        <v>78</v>
      </c>
      <c r="AV51">
        <v>1</v>
      </c>
      <c r="AW51">
        <v>2</v>
      </c>
      <c r="AX51">
        <v>55983180</v>
      </c>
      <c r="AY51">
        <v>1</v>
      </c>
      <c r="AZ51">
        <v>0</v>
      </c>
      <c r="BA51">
        <v>59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U51">
        <f>ROUND(AT51*Source!I55*AH51*AL51,2)</f>
        <v>0</v>
      </c>
      <c r="CV51">
        <f>ROUND(Y51*Source!I55,9)</f>
        <v>799.59792000000004</v>
      </c>
      <c r="CW51">
        <v>0</v>
      </c>
      <c r="CX51">
        <f>ROUND(Y51*Source!I55,9)</f>
        <v>799.59792000000004</v>
      </c>
      <c r="CY51">
        <f>AD51</f>
        <v>0</v>
      </c>
      <c r="CZ51">
        <f>AH51</f>
        <v>0</v>
      </c>
      <c r="DA51">
        <f>AL51</f>
        <v>1</v>
      </c>
      <c r="DB51">
        <f>ROUND((ROUND(AT51*CZ51,2)*1.2),6)</f>
        <v>0</v>
      </c>
      <c r="DC51">
        <f>ROUND((ROUND(AT51*AG51,2)*1.2),6)</f>
        <v>0</v>
      </c>
      <c r="DD51" t="s">
        <v>3</v>
      </c>
      <c r="DE51" t="s">
        <v>3</v>
      </c>
      <c r="DF51">
        <f>ROUND(ROUND(AE51,2)*CX51,2)</f>
        <v>0</v>
      </c>
      <c r="DG51">
        <f t="shared" si="13"/>
        <v>0</v>
      </c>
      <c r="DH51">
        <f t="shared" si="14"/>
        <v>0</v>
      </c>
      <c r="DI51">
        <f t="shared" si="15"/>
        <v>0</v>
      </c>
      <c r="DJ51">
        <f>DI51</f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ROW(Source!A55)</f>
        <v>55</v>
      </c>
      <c r="B52">
        <v>55915258</v>
      </c>
      <c r="C52">
        <v>55983177</v>
      </c>
      <c r="D52">
        <v>55424288</v>
      </c>
      <c r="E52">
        <v>1081</v>
      </c>
      <c r="F52">
        <v>1</v>
      </c>
      <c r="G52">
        <v>1081</v>
      </c>
      <c r="H52">
        <v>3</v>
      </c>
      <c r="I52" t="s">
        <v>379</v>
      </c>
      <c r="J52" t="s">
        <v>3</v>
      </c>
      <c r="K52" t="s">
        <v>380</v>
      </c>
      <c r="L52">
        <v>1348</v>
      </c>
      <c r="N52">
        <v>1009</v>
      </c>
      <c r="O52" t="s">
        <v>324</v>
      </c>
      <c r="P52" t="s">
        <v>324</v>
      </c>
      <c r="Q52">
        <v>1000</v>
      </c>
      <c r="W52">
        <v>0</v>
      </c>
      <c r="X52">
        <v>1489638031</v>
      </c>
      <c r="Y52">
        <f>(AT52*1)</f>
        <v>0.247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7.57</v>
      </c>
      <c r="AJ52">
        <v>1</v>
      </c>
      <c r="AK52">
        <v>1</v>
      </c>
      <c r="AL52">
        <v>1</v>
      </c>
      <c r="AM52">
        <v>5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0.247</v>
      </c>
      <c r="AU52" t="s">
        <v>77</v>
      </c>
      <c r="AV52">
        <v>0</v>
      </c>
      <c r="AW52">
        <v>2</v>
      </c>
      <c r="AX52">
        <v>55983181</v>
      </c>
      <c r="AY52">
        <v>1</v>
      </c>
      <c r="AZ52">
        <v>0</v>
      </c>
      <c r="BA52">
        <v>60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v>0</v>
      </c>
      <c r="CX52">
        <f>ROUND(Y52*Source!I55,9)</f>
        <v>5.4068300000000002</v>
      </c>
      <c r="CY52">
        <f>AA52</f>
        <v>0</v>
      </c>
      <c r="CZ52">
        <f>AE52</f>
        <v>0</v>
      </c>
      <c r="DA52">
        <f>AI52</f>
        <v>7.57</v>
      </c>
      <c r="DB52">
        <f>ROUND((ROUND(AT52*CZ52,2)*1),6)</f>
        <v>0</v>
      </c>
      <c r="DC52">
        <f>ROUND((ROUND(AT52*AG52,2)*1),6)</f>
        <v>0</v>
      </c>
      <c r="DD52" t="s">
        <v>3</v>
      </c>
      <c r="DE52" t="s">
        <v>3</v>
      </c>
      <c r="DF52">
        <f>ROUND(ROUND(AE52*AI52,2)*CX52,2)</f>
        <v>0</v>
      </c>
      <c r="DG52">
        <f t="shared" si="13"/>
        <v>0</v>
      </c>
      <c r="DH52">
        <f t="shared" si="14"/>
        <v>0</v>
      </c>
      <c r="DI52">
        <f t="shared" si="15"/>
        <v>0</v>
      </c>
      <c r="DJ52">
        <f>DF52</f>
        <v>0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ROW(Source!A56)</f>
        <v>56</v>
      </c>
      <c r="B53">
        <v>55915256</v>
      </c>
      <c r="C53">
        <v>55983182</v>
      </c>
      <c r="D53">
        <v>55424304</v>
      </c>
      <c r="E53">
        <v>1081</v>
      </c>
      <c r="F53">
        <v>1</v>
      </c>
      <c r="G53">
        <v>1081</v>
      </c>
      <c r="H53">
        <v>1</v>
      </c>
      <c r="I53" t="s">
        <v>363</v>
      </c>
      <c r="J53" t="s">
        <v>3</v>
      </c>
      <c r="K53" t="s">
        <v>364</v>
      </c>
      <c r="L53">
        <v>1191</v>
      </c>
      <c r="N53">
        <v>1013</v>
      </c>
      <c r="O53" t="s">
        <v>365</v>
      </c>
      <c r="P53" t="s">
        <v>365</v>
      </c>
      <c r="Q53">
        <v>1</v>
      </c>
      <c r="W53">
        <v>0</v>
      </c>
      <c r="X53">
        <v>476480486</v>
      </c>
      <c r="Y53">
        <f>((AT53*1.2)*0.3)</f>
        <v>0.74159999999999993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-2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2.06</v>
      </c>
      <c r="AU53" t="s">
        <v>25</v>
      </c>
      <c r="AV53">
        <v>1</v>
      </c>
      <c r="AW53">
        <v>2</v>
      </c>
      <c r="AX53">
        <v>55983186</v>
      </c>
      <c r="AY53">
        <v>1</v>
      </c>
      <c r="AZ53">
        <v>0</v>
      </c>
      <c r="BA53">
        <v>61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U53">
        <f>ROUND(AT53*Source!I56*AH53*AL53,2)</f>
        <v>0</v>
      </c>
      <c r="CV53">
        <f>ROUND(Y53*Source!I56,9)</f>
        <v>11.124000000000001</v>
      </c>
      <c r="CW53">
        <v>0</v>
      </c>
      <c r="CX53">
        <f>ROUND(Y53*Source!I56,9)</f>
        <v>11.124000000000001</v>
      </c>
      <c r="CY53">
        <f>AD53</f>
        <v>0</v>
      </c>
      <c r="CZ53">
        <f>AH53</f>
        <v>0</v>
      </c>
      <c r="DA53">
        <f>AL53</f>
        <v>1</v>
      </c>
      <c r="DB53">
        <f>ROUND(((ROUND(AT53*CZ53,2)*1.2)*0.3),6)</f>
        <v>0</v>
      </c>
      <c r="DC53">
        <f>ROUND(((ROUND(AT53*AG53,2)*1.2)*0.3),6)</f>
        <v>0</v>
      </c>
      <c r="DD53" t="s">
        <v>3</v>
      </c>
      <c r="DE53" t="s">
        <v>3</v>
      </c>
      <c r="DF53">
        <f>ROUND(ROUND(AE53,2)*CX53,2)</f>
        <v>0</v>
      </c>
      <c r="DG53">
        <f t="shared" si="13"/>
        <v>0</v>
      </c>
      <c r="DH53">
        <f t="shared" si="14"/>
        <v>0</v>
      </c>
      <c r="DI53">
        <f t="shared" si="15"/>
        <v>0</v>
      </c>
      <c r="DJ53">
        <f>DI53</f>
        <v>0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ROW(Source!A56)</f>
        <v>56</v>
      </c>
      <c r="B54">
        <v>55915256</v>
      </c>
      <c r="C54">
        <v>55983182</v>
      </c>
      <c r="D54">
        <v>55461079</v>
      </c>
      <c r="E54">
        <v>1</v>
      </c>
      <c r="F54">
        <v>1</v>
      </c>
      <c r="G54">
        <v>1081</v>
      </c>
      <c r="H54">
        <v>3</v>
      </c>
      <c r="I54" t="s">
        <v>381</v>
      </c>
      <c r="J54" t="s">
        <v>382</v>
      </c>
      <c r="K54" t="s">
        <v>383</v>
      </c>
      <c r="L54">
        <v>1346</v>
      </c>
      <c r="N54">
        <v>1009</v>
      </c>
      <c r="O54" t="s">
        <v>339</v>
      </c>
      <c r="P54" t="s">
        <v>339</v>
      </c>
      <c r="Q54">
        <v>1</v>
      </c>
      <c r="W54">
        <v>0</v>
      </c>
      <c r="X54">
        <v>177299582</v>
      </c>
      <c r="Y54">
        <f>((AT54*1)*0)</f>
        <v>0</v>
      </c>
      <c r="AA54">
        <v>45.62</v>
      </c>
      <c r="AB54">
        <v>0</v>
      </c>
      <c r="AC54">
        <v>0</v>
      </c>
      <c r="AD54">
        <v>0</v>
      </c>
      <c r="AE54">
        <v>45.62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-2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0.4</v>
      </c>
      <c r="AU54" t="s">
        <v>24</v>
      </c>
      <c r="AV54">
        <v>0</v>
      </c>
      <c r="AW54">
        <v>2</v>
      </c>
      <c r="AX54">
        <v>55983187</v>
      </c>
      <c r="AY54">
        <v>1</v>
      </c>
      <c r="AZ54">
        <v>0</v>
      </c>
      <c r="BA54">
        <v>62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ROUND(Y54*Source!I56,9)</f>
        <v>0</v>
      </c>
      <c r="CY54">
        <f>AA54</f>
        <v>45.62</v>
      </c>
      <c r="CZ54">
        <f>AE54</f>
        <v>45.62</v>
      </c>
      <c r="DA54">
        <f>AI54</f>
        <v>1</v>
      </c>
      <c r="DB54">
        <f>ROUND(((ROUND(AT54*CZ54,2)*1)*0),6)</f>
        <v>0</v>
      </c>
      <c r="DC54">
        <f>ROUND(((ROUND(AT54*AG54,2)*1)*0),6)</f>
        <v>0</v>
      </c>
      <c r="DD54" t="s">
        <v>3</v>
      </c>
      <c r="DE54" t="s">
        <v>3</v>
      </c>
      <c r="DF54">
        <f>ROUND(ROUND(AE54,2)*CX54,2)</f>
        <v>0</v>
      </c>
      <c r="DG54">
        <f t="shared" si="13"/>
        <v>0</v>
      </c>
      <c r="DH54">
        <f t="shared" si="14"/>
        <v>0</v>
      </c>
      <c r="DI54">
        <f t="shared" si="15"/>
        <v>0</v>
      </c>
      <c r="DJ54">
        <f>DF54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ROW(Source!A56)</f>
        <v>56</v>
      </c>
      <c r="B55">
        <v>55915256</v>
      </c>
      <c r="C55">
        <v>55983182</v>
      </c>
      <c r="D55">
        <v>55467056</v>
      </c>
      <c r="E55">
        <v>1</v>
      </c>
      <c r="F55">
        <v>1</v>
      </c>
      <c r="G55">
        <v>1081</v>
      </c>
      <c r="H55">
        <v>3</v>
      </c>
      <c r="I55" t="s">
        <v>384</v>
      </c>
      <c r="J55" t="s">
        <v>385</v>
      </c>
      <c r="K55" t="s">
        <v>386</v>
      </c>
      <c r="L55">
        <v>1348</v>
      </c>
      <c r="N55">
        <v>1009</v>
      </c>
      <c r="O55" t="s">
        <v>324</v>
      </c>
      <c r="P55" t="s">
        <v>324</v>
      </c>
      <c r="Q55">
        <v>1000</v>
      </c>
      <c r="W55">
        <v>0</v>
      </c>
      <c r="X55">
        <v>-831077638</v>
      </c>
      <c r="Y55">
        <f>((AT55*1)*0)</f>
        <v>0</v>
      </c>
      <c r="AA55">
        <v>5102.09</v>
      </c>
      <c r="AB55">
        <v>0</v>
      </c>
      <c r="AC55">
        <v>0</v>
      </c>
      <c r="AD55">
        <v>0</v>
      </c>
      <c r="AE55">
        <v>5102.09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-2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2E-3</v>
      </c>
      <c r="AU55" t="s">
        <v>24</v>
      </c>
      <c r="AV55">
        <v>0</v>
      </c>
      <c r="AW55">
        <v>2</v>
      </c>
      <c r="AX55">
        <v>55983188</v>
      </c>
      <c r="AY55">
        <v>1</v>
      </c>
      <c r="AZ55">
        <v>0</v>
      </c>
      <c r="BA55">
        <v>63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ROUND(Y55*Source!I56,9)</f>
        <v>0</v>
      </c>
      <c r="CY55">
        <f>AA55</f>
        <v>5102.09</v>
      </c>
      <c r="CZ55">
        <f>AE55</f>
        <v>5102.09</v>
      </c>
      <c r="DA55">
        <f>AI55</f>
        <v>1</v>
      </c>
      <c r="DB55">
        <f>ROUND(((ROUND(AT55*CZ55,2)*1)*0),6)</f>
        <v>0</v>
      </c>
      <c r="DC55">
        <f>ROUND(((ROUND(AT55*AG55,2)*1)*0),6)</f>
        <v>0</v>
      </c>
      <c r="DD55" t="s">
        <v>3</v>
      </c>
      <c r="DE55" t="s">
        <v>3</v>
      </c>
      <c r="DF55">
        <f>ROUND(ROUND(AE55,2)*CX55,2)</f>
        <v>0</v>
      </c>
      <c r="DG55">
        <f t="shared" si="13"/>
        <v>0</v>
      </c>
      <c r="DH55">
        <f t="shared" si="14"/>
        <v>0</v>
      </c>
      <c r="DI55">
        <f t="shared" si="15"/>
        <v>0</v>
      </c>
      <c r="DJ55">
        <f>DF55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ROW(Source!A57)</f>
        <v>57</v>
      </c>
      <c r="B56">
        <v>55915258</v>
      </c>
      <c r="C56">
        <v>55983182</v>
      </c>
      <c r="D56">
        <v>55424304</v>
      </c>
      <c r="E56">
        <v>1081</v>
      </c>
      <c r="F56">
        <v>1</v>
      </c>
      <c r="G56">
        <v>1081</v>
      </c>
      <c r="H56">
        <v>1</v>
      </c>
      <c r="I56" t="s">
        <v>363</v>
      </c>
      <c r="J56" t="s">
        <v>3</v>
      </c>
      <c r="K56" t="s">
        <v>364</v>
      </c>
      <c r="L56">
        <v>1191</v>
      </c>
      <c r="N56">
        <v>1013</v>
      </c>
      <c r="O56" t="s">
        <v>365</v>
      </c>
      <c r="P56" t="s">
        <v>365</v>
      </c>
      <c r="Q56">
        <v>1</v>
      </c>
      <c r="W56">
        <v>0</v>
      </c>
      <c r="X56">
        <v>476480486</v>
      </c>
      <c r="Y56">
        <f>((AT56*1.2)*0.3)</f>
        <v>0.74159999999999993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5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2.06</v>
      </c>
      <c r="AU56" t="s">
        <v>25</v>
      </c>
      <c r="AV56">
        <v>1</v>
      </c>
      <c r="AW56">
        <v>2</v>
      </c>
      <c r="AX56">
        <v>55983186</v>
      </c>
      <c r="AY56">
        <v>1</v>
      </c>
      <c r="AZ56">
        <v>0</v>
      </c>
      <c r="BA56">
        <v>66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U56">
        <f>ROUND(AT56*Source!I57*AH56*AL56,2)</f>
        <v>0</v>
      </c>
      <c r="CV56">
        <f>ROUND(Y56*Source!I57,9)</f>
        <v>11.124000000000001</v>
      </c>
      <c r="CW56">
        <v>0</v>
      </c>
      <c r="CX56">
        <f>ROUND(Y56*Source!I57,9)</f>
        <v>11.124000000000001</v>
      </c>
      <c r="CY56">
        <f>AD56</f>
        <v>0</v>
      </c>
      <c r="CZ56">
        <f>AH56</f>
        <v>0</v>
      </c>
      <c r="DA56">
        <f>AL56</f>
        <v>1</v>
      </c>
      <c r="DB56">
        <f>ROUND(((ROUND(AT56*CZ56,2)*1.2)*0.3),6)</f>
        <v>0</v>
      </c>
      <c r="DC56">
        <f>ROUND(((ROUND(AT56*AG56,2)*1.2)*0.3),6)</f>
        <v>0</v>
      </c>
      <c r="DD56" t="s">
        <v>3</v>
      </c>
      <c r="DE56" t="s">
        <v>3</v>
      </c>
      <c r="DF56">
        <f>ROUND(ROUND(AE56,2)*CX56,2)</f>
        <v>0</v>
      </c>
      <c r="DG56">
        <f t="shared" si="13"/>
        <v>0</v>
      </c>
      <c r="DH56">
        <f t="shared" si="14"/>
        <v>0</v>
      </c>
      <c r="DI56">
        <f t="shared" si="15"/>
        <v>0</v>
      </c>
      <c r="DJ56">
        <f>DI56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ROW(Source!A57)</f>
        <v>57</v>
      </c>
      <c r="B57">
        <v>55915258</v>
      </c>
      <c r="C57">
        <v>55983182</v>
      </c>
      <c r="D57">
        <v>55461079</v>
      </c>
      <c r="E57">
        <v>1</v>
      </c>
      <c r="F57">
        <v>1</v>
      </c>
      <c r="G57">
        <v>1081</v>
      </c>
      <c r="H57">
        <v>3</v>
      </c>
      <c r="I57" t="s">
        <v>381</v>
      </c>
      <c r="J57" t="s">
        <v>382</v>
      </c>
      <c r="K57" t="s">
        <v>383</v>
      </c>
      <c r="L57">
        <v>1346</v>
      </c>
      <c r="N57">
        <v>1009</v>
      </c>
      <c r="O57" t="s">
        <v>339</v>
      </c>
      <c r="P57" t="s">
        <v>339</v>
      </c>
      <c r="Q57">
        <v>1</v>
      </c>
      <c r="W57">
        <v>0</v>
      </c>
      <c r="X57">
        <v>177299582</v>
      </c>
      <c r="Y57">
        <f>((AT57*1)*0)</f>
        <v>0</v>
      </c>
      <c r="AA57">
        <v>239.05</v>
      </c>
      <c r="AB57">
        <v>0</v>
      </c>
      <c r="AC57">
        <v>0</v>
      </c>
      <c r="AD57">
        <v>0</v>
      </c>
      <c r="AE57">
        <v>45.62</v>
      </c>
      <c r="AF57">
        <v>0</v>
      </c>
      <c r="AG57">
        <v>0</v>
      </c>
      <c r="AH57">
        <v>0</v>
      </c>
      <c r="AI57">
        <v>5.24</v>
      </c>
      <c r="AJ57">
        <v>1</v>
      </c>
      <c r="AK57">
        <v>1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0.4</v>
      </c>
      <c r="AU57" t="s">
        <v>24</v>
      </c>
      <c r="AV57">
        <v>0</v>
      </c>
      <c r="AW57">
        <v>2</v>
      </c>
      <c r="AX57">
        <v>55983187</v>
      </c>
      <c r="AY57">
        <v>1</v>
      </c>
      <c r="AZ57">
        <v>0</v>
      </c>
      <c r="BA57">
        <v>67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ROUND(Y57*Source!I57,9)</f>
        <v>0</v>
      </c>
      <c r="CY57">
        <f>AA57</f>
        <v>239.05</v>
      </c>
      <c r="CZ57">
        <f>AE57</f>
        <v>45.62</v>
      </c>
      <c r="DA57">
        <f>AI57</f>
        <v>5.24</v>
      </c>
      <c r="DB57">
        <f>ROUND(((ROUND(AT57*CZ57,2)*1)*0),6)</f>
        <v>0</v>
      </c>
      <c r="DC57">
        <f>ROUND(((ROUND(AT57*AG57,2)*1)*0),6)</f>
        <v>0</v>
      </c>
      <c r="DD57" t="s">
        <v>3</v>
      </c>
      <c r="DE57" t="s">
        <v>3</v>
      </c>
      <c r="DF57">
        <f>ROUND(ROUND(AE57*AI57,2)*CX57,2)</f>
        <v>0</v>
      </c>
      <c r="DG57">
        <f t="shared" si="13"/>
        <v>0</v>
      </c>
      <c r="DH57">
        <f t="shared" si="14"/>
        <v>0</v>
      </c>
      <c r="DI57">
        <f t="shared" si="15"/>
        <v>0</v>
      </c>
      <c r="DJ57">
        <f>DF57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ROW(Source!A57)</f>
        <v>57</v>
      </c>
      <c r="B58">
        <v>55915258</v>
      </c>
      <c r="C58">
        <v>55983182</v>
      </c>
      <c r="D58">
        <v>55467056</v>
      </c>
      <c r="E58">
        <v>1</v>
      </c>
      <c r="F58">
        <v>1</v>
      </c>
      <c r="G58">
        <v>1081</v>
      </c>
      <c r="H58">
        <v>3</v>
      </c>
      <c r="I58" t="s">
        <v>384</v>
      </c>
      <c r="J58" t="s">
        <v>385</v>
      </c>
      <c r="K58" t="s">
        <v>386</v>
      </c>
      <c r="L58">
        <v>1348</v>
      </c>
      <c r="N58">
        <v>1009</v>
      </c>
      <c r="O58" t="s">
        <v>324</v>
      </c>
      <c r="P58" t="s">
        <v>324</v>
      </c>
      <c r="Q58">
        <v>1000</v>
      </c>
      <c r="W58">
        <v>0</v>
      </c>
      <c r="X58">
        <v>-831077638</v>
      </c>
      <c r="Y58">
        <f>((AT58*1)*0)</f>
        <v>0</v>
      </c>
      <c r="AA58">
        <v>41531.01</v>
      </c>
      <c r="AB58">
        <v>0</v>
      </c>
      <c r="AC58">
        <v>0</v>
      </c>
      <c r="AD58">
        <v>0</v>
      </c>
      <c r="AE58">
        <v>5102.09</v>
      </c>
      <c r="AF58">
        <v>0</v>
      </c>
      <c r="AG58">
        <v>0</v>
      </c>
      <c r="AH58">
        <v>0</v>
      </c>
      <c r="AI58">
        <v>8.14</v>
      </c>
      <c r="AJ58">
        <v>1</v>
      </c>
      <c r="AK58">
        <v>1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2E-3</v>
      </c>
      <c r="AU58" t="s">
        <v>24</v>
      </c>
      <c r="AV58">
        <v>0</v>
      </c>
      <c r="AW58">
        <v>2</v>
      </c>
      <c r="AX58">
        <v>55983188</v>
      </c>
      <c r="AY58">
        <v>1</v>
      </c>
      <c r="AZ58">
        <v>0</v>
      </c>
      <c r="BA58">
        <v>68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ROUND(Y58*Source!I57,9)</f>
        <v>0</v>
      </c>
      <c r="CY58">
        <f>AA58</f>
        <v>41531.01</v>
      </c>
      <c r="CZ58">
        <f>AE58</f>
        <v>5102.09</v>
      </c>
      <c r="DA58">
        <f>AI58</f>
        <v>8.14</v>
      </c>
      <c r="DB58">
        <f>ROUND(((ROUND(AT58*CZ58,2)*1)*0),6)</f>
        <v>0</v>
      </c>
      <c r="DC58">
        <f>ROUND(((ROUND(AT58*AG58,2)*1)*0),6)</f>
        <v>0</v>
      </c>
      <c r="DD58" t="s">
        <v>3</v>
      </c>
      <c r="DE58" t="s">
        <v>3</v>
      </c>
      <c r="DF58">
        <f>ROUND(ROUND(AE58*AI58,2)*CX58,2)</f>
        <v>0</v>
      </c>
      <c r="DG58">
        <f t="shared" si="13"/>
        <v>0</v>
      </c>
      <c r="DH58">
        <f t="shared" si="14"/>
        <v>0</v>
      </c>
      <c r="DI58">
        <f t="shared" si="15"/>
        <v>0</v>
      </c>
      <c r="DJ58">
        <f>DF58</f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ROW(Source!A93)</f>
        <v>93</v>
      </c>
      <c r="B59">
        <v>55915256</v>
      </c>
      <c r="C59">
        <v>55915438</v>
      </c>
      <c r="D59">
        <v>55424304</v>
      </c>
      <c r="E59">
        <v>1081</v>
      </c>
      <c r="F59">
        <v>1</v>
      </c>
      <c r="G59">
        <v>1081</v>
      </c>
      <c r="H59">
        <v>1</v>
      </c>
      <c r="I59" t="s">
        <v>363</v>
      </c>
      <c r="J59" t="s">
        <v>3</v>
      </c>
      <c r="K59" t="s">
        <v>364</v>
      </c>
      <c r="L59">
        <v>1191</v>
      </c>
      <c r="N59">
        <v>1013</v>
      </c>
      <c r="O59" t="s">
        <v>365</v>
      </c>
      <c r="P59" t="s">
        <v>365</v>
      </c>
      <c r="Q59">
        <v>1</v>
      </c>
      <c r="W59">
        <v>0</v>
      </c>
      <c r="X59">
        <v>476480486</v>
      </c>
      <c r="Y59">
        <f>(AT59*1.2)</f>
        <v>6.84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5.7</v>
      </c>
      <c r="AU59" t="s">
        <v>78</v>
      </c>
      <c r="AV59">
        <v>1</v>
      </c>
      <c r="AW59">
        <v>2</v>
      </c>
      <c r="AX59">
        <v>55915439</v>
      </c>
      <c r="AY59">
        <v>1</v>
      </c>
      <c r="AZ59">
        <v>0</v>
      </c>
      <c r="BA59">
        <v>71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U59">
        <f>ROUND(AT59*Source!I93*AH59*AL59,2)</f>
        <v>0</v>
      </c>
      <c r="CV59">
        <f>ROUND(Y59*Source!I93,9)</f>
        <v>6.84</v>
      </c>
      <c r="CW59">
        <v>0</v>
      </c>
      <c r="CX59">
        <f>ROUND(Y59*Source!I93,9)</f>
        <v>6.84</v>
      </c>
      <c r="CY59">
        <f>AD59</f>
        <v>0</v>
      </c>
      <c r="CZ59">
        <f>AH59</f>
        <v>0</v>
      </c>
      <c r="DA59">
        <f>AL59</f>
        <v>1</v>
      </c>
      <c r="DB59">
        <f>ROUND((ROUND(AT59*CZ59,2)*1.2),6)</f>
        <v>0</v>
      </c>
      <c r="DC59">
        <f>ROUND((ROUND(AT59*AG59,2)*1.2),6)</f>
        <v>0</v>
      </c>
      <c r="DD59" t="s">
        <v>3</v>
      </c>
      <c r="DE59" t="s">
        <v>3</v>
      </c>
      <c r="DF59">
        <f t="shared" ref="DF59:DF65" si="16">ROUND(ROUND(AE59,2)*CX59,2)</f>
        <v>0</v>
      </c>
      <c r="DG59">
        <f t="shared" si="13"/>
        <v>0</v>
      </c>
      <c r="DH59">
        <f t="shared" si="14"/>
        <v>0</v>
      </c>
      <c r="DI59">
        <f t="shared" si="15"/>
        <v>0</v>
      </c>
      <c r="DJ59">
        <f>DI59</f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ROW(Source!A94)</f>
        <v>94</v>
      </c>
      <c r="B60">
        <v>55915258</v>
      </c>
      <c r="C60">
        <v>55915438</v>
      </c>
      <c r="D60">
        <v>55424304</v>
      </c>
      <c r="E60">
        <v>1081</v>
      </c>
      <c r="F60">
        <v>1</v>
      </c>
      <c r="G60">
        <v>1081</v>
      </c>
      <c r="H60">
        <v>1</v>
      </c>
      <c r="I60" t="s">
        <v>363</v>
      </c>
      <c r="J60" t="s">
        <v>3</v>
      </c>
      <c r="K60" t="s">
        <v>364</v>
      </c>
      <c r="L60">
        <v>1191</v>
      </c>
      <c r="N60">
        <v>1013</v>
      </c>
      <c r="O60" t="s">
        <v>365</v>
      </c>
      <c r="P60" t="s">
        <v>365</v>
      </c>
      <c r="Q60">
        <v>1</v>
      </c>
      <c r="W60">
        <v>0</v>
      </c>
      <c r="X60">
        <v>476480486</v>
      </c>
      <c r="Y60">
        <f>(AT60*1.2)</f>
        <v>6.84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5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5.7</v>
      </c>
      <c r="AU60" t="s">
        <v>78</v>
      </c>
      <c r="AV60">
        <v>1</v>
      </c>
      <c r="AW60">
        <v>2</v>
      </c>
      <c r="AX60">
        <v>55915439</v>
      </c>
      <c r="AY60">
        <v>1</v>
      </c>
      <c r="AZ60">
        <v>0</v>
      </c>
      <c r="BA60">
        <v>72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U60">
        <f>ROUND(AT60*Source!I94*AH60*AL60,2)</f>
        <v>0</v>
      </c>
      <c r="CV60">
        <f>ROUND(Y60*Source!I94,9)</f>
        <v>6.84</v>
      </c>
      <c r="CW60">
        <v>0</v>
      </c>
      <c r="CX60">
        <f>ROUND(Y60*Source!I94,9)</f>
        <v>6.84</v>
      </c>
      <c r="CY60">
        <f>AD60</f>
        <v>0</v>
      </c>
      <c r="CZ60">
        <f>AH60</f>
        <v>0</v>
      </c>
      <c r="DA60">
        <f>AL60</f>
        <v>1</v>
      </c>
      <c r="DB60">
        <f>ROUND((ROUND(AT60*CZ60,2)*1.2),6)</f>
        <v>0</v>
      </c>
      <c r="DC60">
        <f>ROUND((ROUND(AT60*AG60,2)*1.2),6)</f>
        <v>0</v>
      </c>
      <c r="DD60" t="s">
        <v>3</v>
      </c>
      <c r="DE60" t="s">
        <v>3</v>
      </c>
      <c r="DF60">
        <f t="shared" si="16"/>
        <v>0</v>
      </c>
      <c r="DG60">
        <f t="shared" si="13"/>
        <v>0</v>
      </c>
      <c r="DH60">
        <f t="shared" si="14"/>
        <v>0</v>
      </c>
      <c r="DI60">
        <f t="shared" si="15"/>
        <v>0</v>
      </c>
      <c r="DJ60">
        <f>DI60</f>
        <v>0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ROW(Source!A97)</f>
        <v>97</v>
      </c>
      <c r="B61">
        <v>55915256</v>
      </c>
      <c r="C61">
        <v>55915447</v>
      </c>
      <c r="D61">
        <v>55424304</v>
      </c>
      <c r="E61">
        <v>1081</v>
      </c>
      <c r="F61">
        <v>1</v>
      </c>
      <c r="G61">
        <v>1081</v>
      </c>
      <c r="H61">
        <v>1</v>
      </c>
      <c r="I61" t="s">
        <v>363</v>
      </c>
      <c r="J61" t="s">
        <v>3</v>
      </c>
      <c r="K61" t="s">
        <v>364</v>
      </c>
      <c r="L61">
        <v>1191</v>
      </c>
      <c r="N61">
        <v>1013</v>
      </c>
      <c r="O61" t="s">
        <v>365</v>
      </c>
      <c r="P61" t="s">
        <v>365</v>
      </c>
      <c r="Q61">
        <v>1</v>
      </c>
      <c r="W61">
        <v>0</v>
      </c>
      <c r="X61">
        <v>476480486</v>
      </c>
      <c r="Y61">
        <f>(AT61*1.2)</f>
        <v>3.1799999999999997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2.65</v>
      </c>
      <c r="AU61" t="s">
        <v>78</v>
      </c>
      <c r="AV61">
        <v>1</v>
      </c>
      <c r="AW61">
        <v>2</v>
      </c>
      <c r="AX61">
        <v>55915448</v>
      </c>
      <c r="AY61">
        <v>1</v>
      </c>
      <c r="AZ61">
        <v>0</v>
      </c>
      <c r="BA61">
        <v>73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U61">
        <f>ROUND(AT61*Source!I97*AH61*AL61,2)</f>
        <v>0</v>
      </c>
      <c r="CV61">
        <f>ROUND(Y61*Source!I97,9)</f>
        <v>3.18</v>
      </c>
      <c r="CW61">
        <v>0</v>
      </c>
      <c r="CX61">
        <f>ROUND(Y61*Source!I97,9)</f>
        <v>3.18</v>
      </c>
      <c r="CY61">
        <f>AD61</f>
        <v>0</v>
      </c>
      <c r="CZ61">
        <f>AH61</f>
        <v>0</v>
      </c>
      <c r="DA61">
        <f>AL61</f>
        <v>1</v>
      </c>
      <c r="DB61">
        <f>ROUND((ROUND(AT61*CZ61,2)*1.2),6)</f>
        <v>0</v>
      </c>
      <c r="DC61">
        <f>ROUND((ROUND(AT61*AG61,2)*1.2),6)</f>
        <v>0</v>
      </c>
      <c r="DD61" t="s">
        <v>3</v>
      </c>
      <c r="DE61" t="s">
        <v>3</v>
      </c>
      <c r="DF61">
        <f t="shared" si="16"/>
        <v>0</v>
      </c>
      <c r="DG61">
        <f t="shared" si="13"/>
        <v>0</v>
      </c>
      <c r="DH61">
        <f t="shared" si="14"/>
        <v>0</v>
      </c>
      <c r="DI61">
        <f t="shared" si="15"/>
        <v>0</v>
      </c>
      <c r="DJ61">
        <f>DI61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ROW(Source!A97)</f>
        <v>97</v>
      </c>
      <c r="B62">
        <v>55915256</v>
      </c>
      <c r="C62">
        <v>55915447</v>
      </c>
      <c r="D62">
        <v>55461074</v>
      </c>
      <c r="E62">
        <v>1</v>
      </c>
      <c r="F62">
        <v>1</v>
      </c>
      <c r="G62">
        <v>1081</v>
      </c>
      <c r="H62">
        <v>3</v>
      </c>
      <c r="I62" t="s">
        <v>366</v>
      </c>
      <c r="J62" t="s">
        <v>367</v>
      </c>
      <c r="K62" t="s">
        <v>368</v>
      </c>
      <c r="L62">
        <v>1346</v>
      </c>
      <c r="N62">
        <v>1009</v>
      </c>
      <c r="O62" t="s">
        <v>339</v>
      </c>
      <c r="P62" t="s">
        <v>339</v>
      </c>
      <c r="Q62">
        <v>1</v>
      </c>
      <c r="W62">
        <v>0</v>
      </c>
      <c r="X62">
        <v>-861631226</v>
      </c>
      <c r="Y62">
        <f>(AT62*1)</f>
        <v>6.2700000000000004E-3</v>
      </c>
      <c r="AA62">
        <v>27.62</v>
      </c>
      <c r="AB62">
        <v>0</v>
      </c>
      <c r="AC62">
        <v>0</v>
      </c>
      <c r="AD62">
        <v>0</v>
      </c>
      <c r="AE62">
        <v>27.62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6.2700000000000004E-3</v>
      </c>
      <c r="AU62" t="s">
        <v>77</v>
      </c>
      <c r="AV62">
        <v>0</v>
      </c>
      <c r="AW62">
        <v>2</v>
      </c>
      <c r="AX62">
        <v>55915449</v>
      </c>
      <c r="AY62">
        <v>1</v>
      </c>
      <c r="AZ62">
        <v>0</v>
      </c>
      <c r="BA62">
        <v>74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ROUND(Y62*Source!I97,9)</f>
        <v>6.2700000000000004E-3</v>
      </c>
      <c r="CY62">
        <f>AA62</f>
        <v>27.62</v>
      </c>
      <c r="CZ62">
        <f>AE62</f>
        <v>27.62</v>
      </c>
      <c r="DA62">
        <f>AI62</f>
        <v>1</v>
      </c>
      <c r="DB62">
        <f>ROUND((ROUND(AT62*CZ62,2)*1),6)</f>
        <v>0.17</v>
      </c>
      <c r="DC62">
        <f>ROUND((ROUND(AT62*AG62,2)*1),6)</f>
        <v>0</v>
      </c>
      <c r="DD62" t="s">
        <v>3</v>
      </c>
      <c r="DE62" t="s">
        <v>3</v>
      </c>
      <c r="DF62">
        <f t="shared" si="16"/>
        <v>0.17</v>
      </c>
      <c r="DG62">
        <f t="shared" si="13"/>
        <v>0</v>
      </c>
      <c r="DH62">
        <f t="shared" si="14"/>
        <v>0</v>
      </c>
      <c r="DI62">
        <f t="shared" si="15"/>
        <v>0</v>
      </c>
      <c r="DJ62">
        <f>DF62</f>
        <v>0.17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ROW(Source!A97)</f>
        <v>97</v>
      </c>
      <c r="B63">
        <v>55915256</v>
      </c>
      <c r="C63">
        <v>55915447</v>
      </c>
      <c r="D63">
        <v>55459793</v>
      </c>
      <c r="E63">
        <v>1</v>
      </c>
      <c r="F63">
        <v>1</v>
      </c>
      <c r="G63">
        <v>1081</v>
      </c>
      <c r="H63">
        <v>3</v>
      </c>
      <c r="I63" t="s">
        <v>369</v>
      </c>
      <c r="J63" t="s">
        <v>370</v>
      </c>
      <c r="K63" t="s">
        <v>371</v>
      </c>
      <c r="L63">
        <v>1348</v>
      </c>
      <c r="N63">
        <v>1009</v>
      </c>
      <c r="O63" t="s">
        <v>324</v>
      </c>
      <c r="P63" t="s">
        <v>324</v>
      </c>
      <c r="Q63">
        <v>1000</v>
      </c>
      <c r="W63">
        <v>0</v>
      </c>
      <c r="X63">
        <v>-761454284</v>
      </c>
      <c r="Y63">
        <f>(AT63*1)</f>
        <v>1.0000000000000001E-5</v>
      </c>
      <c r="AA63">
        <v>64123.05</v>
      </c>
      <c r="AB63">
        <v>0</v>
      </c>
      <c r="AC63">
        <v>0</v>
      </c>
      <c r="AD63">
        <v>0</v>
      </c>
      <c r="AE63">
        <v>64123.05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1.0000000000000001E-5</v>
      </c>
      <c r="AU63" t="s">
        <v>77</v>
      </c>
      <c r="AV63">
        <v>0</v>
      </c>
      <c r="AW63">
        <v>2</v>
      </c>
      <c r="AX63">
        <v>55915450</v>
      </c>
      <c r="AY63">
        <v>1</v>
      </c>
      <c r="AZ63">
        <v>0</v>
      </c>
      <c r="BA63">
        <v>75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ROUND(Y63*Source!I97,9)</f>
        <v>1.0000000000000001E-5</v>
      </c>
      <c r="CY63">
        <f>AA63</f>
        <v>64123.05</v>
      </c>
      <c r="CZ63">
        <f>AE63</f>
        <v>64123.05</v>
      </c>
      <c r="DA63">
        <f>AI63</f>
        <v>1</v>
      </c>
      <c r="DB63">
        <f>ROUND((ROUND(AT63*CZ63,2)*1),6)</f>
        <v>0.64</v>
      </c>
      <c r="DC63">
        <f>ROUND((ROUND(AT63*AG63,2)*1),6)</f>
        <v>0</v>
      </c>
      <c r="DD63" t="s">
        <v>3</v>
      </c>
      <c r="DE63" t="s">
        <v>3</v>
      </c>
      <c r="DF63">
        <f t="shared" si="16"/>
        <v>0.64</v>
      </c>
      <c r="DG63">
        <f t="shared" si="13"/>
        <v>0</v>
      </c>
      <c r="DH63">
        <f t="shared" si="14"/>
        <v>0</v>
      </c>
      <c r="DI63">
        <f t="shared" si="15"/>
        <v>0</v>
      </c>
      <c r="DJ63">
        <f>DF63</f>
        <v>0.64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ROW(Source!A97)</f>
        <v>97</v>
      </c>
      <c r="B64">
        <v>55915256</v>
      </c>
      <c r="C64">
        <v>55915447</v>
      </c>
      <c r="D64">
        <v>55469253</v>
      </c>
      <c r="E64">
        <v>1</v>
      </c>
      <c r="F64">
        <v>1</v>
      </c>
      <c r="G64">
        <v>1081</v>
      </c>
      <c r="H64">
        <v>3</v>
      </c>
      <c r="I64" t="s">
        <v>372</v>
      </c>
      <c r="J64" t="s">
        <v>373</v>
      </c>
      <c r="K64" t="s">
        <v>374</v>
      </c>
      <c r="L64">
        <v>1354</v>
      </c>
      <c r="N64">
        <v>1010</v>
      </c>
      <c r="O64" t="s">
        <v>191</v>
      </c>
      <c r="P64" t="s">
        <v>191</v>
      </c>
      <c r="Q64">
        <v>1</v>
      </c>
      <c r="W64">
        <v>0</v>
      </c>
      <c r="X64">
        <v>-32785108</v>
      </c>
      <c r="Y64">
        <f>(AT64*1)</f>
        <v>0.1</v>
      </c>
      <c r="AA64">
        <v>15.25</v>
      </c>
      <c r="AB64">
        <v>0</v>
      </c>
      <c r="AC64">
        <v>0</v>
      </c>
      <c r="AD64">
        <v>0</v>
      </c>
      <c r="AE64">
        <v>15.25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0.1</v>
      </c>
      <c r="AU64" t="s">
        <v>77</v>
      </c>
      <c r="AV64">
        <v>0</v>
      </c>
      <c r="AW64">
        <v>2</v>
      </c>
      <c r="AX64">
        <v>55915451</v>
      </c>
      <c r="AY64">
        <v>1</v>
      </c>
      <c r="AZ64">
        <v>0</v>
      </c>
      <c r="BA64">
        <v>76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ROUND(Y64*Source!I97,9)</f>
        <v>0.1</v>
      </c>
      <c r="CY64">
        <f>AA64</f>
        <v>15.25</v>
      </c>
      <c r="CZ64">
        <f>AE64</f>
        <v>15.25</v>
      </c>
      <c r="DA64">
        <f>AI64</f>
        <v>1</v>
      </c>
      <c r="DB64">
        <f>ROUND((ROUND(AT64*CZ64,2)*1),6)</f>
        <v>1.53</v>
      </c>
      <c r="DC64">
        <f>ROUND((ROUND(AT64*AG64,2)*1),6)</f>
        <v>0</v>
      </c>
      <c r="DD64" t="s">
        <v>3</v>
      </c>
      <c r="DE64" t="s">
        <v>3</v>
      </c>
      <c r="DF64">
        <f t="shared" si="16"/>
        <v>1.53</v>
      </c>
      <c r="DG64">
        <f t="shared" si="13"/>
        <v>0</v>
      </c>
      <c r="DH64">
        <f t="shared" si="14"/>
        <v>0</v>
      </c>
      <c r="DI64">
        <f t="shared" si="15"/>
        <v>0</v>
      </c>
      <c r="DJ64">
        <f>DF64</f>
        <v>1.53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ROW(Source!A98)</f>
        <v>98</v>
      </c>
      <c r="B65">
        <v>55915258</v>
      </c>
      <c r="C65">
        <v>55915447</v>
      </c>
      <c r="D65">
        <v>55424304</v>
      </c>
      <c r="E65">
        <v>1081</v>
      </c>
      <c r="F65">
        <v>1</v>
      </c>
      <c r="G65">
        <v>1081</v>
      </c>
      <c r="H65">
        <v>1</v>
      </c>
      <c r="I65" t="s">
        <v>363</v>
      </c>
      <c r="J65" t="s">
        <v>3</v>
      </c>
      <c r="K65" t="s">
        <v>364</v>
      </c>
      <c r="L65">
        <v>1191</v>
      </c>
      <c r="N65">
        <v>1013</v>
      </c>
      <c r="O65" t="s">
        <v>365</v>
      </c>
      <c r="P65" t="s">
        <v>365</v>
      </c>
      <c r="Q65">
        <v>1</v>
      </c>
      <c r="W65">
        <v>0</v>
      </c>
      <c r="X65">
        <v>476480486</v>
      </c>
      <c r="Y65">
        <f>(AT65*1.2)</f>
        <v>3.1799999999999997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5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2.65</v>
      </c>
      <c r="AU65" t="s">
        <v>78</v>
      </c>
      <c r="AV65">
        <v>1</v>
      </c>
      <c r="AW65">
        <v>2</v>
      </c>
      <c r="AX65">
        <v>55915448</v>
      </c>
      <c r="AY65">
        <v>1</v>
      </c>
      <c r="AZ65">
        <v>0</v>
      </c>
      <c r="BA65">
        <v>78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U65">
        <f>ROUND(AT65*Source!I98*AH65*AL65,2)</f>
        <v>0</v>
      </c>
      <c r="CV65">
        <f>ROUND(Y65*Source!I98,9)</f>
        <v>3.18</v>
      </c>
      <c r="CW65">
        <v>0</v>
      </c>
      <c r="CX65">
        <f>ROUND(Y65*Source!I98,9)</f>
        <v>3.18</v>
      </c>
      <c r="CY65">
        <f>AD65</f>
        <v>0</v>
      </c>
      <c r="CZ65">
        <f>AH65</f>
        <v>0</v>
      </c>
      <c r="DA65">
        <f>AL65</f>
        <v>1</v>
      </c>
      <c r="DB65">
        <f>ROUND((ROUND(AT65*CZ65,2)*1.2),6)</f>
        <v>0</v>
      </c>
      <c r="DC65">
        <f>ROUND((ROUND(AT65*AG65,2)*1.2),6)</f>
        <v>0</v>
      </c>
      <c r="DD65" t="s">
        <v>3</v>
      </c>
      <c r="DE65" t="s">
        <v>3</v>
      </c>
      <c r="DF65">
        <f t="shared" si="16"/>
        <v>0</v>
      </c>
      <c r="DG65">
        <f t="shared" ref="DG65:DG96" si="17">ROUND(ROUND(AF65,2)*CX65,2)</f>
        <v>0</v>
      </c>
      <c r="DH65">
        <f t="shared" ref="DH65:DH96" si="18">ROUND(ROUND(AG65,2)*CX65,2)</f>
        <v>0</v>
      </c>
      <c r="DI65">
        <f t="shared" ref="DI65:DI96" si="19">ROUND(ROUND(AH65,2)*CX65,2)</f>
        <v>0</v>
      </c>
      <c r="DJ65">
        <f>DI65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ROW(Source!A98)</f>
        <v>98</v>
      </c>
      <c r="B66">
        <v>55915258</v>
      </c>
      <c r="C66">
        <v>55915447</v>
      </c>
      <c r="D66">
        <v>55461074</v>
      </c>
      <c r="E66">
        <v>1</v>
      </c>
      <c r="F66">
        <v>1</v>
      </c>
      <c r="G66">
        <v>1081</v>
      </c>
      <c r="H66">
        <v>3</v>
      </c>
      <c r="I66" t="s">
        <v>366</v>
      </c>
      <c r="J66" t="s">
        <v>367</v>
      </c>
      <c r="K66" t="s">
        <v>368</v>
      </c>
      <c r="L66">
        <v>1346</v>
      </c>
      <c r="N66">
        <v>1009</v>
      </c>
      <c r="O66" t="s">
        <v>339</v>
      </c>
      <c r="P66" t="s">
        <v>339</v>
      </c>
      <c r="Q66">
        <v>1</v>
      </c>
      <c r="W66">
        <v>0</v>
      </c>
      <c r="X66">
        <v>-861631226</v>
      </c>
      <c r="Y66">
        <f>(AT66*1)</f>
        <v>6.2700000000000004E-3</v>
      </c>
      <c r="AA66">
        <v>163.51</v>
      </c>
      <c r="AB66">
        <v>0</v>
      </c>
      <c r="AC66">
        <v>0</v>
      </c>
      <c r="AD66">
        <v>0</v>
      </c>
      <c r="AE66">
        <v>27.62</v>
      </c>
      <c r="AF66">
        <v>0</v>
      </c>
      <c r="AG66">
        <v>0</v>
      </c>
      <c r="AH66">
        <v>0</v>
      </c>
      <c r="AI66">
        <v>5.92</v>
      </c>
      <c r="AJ66">
        <v>1</v>
      </c>
      <c r="AK66">
        <v>1</v>
      </c>
      <c r="AL66">
        <v>1</v>
      </c>
      <c r="AM66">
        <v>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6.2700000000000004E-3</v>
      </c>
      <c r="AU66" t="s">
        <v>77</v>
      </c>
      <c r="AV66">
        <v>0</v>
      </c>
      <c r="AW66">
        <v>2</v>
      </c>
      <c r="AX66">
        <v>55915449</v>
      </c>
      <c r="AY66">
        <v>1</v>
      </c>
      <c r="AZ66">
        <v>0</v>
      </c>
      <c r="BA66">
        <v>79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ROUND(Y66*Source!I98,9)</f>
        <v>6.2700000000000004E-3</v>
      </c>
      <c r="CY66">
        <f>AA66</f>
        <v>163.51</v>
      </c>
      <c r="CZ66">
        <f>AE66</f>
        <v>27.62</v>
      </c>
      <c r="DA66">
        <f>AI66</f>
        <v>5.92</v>
      </c>
      <c r="DB66">
        <f>ROUND((ROUND(AT66*CZ66,2)*1),6)</f>
        <v>0.17</v>
      </c>
      <c r="DC66">
        <f>ROUND((ROUND(AT66*AG66,2)*1),6)</f>
        <v>0</v>
      </c>
      <c r="DD66" t="s">
        <v>3</v>
      </c>
      <c r="DE66" t="s">
        <v>3</v>
      </c>
      <c r="DF66">
        <f>ROUND(ROUND(AE66*AI66,2)*CX66,2)</f>
        <v>1.03</v>
      </c>
      <c r="DG66">
        <f t="shared" si="17"/>
        <v>0</v>
      </c>
      <c r="DH66">
        <f t="shared" si="18"/>
        <v>0</v>
      </c>
      <c r="DI66">
        <f t="shared" si="19"/>
        <v>0</v>
      </c>
      <c r="DJ66">
        <f>DF66</f>
        <v>1.03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ROW(Source!A98)</f>
        <v>98</v>
      </c>
      <c r="B67">
        <v>55915258</v>
      </c>
      <c r="C67">
        <v>55915447</v>
      </c>
      <c r="D67">
        <v>55459793</v>
      </c>
      <c r="E67">
        <v>1</v>
      </c>
      <c r="F67">
        <v>1</v>
      </c>
      <c r="G67">
        <v>1081</v>
      </c>
      <c r="H67">
        <v>3</v>
      </c>
      <c r="I67" t="s">
        <v>369</v>
      </c>
      <c r="J67" t="s">
        <v>370</v>
      </c>
      <c r="K67" t="s">
        <v>371</v>
      </c>
      <c r="L67">
        <v>1348</v>
      </c>
      <c r="N67">
        <v>1009</v>
      </c>
      <c r="O67" t="s">
        <v>324</v>
      </c>
      <c r="P67" t="s">
        <v>324</v>
      </c>
      <c r="Q67">
        <v>1000</v>
      </c>
      <c r="W67">
        <v>0</v>
      </c>
      <c r="X67">
        <v>-761454284</v>
      </c>
      <c r="Y67">
        <f>(AT67*1)</f>
        <v>1.0000000000000001E-5</v>
      </c>
      <c r="AA67">
        <v>1930745.04</v>
      </c>
      <c r="AB67">
        <v>0</v>
      </c>
      <c r="AC67">
        <v>0</v>
      </c>
      <c r="AD67">
        <v>0</v>
      </c>
      <c r="AE67">
        <v>64123.05</v>
      </c>
      <c r="AF67">
        <v>0</v>
      </c>
      <c r="AG67">
        <v>0</v>
      </c>
      <c r="AH67">
        <v>0</v>
      </c>
      <c r="AI67">
        <v>30.11</v>
      </c>
      <c r="AJ67">
        <v>1</v>
      </c>
      <c r="AK67">
        <v>1</v>
      </c>
      <c r="AL67">
        <v>1</v>
      </c>
      <c r="AM67">
        <v>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1.0000000000000001E-5</v>
      </c>
      <c r="AU67" t="s">
        <v>77</v>
      </c>
      <c r="AV67">
        <v>0</v>
      </c>
      <c r="AW67">
        <v>2</v>
      </c>
      <c r="AX67">
        <v>55915450</v>
      </c>
      <c r="AY67">
        <v>1</v>
      </c>
      <c r="AZ67">
        <v>0</v>
      </c>
      <c r="BA67">
        <v>80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v>0</v>
      </c>
      <c r="CX67">
        <f>ROUND(Y67*Source!I98,9)</f>
        <v>1.0000000000000001E-5</v>
      </c>
      <c r="CY67">
        <f>AA67</f>
        <v>1930745.04</v>
      </c>
      <c r="CZ67">
        <f>AE67</f>
        <v>64123.05</v>
      </c>
      <c r="DA67">
        <f>AI67</f>
        <v>30.11</v>
      </c>
      <c r="DB67">
        <f>ROUND((ROUND(AT67*CZ67,2)*1),6)</f>
        <v>0.64</v>
      </c>
      <c r="DC67">
        <f>ROUND((ROUND(AT67*AG67,2)*1),6)</f>
        <v>0</v>
      </c>
      <c r="DD67" t="s">
        <v>3</v>
      </c>
      <c r="DE67" t="s">
        <v>3</v>
      </c>
      <c r="DF67">
        <f>ROUND(ROUND(AE67*AI67,2)*CX67,2)</f>
        <v>19.309999999999999</v>
      </c>
      <c r="DG67">
        <f t="shared" si="17"/>
        <v>0</v>
      </c>
      <c r="DH67">
        <f t="shared" si="18"/>
        <v>0</v>
      </c>
      <c r="DI67">
        <f t="shared" si="19"/>
        <v>0</v>
      </c>
      <c r="DJ67">
        <f>DF67</f>
        <v>19.309999999999999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ROW(Source!A98)</f>
        <v>98</v>
      </c>
      <c r="B68">
        <v>55915258</v>
      </c>
      <c r="C68">
        <v>55915447</v>
      </c>
      <c r="D68">
        <v>55469253</v>
      </c>
      <c r="E68">
        <v>1</v>
      </c>
      <c r="F68">
        <v>1</v>
      </c>
      <c r="G68">
        <v>1081</v>
      </c>
      <c r="H68">
        <v>3</v>
      </c>
      <c r="I68" t="s">
        <v>372</v>
      </c>
      <c r="J68" t="s">
        <v>373</v>
      </c>
      <c r="K68" t="s">
        <v>374</v>
      </c>
      <c r="L68">
        <v>1354</v>
      </c>
      <c r="N68">
        <v>1010</v>
      </c>
      <c r="O68" t="s">
        <v>191</v>
      </c>
      <c r="P68" t="s">
        <v>191</v>
      </c>
      <c r="Q68">
        <v>1</v>
      </c>
      <c r="W68">
        <v>0</v>
      </c>
      <c r="X68">
        <v>-32785108</v>
      </c>
      <c r="Y68">
        <f>(AT68*1)</f>
        <v>0.1</v>
      </c>
      <c r="AA68">
        <v>36.14</v>
      </c>
      <c r="AB68">
        <v>0</v>
      </c>
      <c r="AC68">
        <v>0</v>
      </c>
      <c r="AD68">
        <v>0</v>
      </c>
      <c r="AE68">
        <v>15.25</v>
      </c>
      <c r="AF68">
        <v>0</v>
      </c>
      <c r="AG68">
        <v>0</v>
      </c>
      <c r="AH68">
        <v>0</v>
      </c>
      <c r="AI68">
        <v>2.37</v>
      </c>
      <c r="AJ68">
        <v>1</v>
      </c>
      <c r="AK68">
        <v>1</v>
      </c>
      <c r="AL68">
        <v>1</v>
      </c>
      <c r="AM68">
        <v>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0.1</v>
      </c>
      <c r="AU68" t="s">
        <v>77</v>
      </c>
      <c r="AV68">
        <v>0</v>
      </c>
      <c r="AW68">
        <v>2</v>
      </c>
      <c r="AX68">
        <v>55915451</v>
      </c>
      <c r="AY68">
        <v>1</v>
      </c>
      <c r="AZ68">
        <v>0</v>
      </c>
      <c r="BA68">
        <v>81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ROUND(Y68*Source!I98,9)</f>
        <v>0.1</v>
      </c>
      <c r="CY68">
        <f>AA68</f>
        <v>36.14</v>
      </c>
      <c r="CZ68">
        <f>AE68</f>
        <v>15.25</v>
      </c>
      <c r="DA68">
        <f>AI68</f>
        <v>2.37</v>
      </c>
      <c r="DB68">
        <f>ROUND((ROUND(AT68*CZ68,2)*1),6)</f>
        <v>1.53</v>
      </c>
      <c r="DC68">
        <f>ROUND((ROUND(AT68*AG68,2)*1),6)</f>
        <v>0</v>
      </c>
      <c r="DD68" t="s">
        <v>3</v>
      </c>
      <c r="DE68" t="s">
        <v>3</v>
      </c>
      <c r="DF68">
        <f>ROUND(ROUND(AE68*AI68,2)*CX68,2)</f>
        <v>3.61</v>
      </c>
      <c r="DG68">
        <f t="shared" si="17"/>
        <v>0</v>
      </c>
      <c r="DH68">
        <f t="shared" si="18"/>
        <v>0</v>
      </c>
      <c r="DI68">
        <f t="shared" si="19"/>
        <v>0</v>
      </c>
      <c r="DJ68">
        <f>DF68</f>
        <v>3.61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ROW(Source!A101)</f>
        <v>101</v>
      </c>
      <c r="B69">
        <v>55915256</v>
      </c>
      <c r="C69">
        <v>55915461</v>
      </c>
      <c r="D69">
        <v>55424304</v>
      </c>
      <c r="E69">
        <v>1081</v>
      </c>
      <c r="F69">
        <v>1</v>
      </c>
      <c r="G69">
        <v>1081</v>
      </c>
      <c r="H69">
        <v>1</v>
      </c>
      <c r="I69" t="s">
        <v>363</v>
      </c>
      <c r="J69" t="s">
        <v>3</v>
      </c>
      <c r="K69" t="s">
        <v>364</v>
      </c>
      <c r="L69">
        <v>1191</v>
      </c>
      <c r="N69">
        <v>1013</v>
      </c>
      <c r="O69" t="s">
        <v>365</v>
      </c>
      <c r="P69" t="s">
        <v>365</v>
      </c>
      <c r="Q69">
        <v>1</v>
      </c>
      <c r="W69">
        <v>0</v>
      </c>
      <c r="X69">
        <v>476480486</v>
      </c>
      <c r="Y69">
        <f t="shared" ref="Y69:Y81" si="20">(AT69*1.2)</f>
        <v>2.88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2.4</v>
      </c>
      <c r="AU69" t="s">
        <v>78</v>
      </c>
      <c r="AV69">
        <v>1</v>
      </c>
      <c r="AW69">
        <v>2</v>
      </c>
      <c r="AX69">
        <v>55915462</v>
      </c>
      <c r="AY69">
        <v>1</v>
      </c>
      <c r="AZ69">
        <v>0</v>
      </c>
      <c r="BA69">
        <v>83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U69">
        <f>ROUND(AT69*Source!I101*AH69*AL69,2)</f>
        <v>0</v>
      </c>
      <c r="CV69">
        <f>ROUND(Y69*Source!I101,9)</f>
        <v>2.88</v>
      </c>
      <c r="CW69">
        <v>0</v>
      </c>
      <c r="CX69">
        <f>ROUND(Y69*Source!I101,9)</f>
        <v>2.88</v>
      </c>
      <c r="CY69">
        <f t="shared" ref="CY69:CY81" si="21">AD69</f>
        <v>0</v>
      </c>
      <c r="CZ69">
        <f t="shared" ref="CZ69:CZ81" si="22">AH69</f>
        <v>0</v>
      </c>
      <c r="DA69">
        <f t="shared" ref="DA69:DA81" si="23">AL69</f>
        <v>1</v>
      </c>
      <c r="DB69">
        <f t="shared" ref="DB69:DB81" si="24">ROUND((ROUND(AT69*CZ69,2)*1.2),6)</f>
        <v>0</v>
      </c>
      <c r="DC69">
        <f t="shared" ref="DC69:DC81" si="25">ROUND((ROUND(AT69*AG69,2)*1.2),6)</f>
        <v>0</v>
      </c>
      <c r="DD69" t="s">
        <v>3</v>
      </c>
      <c r="DE69" t="s">
        <v>3</v>
      </c>
      <c r="DF69">
        <f t="shared" ref="DF69:DF84" si="26">ROUND(ROUND(AE69,2)*CX69,2)</f>
        <v>0</v>
      </c>
      <c r="DG69">
        <f t="shared" si="17"/>
        <v>0</v>
      </c>
      <c r="DH69">
        <f t="shared" si="18"/>
        <v>0</v>
      </c>
      <c r="DI69">
        <f t="shared" si="19"/>
        <v>0</v>
      </c>
      <c r="DJ69">
        <f t="shared" ref="DJ69:DJ81" si="27">DI69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ROW(Source!A102)</f>
        <v>102</v>
      </c>
      <c r="B70">
        <v>55915258</v>
      </c>
      <c r="C70">
        <v>55915461</v>
      </c>
      <c r="D70">
        <v>55424304</v>
      </c>
      <c r="E70">
        <v>1081</v>
      </c>
      <c r="F70">
        <v>1</v>
      </c>
      <c r="G70">
        <v>1081</v>
      </c>
      <c r="H70">
        <v>1</v>
      </c>
      <c r="I70" t="s">
        <v>363</v>
      </c>
      <c r="J70" t="s">
        <v>3</v>
      </c>
      <c r="K70" t="s">
        <v>364</v>
      </c>
      <c r="L70">
        <v>1191</v>
      </c>
      <c r="N70">
        <v>1013</v>
      </c>
      <c r="O70" t="s">
        <v>365</v>
      </c>
      <c r="P70" t="s">
        <v>365</v>
      </c>
      <c r="Q70">
        <v>1</v>
      </c>
      <c r="W70">
        <v>0</v>
      </c>
      <c r="X70">
        <v>476480486</v>
      </c>
      <c r="Y70">
        <f t="shared" si="20"/>
        <v>2.88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5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2.4</v>
      </c>
      <c r="AU70" t="s">
        <v>78</v>
      </c>
      <c r="AV70">
        <v>1</v>
      </c>
      <c r="AW70">
        <v>2</v>
      </c>
      <c r="AX70">
        <v>55915462</v>
      </c>
      <c r="AY70">
        <v>1</v>
      </c>
      <c r="AZ70">
        <v>0</v>
      </c>
      <c r="BA70">
        <v>84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U70">
        <f>ROUND(AT70*Source!I102*AH70*AL70,2)</f>
        <v>0</v>
      </c>
      <c r="CV70">
        <f>ROUND(Y70*Source!I102,9)</f>
        <v>2.88</v>
      </c>
      <c r="CW70">
        <v>0</v>
      </c>
      <c r="CX70">
        <f>ROUND(Y70*Source!I102,9)</f>
        <v>2.88</v>
      </c>
      <c r="CY70">
        <f t="shared" si="21"/>
        <v>0</v>
      </c>
      <c r="CZ70">
        <f t="shared" si="22"/>
        <v>0</v>
      </c>
      <c r="DA70">
        <f t="shared" si="23"/>
        <v>1</v>
      </c>
      <c r="DB70">
        <f t="shared" si="24"/>
        <v>0</v>
      </c>
      <c r="DC70">
        <f t="shared" si="25"/>
        <v>0</v>
      </c>
      <c r="DD70" t="s">
        <v>3</v>
      </c>
      <c r="DE70" t="s">
        <v>3</v>
      </c>
      <c r="DF70">
        <f t="shared" si="26"/>
        <v>0</v>
      </c>
      <c r="DG70">
        <f t="shared" si="17"/>
        <v>0</v>
      </c>
      <c r="DH70">
        <f t="shared" si="18"/>
        <v>0</v>
      </c>
      <c r="DI70">
        <f t="shared" si="19"/>
        <v>0</v>
      </c>
      <c r="DJ70">
        <f t="shared" si="27"/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ROW(Source!A105)</f>
        <v>105</v>
      </c>
      <c r="B71">
        <v>55915256</v>
      </c>
      <c r="C71">
        <v>55915463</v>
      </c>
      <c r="D71">
        <v>55424304</v>
      </c>
      <c r="E71">
        <v>1081</v>
      </c>
      <c r="F71">
        <v>1</v>
      </c>
      <c r="G71">
        <v>1081</v>
      </c>
      <c r="H71">
        <v>1</v>
      </c>
      <c r="I71" t="s">
        <v>363</v>
      </c>
      <c r="J71" t="s">
        <v>3</v>
      </c>
      <c r="K71" t="s">
        <v>364</v>
      </c>
      <c r="L71">
        <v>1191</v>
      </c>
      <c r="N71">
        <v>1013</v>
      </c>
      <c r="O71" t="s">
        <v>365</v>
      </c>
      <c r="P71" t="s">
        <v>365</v>
      </c>
      <c r="Q71">
        <v>1</v>
      </c>
      <c r="W71">
        <v>0</v>
      </c>
      <c r="X71">
        <v>476480486</v>
      </c>
      <c r="Y71">
        <f t="shared" si="20"/>
        <v>1.44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1.2</v>
      </c>
      <c r="AU71" t="s">
        <v>78</v>
      </c>
      <c r="AV71">
        <v>1</v>
      </c>
      <c r="AW71">
        <v>2</v>
      </c>
      <c r="AX71">
        <v>55915464</v>
      </c>
      <c r="AY71">
        <v>1</v>
      </c>
      <c r="AZ71">
        <v>0</v>
      </c>
      <c r="BA71">
        <v>85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U71">
        <f>ROUND(AT71*Source!I105*AH71*AL71,2)</f>
        <v>0</v>
      </c>
      <c r="CV71">
        <f>ROUND(Y71*Source!I105,9)</f>
        <v>44.64</v>
      </c>
      <c r="CW71">
        <v>0</v>
      </c>
      <c r="CX71">
        <f>ROUND(Y71*Source!I105,9)</f>
        <v>44.64</v>
      </c>
      <c r="CY71">
        <f t="shared" si="21"/>
        <v>0</v>
      </c>
      <c r="CZ71">
        <f t="shared" si="22"/>
        <v>0</v>
      </c>
      <c r="DA71">
        <f t="shared" si="23"/>
        <v>1</v>
      </c>
      <c r="DB71">
        <f t="shared" si="24"/>
        <v>0</v>
      </c>
      <c r="DC71">
        <f t="shared" si="25"/>
        <v>0</v>
      </c>
      <c r="DD71" t="s">
        <v>3</v>
      </c>
      <c r="DE71" t="s">
        <v>3</v>
      </c>
      <c r="DF71">
        <f t="shared" si="26"/>
        <v>0</v>
      </c>
      <c r="DG71">
        <f t="shared" si="17"/>
        <v>0</v>
      </c>
      <c r="DH71">
        <f t="shared" si="18"/>
        <v>0</v>
      </c>
      <c r="DI71">
        <f t="shared" si="19"/>
        <v>0</v>
      </c>
      <c r="DJ71">
        <f t="shared" si="27"/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ROW(Source!A106)</f>
        <v>106</v>
      </c>
      <c r="B72">
        <v>55915258</v>
      </c>
      <c r="C72">
        <v>55915463</v>
      </c>
      <c r="D72">
        <v>55424304</v>
      </c>
      <c r="E72">
        <v>1081</v>
      </c>
      <c r="F72">
        <v>1</v>
      </c>
      <c r="G72">
        <v>1081</v>
      </c>
      <c r="H72">
        <v>1</v>
      </c>
      <c r="I72" t="s">
        <v>363</v>
      </c>
      <c r="J72" t="s">
        <v>3</v>
      </c>
      <c r="K72" t="s">
        <v>364</v>
      </c>
      <c r="L72">
        <v>1191</v>
      </c>
      <c r="N72">
        <v>1013</v>
      </c>
      <c r="O72" t="s">
        <v>365</v>
      </c>
      <c r="P72" t="s">
        <v>365</v>
      </c>
      <c r="Q72">
        <v>1</v>
      </c>
      <c r="W72">
        <v>0</v>
      </c>
      <c r="X72">
        <v>476480486</v>
      </c>
      <c r="Y72">
        <f t="shared" si="20"/>
        <v>1.44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5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1.2</v>
      </c>
      <c r="AU72" t="s">
        <v>78</v>
      </c>
      <c r="AV72">
        <v>1</v>
      </c>
      <c r="AW72">
        <v>2</v>
      </c>
      <c r="AX72">
        <v>55915464</v>
      </c>
      <c r="AY72">
        <v>1</v>
      </c>
      <c r="AZ72">
        <v>0</v>
      </c>
      <c r="BA72">
        <v>86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U72">
        <f>ROUND(AT72*Source!I106*AH72*AL72,2)</f>
        <v>0</v>
      </c>
      <c r="CV72">
        <f>ROUND(Y72*Source!I106,9)</f>
        <v>44.64</v>
      </c>
      <c r="CW72">
        <v>0</v>
      </c>
      <c r="CX72">
        <f>ROUND(Y72*Source!I106,9)</f>
        <v>44.64</v>
      </c>
      <c r="CY72">
        <f t="shared" si="21"/>
        <v>0</v>
      </c>
      <c r="CZ72">
        <f t="shared" si="22"/>
        <v>0</v>
      </c>
      <c r="DA72">
        <f t="shared" si="23"/>
        <v>1</v>
      </c>
      <c r="DB72">
        <f t="shared" si="24"/>
        <v>0</v>
      </c>
      <c r="DC72">
        <f t="shared" si="25"/>
        <v>0</v>
      </c>
      <c r="DD72" t="s">
        <v>3</v>
      </c>
      <c r="DE72" t="s">
        <v>3</v>
      </c>
      <c r="DF72">
        <f t="shared" si="26"/>
        <v>0</v>
      </c>
      <c r="DG72">
        <f t="shared" si="17"/>
        <v>0</v>
      </c>
      <c r="DH72">
        <f t="shared" si="18"/>
        <v>0</v>
      </c>
      <c r="DI72">
        <f t="shared" si="19"/>
        <v>0</v>
      </c>
      <c r="DJ72">
        <f t="shared" si="27"/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ROW(Source!A109)</f>
        <v>109</v>
      </c>
      <c r="B73">
        <v>55915256</v>
      </c>
      <c r="C73">
        <v>55915480</v>
      </c>
      <c r="D73">
        <v>55424304</v>
      </c>
      <c r="E73">
        <v>1081</v>
      </c>
      <c r="F73">
        <v>1</v>
      </c>
      <c r="G73">
        <v>1081</v>
      </c>
      <c r="H73">
        <v>1</v>
      </c>
      <c r="I73" t="s">
        <v>363</v>
      </c>
      <c r="J73" t="s">
        <v>3</v>
      </c>
      <c r="K73" t="s">
        <v>364</v>
      </c>
      <c r="L73">
        <v>1191</v>
      </c>
      <c r="N73">
        <v>1013</v>
      </c>
      <c r="O73" t="s">
        <v>365</v>
      </c>
      <c r="P73" t="s">
        <v>365</v>
      </c>
      <c r="Q73">
        <v>1</v>
      </c>
      <c r="W73">
        <v>0</v>
      </c>
      <c r="X73">
        <v>476480486</v>
      </c>
      <c r="Y73">
        <f t="shared" si="20"/>
        <v>6.84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5.7</v>
      </c>
      <c r="AU73" t="s">
        <v>78</v>
      </c>
      <c r="AV73">
        <v>1</v>
      </c>
      <c r="AW73">
        <v>2</v>
      </c>
      <c r="AX73">
        <v>55915481</v>
      </c>
      <c r="AY73">
        <v>1</v>
      </c>
      <c r="AZ73">
        <v>0</v>
      </c>
      <c r="BA73">
        <v>87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U73">
        <f>ROUND(AT73*Source!I109*AH73*AL73,2)</f>
        <v>0</v>
      </c>
      <c r="CV73">
        <f>ROUND(Y73*Source!I109,9)</f>
        <v>6.84</v>
      </c>
      <c r="CW73">
        <v>0</v>
      </c>
      <c r="CX73">
        <f>ROUND(Y73*Source!I109,9)</f>
        <v>6.84</v>
      </c>
      <c r="CY73">
        <f t="shared" si="21"/>
        <v>0</v>
      </c>
      <c r="CZ73">
        <f t="shared" si="22"/>
        <v>0</v>
      </c>
      <c r="DA73">
        <f t="shared" si="23"/>
        <v>1</v>
      </c>
      <c r="DB73">
        <f t="shared" si="24"/>
        <v>0</v>
      </c>
      <c r="DC73">
        <f t="shared" si="25"/>
        <v>0</v>
      </c>
      <c r="DD73" t="s">
        <v>3</v>
      </c>
      <c r="DE73" t="s">
        <v>3</v>
      </c>
      <c r="DF73">
        <f t="shared" si="26"/>
        <v>0</v>
      </c>
      <c r="DG73">
        <f t="shared" si="17"/>
        <v>0</v>
      </c>
      <c r="DH73">
        <f t="shared" si="18"/>
        <v>0</v>
      </c>
      <c r="DI73">
        <f t="shared" si="19"/>
        <v>0</v>
      </c>
      <c r="DJ73">
        <f t="shared" si="27"/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ROW(Source!A110)</f>
        <v>110</v>
      </c>
      <c r="B74">
        <v>55915258</v>
      </c>
      <c r="C74">
        <v>55915480</v>
      </c>
      <c r="D74">
        <v>55424304</v>
      </c>
      <c r="E74">
        <v>1081</v>
      </c>
      <c r="F74">
        <v>1</v>
      </c>
      <c r="G74">
        <v>1081</v>
      </c>
      <c r="H74">
        <v>1</v>
      </c>
      <c r="I74" t="s">
        <v>363</v>
      </c>
      <c r="J74" t="s">
        <v>3</v>
      </c>
      <c r="K74" t="s">
        <v>364</v>
      </c>
      <c r="L74">
        <v>1191</v>
      </c>
      <c r="N74">
        <v>1013</v>
      </c>
      <c r="O74" t="s">
        <v>365</v>
      </c>
      <c r="P74" t="s">
        <v>365</v>
      </c>
      <c r="Q74">
        <v>1</v>
      </c>
      <c r="W74">
        <v>0</v>
      </c>
      <c r="X74">
        <v>476480486</v>
      </c>
      <c r="Y74">
        <f t="shared" si="20"/>
        <v>6.84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5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5.7</v>
      </c>
      <c r="AU74" t="s">
        <v>78</v>
      </c>
      <c r="AV74">
        <v>1</v>
      </c>
      <c r="AW74">
        <v>2</v>
      </c>
      <c r="AX74">
        <v>55915481</v>
      </c>
      <c r="AY74">
        <v>1</v>
      </c>
      <c r="AZ74">
        <v>0</v>
      </c>
      <c r="BA74">
        <v>88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U74">
        <f>ROUND(AT74*Source!I110*AH74*AL74,2)</f>
        <v>0</v>
      </c>
      <c r="CV74">
        <f>ROUND(Y74*Source!I110,9)</f>
        <v>6.84</v>
      </c>
      <c r="CW74">
        <v>0</v>
      </c>
      <c r="CX74">
        <f>ROUND(Y74*Source!I110,9)</f>
        <v>6.84</v>
      </c>
      <c r="CY74">
        <f t="shared" si="21"/>
        <v>0</v>
      </c>
      <c r="CZ74">
        <f t="shared" si="22"/>
        <v>0</v>
      </c>
      <c r="DA74">
        <f t="shared" si="23"/>
        <v>1</v>
      </c>
      <c r="DB74">
        <f t="shared" si="24"/>
        <v>0</v>
      </c>
      <c r="DC74">
        <f t="shared" si="25"/>
        <v>0</v>
      </c>
      <c r="DD74" t="s">
        <v>3</v>
      </c>
      <c r="DE74" t="s">
        <v>3</v>
      </c>
      <c r="DF74">
        <f t="shared" si="26"/>
        <v>0</v>
      </c>
      <c r="DG74">
        <f t="shared" si="17"/>
        <v>0</v>
      </c>
      <c r="DH74">
        <f t="shared" si="18"/>
        <v>0</v>
      </c>
      <c r="DI74">
        <f t="shared" si="19"/>
        <v>0</v>
      </c>
      <c r="DJ74">
        <f t="shared" si="27"/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ROW(Source!A113)</f>
        <v>113</v>
      </c>
      <c r="B75">
        <v>55915256</v>
      </c>
      <c r="C75">
        <v>55915488</v>
      </c>
      <c r="D75">
        <v>55424304</v>
      </c>
      <c r="E75">
        <v>1081</v>
      </c>
      <c r="F75">
        <v>1</v>
      </c>
      <c r="G75">
        <v>1081</v>
      </c>
      <c r="H75">
        <v>1</v>
      </c>
      <c r="I75" t="s">
        <v>363</v>
      </c>
      <c r="J75" t="s">
        <v>3</v>
      </c>
      <c r="K75" t="s">
        <v>364</v>
      </c>
      <c r="L75">
        <v>1191</v>
      </c>
      <c r="N75">
        <v>1013</v>
      </c>
      <c r="O75" t="s">
        <v>365</v>
      </c>
      <c r="P75" t="s">
        <v>365</v>
      </c>
      <c r="Q75">
        <v>1</v>
      </c>
      <c r="W75">
        <v>0</v>
      </c>
      <c r="X75">
        <v>476480486</v>
      </c>
      <c r="Y75">
        <f t="shared" si="20"/>
        <v>2.16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1.8</v>
      </c>
      <c r="AU75" t="s">
        <v>78</v>
      </c>
      <c r="AV75">
        <v>1</v>
      </c>
      <c r="AW75">
        <v>2</v>
      </c>
      <c r="AX75">
        <v>55915489</v>
      </c>
      <c r="AY75">
        <v>1</v>
      </c>
      <c r="AZ75">
        <v>0</v>
      </c>
      <c r="BA75">
        <v>89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U75">
        <f>ROUND(AT75*Source!I113*AH75*AL75,2)</f>
        <v>0</v>
      </c>
      <c r="CV75">
        <f>ROUND(Y75*Source!I113,9)</f>
        <v>2.16</v>
      </c>
      <c r="CW75">
        <v>0</v>
      </c>
      <c r="CX75">
        <f>ROUND(Y75*Source!I113,9)</f>
        <v>2.16</v>
      </c>
      <c r="CY75">
        <f t="shared" si="21"/>
        <v>0</v>
      </c>
      <c r="CZ75">
        <f t="shared" si="22"/>
        <v>0</v>
      </c>
      <c r="DA75">
        <f t="shared" si="23"/>
        <v>1</v>
      </c>
      <c r="DB75">
        <f t="shared" si="24"/>
        <v>0</v>
      </c>
      <c r="DC75">
        <f t="shared" si="25"/>
        <v>0</v>
      </c>
      <c r="DD75" t="s">
        <v>3</v>
      </c>
      <c r="DE75" t="s">
        <v>3</v>
      </c>
      <c r="DF75">
        <f t="shared" si="26"/>
        <v>0</v>
      </c>
      <c r="DG75">
        <f t="shared" si="17"/>
        <v>0</v>
      </c>
      <c r="DH75">
        <f t="shared" si="18"/>
        <v>0</v>
      </c>
      <c r="DI75">
        <f t="shared" si="19"/>
        <v>0</v>
      </c>
      <c r="DJ75">
        <f t="shared" si="27"/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ROW(Source!A114)</f>
        <v>114</v>
      </c>
      <c r="B76">
        <v>55915258</v>
      </c>
      <c r="C76">
        <v>55915488</v>
      </c>
      <c r="D76">
        <v>55424304</v>
      </c>
      <c r="E76">
        <v>1081</v>
      </c>
      <c r="F76">
        <v>1</v>
      </c>
      <c r="G76">
        <v>1081</v>
      </c>
      <c r="H76">
        <v>1</v>
      </c>
      <c r="I76" t="s">
        <v>363</v>
      </c>
      <c r="J76" t="s">
        <v>3</v>
      </c>
      <c r="K76" t="s">
        <v>364</v>
      </c>
      <c r="L76">
        <v>1191</v>
      </c>
      <c r="N76">
        <v>1013</v>
      </c>
      <c r="O76" t="s">
        <v>365</v>
      </c>
      <c r="P76" t="s">
        <v>365</v>
      </c>
      <c r="Q76">
        <v>1</v>
      </c>
      <c r="W76">
        <v>0</v>
      </c>
      <c r="X76">
        <v>476480486</v>
      </c>
      <c r="Y76">
        <f t="shared" si="20"/>
        <v>2.16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5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1.8</v>
      </c>
      <c r="AU76" t="s">
        <v>78</v>
      </c>
      <c r="AV76">
        <v>1</v>
      </c>
      <c r="AW76">
        <v>2</v>
      </c>
      <c r="AX76">
        <v>55915489</v>
      </c>
      <c r="AY76">
        <v>1</v>
      </c>
      <c r="AZ76">
        <v>0</v>
      </c>
      <c r="BA76">
        <v>90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U76">
        <f>ROUND(AT76*Source!I114*AH76*AL76,2)</f>
        <v>0</v>
      </c>
      <c r="CV76">
        <f>ROUND(Y76*Source!I114,9)</f>
        <v>2.16</v>
      </c>
      <c r="CW76">
        <v>0</v>
      </c>
      <c r="CX76">
        <f>ROUND(Y76*Source!I114,9)</f>
        <v>2.16</v>
      </c>
      <c r="CY76">
        <f t="shared" si="21"/>
        <v>0</v>
      </c>
      <c r="CZ76">
        <f t="shared" si="22"/>
        <v>0</v>
      </c>
      <c r="DA76">
        <f t="shared" si="23"/>
        <v>1</v>
      </c>
      <c r="DB76">
        <f t="shared" si="24"/>
        <v>0</v>
      </c>
      <c r="DC76">
        <f t="shared" si="25"/>
        <v>0</v>
      </c>
      <c r="DD76" t="s">
        <v>3</v>
      </c>
      <c r="DE76" t="s">
        <v>3</v>
      </c>
      <c r="DF76">
        <f t="shared" si="26"/>
        <v>0</v>
      </c>
      <c r="DG76">
        <f t="shared" si="17"/>
        <v>0</v>
      </c>
      <c r="DH76">
        <f t="shared" si="18"/>
        <v>0</v>
      </c>
      <c r="DI76">
        <f t="shared" si="19"/>
        <v>0</v>
      </c>
      <c r="DJ76">
        <f t="shared" si="27"/>
        <v>0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ROW(Source!A152)</f>
        <v>152</v>
      </c>
      <c r="B77">
        <v>55915256</v>
      </c>
      <c r="C77">
        <v>55915554</v>
      </c>
      <c r="D77">
        <v>55424304</v>
      </c>
      <c r="E77">
        <v>1081</v>
      </c>
      <c r="F77">
        <v>1</v>
      </c>
      <c r="G77">
        <v>1081</v>
      </c>
      <c r="H77">
        <v>1</v>
      </c>
      <c r="I77" t="s">
        <v>363</v>
      </c>
      <c r="J77" t="s">
        <v>3</v>
      </c>
      <c r="K77" t="s">
        <v>364</v>
      </c>
      <c r="L77">
        <v>1191</v>
      </c>
      <c r="N77">
        <v>1013</v>
      </c>
      <c r="O77" t="s">
        <v>365</v>
      </c>
      <c r="P77" t="s">
        <v>365</v>
      </c>
      <c r="Q77">
        <v>1</v>
      </c>
      <c r="W77">
        <v>0</v>
      </c>
      <c r="X77">
        <v>476480486</v>
      </c>
      <c r="Y77">
        <f t="shared" si="20"/>
        <v>1.008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0.84</v>
      </c>
      <c r="AU77" t="s">
        <v>78</v>
      </c>
      <c r="AV77">
        <v>1</v>
      </c>
      <c r="AW77">
        <v>2</v>
      </c>
      <c r="AX77">
        <v>55915555</v>
      </c>
      <c r="AY77">
        <v>1</v>
      </c>
      <c r="AZ77">
        <v>0</v>
      </c>
      <c r="BA77">
        <v>91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U77">
        <f>ROUND(AT77*Source!I152*AH77*AL77,2)</f>
        <v>0</v>
      </c>
      <c r="CV77">
        <f>ROUND(Y77*Source!I152,9)</f>
        <v>156.24</v>
      </c>
      <c r="CW77">
        <v>0</v>
      </c>
      <c r="CX77">
        <f>ROUND(Y77*Source!I152,9)</f>
        <v>156.24</v>
      </c>
      <c r="CY77">
        <f t="shared" si="21"/>
        <v>0</v>
      </c>
      <c r="CZ77">
        <f t="shared" si="22"/>
        <v>0</v>
      </c>
      <c r="DA77">
        <f t="shared" si="23"/>
        <v>1</v>
      </c>
      <c r="DB77">
        <f t="shared" si="24"/>
        <v>0</v>
      </c>
      <c r="DC77">
        <f t="shared" si="25"/>
        <v>0</v>
      </c>
      <c r="DD77" t="s">
        <v>3</v>
      </c>
      <c r="DE77" t="s">
        <v>3</v>
      </c>
      <c r="DF77">
        <f t="shared" si="26"/>
        <v>0</v>
      </c>
      <c r="DG77">
        <f t="shared" si="17"/>
        <v>0</v>
      </c>
      <c r="DH77">
        <f t="shared" si="18"/>
        <v>0</v>
      </c>
      <c r="DI77">
        <f t="shared" si="19"/>
        <v>0</v>
      </c>
      <c r="DJ77">
        <f t="shared" si="27"/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ROW(Source!A153)</f>
        <v>153</v>
      </c>
      <c r="B78">
        <v>55915258</v>
      </c>
      <c r="C78">
        <v>55915554</v>
      </c>
      <c r="D78">
        <v>55424304</v>
      </c>
      <c r="E78">
        <v>1081</v>
      </c>
      <c r="F78">
        <v>1</v>
      </c>
      <c r="G78">
        <v>1081</v>
      </c>
      <c r="H78">
        <v>1</v>
      </c>
      <c r="I78" t="s">
        <v>363</v>
      </c>
      <c r="J78" t="s">
        <v>3</v>
      </c>
      <c r="K78" t="s">
        <v>364</v>
      </c>
      <c r="L78">
        <v>1191</v>
      </c>
      <c r="N78">
        <v>1013</v>
      </c>
      <c r="O78" t="s">
        <v>365</v>
      </c>
      <c r="P78" t="s">
        <v>365</v>
      </c>
      <c r="Q78">
        <v>1</v>
      </c>
      <c r="W78">
        <v>0</v>
      </c>
      <c r="X78">
        <v>476480486</v>
      </c>
      <c r="Y78">
        <f t="shared" si="20"/>
        <v>1.008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5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0.84</v>
      </c>
      <c r="AU78" t="s">
        <v>78</v>
      </c>
      <c r="AV78">
        <v>1</v>
      </c>
      <c r="AW78">
        <v>2</v>
      </c>
      <c r="AX78">
        <v>55915555</v>
      </c>
      <c r="AY78">
        <v>1</v>
      </c>
      <c r="AZ78">
        <v>0</v>
      </c>
      <c r="BA78">
        <v>92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U78">
        <f>ROUND(AT78*Source!I153*AH78*AL78,2)</f>
        <v>0</v>
      </c>
      <c r="CV78">
        <f>ROUND(Y78*Source!I153,9)</f>
        <v>156.24</v>
      </c>
      <c r="CW78">
        <v>0</v>
      </c>
      <c r="CX78">
        <f>ROUND(Y78*Source!I153,9)</f>
        <v>156.24</v>
      </c>
      <c r="CY78">
        <f t="shared" si="21"/>
        <v>0</v>
      </c>
      <c r="CZ78">
        <f t="shared" si="22"/>
        <v>0</v>
      </c>
      <c r="DA78">
        <f t="shared" si="23"/>
        <v>1</v>
      </c>
      <c r="DB78">
        <f t="shared" si="24"/>
        <v>0</v>
      </c>
      <c r="DC78">
        <f t="shared" si="25"/>
        <v>0</v>
      </c>
      <c r="DD78" t="s">
        <v>3</v>
      </c>
      <c r="DE78" t="s">
        <v>3</v>
      </c>
      <c r="DF78">
        <f t="shared" si="26"/>
        <v>0</v>
      </c>
      <c r="DG78">
        <f t="shared" si="17"/>
        <v>0</v>
      </c>
      <c r="DH78">
        <f t="shared" si="18"/>
        <v>0</v>
      </c>
      <c r="DI78">
        <f t="shared" si="19"/>
        <v>0</v>
      </c>
      <c r="DJ78">
        <f t="shared" si="27"/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ROW(Source!A158)</f>
        <v>158</v>
      </c>
      <c r="B79">
        <v>55915256</v>
      </c>
      <c r="C79">
        <v>55915565</v>
      </c>
      <c r="D79">
        <v>55424304</v>
      </c>
      <c r="E79">
        <v>1081</v>
      </c>
      <c r="F79">
        <v>1</v>
      </c>
      <c r="G79">
        <v>1081</v>
      </c>
      <c r="H79">
        <v>1</v>
      </c>
      <c r="I79" t="s">
        <v>363</v>
      </c>
      <c r="J79" t="s">
        <v>3</v>
      </c>
      <c r="K79" t="s">
        <v>364</v>
      </c>
      <c r="L79">
        <v>1191</v>
      </c>
      <c r="N79">
        <v>1013</v>
      </c>
      <c r="O79" t="s">
        <v>365</v>
      </c>
      <c r="P79" t="s">
        <v>365</v>
      </c>
      <c r="Q79">
        <v>1</v>
      </c>
      <c r="W79">
        <v>0</v>
      </c>
      <c r="X79">
        <v>476480486</v>
      </c>
      <c r="Y79">
        <f t="shared" si="20"/>
        <v>1.008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0.84</v>
      </c>
      <c r="AU79" t="s">
        <v>78</v>
      </c>
      <c r="AV79">
        <v>1</v>
      </c>
      <c r="AW79">
        <v>2</v>
      </c>
      <c r="AX79">
        <v>55915566</v>
      </c>
      <c r="AY79">
        <v>1</v>
      </c>
      <c r="AZ79">
        <v>0</v>
      </c>
      <c r="BA79">
        <v>93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ROUND(AT79*Source!I158*AH79*AL79,2)</f>
        <v>0</v>
      </c>
      <c r="CV79">
        <f>ROUND(Y79*Source!I158,9)</f>
        <v>116.928</v>
      </c>
      <c r="CW79">
        <v>0</v>
      </c>
      <c r="CX79">
        <f>ROUND(Y79*Source!I158,9)</f>
        <v>116.928</v>
      </c>
      <c r="CY79">
        <f t="shared" si="21"/>
        <v>0</v>
      </c>
      <c r="CZ79">
        <f t="shared" si="22"/>
        <v>0</v>
      </c>
      <c r="DA79">
        <f t="shared" si="23"/>
        <v>1</v>
      </c>
      <c r="DB79">
        <f t="shared" si="24"/>
        <v>0</v>
      </c>
      <c r="DC79">
        <f t="shared" si="25"/>
        <v>0</v>
      </c>
      <c r="DD79" t="s">
        <v>3</v>
      </c>
      <c r="DE79" t="s">
        <v>3</v>
      </c>
      <c r="DF79">
        <f t="shared" si="26"/>
        <v>0</v>
      </c>
      <c r="DG79">
        <f t="shared" si="17"/>
        <v>0</v>
      </c>
      <c r="DH79">
        <f t="shared" si="18"/>
        <v>0</v>
      </c>
      <c r="DI79">
        <f t="shared" si="19"/>
        <v>0</v>
      </c>
      <c r="DJ79">
        <f t="shared" si="27"/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ROW(Source!A159)</f>
        <v>159</v>
      </c>
      <c r="B80">
        <v>55915258</v>
      </c>
      <c r="C80">
        <v>55915565</v>
      </c>
      <c r="D80">
        <v>55424304</v>
      </c>
      <c r="E80">
        <v>1081</v>
      </c>
      <c r="F80">
        <v>1</v>
      </c>
      <c r="G80">
        <v>1081</v>
      </c>
      <c r="H80">
        <v>1</v>
      </c>
      <c r="I80" t="s">
        <v>363</v>
      </c>
      <c r="J80" t="s">
        <v>3</v>
      </c>
      <c r="K80" t="s">
        <v>364</v>
      </c>
      <c r="L80">
        <v>1191</v>
      </c>
      <c r="N80">
        <v>1013</v>
      </c>
      <c r="O80" t="s">
        <v>365</v>
      </c>
      <c r="P80" t="s">
        <v>365</v>
      </c>
      <c r="Q80">
        <v>1</v>
      </c>
      <c r="W80">
        <v>0</v>
      </c>
      <c r="X80">
        <v>476480486</v>
      </c>
      <c r="Y80">
        <f t="shared" si="20"/>
        <v>1.008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5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0.84</v>
      </c>
      <c r="AU80" t="s">
        <v>78</v>
      </c>
      <c r="AV80">
        <v>1</v>
      </c>
      <c r="AW80">
        <v>2</v>
      </c>
      <c r="AX80">
        <v>55915566</v>
      </c>
      <c r="AY80">
        <v>1</v>
      </c>
      <c r="AZ80">
        <v>0</v>
      </c>
      <c r="BA80">
        <v>94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U80">
        <f>ROUND(AT80*Source!I159*AH80*AL80,2)</f>
        <v>0</v>
      </c>
      <c r="CV80">
        <f>ROUND(Y80*Source!I159,9)</f>
        <v>116.928</v>
      </c>
      <c r="CW80">
        <v>0</v>
      </c>
      <c r="CX80">
        <f>ROUND(Y80*Source!I159,9)</f>
        <v>116.928</v>
      </c>
      <c r="CY80">
        <f t="shared" si="21"/>
        <v>0</v>
      </c>
      <c r="CZ80">
        <f t="shared" si="22"/>
        <v>0</v>
      </c>
      <c r="DA80">
        <f t="shared" si="23"/>
        <v>1</v>
      </c>
      <c r="DB80">
        <f t="shared" si="24"/>
        <v>0</v>
      </c>
      <c r="DC80">
        <f t="shared" si="25"/>
        <v>0</v>
      </c>
      <c r="DD80" t="s">
        <v>3</v>
      </c>
      <c r="DE80" t="s">
        <v>3</v>
      </c>
      <c r="DF80">
        <f t="shared" si="26"/>
        <v>0</v>
      </c>
      <c r="DG80">
        <f t="shared" si="17"/>
        <v>0</v>
      </c>
      <c r="DH80">
        <f t="shared" si="18"/>
        <v>0</v>
      </c>
      <c r="DI80">
        <f t="shared" si="19"/>
        <v>0</v>
      </c>
      <c r="DJ80">
        <f t="shared" si="27"/>
        <v>0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ROW(Source!A166)</f>
        <v>166</v>
      </c>
      <c r="B81">
        <v>55915256</v>
      </c>
      <c r="C81">
        <v>55915585</v>
      </c>
      <c r="D81">
        <v>55424304</v>
      </c>
      <c r="E81">
        <v>1081</v>
      </c>
      <c r="F81">
        <v>1</v>
      </c>
      <c r="G81">
        <v>1081</v>
      </c>
      <c r="H81">
        <v>1</v>
      </c>
      <c r="I81" t="s">
        <v>363</v>
      </c>
      <c r="J81" t="s">
        <v>3</v>
      </c>
      <c r="K81" t="s">
        <v>364</v>
      </c>
      <c r="L81">
        <v>1191</v>
      </c>
      <c r="N81">
        <v>1013</v>
      </c>
      <c r="O81" t="s">
        <v>365</v>
      </c>
      <c r="P81" t="s">
        <v>365</v>
      </c>
      <c r="Q81">
        <v>1</v>
      </c>
      <c r="W81">
        <v>0</v>
      </c>
      <c r="X81">
        <v>476480486</v>
      </c>
      <c r="Y81">
        <f t="shared" si="20"/>
        <v>1.2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1</v>
      </c>
      <c r="AU81" t="s">
        <v>78</v>
      </c>
      <c r="AV81">
        <v>1</v>
      </c>
      <c r="AW81">
        <v>2</v>
      </c>
      <c r="AX81">
        <v>55915586</v>
      </c>
      <c r="AY81">
        <v>1</v>
      </c>
      <c r="AZ81">
        <v>0</v>
      </c>
      <c r="BA81">
        <v>95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U81">
        <f>ROUND(AT81*Source!I166*AH81*AL81,2)</f>
        <v>0</v>
      </c>
      <c r="CV81">
        <f>ROUND(Y81*Source!I166,9)</f>
        <v>12</v>
      </c>
      <c r="CW81">
        <v>0</v>
      </c>
      <c r="CX81">
        <f>ROUND(Y81*Source!I166,9)</f>
        <v>12</v>
      </c>
      <c r="CY81">
        <f t="shared" si="21"/>
        <v>0</v>
      </c>
      <c r="CZ81">
        <f t="shared" si="22"/>
        <v>0</v>
      </c>
      <c r="DA81">
        <f t="shared" si="23"/>
        <v>1</v>
      </c>
      <c r="DB81">
        <f t="shared" si="24"/>
        <v>0</v>
      </c>
      <c r="DC81">
        <f t="shared" si="25"/>
        <v>0</v>
      </c>
      <c r="DD81" t="s">
        <v>3</v>
      </c>
      <c r="DE81" t="s">
        <v>3</v>
      </c>
      <c r="DF81">
        <f t="shared" si="26"/>
        <v>0</v>
      </c>
      <c r="DG81">
        <f t="shared" si="17"/>
        <v>0</v>
      </c>
      <c r="DH81">
        <f t="shared" si="18"/>
        <v>0</v>
      </c>
      <c r="DI81">
        <f t="shared" si="19"/>
        <v>0</v>
      </c>
      <c r="DJ81">
        <f t="shared" si="27"/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ROW(Source!A166)</f>
        <v>166</v>
      </c>
      <c r="B82">
        <v>55915256</v>
      </c>
      <c r="C82">
        <v>55915585</v>
      </c>
      <c r="D82">
        <v>55459793</v>
      </c>
      <c r="E82">
        <v>1</v>
      </c>
      <c r="F82">
        <v>1</v>
      </c>
      <c r="G82">
        <v>1081</v>
      </c>
      <c r="H82">
        <v>3</v>
      </c>
      <c r="I82" t="s">
        <v>369</v>
      </c>
      <c r="J82" t="s">
        <v>370</v>
      </c>
      <c r="K82" t="s">
        <v>371</v>
      </c>
      <c r="L82">
        <v>1348</v>
      </c>
      <c r="N82">
        <v>1009</v>
      </c>
      <c r="O82" t="s">
        <v>324</v>
      </c>
      <c r="P82" t="s">
        <v>324</v>
      </c>
      <c r="Q82">
        <v>1000</v>
      </c>
      <c r="W82">
        <v>0</v>
      </c>
      <c r="X82">
        <v>-761454284</v>
      </c>
      <c r="Y82">
        <f>(AT82*1)</f>
        <v>1.0000000000000001E-5</v>
      </c>
      <c r="AA82">
        <v>64123.05</v>
      </c>
      <c r="AB82">
        <v>0</v>
      </c>
      <c r="AC82">
        <v>0</v>
      </c>
      <c r="AD82">
        <v>0</v>
      </c>
      <c r="AE82">
        <v>64123.05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-2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1.0000000000000001E-5</v>
      </c>
      <c r="AU82" t="s">
        <v>77</v>
      </c>
      <c r="AV82">
        <v>0</v>
      </c>
      <c r="AW82">
        <v>2</v>
      </c>
      <c r="AX82">
        <v>55915587</v>
      </c>
      <c r="AY82">
        <v>1</v>
      </c>
      <c r="AZ82">
        <v>0</v>
      </c>
      <c r="BA82">
        <v>96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ROUND(Y82*Source!I166,9)</f>
        <v>1E-4</v>
      </c>
      <c r="CY82">
        <f>AA82</f>
        <v>64123.05</v>
      </c>
      <c r="CZ82">
        <f>AE82</f>
        <v>64123.05</v>
      </c>
      <c r="DA82">
        <f>AI82</f>
        <v>1</v>
      </c>
      <c r="DB82">
        <f>ROUND((ROUND(AT82*CZ82,2)*1),6)</f>
        <v>0.64</v>
      </c>
      <c r="DC82">
        <f>ROUND((ROUND(AT82*AG82,2)*1),6)</f>
        <v>0</v>
      </c>
      <c r="DD82" t="s">
        <v>3</v>
      </c>
      <c r="DE82" t="s">
        <v>3</v>
      </c>
      <c r="DF82">
        <f t="shared" si="26"/>
        <v>6.41</v>
      </c>
      <c r="DG82">
        <f t="shared" si="17"/>
        <v>0</v>
      </c>
      <c r="DH82">
        <f t="shared" si="18"/>
        <v>0</v>
      </c>
      <c r="DI82">
        <f t="shared" si="19"/>
        <v>0</v>
      </c>
      <c r="DJ82">
        <f>DF82</f>
        <v>6.41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ROW(Source!A166)</f>
        <v>166</v>
      </c>
      <c r="B83">
        <v>55915256</v>
      </c>
      <c r="C83">
        <v>55915585</v>
      </c>
      <c r="D83">
        <v>55487942</v>
      </c>
      <c r="E83">
        <v>1</v>
      </c>
      <c r="F83">
        <v>1</v>
      </c>
      <c r="G83">
        <v>1081</v>
      </c>
      <c r="H83">
        <v>3</v>
      </c>
      <c r="I83" t="s">
        <v>375</v>
      </c>
      <c r="J83" t="s">
        <v>376</v>
      </c>
      <c r="K83" t="s">
        <v>377</v>
      </c>
      <c r="L83">
        <v>1303</v>
      </c>
      <c r="N83">
        <v>1003</v>
      </c>
      <c r="O83" t="s">
        <v>378</v>
      </c>
      <c r="P83" t="s">
        <v>378</v>
      </c>
      <c r="Q83">
        <v>1000</v>
      </c>
      <c r="W83">
        <v>0</v>
      </c>
      <c r="X83">
        <v>-1692873835</v>
      </c>
      <c r="Y83">
        <f>(AT83*1)</f>
        <v>2E-3</v>
      </c>
      <c r="AA83">
        <v>516.63</v>
      </c>
      <c r="AB83">
        <v>0</v>
      </c>
      <c r="AC83">
        <v>0</v>
      </c>
      <c r="AD83">
        <v>0</v>
      </c>
      <c r="AE83">
        <v>516.63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2E-3</v>
      </c>
      <c r="AU83" t="s">
        <v>77</v>
      </c>
      <c r="AV83">
        <v>0</v>
      </c>
      <c r="AW83">
        <v>2</v>
      </c>
      <c r="AX83">
        <v>55915588</v>
      </c>
      <c r="AY83">
        <v>1</v>
      </c>
      <c r="AZ83">
        <v>0</v>
      </c>
      <c r="BA83">
        <v>97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v>0</v>
      </c>
      <c r="CX83">
        <f>ROUND(Y83*Source!I166,9)</f>
        <v>0.02</v>
      </c>
      <c r="CY83">
        <f>AA83</f>
        <v>516.63</v>
      </c>
      <c r="CZ83">
        <f>AE83</f>
        <v>516.63</v>
      </c>
      <c r="DA83">
        <f>AI83</f>
        <v>1</v>
      </c>
      <c r="DB83">
        <f>ROUND((ROUND(AT83*CZ83,2)*1),6)</f>
        <v>1.03</v>
      </c>
      <c r="DC83">
        <f>ROUND((ROUND(AT83*AG83,2)*1),6)</f>
        <v>0</v>
      </c>
      <c r="DD83" t="s">
        <v>3</v>
      </c>
      <c r="DE83" t="s">
        <v>3</v>
      </c>
      <c r="DF83">
        <f t="shared" si="26"/>
        <v>10.33</v>
      </c>
      <c r="DG83">
        <f t="shared" si="17"/>
        <v>0</v>
      </c>
      <c r="DH83">
        <f t="shared" si="18"/>
        <v>0</v>
      </c>
      <c r="DI83">
        <f t="shared" si="19"/>
        <v>0</v>
      </c>
      <c r="DJ83">
        <f>DF83</f>
        <v>10.33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ROW(Source!A167)</f>
        <v>167</v>
      </c>
      <c r="B84">
        <v>55915258</v>
      </c>
      <c r="C84">
        <v>55915585</v>
      </c>
      <c r="D84">
        <v>55424304</v>
      </c>
      <c r="E84">
        <v>1081</v>
      </c>
      <c r="F84">
        <v>1</v>
      </c>
      <c r="G84">
        <v>1081</v>
      </c>
      <c r="H84">
        <v>1</v>
      </c>
      <c r="I84" t="s">
        <v>363</v>
      </c>
      <c r="J84" t="s">
        <v>3</v>
      </c>
      <c r="K84" t="s">
        <v>364</v>
      </c>
      <c r="L84">
        <v>1191</v>
      </c>
      <c r="N84">
        <v>1013</v>
      </c>
      <c r="O84" t="s">
        <v>365</v>
      </c>
      <c r="P84" t="s">
        <v>365</v>
      </c>
      <c r="Q84">
        <v>1</v>
      </c>
      <c r="W84">
        <v>0</v>
      </c>
      <c r="X84">
        <v>476480486</v>
      </c>
      <c r="Y84">
        <f>(AT84*1.2)</f>
        <v>1.2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5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1</v>
      </c>
      <c r="AU84" t="s">
        <v>78</v>
      </c>
      <c r="AV84">
        <v>1</v>
      </c>
      <c r="AW84">
        <v>2</v>
      </c>
      <c r="AX84">
        <v>55915586</v>
      </c>
      <c r="AY84">
        <v>1</v>
      </c>
      <c r="AZ84">
        <v>0</v>
      </c>
      <c r="BA84">
        <v>99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U84">
        <f>ROUND(AT84*Source!I167*AH84*AL84,2)</f>
        <v>0</v>
      </c>
      <c r="CV84">
        <f>ROUND(Y84*Source!I167,9)</f>
        <v>12</v>
      </c>
      <c r="CW84">
        <v>0</v>
      </c>
      <c r="CX84">
        <f>ROUND(Y84*Source!I167,9)</f>
        <v>12</v>
      </c>
      <c r="CY84">
        <f>AD84</f>
        <v>0</v>
      </c>
      <c r="CZ84">
        <f>AH84</f>
        <v>0</v>
      </c>
      <c r="DA84">
        <f>AL84</f>
        <v>1</v>
      </c>
      <c r="DB84">
        <f>ROUND((ROUND(AT84*CZ84,2)*1.2),6)</f>
        <v>0</v>
      </c>
      <c r="DC84">
        <f>ROUND((ROUND(AT84*AG84,2)*1.2),6)</f>
        <v>0</v>
      </c>
      <c r="DD84" t="s">
        <v>3</v>
      </c>
      <c r="DE84" t="s">
        <v>3</v>
      </c>
      <c r="DF84">
        <f t="shared" si="26"/>
        <v>0</v>
      </c>
      <c r="DG84">
        <f t="shared" si="17"/>
        <v>0</v>
      </c>
      <c r="DH84">
        <f t="shared" si="18"/>
        <v>0</v>
      </c>
      <c r="DI84">
        <f t="shared" si="19"/>
        <v>0</v>
      </c>
      <c r="DJ84">
        <f>DI84</f>
        <v>0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ROW(Source!A167)</f>
        <v>167</v>
      </c>
      <c r="B85">
        <v>55915258</v>
      </c>
      <c r="C85">
        <v>55915585</v>
      </c>
      <c r="D85">
        <v>55459793</v>
      </c>
      <c r="E85">
        <v>1</v>
      </c>
      <c r="F85">
        <v>1</v>
      </c>
      <c r="G85">
        <v>1081</v>
      </c>
      <c r="H85">
        <v>3</v>
      </c>
      <c r="I85" t="s">
        <v>369</v>
      </c>
      <c r="J85" t="s">
        <v>370</v>
      </c>
      <c r="K85" t="s">
        <v>371</v>
      </c>
      <c r="L85">
        <v>1348</v>
      </c>
      <c r="N85">
        <v>1009</v>
      </c>
      <c r="O85" t="s">
        <v>324</v>
      </c>
      <c r="P85" t="s">
        <v>324</v>
      </c>
      <c r="Q85">
        <v>1000</v>
      </c>
      <c r="W85">
        <v>0</v>
      </c>
      <c r="X85">
        <v>-761454284</v>
      </c>
      <c r="Y85">
        <f>(AT85*1)</f>
        <v>1.0000000000000001E-5</v>
      </c>
      <c r="AA85">
        <v>1930745.04</v>
      </c>
      <c r="AB85">
        <v>0</v>
      </c>
      <c r="AC85">
        <v>0</v>
      </c>
      <c r="AD85">
        <v>0</v>
      </c>
      <c r="AE85">
        <v>64123.05</v>
      </c>
      <c r="AF85">
        <v>0</v>
      </c>
      <c r="AG85">
        <v>0</v>
      </c>
      <c r="AH85">
        <v>0</v>
      </c>
      <c r="AI85">
        <v>30.11</v>
      </c>
      <c r="AJ85">
        <v>1</v>
      </c>
      <c r="AK85">
        <v>1</v>
      </c>
      <c r="AL85">
        <v>1</v>
      </c>
      <c r="AM85">
        <v>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1.0000000000000001E-5</v>
      </c>
      <c r="AU85" t="s">
        <v>77</v>
      </c>
      <c r="AV85">
        <v>0</v>
      </c>
      <c r="AW85">
        <v>2</v>
      </c>
      <c r="AX85">
        <v>55915587</v>
      </c>
      <c r="AY85">
        <v>1</v>
      </c>
      <c r="AZ85">
        <v>0</v>
      </c>
      <c r="BA85">
        <v>100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v>0</v>
      </c>
      <c r="CX85">
        <f>ROUND(Y85*Source!I167,9)</f>
        <v>1E-4</v>
      </c>
      <c r="CY85">
        <f>AA85</f>
        <v>1930745.04</v>
      </c>
      <c r="CZ85">
        <f>AE85</f>
        <v>64123.05</v>
      </c>
      <c r="DA85">
        <f>AI85</f>
        <v>30.11</v>
      </c>
      <c r="DB85">
        <f>ROUND((ROUND(AT85*CZ85,2)*1),6)</f>
        <v>0.64</v>
      </c>
      <c r="DC85">
        <f>ROUND((ROUND(AT85*AG85,2)*1),6)</f>
        <v>0</v>
      </c>
      <c r="DD85" t="s">
        <v>3</v>
      </c>
      <c r="DE85" t="s">
        <v>3</v>
      </c>
      <c r="DF85">
        <f>ROUND(ROUND(AE85*AI85,2)*CX85,2)</f>
        <v>193.07</v>
      </c>
      <c r="DG85">
        <f t="shared" si="17"/>
        <v>0</v>
      </c>
      <c r="DH85">
        <f t="shared" si="18"/>
        <v>0</v>
      </c>
      <c r="DI85">
        <f t="shared" si="19"/>
        <v>0</v>
      </c>
      <c r="DJ85">
        <f>DF85</f>
        <v>193.07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ROW(Source!A167)</f>
        <v>167</v>
      </c>
      <c r="B86">
        <v>55915258</v>
      </c>
      <c r="C86">
        <v>55915585</v>
      </c>
      <c r="D86">
        <v>55487942</v>
      </c>
      <c r="E86">
        <v>1</v>
      </c>
      <c r="F86">
        <v>1</v>
      </c>
      <c r="G86">
        <v>1081</v>
      </c>
      <c r="H86">
        <v>3</v>
      </c>
      <c r="I86" t="s">
        <v>375</v>
      </c>
      <c r="J86" t="s">
        <v>376</v>
      </c>
      <c r="K86" t="s">
        <v>377</v>
      </c>
      <c r="L86">
        <v>1303</v>
      </c>
      <c r="N86">
        <v>1003</v>
      </c>
      <c r="O86" t="s">
        <v>378</v>
      </c>
      <c r="P86" t="s">
        <v>378</v>
      </c>
      <c r="Q86">
        <v>1000</v>
      </c>
      <c r="W86">
        <v>0</v>
      </c>
      <c r="X86">
        <v>-1692873835</v>
      </c>
      <c r="Y86">
        <f>(AT86*1)</f>
        <v>2E-3</v>
      </c>
      <c r="AA86">
        <v>5269.63</v>
      </c>
      <c r="AB86">
        <v>0</v>
      </c>
      <c r="AC86">
        <v>0</v>
      </c>
      <c r="AD86">
        <v>0</v>
      </c>
      <c r="AE86">
        <v>516.63</v>
      </c>
      <c r="AF86">
        <v>0</v>
      </c>
      <c r="AG86">
        <v>0</v>
      </c>
      <c r="AH86">
        <v>0</v>
      </c>
      <c r="AI86">
        <v>10.199999999999999</v>
      </c>
      <c r="AJ86">
        <v>1</v>
      </c>
      <c r="AK86">
        <v>1</v>
      </c>
      <c r="AL86">
        <v>1</v>
      </c>
      <c r="AM86">
        <v>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2E-3</v>
      </c>
      <c r="AU86" t="s">
        <v>77</v>
      </c>
      <c r="AV86">
        <v>0</v>
      </c>
      <c r="AW86">
        <v>2</v>
      </c>
      <c r="AX86">
        <v>55915588</v>
      </c>
      <c r="AY86">
        <v>1</v>
      </c>
      <c r="AZ86">
        <v>0</v>
      </c>
      <c r="BA86">
        <v>101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ROUND(Y86*Source!I167,9)</f>
        <v>0.02</v>
      </c>
      <c r="CY86">
        <f>AA86</f>
        <v>5269.63</v>
      </c>
      <c r="CZ86">
        <f>AE86</f>
        <v>516.63</v>
      </c>
      <c r="DA86">
        <f>AI86</f>
        <v>10.199999999999999</v>
      </c>
      <c r="DB86">
        <f>ROUND((ROUND(AT86*CZ86,2)*1),6)</f>
        <v>1.03</v>
      </c>
      <c r="DC86">
        <f>ROUND((ROUND(AT86*AG86,2)*1),6)</f>
        <v>0</v>
      </c>
      <c r="DD86" t="s">
        <v>3</v>
      </c>
      <c r="DE86" t="s">
        <v>3</v>
      </c>
      <c r="DF86">
        <f>ROUND(ROUND(AE86*AI86,2)*CX86,2)</f>
        <v>105.39</v>
      </c>
      <c r="DG86">
        <f t="shared" si="17"/>
        <v>0</v>
      </c>
      <c r="DH86">
        <f t="shared" si="18"/>
        <v>0</v>
      </c>
      <c r="DI86">
        <f t="shared" si="19"/>
        <v>0</v>
      </c>
      <c r="DJ86">
        <f>DF86</f>
        <v>105.39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ROW(Source!A207)</f>
        <v>207</v>
      </c>
      <c r="B87">
        <v>55915256</v>
      </c>
      <c r="C87">
        <v>55915656</v>
      </c>
      <c r="D87">
        <v>55424304</v>
      </c>
      <c r="E87">
        <v>1081</v>
      </c>
      <c r="F87">
        <v>1</v>
      </c>
      <c r="G87">
        <v>1081</v>
      </c>
      <c r="H87">
        <v>1</v>
      </c>
      <c r="I87" t="s">
        <v>363</v>
      </c>
      <c r="J87" t="s">
        <v>3</v>
      </c>
      <c r="K87" t="s">
        <v>364</v>
      </c>
      <c r="L87">
        <v>1191</v>
      </c>
      <c r="N87">
        <v>1013</v>
      </c>
      <c r="O87" t="s">
        <v>365</v>
      </c>
      <c r="P87" t="s">
        <v>365</v>
      </c>
      <c r="Q87">
        <v>1</v>
      </c>
      <c r="W87">
        <v>0</v>
      </c>
      <c r="X87">
        <v>476480486</v>
      </c>
      <c r="Y87">
        <f>(AT87*1.2)</f>
        <v>3.8159999999999998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3.18</v>
      </c>
      <c r="AU87" t="s">
        <v>78</v>
      </c>
      <c r="AV87">
        <v>1</v>
      </c>
      <c r="AW87">
        <v>2</v>
      </c>
      <c r="AX87">
        <v>55915657</v>
      </c>
      <c r="AY87">
        <v>1</v>
      </c>
      <c r="AZ87">
        <v>0</v>
      </c>
      <c r="BA87">
        <v>103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ROUND(AT87*Source!I207*AH87*AL87,2)</f>
        <v>0</v>
      </c>
      <c r="CV87">
        <f>ROUND(Y87*Source!I207,9)</f>
        <v>15.263999999999999</v>
      </c>
      <c r="CW87">
        <v>0</v>
      </c>
      <c r="CX87">
        <f>ROUND(Y87*Source!I207,9)</f>
        <v>15.263999999999999</v>
      </c>
      <c r="CY87">
        <f>AD87</f>
        <v>0</v>
      </c>
      <c r="CZ87">
        <f>AH87</f>
        <v>0</v>
      </c>
      <c r="DA87">
        <f>AL87</f>
        <v>1</v>
      </c>
      <c r="DB87">
        <f>ROUND((ROUND(AT87*CZ87,2)*1.2),6)</f>
        <v>0</v>
      </c>
      <c r="DC87">
        <f>ROUND((ROUND(AT87*AG87,2)*1.2),6)</f>
        <v>0</v>
      </c>
      <c r="DD87" t="s">
        <v>3</v>
      </c>
      <c r="DE87" t="s">
        <v>3</v>
      </c>
      <c r="DF87">
        <f>ROUND(ROUND(AE87,2)*CX87,2)</f>
        <v>0</v>
      </c>
      <c r="DG87">
        <f t="shared" si="17"/>
        <v>0</v>
      </c>
      <c r="DH87">
        <f t="shared" si="18"/>
        <v>0</v>
      </c>
      <c r="DI87">
        <f t="shared" si="19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ROW(Source!A207)</f>
        <v>207</v>
      </c>
      <c r="B88">
        <v>55915256</v>
      </c>
      <c r="C88">
        <v>55915656</v>
      </c>
      <c r="D88">
        <v>55461074</v>
      </c>
      <c r="E88">
        <v>1</v>
      </c>
      <c r="F88">
        <v>1</v>
      </c>
      <c r="G88">
        <v>1081</v>
      </c>
      <c r="H88">
        <v>3</v>
      </c>
      <c r="I88" t="s">
        <v>366</v>
      </c>
      <c r="J88" t="s">
        <v>367</v>
      </c>
      <c r="K88" t="s">
        <v>368</v>
      </c>
      <c r="L88">
        <v>1346</v>
      </c>
      <c r="N88">
        <v>1009</v>
      </c>
      <c r="O88" t="s">
        <v>339</v>
      </c>
      <c r="P88" t="s">
        <v>339</v>
      </c>
      <c r="Q88">
        <v>1</v>
      </c>
      <c r="W88">
        <v>0</v>
      </c>
      <c r="X88">
        <v>-861631226</v>
      </c>
      <c r="Y88">
        <f>(AT88*1)</f>
        <v>6.2700000000000004E-3</v>
      </c>
      <c r="AA88">
        <v>27.62</v>
      </c>
      <c r="AB88">
        <v>0</v>
      </c>
      <c r="AC88">
        <v>0</v>
      </c>
      <c r="AD88">
        <v>0</v>
      </c>
      <c r="AE88">
        <v>27.62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6.2700000000000004E-3</v>
      </c>
      <c r="AU88" t="s">
        <v>77</v>
      </c>
      <c r="AV88">
        <v>0</v>
      </c>
      <c r="AW88">
        <v>2</v>
      </c>
      <c r="AX88">
        <v>55915658</v>
      </c>
      <c r="AY88">
        <v>1</v>
      </c>
      <c r="AZ88">
        <v>0</v>
      </c>
      <c r="BA88">
        <v>104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ROUND(Y88*Source!I207,9)</f>
        <v>2.5080000000000002E-2</v>
      </c>
      <c r="CY88">
        <f>AA88</f>
        <v>27.62</v>
      </c>
      <c r="CZ88">
        <f>AE88</f>
        <v>27.62</v>
      </c>
      <c r="DA88">
        <f>AI88</f>
        <v>1</v>
      </c>
      <c r="DB88">
        <f>ROUND((ROUND(AT88*CZ88,2)*1),6)</f>
        <v>0.17</v>
      </c>
      <c r="DC88">
        <f>ROUND((ROUND(AT88*AG88,2)*1),6)</f>
        <v>0</v>
      </c>
      <c r="DD88" t="s">
        <v>3</v>
      </c>
      <c r="DE88" t="s">
        <v>3</v>
      </c>
      <c r="DF88">
        <f>ROUND(ROUND(AE88,2)*CX88,2)</f>
        <v>0.69</v>
      </c>
      <c r="DG88">
        <f t="shared" si="17"/>
        <v>0</v>
      </c>
      <c r="DH88">
        <f t="shared" si="18"/>
        <v>0</v>
      </c>
      <c r="DI88">
        <f t="shared" si="19"/>
        <v>0</v>
      </c>
      <c r="DJ88">
        <f>DF88</f>
        <v>0.69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ROW(Source!A207)</f>
        <v>207</v>
      </c>
      <c r="B89">
        <v>55915256</v>
      </c>
      <c r="C89">
        <v>55915656</v>
      </c>
      <c r="D89">
        <v>55459793</v>
      </c>
      <c r="E89">
        <v>1</v>
      </c>
      <c r="F89">
        <v>1</v>
      </c>
      <c r="G89">
        <v>1081</v>
      </c>
      <c r="H89">
        <v>3</v>
      </c>
      <c r="I89" t="s">
        <v>369</v>
      </c>
      <c r="J89" t="s">
        <v>370</v>
      </c>
      <c r="K89" t="s">
        <v>371</v>
      </c>
      <c r="L89">
        <v>1348</v>
      </c>
      <c r="N89">
        <v>1009</v>
      </c>
      <c r="O89" t="s">
        <v>324</v>
      </c>
      <c r="P89" t="s">
        <v>324</v>
      </c>
      <c r="Q89">
        <v>1000</v>
      </c>
      <c r="W89">
        <v>0</v>
      </c>
      <c r="X89">
        <v>-761454284</v>
      </c>
      <c r="Y89">
        <f>(AT89*1)</f>
        <v>1.0000000000000001E-5</v>
      </c>
      <c r="AA89">
        <v>64123.05</v>
      </c>
      <c r="AB89">
        <v>0</v>
      </c>
      <c r="AC89">
        <v>0</v>
      </c>
      <c r="AD89">
        <v>0</v>
      </c>
      <c r="AE89">
        <v>64123.05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1.0000000000000001E-5</v>
      </c>
      <c r="AU89" t="s">
        <v>77</v>
      </c>
      <c r="AV89">
        <v>0</v>
      </c>
      <c r="AW89">
        <v>2</v>
      </c>
      <c r="AX89">
        <v>55915659</v>
      </c>
      <c r="AY89">
        <v>1</v>
      </c>
      <c r="AZ89">
        <v>0</v>
      </c>
      <c r="BA89">
        <v>105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v>0</v>
      </c>
      <c r="CX89">
        <f>ROUND(Y89*Source!I207,9)</f>
        <v>4.0000000000000003E-5</v>
      </c>
      <c r="CY89">
        <f>AA89</f>
        <v>64123.05</v>
      </c>
      <c r="CZ89">
        <f>AE89</f>
        <v>64123.05</v>
      </c>
      <c r="DA89">
        <f>AI89</f>
        <v>1</v>
      </c>
      <c r="DB89">
        <f>ROUND((ROUND(AT89*CZ89,2)*1),6)</f>
        <v>0.64</v>
      </c>
      <c r="DC89">
        <f>ROUND((ROUND(AT89*AG89,2)*1),6)</f>
        <v>0</v>
      </c>
      <c r="DD89" t="s">
        <v>3</v>
      </c>
      <c r="DE89" t="s">
        <v>3</v>
      </c>
      <c r="DF89">
        <f>ROUND(ROUND(AE89,2)*CX89,2)</f>
        <v>2.56</v>
      </c>
      <c r="DG89">
        <f t="shared" si="17"/>
        <v>0</v>
      </c>
      <c r="DH89">
        <f t="shared" si="18"/>
        <v>0</v>
      </c>
      <c r="DI89">
        <f t="shared" si="19"/>
        <v>0</v>
      </c>
      <c r="DJ89">
        <f>DF89</f>
        <v>2.56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ROW(Source!A207)</f>
        <v>207</v>
      </c>
      <c r="B90">
        <v>55915256</v>
      </c>
      <c r="C90">
        <v>55915656</v>
      </c>
      <c r="D90">
        <v>55469253</v>
      </c>
      <c r="E90">
        <v>1</v>
      </c>
      <c r="F90">
        <v>1</v>
      </c>
      <c r="G90">
        <v>1081</v>
      </c>
      <c r="H90">
        <v>3</v>
      </c>
      <c r="I90" t="s">
        <v>372</v>
      </c>
      <c r="J90" t="s">
        <v>373</v>
      </c>
      <c r="K90" t="s">
        <v>374</v>
      </c>
      <c r="L90">
        <v>1354</v>
      </c>
      <c r="N90">
        <v>1010</v>
      </c>
      <c r="O90" t="s">
        <v>191</v>
      </c>
      <c r="P90" t="s">
        <v>191</v>
      </c>
      <c r="Q90">
        <v>1</v>
      </c>
      <c r="W90">
        <v>0</v>
      </c>
      <c r="X90">
        <v>-32785108</v>
      </c>
      <c r="Y90">
        <f>(AT90*1)</f>
        <v>0.1</v>
      </c>
      <c r="AA90">
        <v>15.25</v>
      </c>
      <c r="AB90">
        <v>0</v>
      </c>
      <c r="AC90">
        <v>0</v>
      </c>
      <c r="AD90">
        <v>0</v>
      </c>
      <c r="AE90">
        <v>15.25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-2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0.1</v>
      </c>
      <c r="AU90" t="s">
        <v>77</v>
      </c>
      <c r="AV90">
        <v>0</v>
      </c>
      <c r="AW90">
        <v>2</v>
      </c>
      <c r="AX90">
        <v>55915660</v>
      </c>
      <c r="AY90">
        <v>1</v>
      </c>
      <c r="AZ90">
        <v>0</v>
      </c>
      <c r="BA90">
        <v>106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ROUND(Y90*Source!I207,9)</f>
        <v>0.4</v>
      </c>
      <c r="CY90">
        <f>AA90</f>
        <v>15.25</v>
      </c>
      <c r="CZ90">
        <f>AE90</f>
        <v>15.25</v>
      </c>
      <c r="DA90">
        <f>AI90</f>
        <v>1</v>
      </c>
      <c r="DB90">
        <f>ROUND((ROUND(AT90*CZ90,2)*1),6)</f>
        <v>1.53</v>
      </c>
      <c r="DC90">
        <f>ROUND((ROUND(AT90*AG90,2)*1),6)</f>
        <v>0</v>
      </c>
      <c r="DD90" t="s">
        <v>3</v>
      </c>
      <c r="DE90" t="s">
        <v>3</v>
      </c>
      <c r="DF90">
        <f>ROUND(ROUND(AE90,2)*CX90,2)</f>
        <v>6.1</v>
      </c>
      <c r="DG90">
        <f t="shared" si="17"/>
        <v>0</v>
      </c>
      <c r="DH90">
        <f t="shared" si="18"/>
        <v>0</v>
      </c>
      <c r="DI90">
        <f t="shared" si="19"/>
        <v>0</v>
      </c>
      <c r="DJ90">
        <f>DF90</f>
        <v>6.1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">
      <c r="A91">
        <f>ROW(Source!A208)</f>
        <v>208</v>
      </c>
      <c r="B91">
        <v>55915258</v>
      </c>
      <c r="C91">
        <v>55915656</v>
      </c>
      <c r="D91">
        <v>55424304</v>
      </c>
      <c r="E91">
        <v>1081</v>
      </c>
      <c r="F91">
        <v>1</v>
      </c>
      <c r="G91">
        <v>1081</v>
      </c>
      <c r="H91">
        <v>1</v>
      </c>
      <c r="I91" t="s">
        <v>363</v>
      </c>
      <c r="J91" t="s">
        <v>3</v>
      </c>
      <c r="K91" t="s">
        <v>364</v>
      </c>
      <c r="L91">
        <v>1191</v>
      </c>
      <c r="N91">
        <v>1013</v>
      </c>
      <c r="O91" t="s">
        <v>365</v>
      </c>
      <c r="P91" t="s">
        <v>365</v>
      </c>
      <c r="Q91">
        <v>1</v>
      </c>
      <c r="W91">
        <v>0</v>
      </c>
      <c r="X91">
        <v>476480486</v>
      </c>
      <c r="Y91">
        <f>(AT91*1.2)</f>
        <v>3.8159999999999998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5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3.18</v>
      </c>
      <c r="AU91" t="s">
        <v>78</v>
      </c>
      <c r="AV91">
        <v>1</v>
      </c>
      <c r="AW91">
        <v>2</v>
      </c>
      <c r="AX91">
        <v>55915657</v>
      </c>
      <c r="AY91">
        <v>1</v>
      </c>
      <c r="AZ91">
        <v>0</v>
      </c>
      <c r="BA91">
        <v>108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U91">
        <f>ROUND(AT91*Source!I208*AH91*AL91,2)</f>
        <v>0</v>
      </c>
      <c r="CV91">
        <f>ROUND(Y91*Source!I208,9)</f>
        <v>15.263999999999999</v>
      </c>
      <c r="CW91">
        <v>0</v>
      </c>
      <c r="CX91">
        <f>ROUND(Y91*Source!I208,9)</f>
        <v>15.263999999999999</v>
      </c>
      <c r="CY91">
        <f>AD91</f>
        <v>0</v>
      </c>
      <c r="CZ91">
        <f>AH91</f>
        <v>0</v>
      </c>
      <c r="DA91">
        <f>AL91</f>
        <v>1</v>
      </c>
      <c r="DB91">
        <f>ROUND((ROUND(AT91*CZ91,2)*1.2),6)</f>
        <v>0</v>
      </c>
      <c r="DC91">
        <f>ROUND((ROUND(AT91*AG91,2)*1.2),6)</f>
        <v>0</v>
      </c>
      <c r="DD91" t="s">
        <v>3</v>
      </c>
      <c r="DE91" t="s">
        <v>3</v>
      </c>
      <c r="DF91">
        <f>ROUND(ROUND(AE91,2)*CX91,2)</f>
        <v>0</v>
      </c>
      <c r="DG91">
        <f t="shared" si="17"/>
        <v>0</v>
      </c>
      <c r="DH91">
        <f t="shared" si="18"/>
        <v>0</v>
      </c>
      <c r="DI91">
        <f t="shared" si="19"/>
        <v>0</v>
      </c>
      <c r="DJ91">
        <f>DI91</f>
        <v>0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ROW(Source!A208)</f>
        <v>208</v>
      </c>
      <c r="B92">
        <v>55915258</v>
      </c>
      <c r="C92">
        <v>55915656</v>
      </c>
      <c r="D92">
        <v>55461074</v>
      </c>
      <c r="E92">
        <v>1</v>
      </c>
      <c r="F92">
        <v>1</v>
      </c>
      <c r="G92">
        <v>1081</v>
      </c>
      <c r="H92">
        <v>3</v>
      </c>
      <c r="I92" t="s">
        <v>366</v>
      </c>
      <c r="J92" t="s">
        <v>367</v>
      </c>
      <c r="K92" t="s">
        <v>368</v>
      </c>
      <c r="L92">
        <v>1346</v>
      </c>
      <c r="N92">
        <v>1009</v>
      </c>
      <c r="O92" t="s">
        <v>339</v>
      </c>
      <c r="P92" t="s">
        <v>339</v>
      </c>
      <c r="Q92">
        <v>1</v>
      </c>
      <c r="W92">
        <v>0</v>
      </c>
      <c r="X92">
        <v>-861631226</v>
      </c>
      <c r="Y92">
        <f>(AT92*1)</f>
        <v>6.2700000000000004E-3</v>
      </c>
      <c r="AA92">
        <v>163.51</v>
      </c>
      <c r="AB92">
        <v>0</v>
      </c>
      <c r="AC92">
        <v>0</v>
      </c>
      <c r="AD92">
        <v>0</v>
      </c>
      <c r="AE92">
        <v>27.62</v>
      </c>
      <c r="AF92">
        <v>0</v>
      </c>
      <c r="AG92">
        <v>0</v>
      </c>
      <c r="AH92">
        <v>0</v>
      </c>
      <c r="AI92">
        <v>5.92</v>
      </c>
      <c r="AJ92">
        <v>1</v>
      </c>
      <c r="AK92">
        <v>1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6.2700000000000004E-3</v>
      </c>
      <c r="AU92" t="s">
        <v>77</v>
      </c>
      <c r="AV92">
        <v>0</v>
      </c>
      <c r="AW92">
        <v>2</v>
      </c>
      <c r="AX92">
        <v>55915658</v>
      </c>
      <c r="AY92">
        <v>1</v>
      </c>
      <c r="AZ92">
        <v>0</v>
      </c>
      <c r="BA92">
        <v>109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ROUND(Y92*Source!I208,9)</f>
        <v>2.5080000000000002E-2</v>
      </c>
      <c r="CY92">
        <f>AA92</f>
        <v>163.51</v>
      </c>
      <c r="CZ92">
        <f>AE92</f>
        <v>27.62</v>
      </c>
      <c r="DA92">
        <f>AI92</f>
        <v>5.92</v>
      </c>
      <c r="DB92">
        <f>ROUND((ROUND(AT92*CZ92,2)*1),6)</f>
        <v>0.17</v>
      </c>
      <c r="DC92">
        <f>ROUND((ROUND(AT92*AG92,2)*1),6)</f>
        <v>0</v>
      </c>
      <c r="DD92" t="s">
        <v>3</v>
      </c>
      <c r="DE92" t="s">
        <v>3</v>
      </c>
      <c r="DF92">
        <f>ROUND(ROUND(AE92*AI92,2)*CX92,2)</f>
        <v>4.0999999999999996</v>
      </c>
      <c r="DG92">
        <f t="shared" si="17"/>
        <v>0</v>
      </c>
      <c r="DH92">
        <f t="shared" si="18"/>
        <v>0</v>
      </c>
      <c r="DI92">
        <f t="shared" si="19"/>
        <v>0</v>
      </c>
      <c r="DJ92">
        <f>DF92</f>
        <v>4.0999999999999996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ROW(Source!A208)</f>
        <v>208</v>
      </c>
      <c r="B93">
        <v>55915258</v>
      </c>
      <c r="C93">
        <v>55915656</v>
      </c>
      <c r="D93">
        <v>55459793</v>
      </c>
      <c r="E93">
        <v>1</v>
      </c>
      <c r="F93">
        <v>1</v>
      </c>
      <c r="G93">
        <v>1081</v>
      </c>
      <c r="H93">
        <v>3</v>
      </c>
      <c r="I93" t="s">
        <v>369</v>
      </c>
      <c r="J93" t="s">
        <v>370</v>
      </c>
      <c r="K93" t="s">
        <v>371</v>
      </c>
      <c r="L93">
        <v>1348</v>
      </c>
      <c r="N93">
        <v>1009</v>
      </c>
      <c r="O93" t="s">
        <v>324</v>
      </c>
      <c r="P93" t="s">
        <v>324</v>
      </c>
      <c r="Q93">
        <v>1000</v>
      </c>
      <c r="W93">
        <v>0</v>
      </c>
      <c r="X93">
        <v>-761454284</v>
      </c>
      <c r="Y93">
        <f>(AT93*1)</f>
        <v>1.0000000000000001E-5</v>
      </c>
      <c r="AA93">
        <v>1930745.04</v>
      </c>
      <c r="AB93">
        <v>0</v>
      </c>
      <c r="AC93">
        <v>0</v>
      </c>
      <c r="AD93">
        <v>0</v>
      </c>
      <c r="AE93">
        <v>64123.05</v>
      </c>
      <c r="AF93">
        <v>0</v>
      </c>
      <c r="AG93">
        <v>0</v>
      </c>
      <c r="AH93">
        <v>0</v>
      </c>
      <c r="AI93">
        <v>30.11</v>
      </c>
      <c r="AJ93">
        <v>1</v>
      </c>
      <c r="AK93">
        <v>1</v>
      </c>
      <c r="AL93">
        <v>1</v>
      </c>
      <c r="AM93">
        <v>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1.0000000000000001E-5</v>
      </c>
      <c r="AU93" t="s">
        <v>77</v>
      </c>
      <c r="AV93">
        <v>0</v>
      </c>
      <c r="AW93">
        <v>2</v>
      </c>
      <c r="AX93">
        <v>55915659</v>
      </c>
      <c r="AY93">
        <v>1</v>
      </c>
      <c r="AZ93">
        <v>0</v>
      </c>
      <c r="BA93">
        <v>110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ROUND(Y93*Source!I208,9)</f>
        <v>4.0000000000000003E-5</v>
      </c>
      <c r="CY93">
        <f>AA93</f>
        <v>1930745.04</v>
      </c>
      <c r="CZ93">
        <f>AE93</f>
        <v>64123.05</v>
      </c>
      <c r="DA93">
        <f>AI93</f>
        <v>30.11</v>
      </c>
      <c r="DB93">
        <f>ROUND((ROUND(AT93*CZ93,2)*1),6)</f>
        <v>0.64</v>
      </c>
      <c r="DC93">
        <f>ROUND((ROUND(AT93*AG93,2)*1),6)</f>
        <v>0</v>
      </c>
      <c r="DD93" t="s">
        <v>3</v>
      </c>
      <c r="DE93" t="s">
        <v>3</v>
      </c>
      <c r="DF93">
        <f>ROUND(ROUND(AE93*AI93,2)*CX93,2)</f>
        <v>77.23</v>
      </c>
      <c r="DG93">
        <f t="shared" si="17"/>
        <v>0</v>
      </c>
      <c r="DH93">
        <f t="shared" si="18"/>
        <v>0</v>
      </c>
      <c r="DI93">
        <f t="shared" si="19"/>
        <v>0</v>
      </c>
      <c r="DJ93">
        <f>DF93</f>
        <v>77.23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ROW(Source!A208)</f>
        <v>208</v>
      </c>
      <c r="B94">
        <v>55915258</v>
      </c>
      <c r="C94">
        <v>55915656</v>
      </c>
      <c r="D94">
        <v>55469253</v>
      </c>
      <c r="E94">
        <v>1</v>
      </c>
      <c r="F94">
        <v>1</v>
      </c>
      <c r="G94">
        <v>1081</v>
      </c>
      <c r="H94">
        <v>3</v>
      </c>
      <c r="I94" t="s">
        <v>372</v>
      </c>
      <c r="J94" t="s">
        <v>373</v>
      </c>
      <c r="K94" t="s">
        <v>374</v>
      </c>
      <c r="L94">
        <v>1354</v>
      </c>
      <c r="N94">
        <v>1010</v>
      </c>
      <c r="O94" t="s">
        <v>191</v>
      </c>
      <c r="P94" t="s">
        <v>191</v>
      </c>
      <c r="Q94">
        <v>1</v>
      </c>
      <c r="W94">
        <v>0</v>
      </c>
      <c r="X94">
        <v>-32785108</v>
      </c>
      <c r="Y94">
        <f>(AT94*1)</f>
        <v>0.1</v>
      </c>
      <c r="AA94">
        <v>36.14</v>
      </c>
      <c r="AB94">
        <v>0</v>
      </c>
      <c r="AC94">
        <v>0</v>
      </c>
      <c r="AD94">
        <v>0</v>
      </c>
      <c r="AE94">
        <v>15.25</v>
      </c>
      <c r="AF94">
        <v>0</v>
      </c>
      <c r="AG94">
        <v>0</v>
      </c>
      <c r="AH94">
        <v>0</v>
      </c>
      <c r="AI94">
        <v>2.37</v>
      </c>
      <c r="AJ94">
        <v>1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0.1</v>
      </c>
      <c r="AU94" t="s">
        <v>77</v>
      </c>
      <c r="AV94">
        <v>0</v>
      </c>
      <c r="AW94">
        <v>2</v>
      </c>
      <c r="AX94">
        <v>55915660</v>
      </c>
      <c r="AY94">
        <v>1</v>
      </c>
      <c r="AZ94">
        <v>0</v>
      </c>
      <c r="BA94">
        <v>111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ROUND(Y94*Source!I208,9)</f>
        <v>0.4</v>
      </c>
      <c r="CY94">
        <f>AA94</f>
        <v>36.14</v>
      </c>
      <c r="CZ94">
        <f>AE94</f>
        <v>15.25</v>
      </c>
      <c r="DA94">
        <f>AI94</f>
        <v>2.37</v>
      </c>
      <c r="DB94">
        <f>ROUND((ROUND(AT94*CZ94,2)*1),6)</f>
        <v>1.53</v>
      </c>
      <c r="DC94">
        <f>ROUND((ROUND(AT94*AG94,2)*1),6)</f>
        <v>0</v>
      </c>
      <c r="DD94" t="s">
        <v>3</v>
      </c>
      <c r="DE94" t="s">
        <v>3</v>
      </c>
      <c r="DF94">
        <f>ROUND(ROUND(AE94*AI94,2)*CX94,2)</f>
        <v>14.46</v>
      </c>
      <c r="DG94">
        <f t="shared" si="17"/>
        <v>0</v>
      </c>
      <c r="DH94">
        <f t="shared" si="18"/>
        <v>0</v>
      </c>
      <c r="DI94">
        <f t="shared" si="19"/>
        <v>0</v>
      </c>
      <c r="DJ94">
        <f>DF94</f>
        <v>14.46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ROW(Source!A252)</f>
        <v>252</v>
      </c>
      <c r="B95">
        <v>55915256</v>
      </c>
      <c r="C95">
        <v>55915745</v>
      </c>
      <c r="D95">
        <v>55424304</v>
      </c>
      <c r="E95">
        <v>1081</v>
      </c>
      <c r="F95">
        <v>1</v>
      </c>
      <c r="G95">
        <v>1081</v>
      </c>
      <c r="H95">
        <v>1</v>
      </c>
      <c r="I95" t="s">
        <v>363</v>
      </c>
      <c r="J95" t="s">
        <v>3</v>
      </c>
      <c r="K95" t="s">
        <v>364</v>
      </c>
      <c r="L95">
        <v>1191</v>
      </c>
      <c r="N95">
        <v>1013</v>
      </c>
      <c r="O95" t="s">
        <v>365</v>
      </c>
      <c r="P95" t="s">
        <v>365</v>
      </c>
      <c r="Q95">
        <v>1</v>
      </c>
      <c r="W95">
        <v>0</v>
      </c>
      <c r="X95">
        <v>476480486</v>
      </c>
      <c r="Y95">
        <f>(AT95*1.2)</f>
        <v>3.8159999999999998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3.18</v>
      </c>
      <c r="AU95" t="s">
        <v>78</v>
      </c>
      <c r="AV95">
        <v>1</v>
      </c>
      <c r="AW95">
        <v>2</v>
      </c>
      <c r="AX95">
        <v>55915750</v>
      </c>
      <c r="AY95">
        <v>1</v>
      </c>
      <c r="AZ95">
        <v>0</v>
      </c>
      <c r="BA95">
        <v>113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U95">
        <f>ROUND(AT95*Source!I252*AH95*AL95,2)</f>
        <v>0</v>
      </c>
      <c r="CV95">
        <f>ROUND(Y95*Source!I252,9)</f>
        <v>19.079999999999998</v>
      </c>
      <c r="CW95">
        <v>0</v>
      </c>
      <c r="CX95">
        <f>ROUND(Y95*Source!I252,9)</f>
        <v>19.079999999999998</v>
      </c>
      <c r="CY95">
        <f>AD95</f>
        <v>0</v>
      </c>
      <c r="CZ95">
        <f>AH95</f>
        <v>0</v>
      </c>
      <c r="DA95">
        <f>AL95</f>
        <v>1</v>
      </c>
      <c r="DB95">
        <f>ROUND((ROUND(AT95*CZ95,2)*1.2),6)</f>
        <v>0</v>
      </c>
      <c r="DC95">
        <f>ROUND((ROUND(AT95*AG95,2)*1.2),6)</f>
        <v>0</v>
      </c>
      <c r="DD95" t="s">
        <v>3</v>
      </c>
      <c r="DE95" t="s">
        <v>3</v>
      </c>
      <c r="DF95">
        <f>ROUND(ROUND(AE95,2)*CX95,2)</f>
        <v>0</v>
      </c>
      <c r="DG95">
        <f t="shared" si="17"/>
        <v>0</v>
      </c>
      <c r="DH95">
        <f t="shared" si="18"/>
        <v>0</v>
      </c>
      <c r="DI95">
        <f t="shared" si="19"/>
        <v>0</v>
      </c>
      <c r="DJ95">
        <f>DI95</f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ROW(Source!A252)</f>
        <v>252</v>
      </c>
      <c r="B96">
        <v>55915256</v>
      </c>
      <c r="C96">
        <v>55915745</v>
      </c>
      <c r="D96">
        <v>55461074</v>
      </c>
      <c r="E96">
        <v>1</v>
      </c>
      <c r="F96">
        <v>1</v>
      </c>
      <c r="G96">
        <v>1081</v>
      </c>
      <c r="H96">
        <v>3</v>
      </c>
      <c r="I96" t="s">
        <v>366</v>
      </c>
      <c r="J96" t="s">
        <v>367</v>
      </c>
      <c r="K96" t="s">
        <v>368</v>
      </c>
      <c r="L96">
        <v>1346</v>
      </c>
      <c r="N96">
        <v>1009</v>
      </c>
      <c r="O96" t="s">
        <v>339</v>
      </c>
      <c r="P96" t="s">
        <v>339</v>
      </c>
      <c r="Q96">
        <v>1</v>
      </c>
      <c r="W96">
        <v>0</v>
      </c>
      <c r="X96">
        <v>-861631226</v>
      </c>
      <c r="Y96">
        <f>(AT96*1)</f>
        <v>6.2700000000000004E-3</v>
      </c>
      <c r="AA96">
        <v>27.62</v>
      </c>
      <c r="AB96">
        <v>0</v>
      </c>
      <c r="AC96">
        <v>0</v>
      </c>
      <c r="AD96">
        <v>0</v>
      </c>
      <c r="AE96">
        <v>27.62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6.2700000000000004E-3</v>
      </c>
      <c r="AU96" t="s">
        <v>77</v>
      </c>
      <c r="AV96">
        <v>0</v>
      </c>
      <c r="AW96">
        <v>2</v>
      </c>
      <c r="AX96">
        <v>55915751</v>
      </c>
      <c r="AY96">
        <v>1</v>
      </c>
      <c r="AZ96">
        <v>0</v>
      </c>
      <c r="BA96">
        <v>114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ROUND(Y96*Source!I252,9)</f>
        <v>3.1350000000000003E-2</v>
      </c>
      <c r="CY96">
        <f>AA96</f>
        <v>27.62</v>
      </c>
      <c r="CZ96">
        <f>AE96</f>
        <v>27.62</v>
      </c>
      <c r="DA96">
        <f>AI96</f>
        <v>1</v>
      </c>
      <c r="DB96">
        <f>ROUND((ROUND(AT96*CZ96,2)*1),6)</f>
        <v>0.17</v>
      </c>
      <c r="DC96">
        <f>ROUND((ROUND(AT96*AG96,2)*1),6)</f>
        <v>0</v>
      </c>
      <c r="DD96" t="s">
        <v>3</v>
      </c>
      <c r="DE96" t="s">
        <v>3</v>
      </c>
      <c r="DF96">
        <f>ROUND(ROUND(AE96,2)*CX96,2)</f>
        <v>0.87</v>
      </c>
      <c r="DG96">
        <f t="shared" si="17"/>
        <v>0</v>
      </c>
      <c r="DH96">
        <f t="shared" si="18"/>
        <v>0</v>
      </c>
      <c r="DI96">
        <f t="shared" si="19"/>
        <v>0</v>
      </c>
      <c r="DJ96">
        <f>DF96</f>
        <v>0.87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ROW(Source!A252)</f>
        <v>252</v>
      </c>
      <c r="B97">
        <v>55915256</v>
      </c>
      <c r="C97">
        <v>55915745</v>
      </c>
      <c r="D97">
        <v>55459793</v>
      </c>
      <c r="E97">
        <v>1</v>
      </c>
      <c r="F97">
        <v>1</v>
      </c>
      <c r="G97">
        <v>1081</v>
      </c>
      <c r="H97">
        <v>3</v>
      </c>
      <c r="I97" t="s">
        <v>369</v>
      </c>
      <c r="J97" t="s">
        <v>370</v>
      </c>
      <c r="K97" t="s">
        <v>371</v>
      </c>
      <c r="L97">
        <v>1348</v>
      </c>
      <c r="N97">
        <v>1009</v>
      </c>
      <c r="O97" t="s">
        <v>324</v>
      </c>
      <c r="P97" t="s">
        <v>324</v>
      </c>
      <c r="Q97">
        <v>1000</v>
      </c>
      <c r="W97">
        <v>0</v>
      </c>
      <c r="X97">
        <v>-761454284</v>
      </c>
      <c r="Y97">
        <f>(AT97*1)</f>
        <v>1.0000000000000001E-5</v>
      </c>
      <c r="AA97">
        <v>64123.05</v>
      </c>
      <c r="AB97">
        <v>0</v>
      </c>
      <c r="AC97">
        <v>0</v>
      </c>
      <c r="AD97">
        <v>0</v>
      </c>
      <c r="AE97">
        <v>64123.05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1.0000000000000001E-5</v>
      </c>
      <c r="AU97" t="s">
        <v>77</v>
      </c>
      <c r="AV97">
        <v>0</v>
      </c>
      <c r="AW97">
        <v>2</v>
      </c>
      <c r="AX97">
        <v>55915752</v>
      </c>
      <c r="AY97">
        <v>1</v>
      </c>
      <c r="AZ97">
        <v>0</v>
      </c>
      <c r="BA97">
        <v>115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ROUND(Y97*Source!I252,9)</f>
        <v>5.0000000000000002E-5</v>
      </c>
      <c r="CY97">
        <f>AA97</f>
        <v>64123.05</v>
      </c>
      <c r="CZ97">
        <f>AE97</f>
        <v>64123.05</v>
      </c>
      <c r="DA97">
        <f>AI97</f>
        <v>1</v>
      </c>
      <c r="DB97">
        <f>ROUND((ROUND(AT97*CZ97,2)*1),6)</f>
        <v>0.64</v>
      </c>
      <c r="DC97">
        <f>ROUND((ROUND(AT97*AG97,2)*1),6)</f>
        <v>0</v>
      </c>
      <c r="DD97" t="s">
        <v>3</v>
      </c>
      <c r="DE97" t="s">
        <v>3</v>
      </c>
      <c r="DF97">
        <f>ROUND(ROUND(AE97,2)*CX97,2)</f>
        <v>3.21</v>
      </c>
      <c r="DG97">
        <f t="shared" ref="DG97:DG113" si="28">ROUND(ROUND(AF97,2)*CX97,2)</f>
        <v>0</v>
      </c>
      <c r="DH97">
        <f t="shared" ref="DH97:DH128" si="29">ROUND(ROUND(AG97,2)*CX97,2)</f>
        <v>0</v>
      </c>
      <c r="DI97">
        <f t="shared" ref="DI97:DI128" si="30">ROUND(ROUND(AH97,2)*CX97,2)</f>
        <v>0</v>
      </c>
      <c r="DJ97">
        <f>DF97</f>
        <v>3.21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ROW(Source!A252)</f>
        <v>252</v>
      </c>
      <c r="B98">
        <v>55915256</v>
      </c>
      <c r="C98">
        <v>55915745</v>
      </c>
      <c r="D98">
        <v>55469253</v>
      </c>
      <c r="E98">
        <v>1</v>
      </c>
      <c r="F98">
        <v>1</v>
      </c>
      <c r="G98">
        <v>1081</v>
      </c>
      <c r="H98">
        <v>3</v>
      </c>
      <c r="I98" t="s">
        <v>372</v>
      </c>
      <c r="J98" t="s">
        <v>373</v>
      </c>
      <c r="K98" t="s">
        <v>374</v>
      </c>
      <c r="L98">
        <v>1354</v>
      </c>
      <c r="N98">
        <v>1010</v>
      </c>
      <c r="O98" t="s">
        <v>191</v>
      </c>
      <c r="P98" t="s">
        <v>191</v>
      </c>
      <c r="Q98">
        <v>1</v>
      </c>
      <c r="W98">
        <v>0</v>
      </c>
      <c r="X98">
        <v>-32785108</v>
      </c>
      <c r="Y98">
        <f>(AT98*1)</f>
        <v>0.1</v>
      </c>
      <c r="AA98">
        <v>15.25</v>
      </c>
      <c r="AB98">
        <v>0</v>
      </c>
      <c r="AC98">
        <v>0</v>
      </c>
      <c r="AD98">
        <v>0</v>
      </c>
      <c r="AE98">
        <v>15.25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0.1</v>
      </c>
      <c r="AU98" t="s">
        <v>77</v>
      </c>
      <c r="AV98">
        <v>0</v>
      </c>
      <c r="AW98">
        <v>2</v>
      </c>
      <c r="AX98">
        <v>55915753</v>
      </c>
      <c r="AY98">
        <v>1</v>
      </c>
      <c r="AZ98">
        <v>0</v>
      </c>
      <c r="BA98">
        <v>116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ROUND(Y98*Source!I252,9)</f>
        <v>0.5</v>
      </c>
      <c r="CY98">
        <f>AA98</f>
        <v>15.25</v>
      </c>
      <c r="CZ98">
        <f>AE98</f>
        <v>15.25</v>
      </c>
      <c r="DA98">
        <f>AI98</f>
        <v>1</v>
      </c>
      <c r="DB98">
        <f>ROUND((ROUND(AT98*CZ98,2)*1),6)</f>
        <v>1.53</v>
      </c>
      <c r="DC98">
        <f>ROUND((ROUND(AT98*AG98,2)*1),6)</f>
        <v>0</v>
      </c>
      <c r="DD98" t="s">
        <v>3</v>
      </c>
      <c r="DE98" t="s">
        <v>3</v>
      </c>
      <c r="DF98">
        <f>ROUND(ROUND(AE98,2)*CX98,2)</f>
        <v>7.63</v>
      </c>
      <c r="DG98">
        <f t="shared" si="28"/>
        <v>0</v>
      </c>
      <c r="DH98">
        <f t="shared" si="29"/>
        <v>0</v>
      </c>
      <c r="DI98">
        <f t="shared" si="30"/>
        <v>0</v>
      </c>
      <c r="DJ98">
        <f>DF98</f>
        <v>7.63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ROW(Source!A253)</f>
        <v>253</v>
      </c>
      <c r="B99">
        <v>55915258</v>
      </c>
      <c r="C99">
        <v>55915745</v>
      </c>
      <c r="D99">
        <v>55424304</v>
      </c>
      <c r="E99">
        <v>1081</v>
      </c>
      <c r="F99">
        <v>1</v>
      </c>
      <c r="G99">
        <v>1081</v>
      </c>
      <c r="H99">
        <v>1</v>
      </c>
      <c r="I99" t="s">
        <v>363</v>
      </c>
      <c r="J99" t="s">
        <v>3</v>
      </c>
      <c r="K99" t="s">
        <v>364</v>
      </c>
      <c r="L99">
        <v>1191</v>
      </c>
      <c r="N99">
        <v>1013</v>
      </c>
      <c r="O99" t="s">
        <v>365</v>
      </c>
      <c r="P99" t="s">
        <v>365</v>
      </c>
      <c r="Q99">
        <v>1</v>
      </c>
      <c r="W99">
        <v>0</v>
      </c>
      <c r="X99">
        <v>476480486</v>
      </c>
      <c r="Y99">
        <f>(AT99*1.2)</f>
        <v>3.8159999999999998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5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3.18</v>
      </c>
      <c r="AU99" t="s">
        <v>78</v>
      </c>
      <c r="AV99">
        <v>1</v>
      </c>
      <c r="AW99">
        <v>2</v>
      </c>
      <c r="AX99">
        <v>55915750</v>
      </c>
      <c r="AY99">
        <v>1</v>
      </c>
      <c r="AZ99">
        <v>0</v>
      </c>
      <c r="BA99">
        <v>118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U99">
        <f>ROUND(AT99*Source!I253*AH99*AL99,2)</f>
        <v>0</v>
      </c>
      <c r="CV99">
        <f>ROUND(Y99*Source!I253,9)</f>
        <v>19.079999999999998</v>
      </c>
      <c r="CW99">
        <v>0</v>
      </c>
      <c r="CX99">
        <f>ROUND(Y99*Source!I253,9)</f>
        <v>19.079999999999998</v>
      </c>
      <c r="CY99">
        <f>AD99</f>
        <v>0</v>
      </c>
      <c r="CZ99">
        <f>AH99</f>
        <v>0</v>
      </c>
      <c r="DA99">
        <f>AL99</f>
        <v>1</v>
      </c>
      <c r="DB99">
        <f>ROUND((ROUND(AT99*CZ99,2)*1.2),6)</f>
        <v>0</v>
      </c>
      <c r="DC99">
        <f>ROUND((ROUND(AT99*AG99,2)*1.2),6)</f>
        <v>0</v>
      </c>
      <c r="DD99" t="s">
        <v>3</v>
      </c>
      <c r="DE99" t="s">
        <v>3</v>
      </c>
      <c r="DF99">
        <f>ROUND(ROUND(AE99,2)*CX99,2)</f>
        <v>0</v>
      </c>
      <c r="DG99">
        <f t="shared" si="28"/>
        <v>0</v>
      </c>
      <c r="DH99">
        <f t="shared" si="29"/>
        <v>0</v>
      </c>
      <c r="DI99">
        <f t="shared" si="30"/>
        <v>0</v>
      </c>
      <c r="DJ99">
        <f>DI99</f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ROW(Source!A253)</f>
        <v>253</v>
      </c>
      <c r="B100">
        <v>55915258</v>
      </c>
      <c r="C100">
        <v>55915745</v>
      </c>
      <c r="D100">
        <v>55461074</v>
      </c>
      <c r="E100">
        <v>1</v>
      </c>
      <c r="F100">
        <v>1</v>
      </c>
      <c r="G100">
        <v>1081</v>
      </c>
      <c r="H100">
        <v>3</v>
      </c>
      <c r="I100" t="s">
        <v>366</v>
      </c>
      <c r="J100" t="s">
        <v>367</v>
      </c>
      <c r="K100" t="s">
        <v>368</v>
      </c>
      <c r="L100">
        <v>1346</v>
      </c>
      <c r="N100">
        <v>1009</v>
      </c>
      <c r="O100" t="s">
        <v>339</v>
      </c>
      <c r="P100" t="s">
        <v>339</v>
      </c>
      <c r="Q100">
        <v>1</v>
      </c>
      <c r="W100">
        <v>0</v>
      </c>
      <c r="X100">
        <v>-861631226</v>
      </c>
      <c r="Y100">
        <f>(AT100*1)</f>
        <v>6.2700000000000004E-3</v>
      </c>
      <c r="AA100">
        <v>163.51</v>
      </c>
      <c r="AB100">
        <v>0</v>
      </c>
      <c r="AC100">
        <v>0</v>
      </c>
      <c r="AD100">
        <v>0</v>
      </c>
      <c r="AE100">
        <v>27.62</v>
      </c>
      <c r="AF100">
        <v>0</v>
      </c>
      <c r="AG100">
        <v>0</v>
      </c>
      <c r="AH100">
        <v>0</v>
      </c>
      <c r="AI100">
        <v>5.92</v>
      </c>
      <c r="AJ100">
        <v>1</v>
      </c>
      <c r="AK100">
        <v>1</v>
      </c>
      <c r="AL100">
        <v>1</v>
      </c>
      <c r="AM100">
        <v>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6.2700000000000004E-3</v>
      </c>
      <c r="AU100" t="s">
        <v>77</v>
      </c>
      <c r="AV100">
        <v>0</v>
      </c>
      <c r="AW100">
        <v>2</v>
      </c>
      <c r="AX100">
        <v>55915751</v>
      </c>
      <c r="AY100">
        <v>1</v>
      </c>
      <c r="AZ100">
        <v>0</v>
      </c>
      <c r="BA100">
        <v>119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ROUND(Y100*Source!I253,9)</f>
        <v>3.1350000000000003E-2</v>
      </c>
      <c r="CY100">
        <f>AA100</f>
        <v>163.51</v>
      </c>
      <c r="CZ100">
        <f>AE100</f>
        <v>27.62</v>
      </c>
      <c r="DA100">
        <f>AI100</f>
        <v>5.92</v>
      </c>
      <c r="DB100">
        <f>ROUND((ROUND(AT100*CZ100,2)*1),6)</f>
        <v>0.17</v>
      </c>
      <c r="DC100">
        <f>ROUND((ROUND(AT100*AG100,2)*1),6)</f>
        <v>0</v>
      </c>
      <c r="DD100" t="s">
        <v>3</v>
      </c>
      <c r="DE100" t="s">
        <v>3</v>
      </c>
      <c r="DF100">
        <f>ROUND(ROUND(AE100*AI100,2)*CX100,2)</f>
        <v>5.13</v>
      </c>
      <c r="DG100">
        <f t="shared" si="28"/>
        <v>0</v>
      </c>
      <c r="DH100">
        <f t="shared" si="29"/>
        <v>0</v>
      </c>
      <c r="DI100">
        <f t="shared" si="30"/>
        <v>0</v>
      </c>
      <c r="DJ100">
        <f>DF100</f>
        <v>5.13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ROW(Source!A253)</f>
        <v>253</v>
      </c>
      <c r="B101">
        <v>55915258</v>
      </c>
      <c r="C101">
        <v>55915745</v>
      </c>
      <c r="D101">
        <v>55459793</v>
      </c>
      <c r="E101">
        <v>1</v>
      </c>
      <c r="F101">
        <v>1</v>
      </c>
      <c r="G101">
        <v>1081</v>
      </c>
      <c r="H101">
        <v>3</v>
      </c>
      <c r="I101" t="s">
        <v>369</v>
      </c>
      <c r="J101" t="s">
        <v>370</v>
      </c>
      <c r="K101" t="s">
        <v>371</v>
      </c>
      <c r="L101">
        <v>1348</v>
      </c>
      <c r="N101">
        <v>1009</v>
      </c>
      <c r="O101" t="s">
        <v>324</v>
      </c>
      <c r="P101" t="s">
        <v>324</v>
      </c>
      <c r="Q101">
        <v>1000</v>
      </c>
      <c r="W101">
        <v>0</v>
      </c>
      <c r="X101">
        <v>-761454284</v>
      </c>
      <c r="Y101">
        <f>(AT101*1)</f>
        <v>1.0000000000000001E-5</v>
      </c>
      <c r="AA101">
        <v>1930745.04</v>
      </c>
      <c r="AB101">
        <v>0</v>
      </c>
      <c r="AC101">
        <v>0</v>
      </c>
      <c r="AD101">
        <v>0</v>
      </c>
      <c r="AE101">
        <v>64123.05</v>
      </c>
      <c r="AF101">
        <v>0</v>
      </c>
      <c r="AG101">
        <v>0</v>
      </c>
      <c r="AH101">
        <v>0</v>
      </c>
      <c r="AI101">
        <v>30.11</v>
      </c>
      <c r="AJ101">
        <v>1</v>
      </c>
      <c r="AK101">
        <v>1</v>
      </c>
      <c r="AL101">
        <v>1</v>
      </c>
      <c r="AM101">
        <v>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1.0000000000000001E-5</v>
      </c>
      <c r="AU101" t="s">
        <v>77</v>
      </c>
      <c r="AV101">
        <v>0</v>
      </c>
      <c r="AW101">
        <v>2</v>
      </c>
      <c r="AX101">
        <v>55915752</v>
      </c>
      <c r="AY101">
        <v>1</v>
      </c>
      <c r="AZ101">
        <v>0</v>
      </c>
      <c r="BA101">
        <v>120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ROUND(Y101*Source!I253,9)</f>
        <v>5.0000000000000002E-5</v>
      </c>
      <c r="CY101">
        <f>AA101</f>
        <v>1930745.04</v>
      </c>
      <c r="CZ101">
        <f>AE101</f>
        <v>64123.05</v>
      </c>
      <c r="DA101">
        <f>AI101</f>
        <v>30.11</v>
      </c>
      <c r="DB101">
        <f>ROUND((ROUND(AT101*CZ101,2)*1),6)</f>
        <v>0.64</v>
      </c>
      <c r="DC101">
        <f>ROUND((ROUND(AT101*AG101,2)*1),6)</f>
        <v>0</v>
      </c>
      <c r="DD101" t="s">
        <v>3</v>
      </c>
      <c r="DE101" t="s">
        <v>3</v>
      </c>
      <c r="DF101">
        <f>ROUND(ROUND(AE101*AI101,2)*CX101,2)</f>
        <v>96.54</v>
      </c>
      <c r="DG101">
        <f t="shared" si="28"/>
        <v>0</v>
      </c>
      <c r="DH101">
        <f t="shared" si="29"/>
        <v>0</v>
      </c>
      <c r="DI101">
        <f t="shared" si="30"/>
        <v>0</v>
      </c>
      <c r="DJ101">
        <f>DF101</f>
        <v>96.54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ROW(Source!A253)</f>
        <v>253</v>
      </c>
      <c r="B102">
        <v>55915258</v>
      </c>
      <c r="C102">
        <v>55915745</v>
      </c>
      <c r="D102">
        <v>55469253</v>
      </c>
      <c r="E102">
        <v>1</v>
      </c>
      <c r="F102">
        <v>1</v>
      </c>
      <c r="G102">
        <v>1081</v>
      </c>
      <c r="H102">
        <v>3</v>
      </c>
      <c r="I102" t="s">
        <v>372</v>
      </c>
      <c r="J102" t="s">
        <v>373</v>
      </c>
      <c r="K102" t="s">
        <v>374</v>
      </c>
      <c r="L102">
        <v>1354</v>
      </c>
      <c r="N102">
        <v>1010</v>
      </c>
      <c r="O102" t="s">
        <v>191</v>
      </c>
      <c r="P102" t="s">
        <v>191</v>
      </c>
      <c r="Q102">
        <v>1</v>
      </c>
      <c r="W102">
        <v>0</v>
      </c>
      <c r="X102">
        <v>-32785108</v>
      </c>
      <c r="Y102">
        <f>(AT102*1)</f>
        <v>0.1</v>
      </c>
      <c r="AA102">
        <v>36.14</v>
      </c>
      <c r="AB102">
        <v>0</v>
      </c>
      <c r="AC102">
        <v>0</v>
      </c>
      <c r="AD102">
        <v>0</v>
      </c>
      <c r="AE102">
        <v>15.25</v>
      </c>
      <c r="AF102">
        <v>0</v>
      </c>
      <c r="AG102">
        <v>0</v>
      </c>
      <c r="AH102">
        <v>0</v>
      </c>
      <c r="AI102">
        <v>2.37</v>
      </c>
      <c r="AJ102">
        <v>1</v>
      </c>
      <c r="AK102">
        <v>1</v>
      </c>
      <c r="AL102">
        <v>1</v>
      </c>
      <c r="AM102">
        <v>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0.1</v>
      </c>
      <c r="AU102" t="s">
        <v>77</v>
      </c>
      <c r="AV102">
        <v>0</v>
      </c>
      <c r="AW102">
        <v>2</v>
      </c>
      <c r="AX102">
        <v>55915753</v>
      </c>
      <c r="AY102">
        <v>1</v>
      </c>
      <c r="AZ102">
        <v>0</v>
      </c>
      <c r="BA102">
        <v>121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ROUND(Y102*Source!I253,9)</f>
        <v>0.5</v>
      </c>
      <c r="CY102">
        <f>AA102</f>
        <v>36.14</v>
      </c>
      <c r="CZ102">
        <f>AE102</f>
        <v>15.25</v>
      </c>
      <c r="DA102">
        <f>AI102</f>
        <v>2.37</v>
      </c>
      <c r="DB102">
        <f>ROUND((ROUND(AT102*CZ102,2)*1),6)</f>
        <v>1.53</v>
      </c>
      <c r="DC102">
        <f>ROUND((ROUND(AT102*AG102,2)*1),6)</f>
        <v>0</v>
      </c>
      <c r="DD102" t="s">
        <v>3</v>
      </c>
      <c r="DE102" t="s">
        <v>3</v>
      </c>
      <c r="DF102">
        <f>ROUND(ROUND(AE102*AI102,2)*CX102,2)</f>
        <v>18.07</v>
      </c>
      <c r="DG102">
        <f t="shared" si="28"/>
        <v>0</v>
      </c>
      <c r="DH102">
        <f t="shared" si="29"/>
        <v>0</v>
      </c>
      <c r="DI102">
        <f t="shared" si="30"/>
        <v>0</v>
      </c>
      <c r="DJ102">
        <f>DF102</f>
        <v>18.07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ROW(Source!A293)</f>
        <v>293</v>
      </c>
      <c r="B103">
        <v>55915256</v>
      </c>
      <c r="C103">
        <v>55915822</v>
      </c>
      <c r="D103">
        <v>55424304</v>
      </c>
      <c r="E103">
        <v>1081</v>
      </c>
      <c r="F103">
        <v>1</v>
      </c>
      <c r="G103">
        <v>1081</v>
      </c>
      <c r="H103">
        <v>1</v>
      </c>
      <c r="I103" t="s">
        <v>363</v>
      </c>
      <c r="J103" t="s">
        <v>3</v>
      </c>
      <c r="K103" t="s">
        <v>364</v>
      </c>
      <c r="L103">
        <v>1191</v>
      </c>
      <c r="N103">
        <v>1013</v>
      </c>
      <c r="O103" t="s">
        <v>365</v>
      </c>
      <c r="P103" t="s">
        <v>365</v>
      </c>
      <c r="Q103">
        <v>1</v>
      </c>
      <c r="W103">
        <v>0</v>
      </c>
      <c r="X103">
        <v>476480486</v>
      </c>
      <c r="Y103">
        <f>(AT103*1.2)</f>
        <v>19.920000000000002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16.600000000000001</v>
      </c>
      <c r="AU103" t="s">
        <v>78</v>
      </c>
      <c r="AV103">
        <v>1</v>
      </c>
      <c r="AW103">
        <v>2</v>
      </c>
      <c r="AX103">
        <v>55915823</v>
      </c>
      <c r="AY103">
        <v>1</v>
      </c>
      <c r="AZ103">
        <v>0</v>
      </c>
      <c r="BA103">
        <v>123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U103">
        <f>ROUND(AT103*Source!I293*AH103*AL103,2)</f>
        <v>0</v>
      </c>
      <c r="CV103">
        <f>ROUND(Y103*Source!I293,9)</f>
        <v>436.04880000000003</v>
      </c>
      <c r="CW103">
        <v>0</v>
      </c>
      <c r="CX103">
        <f>ROUND(Y103*Source!I293,9)</f>
        <v>436.04880000000003</v>
      </c>
      <c r="CY103">
        <f>AD103</f>
        <v>0</v>
      </c>
      <c r="CZ103">
        <f>AH103</f>
        <v>0</v>
      </c>
      <c r="DA103">
        <f>AL103</f>
        <v>1</v>
      </c>
      <c r="DB103">
        <f>ROUND((ROUND(AT103*CZ103,2)*1.2),6)</f>
        <v>0</v>
      </c>
      <c r="DC103">
        <f>ROUND((ROUND(AT103*AG103,2)*1.2),6)</f>
        <v>0</v>
      </c>
      <c r="DD103" t="s">
        <v>3</v>
      </c>
      <c r="DE103" t="s">
        <v>3</v>
      </c>
      <c r="DF103">
        <f t="shared" ref="DF103:DF115" si="31">ROUND(ROUND(AE103,2)*CX103,2)</f>
        <v>0</v>
      </c>
      <c r="DG103">
        <f t="shared" si="28"/>
        <v>0</v>
      </c>
      <c r="DH103">
        <f t="shared" si="29"/>
        <v>0</v>
      </c>
      <c r="DI103">
        <f t="shared" si="30"/>
        <v>0</v>
      </c>
      <c r="DJ103">
        <f>DI103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ROW(Source!A293)</f>
        <v>293</v>
      </c>
      <c r="B104">
        <v>55915256</v>
      </c>
      <c r="C104">
        <v>55915822</v>
      </c>
      <c r="D104">
        <v>55490263</v>
      </c>
      <c r="E104">
        <v>1</v>
      </c>
      <c r="F104">
        <v>1</v>
      </c>
      <c r="G104">
        <v>1081</v>
      </c>
      <c r="H104">
        <v>2</v>
      </c>
      <c r="I104" t="s">
        <v>387</v>
      </c>
      <c r="J104" t="s">
        <v>388</v>
      </c>
      <c r="K104" t="s">
        <v>389</v>
      </c>
      <c r="L104">
        <v>1368</v>
      </c>
      <c r="N104">
        <v>1011</v>
      </c>
      <c r="O104" t="s">
        <v>390</v>
      </c>
      <c r="P104" t="s">
        <v>390</v>
      </c>
      <c r="Q104">
        <v>1</v>
      </c>
      <c r="W104">
        <v>0</v>
      </c>
      <c r="X104">
        <v>-1895752648</v>
      </c>
      <c r="Y104">
        <f>(AT104*1.2)</f>
        <v>1.38</v>
      </c>
      <c r="AA104">
        <v>0</v>
      </c>
      <c r="AB104">
        <v>0.81</v>
      </c>
      <c r="AC104">
        <v>0</v>
      </c>
      <c r="AD104">
        <v>0</v>
      </c>
      <c r="AE104">
        <v>0</v>
      </c>
      <c r="AF104">
        <v>0.77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-2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1.1499999999999999</v>
      </c>
      <c r="AU104" t="s">
        <v>78</v>
      </c>
      <c r="AV104">
        <v>0</v>
      </c>
      <c r="AW104">
        <v>2</v>
      </c>
      <c r="AX104">
        <v>55915824</v>
      </c>
      <c r="AY104">
        <v>1</v>
      </c>
      <c r="AZ104">
        <v>0</v>
      </c>
      <c r="BA104">
        <v>124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ROUND(Y104*Source!I293*DO104,9)</f>
        <v>0</v>
      </c>
      <c r="CX104">
        <f>ROUND(Y104*Source!I293,9)</f>
        <v>30.208200000000001</v>
      </c>
      <c r="CY104">
        <f>AB104</f>
        <v>0.81</v>
      </c>
      <c r="CZ104">
        <f>AF104</f>
        <v>0.77</v>
      </c>
      <c r="DA104">
        <f>AJ104</f>
        <v>1</v>
      </c>
      <c r="DB104">
        <f>ROUND((ROUND(AT104*CZ104,2)*1.2),6)</f>
        <v>1.0680000000000001</v>
      </c>
      <c r="DC104">
        <f>ROUND((ROUND(AT104*AG104,2)*1.2),6)</f>
        <v>0</v>
      </c>
      <c r="DD104" t="s">
        <v>3</v>
      </c>
      <c r="DE104" t="s">
        <v>3</v>
      </c>
      <c r="DF104">
        <f t="shared" si="31"/>
        <v>0</v>
      </c>
      <c r="DG104">
        <f t="shared" si="28"/>
        <v>23.26</v>
      </c>
      <c r="DH104">
        <f t="shared" si="29"/>
        <v>0</v>
      </c>
      <c r="DI104">
        <f t="shared" si="30"/>
        <v>0</v>
      </c>
      <c r="DJ104">
        <f>DG104</f>
        <v>23.26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ROW(Source!A293)</f>
        <v>293</v>
      </c>
      <c r="B105">
        <v>55915256</v>
      </c>
      <c r="C105">
        <v>55915822</v>
      </c>
      <c r="D105">
        <v>55490296</v>
      </c>
      <c r="E105">
        <v>1</v>
      </c>
      <c r="F105">
        <v>1</v>
      </c>
      <c r="G105">
        <v>1081</v>
      </c>
      <c r="H105">
        <v>2</v>
      </c>
      <c r="I105" t="s">
        <v>391</v>
      </c>
      <c r="J105" t="s">
        <v>392</v>
      </c>
      <c r="K105" t="s">
        <v>393</v>
      </c>
      <c r="L105">
        <v>1368</v>
      </c>
      <c r="N105">
        <v>1011</v>
      </c>
      <c r="O105" t="s">
        <v>390</v>
      </c>
      <c r="P105" t="s">
        <v>390</v>
      </c>
      <c r="Q105">
        <v>1</v>
      </c>
      <c r="W105">
        <v>0</v>
      </c>
      <c r="X105">
        <v>-643591644</v>
      </c>
      <c r="Y105">
        <f>(AT105*1.2)</f>
        <v>2.16</v>
      </c>
      <c r="AA105">
        <v>0</v>
      </c>
      <c r="AB105">
        <v>0.49</v>
      </c>
      <c r="AC105">
        <v>0</v>
      </c>
      <c r="AD105">
        <v>0</v>
      </c>
      <c r="AE105">
        <v>0</v>
      </c>
      <c r="AF105">
        <v>0.47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-2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1.8</v>
      </c>
      <c r="AU105" t="s">
        <v>78</v>
      </c>
      <c r="AV105">
        <v>0</v>
      </c>
      <c r="AW105">
        <v>2</v>
      </c>
      <c r="AX105">
        <v>55915825</v>
      </c>
      <c r="AY105">
        <v>1</v>
      </c>
      <c r="AZ105">
        <v>0</v>
      </c>
      <c r="BA105">
        <v>125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f>ROUND(Y105*Source!I293*DO105,9)</f>
        <v>0</v>
      </c>
      <c r="CX105">
        <f>ROUND(Y105*Source!I293,9)</f>
        <v>47.282400000000003</v>
      </c>
      <c r="CY105">
        <f>AB105</f>
        <v>0.49</v>
      </c>
      <c r="CZ105">
        <f>AF105</f>
        <v>0.47</v>
      </c>
      <c r="DA105">
        <f>AJ105</f>
        <v>1</v>
      </c>
      <c r="DB105">
        <f>ROUND((ROUND(AT105*CZ105,2)*1.2),6)</f>
        <v>1.02</v>
      </c>
      <c r="DC105">
        <f>ROUND((ROUND(AT105*AG105,2)*1.2),6)</f>
        <v>0</v>
      </c>
      <c r="DD105" t="s">
        <v>3</v>
      </c>
      <c r="DE105" t="s">
        <v>3</v>
      </c>
      <c r="DF105">
        <f t="shared" si="31"/>
        <v>0</v>
      </c>
      <c r="DG105">
        <f t="shared" si="28"/>
        <v>22.22</v>
      </c>
      <c r="DH105">
        <f t="shared" si="29"/>
        <v>0</v>
      </c>
      <c r="DI105">
        <f t="shared" si="30"/>
        <v>0</v>
      </c>
      <c r="DJ105">
        <f>DG105</f>
        <v>22.22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ROW(Source!A293)</f>
        <v>293</v>
      </c>
      <c r="B106">
        <v>55915256</v>
      </c>
      <c r="C106">
        <v>55915822</v>
      </c>
      <c r="D106">
        <v>55460960</v>
      </c>
      <c r="E106">
        <v>1</v>
      </c>
      <c r="F106">
        <v>1</v>
      </c>
      <c r="G106">
        <v>1081</v>
      </c>
      <c r="H106">
        <v>3</v>
      </c>
      <c r="I106" t="s">
        <v>394</v>
      </c>
      <c r="J106" t="s">
        <v>395</v>
      </c>
      <c r="K106" t="s">
        <v>396</v>
      </c>
      <c r="L106">
        <v>1348</v>
      </c>
      <c r="N106">
        <v>1009</v>
      </c>
      <c r="O106" t="s">
        <v>324</v>
      </c>
      <c r="P106" t="s">
        <v>324</v>
      </c>
      <c r="Q106">
        <v>1000</v>
      </c>
      <c r="W106">
        <v>0</v>
      </c>
      <c r="X106">
        <v>-260579272</v>
      </c>
      <c r="Y106">
        <f t="shared" ref="Y106:Y112" si="32">(AT106*1)</f>
        <v>1E-3</v>
      </c>
      <c r="AA106">
        <v>58463.58</v>
      </c>
      <c r="AB106">
        <v>0</v>
      </c>
      <c r="AC106">
        <v>0</v>
      </c>
      <c r="AD106">
        <v>0</v>
      </c>
      <c r="AE106">
        <v>58463.58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-2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1E-3</v>
      </c>
      <c r="AU106" t="s">
        <v>77</v>
      </c>
      <c r="AV106">
        <v>0</v>
      </c>
      <c r="AW106">
        <v>2</v>
      </c>
      <c r="AX106">
        <v>55915826</v>
      </c>
      <c r="AY106">
        <v>1</v>
      </c>
      <c r="AZ106">
        <v>0</v>
      </c>
      <c r="BA106">
        <v>126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ROUND(Y106*Source!I293,9)</f>
        <v>2.189E-2</v>
      </c>
      <c r="CY106">
        <f t="shared" ref="CY106:CY112" si="33">AA106</f>
        <v>58463.58</v>
      </c>
      <c r="CZ106">
        <f t="shared" ref="CZ106:CZ112" si="34">AE106</f>
        <v>58463.58</v>
      </c>
      <c r="DA106">
        <f t="shared" ref="DA106:DA112" si="35">AI106</f>
        <v>1</v>
      </c>
      <c r="DB106">
        <f t="shared" ref="DB106:DB112" si="36">ROUND((ROUND(AT106*CZ106,2)*1),6)</f>
        <v>58.46</v>
      </c>
      <c r="DC106">
        <f t="shared" ref="DC106:DC112" si="37">ROUND((ROUND(AT106*AG106,2)*1),6)</f>
        <v>0</v>
      </c>
      <c r="DD106" t="s">
        <v>3</v>
      </c>
      <c r="DE106" t="s">
        <v>3</v>
      </c>
      <c r="DF106">
        <f t="shared" si="31"/>
        <v>1279.77</v>
      </c>
      <c r="DG106">
        <f t="shared" si="28"/>
        <v>0</v>
      </c>
      <c r="DH106">
        <f t="shared" si="29"/>
        <v>0</v>
      </c>
      <c r="DI106">
        <f t="shared" si="30"/>
        <v>0</v>
      </c>
      <c r="DJ106">
        <f t="shared" ref="DJ106:DJ112" si="38">DF106</f>
        <v>1279.77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ROW(Source!A293)</f>
        <v>293</v>
      </c>
      <c r="B107">
        <v>55915256</v>
      </c>
      <c r="C107">
        <v>55915822</v>
      </c>
      <c r="D107">
        <v>55461791</v>
      </c>
      <c r="E107">
        <v>1</v>
      </c>
      <c r="F107">
        <v>1</v>
      </c>
      <c r="G107">
        <v>1081</v>
      </c>
      <c r="H107">
        <v>3</v>
      </c>
      <c r="I107" t="s">
        <v>397</v>
      </c>
      <c r="J107" t="s">
        <v>398</v>
      </c>
      <c r="K107" t="s">
        <v>399</v>
      </c>
      <c r="L107">
        <v>1355</v>
      </c>
      <c r="N107">
        <v>1010</v>
      </c>
      <c r="O107" t="s">
        <v>269</v>
      </c>
      <c r="P107" t="s">
        <v>269</v>
      </c>
      <c r="Q107">
        <v>100</v>
      </c>
      <c r="W107">
        <v>0</v>
      </c>
      <c r="X107">
        <v>-429645653</v>
      </c>
      <c r="Y107">
        <f t="shared" si="32"/>
        <v>2.1419999999999999</v>
      </c>
      <c r="AA107">
        <v>10.6</v>
      </c>
      <c r="AB107">
        <v>0</v>
      </c>
      <c r="AC107">
        <v>0</v>
      </c>
      <c r="AD107">
        <v>0</v>
      </c>
      <c r="AE107">
        <v>10.6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-2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2.1419999999999999</v>
      </c>
      <c r="AU107" t="s">
        <v>77</v>
      </c>
      <c r="AV107">
        <v>0</v>
      </c>
      <c r="AW107">
        <v>2</v>
      </c>
      <c r="AX107">
        <v>55915827</v>
      </c>
      <c r="AY107">
        <v>1</v>
      </c>
      <c r="AZ107">
        <v>0</v>
      </c>
      <c r="BA107">
        <v>127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ROUND(Y107*Source!I293,9)</f>
        <v>46.888379999999998</v>
      </c>
      <c r="CY107">
        <f t="shared" si="33"/>
        <v>10.6</v>
      </c>
      <c r="CZ107">
        <f t="shared" si="34"/>
        <v>10.6</v>
      </c>
      <c r="DA107">
        <f t="shared" si="35"/>
        <v>1</v>
      </c>
      <c r="DB107">
        <f t="shared" si="36"/>
        <v>22.71</v>
      </c>
      <c r="DC107">
        <f t="shared" si="37"/>
        <v>0</v>
      </c>
      <c r="DD107" t="s">
        <v>3</v>
      </c>
      <c r="DE107" t="s">
        <v>3</v>
      </c>
      <c r="DF107">
        <f t="shared" si="31"/>
        <v>497.02</v>
      </c>
      <c r="DG107">
        <f t="shared" si="28"/>
        <v>0</v>
      </c>
      <c r="DH107">
        <f t="shared" si="29"/>
        <v>0</v>
      </c>
      <c r="DI107">
        <f t="shared" si="30"/>
        <v>0</v>
      </c>
      <c r="DJ107">
        <f t="shared" si="38"/>
        <v>497.02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ROW(Source!A293)</f>
        <v>293</v>
      </c>
      <c r="B108">
        <v>55915256</v>
      </c>
      <c r="C108">
        <v>55915822</v>
      </c>
      <c r="D108">
        <v>55482161</v>
      </c>
      <c r="E108">
        <v>1</v>
      </c>
      <c r="F108">
        <v>1</v>
      </c>
      <c r="G108">
        <v>1081</v>
      </c>
      <c r="H108">
        <v>3</v>
      </c>
      <c r="I108" t="s">
        <v>267</v>
      </c>
      <c r="J108" t="s">
        <v>270</v>
      </c>
      <c r="K108" t="s">
        <v>268</v>
      </c>
      <c r="L108">
        <v>1355</v>
      </c>
      <c r="N108">
        <v>1010</v>
      </c>
      <c r="O108" t="s">
        <v>269</v>
      </c>
      <c r="P108" t="s">
        <v>269</v>
      </c>
      <c r="Q108">
        <v>100</v>
      </c>
      <c r="W108">
        <v>0</v>
      </c>
      <c r="X108">
        <v>289520784</v>
      </c>
      <c r="Y108">
        <f t="shared" si="32"/>
        <v>2.1640000000000001</v>
      </c>
      <c r="AA108">
        <v>146.88999999999999</v>
      </c>
      <c r="AB108">
        <v>0</v>
      </c>
      <c r="AC108">
        <v>0</v>
      </c>
      <c r="AD108">
        <v>0</v>
      </c>
      <c r="AE108">
        <v>146.88999999999999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 t="s">
        <v>3</v>
      </c>
      <c r="AT108">
        <v>2.1640000000000001</v>
      </c>
      <c r="AU108" t="s">
        <v>77</v>
      </c>
      <c r="AV108">
        <v>0</v>
      </c>
      <c r="AW108">
        <v>1</v>
      </c>
      <c r="AX108">
        <v>-1</v>
      </c>
      <c r="AY108">
        <v>0</v>
      </c>
      <c r="AZ108">
        <v>0</v>
      </c>
      <c r="BA108" t="s">
        <v>3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ROUND(Y108*Source!I293,9)</f>
        <v>47.369959999999999</v>
      </c>
      <c r="CY108">
        <f t="shared" si="33"/>
        <v>146.88999999999999</v>
      </c>
      <c r="CZ108">
        <f t="shared" si="34"/>
        <v>146.88999999999999</v>
      </c>
      <c r="DA108">
        <f t="shared" si="35"/>
        <v>1</v>
      </c>
      <c r="DB108">
        <f t="shared" si="36"/>
        <v>317.87</v>
      </c>
      <c r="DC108">
        <f t="shared" si="37"/>
        <v>0</v>
      </c>
      <c r="DD108" t="s">
        <v>3</v>
      </c>
      <c r="DE108" t="s">
        <v>3</v>
      </c>
      <c r="DF108">
        <f t="shared" si="31"/>
        <v>6958.17</v>
      </c>
      <c r="DG108">
        <f t="shared" si="28"/>
        <v>0</v>
      </c>
      <c r="DH108">
        <f t="shared" si="29"/>
        <v>0</v>
      </c>
      <c r="DI108">
        <f t="shared" si="30"/>
        <v>0</v>
      </c>
      <c r="DJ108">
        <f t="shared" si="38"/>
        <v>6958.17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ROW(Source!A293)</f>
        <v>293</v>
      </c>
      <c r="B109">
        <v>55915256</v>
      </c>
      <c r="C109">
        <v>55915822</v>
      </c>
      <c r="D109">
        <v>55482203</v>
      </c>
      <c r="E109">
        <v>1</v>
      </c>
      <c r="F109">
        <v>1</v>
      </c>
      <c r="G109">
        <v>1081</v>
      </c>
      <c r="H109">
        <v>3</v>
      </c>
      <c r="I109" t="s">
        <v>400</v>
      </c>
      <c r="J109" t="s">
        <v>401</v>
      </c>
      <c r="K109" t="s">
        <v>402</v>
      </c>
      <c r="L109">
        <v>1356</v>
      </c>
      <c r="N109">
        <v>1010</v>
      </c>
      <c r="O109" t="s">
        <v>403</v>
      </c>
      <c r="P109" t="s">
        <v>403</v>
      </c>
      <c r="Q109">
        <v>1000</v>
      </c>
      <c r="W109">
        <v>0</v>
      </c>
      <c r="X109">
        <v>474149623</v>
      </c>
      <c r="Y109">
        <f t="shared" si="32"/>
        <v>1.7000000000000001E-2</v>
      </c>
      <c r="AA109">
        <v>226.66</v>
      </c>
      <c r="AB109">
        <v>0</v>
      </c>
      <c r="AC109">
        <v>0</v>
      </c>
      <c r="AD109">
        <v>0</v>
      </c>
      <c r="AE109">
        <v>226.66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-2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1.7000000000000001E-2</v>
      </c>
      <c r="AU109" t="s">
        <v>77</v>
      </c>
      <c r="AV109">
        <v>0</v>
      </c>
      <c r="AW109">
        <v>2</v>
      </c>
      <c r="AX109">
        <v>55915828</v>
      </c>
      <c r="AY109">
        <v>1</v>
      </c>
      <c r="AZ109">
        <v>0</v>
      </c>
      <c r="BA109">
        <v>128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ROUND(Y109*Source!I293,9)</f>
        <v>0.37213000000000002</v>
      </c>
      <c r="CY109">
        <f t="shared" si="33"/>
        <v>226.66</v>
      </c>
      <c r="CZ109">
        <f t="shared" si="34"/>
        <v>226.66</v>
      </c>
      <c r="DA109">
        <f t="shared" si="35"/>
        <v>1</v>
      </c>
      <c r="DB109">
        <f t="shared" si="36"/>
        <v>3.85</v>
      </c>
      <c r="DC109">
        <f t="shared" si="37"/>
        <v>0</v>
      </c>
      <c r="DD109" t="s">
        <v>3</v>
      </c>
      <c r="DE109" t="s">
        <v>3</v>
      </c>
      <c r="DF109">
        <f t="shared" si="31"/>
        <v>84.35</v>
      </c>
      <c r="DG109">
        <f t="shared" si="28"/>
        <v>0</v>
      </c>
      <c r="DH109">
        <f t="shared" si="29"/>
        <v>0</v>
      </c>
      <c r="DI109">
        <f t="shared" si="30"/>
        <v>0</v>
      </c>
      <c r="DJ109">
        <f t="shared" si="38"/>
        <v>84.35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ROW(Source!A293)</f>
        <v>293</v>
      </c>
      <c r="B110">
        <v>55915256</v>
      </c>
      <c r="C110">
        <v>55915822</v>
      </c>
      <c r="D110">
        <v>55481977</v>
      </c>
      <c r="E110">
        <v>1</v>
      </c>
      <c r="F110">
        <v>1</v>
      </c>
      <c r="G110">
        <v>1081</v>
      </c>
      <c r="H110">
        <v>3</v>
      </c>
      <c r="I110" t="s">
        <v>404</v>
      </c>
      <c r="J110" t="s">
        <v>405</v>
      </c>
      <c r="K110" t="s">
        <v>406</v>
      </c>
      <c r="L110">
        <v>1355</v>
      </c>
      <c r="N110">
        <v>1010</v>
      </c>
      <c r="O110" t="s">
        <v>269</v>
      </c>
      <c r="P110" t="s">
        <v>269</v>
      </c>
      <c r="Q110">
        <v>100</v>
      </c>
      <c r="W110">
        <v>0</v>
      </c>
      <c r="X110">
        <v>1356827684</v>
      </c>
      <c r="Y110">
        <f t="shared" si="32"/>
        <v>0.17</v>
      </c>
      <c r="AA110">
        <v>26.71</v>
      </c>
      <c r="AB110">
        <v>0</v>
      </c>
      <c r="AC110">
        <v>0</v>
      </c>
      <c r="AD110">
        <v>0</v>
      </c>
      <c r="AE110">
        <v>26.71</v>
      </c>
      <c r="AF110">
        <v>0</v>
      </c>
      <c r="AG110">
        <v>0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-2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0.17</v>
      </c>
      <c r="AU110" t="s">
        <v>77</v>
      </c>
      <c r="AV110">
        <v>0</v>
      </c>
      <c r="AW110">
        <v>2</v>
      </c>
      <c r="AX110">
        <v>55915829</v>
      </c>
      <c r="AY110">
        <v>1</v>
      </c>
      <c r="AZ110">
        <v>0</v>
      </c>
      <c r="BA110">
        <v>129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v>0</v>
      </c>
      <c r="CX110">
        <f>ROUND(Y110*Source!I293,9)</f>
        <v>3.7212999999999998</v>
      </c>
      <c r="CY110">
        <f t="shared" si="33"/>
        <v>26.71</v>
      </c>
      <c r="CZ110">
        <f t="shared" si="34"/>
        <v>26.71</v>
      </c>
      <c r="DA110">
        <f t="shared" si="35"/>
        <v>1</v>
      </c>
      <c r="DB110">
        <f t="shared" si="36"/>
        <v>4.54</v>
      </c>
      <c r="DC110">
        <f t="shared" si="37"/>
        <v>0</v>
      </c>
      <c r="DD110" t="s">
        <v>3</v>
      </c>
      <c r="DE110" t="s">
        <v>3</v>
      </c>
      <c r="DF110">
        <f t="shared" si="31"/>
        <v>99.4</v>
      </c>
      <c r="DG110">
        <f t="shared" si="28"/>
        <v>0</v>
      </c>
      <c r="DH110">
        <f t="shared" si="29"/>
        <v>0</v>
      </c>
      <c r="DI110">
        <f t="shared" si="30"/>
        <v>0</v>
      </c>
      <c r="DJ110">
        <f t="shared" si="38"/>
        <v>99.4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">
      <c r="A111">
        <f>ROW(Source!A293)</f>
        <v>293</v>
      </c>
      <c r="B111">
        <v>55915256</v>
      </c>
      <c r="C111">
        <v>55915822</v>
      </c>
      <c r="D111">
        <v>55469271</v>
      </c>
      <c r="E111">
        <v>1</v>
      </c>
      <c r="F111">
        <v>1</v>
      </c>
      <c r="G111">
        <v>1081</v>
      </c>
      <c r="H111">
        <v>3</v>
      </c>
      <c r="I111" t="s">
        <v>407</v>
      </c>
      <c r="J111" t="s">
        <v>408</v>
      </c>
      <c r="K111" t="s">
        <v>409</v>
      </c>
      <c r="L111">
        <v>1354</v>
      </c>
      <c r="N111">
        <v>1010</v>
      </c>
      <c r="O111" t="s">
        <v>191</v>
      </c>
      <c r="P111" t="s">
        <v>191</v>
      </c>
      <c r="Q111">
        <v>1</v>
      </c>
      <c r="W111">
        <v>0</v>
      </c>
      <c r="X111">
        <v>1339646332</v>
      </c>
      <c r="Y111">
        <f t="shared" si="32"/>
        <v>0.161</v>
      </c>
      <c r="AA111">
        <v>14.56</v>
      </c>
      <c r="AB111">
        <v>0</v>
      </c>
      <c r="AC111">
        <v>0</v>
      </c>
      <c r="AD111">
        <v>0</v>
      </c>
      <c r="AE111">
        <v>14.56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-2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0.161</v>
      </c>
      <c r="AU111" t="s">
        <v>77</v>
      </c>
      <c r="AV111">
        <v>0</v>
      </c>
      <c r="AW111">
        <v>2</v>
      </c>
      <c r="AX111">
        <v>55915830</v>
      </c>
      <c r="AY111">
        <v>1</v>
      </c>
      <c r="AZ111">
        <v>0</v>
      </c>
      <c r="BA111">
        <v>130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ROUND(Y111*Source!I293,9)</f>
        <v>3.5242900000000001</v>
      </c>
      <c r="CY111">
        <f t="shared" si="33"/>
        <v>14.56</v>
      </c>
      <c r="CZ111">
        <f t="shared" si="34"/>
        <v>14.56</v>
      </c>
      <c r="DA111">
        <f t="shared" si="35"/>
        <v>1</v>
      </c>
      <c r="DB111">
        <f t="shared" si="36"/>
        <v>2.34</v>
      </c>
      <c r="DC111">
        <f t="shared" si="37"/>
        <v>0</v>
      </c>
      <c r="DD111" t="s">
        <v>3</v>
      </c>
      <c r="DE111" t="s">
        <v>3</v>
      </c>
      <c r="DF111">
        <f t="shared" si="31"/>
        <v>51.31</v>
      </c>
      <c r="DG111">
        <f t="shared" si="28"/>
        <v>0</v>
      </c>
      <c r="DH111">
        <f t="shared" si="29"/>
        <v>0</v>
      </c>
      <c r="DI111">
        <f t="shared" si="30"/>
        <v>0</v>
      </c>
      <c r="DJ111">
        <f t="shared" si="38"/>
        <v>51.31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ROW(Source!A293)</f>
        <v>293</v>
      </c>
      <c r="B112">
        <v>55915256</v>
      </c>
      <c r="C112">
        <v>55915822</v>
      </c>
      <c r="D112">
        <v>0</v>
      </c>
      <c r="E112">
        <v>0</v>
      </c>
      <c r="F112">
        <v>1</v>
      </c>
      <c r="G112">
        <v>1081</v>
      </c>
      <c r="H112">
        <v>3</v>
      </c>
      <c r="I112" t="s">
        <v>410</v>
      </c>
      <c r="J112" t="s">
        <v>410</v>
      </c>
      <c r="K112" t="s">
        <v>260</v>
      </c>
      <c r="L112">
        <v>1301</v>
      </c>
      <c r="N112">
        <v>1003</v>
      </c>
      <c r="O112" t="s">
        <v>261</v>
      </c>
      <c r="P112" t="s">
        <v>261</v>
      </c>
      <c r="Q112">
        <v>1</v>
      </c>
      <c r="W112">
        <v>0</v>
      </c>
      <c r="X112">
        <v>-833202236</v>
      </c>
      <c r="Y112">
        <f t="shared" si="32"/>
        <v>102</v>
      </c>
      <c r="AA112">
        <v>14.69</v>
      </c>
      <c r="AB112">
        <v>0</v>
      </c>
      <c r="AC112">
        <v>0</v>
      </c>
      <c r="AD112">
        <v>0</v>
      </c>
      <c r="AE112">
        <v>14.69</v>
      </c>
      <c r="AF112">
        <v>0</v>
      </c>
      <c r="AG112">
        <v>0</v>
      </c>
      <c r="AH112">
        <v>0</v>
      </c>
      <c r="AI112">
        <v>1</v>
      </c>
      <c r="AJ112">
        <v>1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 t="s">
        <v>3</v>
      </c>
      <c r="AT112">
        <v>102</v>
      </c>
      <c r="AU112" t="s">
        <v>77</v>
      </c>
      <c r="AV112">
        <v>0</v>
      </c>
      <c r="AW112">
        <v>1</v>
      </c>
      <c r="AX112">
        <v>-1</v>
      </c>
      <c r="AY112">
        <v>0</v>
      </c>
      <c r="AZ112">
        <v>0</v>
      </c>
      <c r="BA112" t="s">
        <v>3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ROUND(Y112*Source!I293,9)</f>
        <v>2232.7800000000002</v>
      </c>
      <c r="CY112">
        <f t="shared" si="33"/>
        <v>14.69</v>
      </c>
      <c r="CZ112">
        <f t="shared" si="34"/>
        <v>14.69</v>
      </c>
      <c r="DA112">
        <f t="shared" si="35"/>
        <v>1</v>
      </c>
      <c r="DB112">
        <f t="shared" si="36"/>
        <v>1498.38</v>
      </c>
      <c r="DC112">
        <f t="shared" si="37"/>
        <v>0</v>
      </c>
      <c r="DD112" t="s">
        <v>3</v>
      </c>
      <c r="DE112" t="s">
        <v>3</v>
      </c>
      <c r="DF112">
        <f t="shared" si="31"/>
        <v>32799.54</v>
      </c>
      <c r="DG112">
        <f t="shared" si="28"/>
        <v>0</v>
      </c>
      <c r="DH112">
        <f t="shared" si="29"/>
        <v>0</v>
      </c>
      <c r="DI112">
        <f t="shared" si="30"/>
        <v>0</v>
      </c>
      <c r="DJ112">
        <f t="shared" si="38"/>
        <v>32799.54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ROW(Source!A294)</f>
        <v>294</v>
      </c>
      <c r="B113">
        <v>55915258</v>
      </c>
      <c r="C113">
        <v>55915822</v>
      </c>
      <c r="D113">
        <v>55424304</v>
      </c>
      <c r="E113">
        <v>1081</v>
      </c>
      <c r="F113">
        <v>1</v>
      </c>
      <c r="G113">
        <v>1081</v>
      </c>
      <c r="H113">
        <v>1</v>
      </c>
      <c r="I113" t="s">
        <v>363</v>
      </c>
      <c r="J113" t="s">
        <v>3</v>
      </c>
      <c r="K113" t="s">
        <v>364</v>
      </c>
      <c r="L113">
        <v>1191</v>
      </c>
      <c r="N113">
        <v>1013</v>
      </c>
      <c r="O113" t="s">
        <v>365</v>
      </c>
      <c r="P113" t="s">
        <v>365</v>
      </c>
      <c r="Q113">
        <v>1</v>
      </c>
      <c r="W113">
        <v>0</v>
      </c>
      <c r="X113">
        <v>476480486</v>
      </c>
      <c r="Y113">
        <f>(AT113*1.2)</f>
        <v>19.920000000000002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5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16.600000000000001</v>
      </c>
      <c r="AU113" t="s">
        <v>78</v>
      </c>
      <c r="AV113">
        <v>1</v>
      </c>
      <c r="AW113">
        <v>2</v>
      </c>
      <c r="AX113">
        <v>55915823</v>
      </c>
      <c r="AY113">
        <v>1</v>
      </c>
      <c r="AZ113">
        <v>0</v>
      </c>
      <c r="BA113">
        <v>134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U113">
        <f>ROUND(AT113*Source!I294*AH113*AL113,2)</f>
        <v>0</v>
      </c>
      <c r="CV113">
        <f>ROUND(Y113*Source!I294,9)</f>
        <v>436.04880000000003</v>
      </c>
      <c r="CW113">
        <v>0</v>
      </c>
      <c r="CX113">
        <f>ROUND(Y113*Source!I294,9)</f>
        <v>436.04880000000003</v>
      </c>
      <c r="CY113">
        <f>AD113</f>
        <v>0</v>
      </c>
      <c r="CZ113">
        <f>AH113</f>
        <v>0</v>
      </c>
      <c r="DA113">
        <f>AL113</f>
        <v>1</v>
      </c>
      <c r="DB113">
        <f>ROUND((ROUND(AT113*CZ113,2)*1.2),6)</f>
        <v>0</v>
      </c>
      <c r="DC113">
        <f>ROUND((ROUND(AT113*AG113,2)*1.2),6)</f>
        <v>0</v>
      </c>
      <c r="DD113" t="s">
        <v>3</v>
      </c>
      <c r="DE113" t="s">
        <v>3</v>
      </c>
      <c r="DF113">
        <f t="shared" si="31"/>
        <v>0</v>
      </c>
      <c r="DG113">
        <f t="shared" si="28"/>
        <v>0</v>
      </c>
      <c r="DH113">
        <f t="shared" si="29"/>
        <v>0</v>
      </c>
      <c r="DI113">
        <f t="shared" si="30"/>
        <v>0</v>
      </c>
      <c r="DJ113">
        <f>DI113</f>
        <v>0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ROW(Source!A294)</f>
        <v>294</v>
      </c>
      <c r="B114">
        <v>55915258</v>
      </c>
      <c r="C114">
        <v>55915822</v>
      </c>
      <c r="D114">
        <v>55490263</v>
      </c>
      <c r="E114">
        <v>1</v>
      </c>
      <c r="F114">
        <v>1</v>
      </c>
      <c r="G114">
        <v>1081</v>
      </c>
      <c r="H114">
        <v>2</v>
      </c>
      <c r="I114" t="s">
        <v>387</v>
      </c>
      <c r="J114" t="s">
        <v>388</v>
      </c>
      <c r="K114" t="s">
        <v>389</v>
      </c>
      <c r="L114">
        <v>1368</v>
      </c>
      <c r="N114">
        <v>1011</v>
      </c>
      <c r="O114" t="s">
        <v>390</v>
      </c>
      <c r="P114" t="s">
        <v>390</v>
      </c>
      <c r="Q114">
        <v>1</v>
      </c>
      <c r="W114">
        <v>0</v>
      </c>
      <c r="X114">
        <v>-1895752648</v>
      </c>
      <c r="Y114">
        <f>(AT114*1.2)</f>
        <v>1.38</v>
      </c>
      <c r="AA114">
        <v>0</v>
      </c>
      <c r="AB114">
        <v>7.71</v>
      </c>
      <c r="AC114">
        <v>0</v>
      </c>
      <c r="AD114">
        <v>0</v>
      </c>
      <c r="AE114">
        <v>0</v>
      </c>
      <c r="AF114">
        <v>0.77</v>
      </c>
      <c r="AG114">
        <v>0</v>
      </c>
      <c r="AH114">
        <v>0</v>
      </c>
      <c r="AI114">
        <v>1</v>
      </c>
      <c r="AJ114">
        <v>9.56</v>
      </c>
      <c r="AK114">
        <v>1</v>
      </c>
      <c r="AL114">
        <v>1</v>
      </c>
      <c r="AM114">
        <v>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1.1499999999999999</v>
      </c>
      <c r="AU114" t="s">
        <v>78</v>
      </c>
      <c r="AV114">
        <v>0</v>
      </c>
      <c r="AW114">
        <v>2</v>
      </c>
      <c r="AX114">
        <v>55915824</v>
      </c>
      <c r="AY114">
        <v>1</v>
      </c>
      <c r="AZ114">
        <v>0</v>
      </c>
      <c r="BA114">
        <v>135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f>ROUND(Y114*Source!I294*DO114,9)</f>
        <v>0</v>
      </c>
      <c r="CX114">
        <f>ROUND(Y114*Source!I294,9)</f>
        <v>30.208200000000001</v>
      </c>
      <c r="CY114">
        <f>AB114</f>
        <v>7.71</v>
      </c>
      <c r="CZ114">
        <f>AF114</f>
        <v>0.77</v>
      </c>
      <c r="DA114">
        <f>AJ114</f>
        <v>9.56</v>
      </c>
      <c r="DB114">
        <f>ROUND((ROUND(AT114*CZ114,2)*1.2),6)</f>
        <v>1.0680000000000001</v>
      </c>
      <c r="DC114">
        <f>ROUND((ROUND(AT114*AG114,2)*1.2),6)</f>
        <v>0</v>
      </c>
      <c r="DD114" t="s">
        <v>3</v>
      </c>
      <c r="DE114" t="s">
        <v>3</v>
      </c>
      <c r="DF114">
        <f t="shared" si="31"/>
        <v>0</v>
      </c>
      <c r="DG114">
        <f>ROUND(ROUND(AF114*AJ114,2)*CX114,2)</f>
        <v>222.33</v>
      </c>
      <c r="DH114">
        <f t="shared" si="29"/>
        <v>0</v>
      </c>
      <c r="DI114">
        <f t="shared" si="30"/>
        <v>0</v>
      </c>
      <c r="DJ114">
        <f>DG114</f>
        <v>222.33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ROW(Source!A294)</f>
        <v>294</v>
      </c>
      <c r="B115">
        <v>55915258</v>
      </c>
      <c r="C115">
        <v>55915822</v>
      </c>
      <c r="D115">
        <v>55490296</v>
      </c>
      <c r="E115">
        <v>1</v>
      </c>
      <c r="F115">
        <v>1</v>
      </c>
      <c r="G115">
        <v>1081</v>
      </c>
      <c r="H115">
        <v>2</v>
      </c>
      <c r="I115" t="s">
        <v>391</v>
      </c>
      <c r="J115" t="s">
        <v>392</v>
      </c>
      <c r="K115" t="s">
        <v>393</v>
      </c>
      <c r="L115">
        <v>1368</v>
      </c>
      <c r="N115">
        <v>1011</v>
      </c>
      <c r="O115" t="s">
        <v>390</v>
      </c>
      <c r="P115" t="s">
        <v>390</v>
      </c>
      <c r="Q115">
        <v>1</v>
      </c>
      <c r="W115">
        <v>0</v>
      </c>
      <c r="X115">
        <v>-643591644</v>
      </c>
      <c r="Y115">
        <f>(AT115*1.2)</f>
        <v>2.16</v>
      </c>
      <c r="AA115">
        <v>0</v>
      </c>
      <c r="AB115">
        <v>4.75</v>
      </c>
      <c r="AC115">
        <v>0</v>
      </c>
      <c r="AD115">
        <v>0</v>
      </c>
      <c r="AE115">
        <v>0</v>
      </c>
      <c r="AF115">
        <v>0.47</v>
      </c>
      <c r="AG115">
        <v>0</v>
      </c>
      <c r="AH115">
        <v>0</v>
      </c>
      <c r="AI115">
        <v>1</v>
      </c>
      <c r="AJ115">
        <v>9.66</v>
      </c>
      <c r="AK115">
        <v>1</v>
      </c>
      <c r="AL115">
        <v>1</v>
      </c>
      <c r="AM115">
        <v>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1.8</v>
      </c>
      <c r="AU115" t="s">
        <v>78</v>
      </c>
      <c r="AV115">
        <v>0</v>
      </c>
      <c r="AW115">
        <v>2</v>
      </c>
      <c r="AX115">
        <v>55915825</v>
      </c>
      <c r="AY115">
        <v>1</v>
      </c>
      <c r="AZ115">
        <v>0</v>
      </c>
      <c r="BA115">
        <v>136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f>ROUND(Y115*Source!I294*DO115,9)</f>
        <v>0</v>
      </c>
      <c r="CX115">
        <f>ROUND(Y115*Source!I294,9)</f>
        <v>47.282400000000003</v>
      </c>
      <c r="CY115">
        <f>AB115</f>
        <v>4.75</v>
      </c>
      <c r="CZ115">
        <f>AF115</f>
        <v>0.47</v>
      </c>
      <c r="DA115">
        <f>AJ115</f>
        <v>9.66</v>
      </c>
      <c r="DB115">
        <f>ROUND((ROUND(AT115*CZ115,2)*1.2),6)</f>
        <v>1.02</v>
      </c>
      <c r="DC115">
        <f>ROUND((ROUND(AT115*AG115,2)*1.2),6)</f>
        <v>0</v>
      </c>
      <c r="DD115" t="s">
        <v>3</v>
      </c>
      <c r="DE115" t="s">
        <v>3</v>
      </c>
      <c r="DF115">
        <f t="shared" si="31"/>
        <v>0</v>
      </c>
      <c r="DG115">
        <f>ROUND(ROUND(AF115*AJ115,2)*CX115,2)</f>
        <v>214.66</v>
      </c>
      <c r="DH115">
        <f t="shared" si="29"/>
        <v>0</v>
      </c>
      <c r="DI115">
        <f t="shared" si="30"/>
        <v>0</v>
      </c>
      <c r="DJ115">
        <f>DG115</f>
        <v>214.66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ROW(Source!A294)</f>
        <v>294</v>
      </c>
      <c r="B116">
        <v>55915258</v>
      </c>
      <c r="C116">
        <v>55915822</v>
      </c>
      <c r="D116">
        <v>55460960</v>
      </c>
      <c r="E116">
        <v>1</v>
      </c>
      <c r="F116">
        <v>1</v>
      </c>
      <c r="G116">
        <v>1081</v>
      </c>
      <c r="H116">
        <v>3</v>
      </c>
      <c r="I116" t="s">
        <v>394</v>
      </c>
      <c r="J116" t="s">
        <v>395</v>
      </c>
      <c r="K116" t="s">
        <v>396</v>
      </c>
      <c r="L116">
        <v>1348</v>
      </c>
      <c r="N116">
        <v>1009</v>
      </c>
      <c r="O116" t="s">
        <v>324</v>
      </c>
      <c r="P116" t="s">
        <v>324</v>
      </c>
      <c r="Q116">
        <v>1000</v>
      </c>
      <c r="W116">
        <v>0</v>
      </c>
      <c r="X116">
        <v>-260579272</v>
      </c>
      <c r="Y116">
        <f t="shared" ref="Y116:Y122" si="39">(AT116*1)</f>
        <v>1E-3</v>
      </c>
      <c r="AA116">
        <v>136220.14000000001</v>
      </c>
      <c r="AB116">
        <v>0</v>
      </c>
      <c r="AC116">
        <v>0</v>
      </c>
      <c r="AD116">
        <v>0</v>
      </c>
      <c r="AE116">
        <v>58463.58</v>
      </c>
      <c r="AF116">
        <v>0</v>
      </c>
      <c r="AG116">
        <v>0</v>
      </c>
      <c r="AH116">
        <v>0</v>
      </c>
      <c r="AI116">
        <v>2.33</v>
      </c>
      <c r="AJ116">
        <v>1</v>
      </c>
      <c r="AK116">
        <v>1</v>
      </c>
      <c r="AL116">
        <v>1</v>
      </c>
      <c r="AM116">
        <v>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1E-3</v>
      </c>
      <c r="AU116" t="s">
        <v>77</v>
      </c>
      <c r="AV116">
        <v>0</v>
      </c>
      <c r="AW116">
        <v>2</v>
      </c>
      <c r="AX116">
        <v>55915826</v>
      </c>
      <c r="AY116">
        <v>1</v>
      </c>
      <c r="AZ116">
        <v>0</v>
      </c>
      <c r="BA116">
        <v>137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ROUND(Y116*Source!I294,9)</f>
        <v>2.189E-2</v>
      </c>
      <c r="CY116">
        <f t="shared" ref="CY116:CY122" si="40">AA116</f>
        <v>136220.14000000001</v>
      </c>
      <c r="CZ116">
        <f t="shared" ref="CZ116:CZ122" si="41">AE116</f>
        <v>58463.58</v>
      </c>
      <c r="DA116">
        <f t="shared" ref="DA116:DA122" si="42">AI116</f>
        <v>2.33</v>
      </c>
      <c r="DB116">
        <f t="shared" ref="DB116:DB122" si="43">ROUND((ROUND(AT116*CZ116,2)*1),6)</f>
        <v>58.46</v>
      </c>
      <c r="DC116">
        <f t="shared" ref="DC116:DC122" si="44">ROUND((ROUND(AT116*AG116,2)*1),6)</f>
        <v>0</v>
      </c>
      <c r="DD116" t="s">
        <v>3</v>
      </c>
      <c r="DE116" t="s">
        <v>3</v>
      </c>
      <c r="DF116">
        <f t="shared" ref="DF116:DF122" si="45">ROUND(ROUND(AE116*AI116,2)*CX116,2)</f>
        <v>2981.86</v>
      </c>
      <c r="DG116">
        <f t="shared" ref="DG116:DG135" si="46">ROUND(ROUND(AF116,2)*CX116,2)</f>
        <v>0</v>
      </c>
      <c r="DH116">
        <f t="shared" si="29"/>
        <v>0</v>
      </c>
      <c r="DI116">
        <f t="shared" si="30"/>
        <v>0</v>
      </c>
      <c r="DJ116">
        <f t="shared" ref="DJ116:DJ122" si="47">DF116</f>
        <v>2981.86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ROW(Source!A294)</f>
        <v>294</v>
      </c>
      <c r="B117">
        <v>55915258</v>
      </c>
      <c r="C117">
        <v>55915822</v>
      </c>
      <c r="D117">
        <v>55461791</v>
      </c>
      <c r="E117">
        <v>1</v>
      </c>
      <c r="F117">
        <v>1</v>
      </c>
      <c r="G117">
        <v>1081</v>
      </c>
      <c r="H117">
        <v>3</v>
      </c>
      <c r="I117" t="s">
        <v>397</v>
      </c>
      <c r="J117" t="s">
        <v>398</v>
      </c>
      <c r="K117" t="s">
        <v>399</v>
      </c>
      <c r="L117">
        <v>1355</v>
      </c>
      <c r="N117">
        <v>1010</v>
      </c>
      <c r="O117" t="s">
        <v>269</v>
      </c>
      <c r="P117" t="s">
        <v>269</v>
      </c>
      <c r="Q117">
        <v>100</v>
      </c>
      <c r="W117">
        <v>0</v>
      </c>
      <c r="X117">
        <v>-429645653</v>
      </c>
      <c r="Y117">
        <f t="shared" si="39"/>
        <v>2.1419999999999999</v>
      </c>
      <c r="AA117">
        <v>16.43</v>
      </c>
      <c r="AB117">
        <v>0</v>
      </c>
      <c r="AC117">
        <v>0</v>
      </c>
      <c r="AD117">
        <v>0</v>
      </c>
      <c r="AE117">
        <v>10.6</v>
      </c>
      <c r="AF117">
        <v>0</v>
      </c>
      <c r="AG117">
        <v>0</v>
      </c>
      <c r="AH117">
        <v>0</v>
      </c>
      <c r="AI117">
        <v>1.55</v>
      </c>
      <c r="AJ117">
        <v>1</v>
      </c>
      <c r="AK117">
        <v>1</v>
      </c>
      <c r="AL117">
        <v>1</v>
      </c>
      <c r="AM117">
        <v>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2.1419999999999999</v>
      </c>
      <c r="AU117" t="s">
        <v>77</v>
      </c>
      <c r="AV117">
        <v>0</v>
      </c>
      <c r="AW117">
        <v>2</v>
      </c>
      <c r="AX117">
        <v>55915827</v>
      </c>
      <c r="AY117">
        <v>1</v>
      </c>
      <c r="AZ117">
        <v>0</v>
      </c>
      <c r="BA117">
        <v>138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v>0</v>
      </c>
      <c r="CX117">
        <f>ROUND(Y117*Source!I294,9)</f>
        <v>46.888379999999998</v>
      </c>
      <c r="CY117">
        <f t="shared" si="40"/>
        <v>16.43</v>
      </c>
      <c r="CZ117">
        <f t="shared" si="41"/>
        <v>10.6</v>
      </c>
      <c r="DA117">
        <f t="shared" si="42"/>
        <v>1.55</v>
      </c>
      <c r="DB117">
        <f t="shared" si="43"/>
        <v>22.71</v>
      </c>
      <c r="DC117">
        <f t="shared" si="44"/>
        <v>0</v>
      </c>
      <c r="DD117" t="s">
        <v>3</v>
      </c>
      <c r="DE117" t="s">
        <v>3</v>
      </c>
      <c r="DF117">
        <f t="shared" si="45"/>
        <v>770.38</v>
      </c>
      <c r="DG117">
        <f t="shared" si="46"/>
        <v>0</v>
      </c>
      <c r="DH117">
        <f t="shared" si="29"/>
        <v>0</v>
      </c>
      <c r="DI117">
        <f t="shared" si="30"/>
        <v>0</v>
      </c>
      <c r="DJ117">
        <f t="shared" si="47"/>
        <v>770.38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ROW(Source!A294)</f>
        <v>294</v>
      </c>
      <c r="B118">
        <v>55915258</v>
      </c>
      <c r="C118">
        <v>55915822</v>
      </c>
      <c r="D118">
        <v>55482161</v>
      </c>
      <c r="E118">
        <v>1</v>
      </c>
      <c r="F118">
        <v>1</v>
      </c>
      <c r="G118">
        <v>1081</v>
      </c>
      <c r="H118">
        <v>3</v>
      </c>
      <c r="I118" t="s">
        <v>267</v>
      </c>
      <c r="J118" t="s">
        <v>270</v>
      </c>
      <c r="K118" t="s">
        <v>268</v>
      </c>
      <c r="L118">
        <v>1355</v>
      </c>
      <c r="N118">
        <v>1010</v>
      </c>
      <c r="O118" t="s">
        <v>269</v>
      </c>
      <c r="P118" t="s">
        <v>269</v>
      </c>
      <c r="Q118">
        <v>100</v>
      </c>
      <c r="W118">
        <v>0</v>
      </c>
      <c r="X118">
        <v>289520784</v>
      </c>
      <c r="Y118">
        <f t="shared" si="39"/>
        <v>2.1640000000000001</v>
      </c>
      <c r="AA118">
        <v>255.59</v>
      </c>
      <c r="AB118">
        <v>0</v>
      </c>
      <c r="AC118">
        <v>0</v>
      </c>
      <c r="AD118">
        <v>0</v>
      </c>
      <c r="AE118">
        <v>146.88999999999999</v>
      </c>
      <c r="AF118">
        <v>0</v>
      </c>
      <c r="AG118">
        <v>0</v>
      </c>
      <c r="AH118">
        <v>0</v>
      </c>
      <c r="AI118">
        <v>1.74</v>
      </c>
      <c r="AJ118">
        <v>1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 t="s">
        <v>3</v>
      </c>
      <c r="AT118">
        <v>2.1640000000000001</v>
      </c>
      <c r="AU118" t="s">
        <v>77</v>
      </c>
      <c r="AV118">
        <v>0</v>
      </c>
      <c r="AW118">
        <v>1</v>
      </c>
      <c r="AX118">
        <v>-1</v>
      </c>
      <c r="AY118">
        <v>0</v>
      </c>
      <c r="AZ118">
        <v>0</v>
      </c>
      <c r="BA118" t="s">
        <v>3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ROUND(Y118*Source!I294,9)</f>
        <v>47.369959999999999</v>
      </c>
      <c r="CY118">
        <f t="shared" si="40"/>
        <v>255.59</v>
      </c>
      <c r="CZ118">
        <f t="shared" si="41"/>
        <v>146.88999999999999</v>
      </c>
      <c r="DA118">
        <f t="shared" si="42"/>
        <v>1.74</v>
      </c>
      <c r="DB118">
        <f t="shared" si="43"/>
        <v>317.87</v>
      </c>
      <c r="DC118">
        <f t="shared" si="44"/>
        <v>0</v>
      </c>
      <c r="DD118" t="s">
        <v>3</v>
      </c>
      <c r="DE118" t="s">
        <v>3</v>
      </c>
      <c r="DF118">
        <f t="shared" si="45"/>
        <v>12107.29</v>
      </c>
      <c r="DG118">
        <f t="shared" si="46"/>
        <v>0</v>
      </c>
      <c r="DH118">
        <f t="shared" si="29"/>
        <v>0</v>
      </c>
      <c r="DI118">
        <f t="shared" si="30"/>
        <v>0</v>
      </c>
      <c r="DJ118">
        <f t="shared" si="47"/>
        <v>12107.29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ROW(Source!A294)</f>
        <v>294</v>
      </c>
      <c r="B119">
        <v>55915258</v>
      </c>
      <c r="C119">
        <v>55915822</v>
      </c>
      <c r="D119">
        <v>55482203</v>
      </c>
      <c r="E119">
        <v>1</v>
      </c>
      <c r="F119">
        <v>1</v>
      </c>
      <c r="G119">
        <v>1081</v>
      </c>
      <c r="H119">
        <v>3</v>
      </c>
      <c r="I119" t="s">
        <v>400</v>
      </c>
      <c r="J119" t="s">
        <v>401</v>
      </c>
      <c r="K119" t="s">
        <v>402</v>
      </c>
      <c r="L119">
        <v>1356</v>
      </c>
      <c r="N119">
        <v>1010</v>
      </c>
      <c r="O119" t="s">
        <v>403</v>
      </c>
      <c r="P119" t="s">
        <v>403</v>
      </c>
      <c r="Q119">
        <v>1000</v>
      </c>
      <c r="W119">
        <v>0</v>
      </c>
      <c r="X119">
        <v>474149623</v>
      </c>
      <c r="Y119">
        <f t="shared" si="39"/>
        <v>1.7000000000000001E-2</v>
      </c>
      <c r="AA119">
        <v>1527.69</v>
      </c>
      <c r="AB119">
        <v>0</v>
      </c>
      <c r="AC119">
        <v>0</v>
      </c>
      <c r="AD119">
        <v>0</v>
      </c>
      <c r="AE119">
        <v>226.66</v>
      </c>
      <c r="AF119">
        <v>0</v>
      </c>
      <c r="AG119">
        <v>0</v>
      </c>
      <c r="AH119">
        <v>0</v>
      </c>
      <c r="AI119">
        <v>6.74</v>
      </c>
      <c r="AJ119">
        <v>1</v>
      </c>
      <c r="AK119">
        <v>1</v>
      </c>
      <c r="AL119">
        <v>1</v>
      </c>
      <c r="AM119">
        <v>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1.7000000000000001E-2</v>
      </c>
      <c r="AU119" t="s">
        <v>77</v>
      </c>
      <c r="AV119">
        <v>0</v>
      </c>
      <c r="AW119">
        <v>2</v>
      </c>
      <c r="AX119">
        <v>55915828</v>
      </c>
      <c r="AY119">
        <v>1</v>
      </c>
      <c r="AZ119">
        <v>0</v>
      </c>
      <c r="BA119">
        <v>139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v>0</v>
      </c>
      <c r="CX119">
        <f>ROUND(Y119*Source!I294,9)</f>
        <v>0.37213000000000002</v>
      </c>
      <c r="CY119">
        <f t="shared" si="40"/>
        <v>1527.69</v>
      </c>
      <c r="CZ119">
        <f t="shared" si="41"/>
        <v>226.66</v>
      </c>
      <c r="DA119">
        <f t="shared" si="42"/>
        <v>6.74</v>
      </c>
      <c r="DB119">
        <f t="shared" si="43"/>
        <v>3.85</v>
      </c>
      <c r="DC119">
        <f t="shared" si="44"/>
        <v>0</v>
      </c>
      <c r="DD119" t="s">
        <v>3</v>
      </c>
      <c r="DE119" t="s">
        <v>3</v>
      </c>
      <c r="DF119">
        <f t="shared" si="45"/>
        <v>568.5</v>
      </c>
      <c r="DG119">
        <f t="shared" si="46"/>
        <v>0</v>
      </c>
      <c r="DH119">
        <f t="shared" si="29"/>
        <v>0</v>
      </c>
      <c r="DI119">
        <f t="shared" si="30"/>
        <v>0</v>
      </c>
      <c r="DJ119">
        <f t="shared" si="47"/>
        <v>568.5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ROW(Source!A294)</f>
        <v>294</v>
      </c>
      <c r="B120">
        <v>55915258</v>
      </c>
      <c r="C120">
        <v>55915822</v>
      </c>
      <c r="D120">
        <v>55481977</v>
      </c>
      <c r="E120">
        <v>1</v>
      </c>
      <c r="F120">
        <v>1</v>
      </c>
      <c r="G120">
        <v>1081</v>
      </c>
      <c r="H120">
        <v>3</v>
      </c>
      <c r="I120" t="s">
        <v>404</v>
      </c>
      <c r="J120" t="s">
        <v>405</v>
      </c>
      <c r="K120" t="s">
        <v>406</v>
      </c>
      <c r="L120">
        <v>1355</v>
      </c>
      <c r="N120">
        <v>1010</v>
      </c>
      <c r="O120" t="s">
        <v>269</v>
      </c>
      <c r="P120" t="s">
        <v>269</v>
      </c>
      <c r="Q120">
        <v>100</v>
      </c>
      <c r="W120">
        <v>0</v>
      </c>
      <c r="X120">
        <v>1356827684</v>
      </c>
      <c r="Y120">
        <f t="shared" si="39"/>
        <v>0.17</v>
      </c>
      <c r="AA120">
        <v>105.5</v>
      </c>
      <c r="AB120">
        <v>0</v>
      </c>
      <c r="AC120">
        <v>0</v>
      </c>
      <c r="AD120">
        <v>0</v>
      </c>
      <c r="AE120">
        <v>26.71</v>
      </c>
      <c r="AF120">
        <v>0</v>
      </c>
      <c r="AG120">
        <v>0</v>
      </c>
      <c r="AH120">
        <v>0</v>
      </c>
      <c r="AI120">
        <v>3.95</v>
      </c>
      <c r="AJ120">
        <v>1</v>
      </c>
      <c r="AK120">
        <v>1</v>
      </c>
      <c r="AL120">
        <v>1</v>
      </c>
      <c r="AM120">
        <v>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0.17</v>
      </c>
      <c r="AU120" t="s">
        <v>77</v>
      </c>
      <c r="AV120">
        <v>0</v>
      </c>
      <c r="AW120">
        <v>2</v>
      </c>
      <c r="AX120">
        <v>55915829</v>
      </c>
      <c r="AY120">
        <v>1</v>
      </c>
      <c r="AZ120">
        <v>0</v>
      </c>
      <c r="BA120">
        <v>140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v>0</v>
      </c>
      <c r="CX120">
        <f>ROUND(Y120*Source!I294,9)</f>
        <v>3.7212999999999998</v>
      </c>
      <c r="CY120">
        <f t="shared" si="40"/>
        <v>105.5</v>
      </c>
      <c r="CZ120">
        <f t="shared" si="41"/>
        <v>26.71</v>
      </c>
      <c r="DA120">
        <f t="shared" si="42"/>
        <v>3.95</v>
      </c>
      <c r="DB120">
        <f t="shared" si="43"/>
        <v>4.54</v>
      </c>
      <c r="DC120">
        <f t="shared" si="44"/>
        <v>0</v>
      </c>
      <c r="DD120" t="s">
        <v>3</v>
      </c>
      <c r="DE120" t="s">
        <v>3</v>
      </c>
      <c r="DF120">
        <f t="shared" si="45"/>
        <v>392.6</v>
      </c>
      <c r="DG120">
        <f t="shared" si="46"/>
        <v>0</v>
      </c>
      <c r="DH120">
        <f t="shared" si="29"/>
        <v>0</v>
      </c>
      <c r="DI120">
        <f t="shared" si="30"/>
        <v>0</v>
      </c>
      <c r="DJ120">
        <f t="shared" si="47"/>
        <v>392.6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">
      <c r="A121">
        <f>ROW(Source!A294)</f>
        <v>294</v>
      </c>
      <c r="B121">
        <v>55915258</v>
      </c>
      <c r="C121">
        <v>55915822</v>
      </c>
      <c r="D121">
        <v>55469271</v>
      </c>
      <c r="E121">
        <v>1</v>
      </c>
      <c r="F121">
        <v>1</v>
      </c>
      <c r="G121">
        <v>1081</v>
      </c>
      <c r="H121">
        <v>3</v>
      </c>
      <c r="I121" t="s">
        <v>407</v>
      </c>
      <c r="J121" t="s">
        <v>408</v>
      </c>
      <c r="K121" t="s">
        <v>409</v>
      </c>
      <c r="L121">
        <v>1354</v>
      </c>
      <c r="N121">
        <v>1010</v>
      </c>
      <c r="O121" t="s">
        <v>191</v>
      </c>
      <c r="P121" t="s">
        <v>191</v>
      </c>
      <c r="Q121">
        <v>1</v>
      </c>
      <c r="W121">
        <v>0</v>
      </c>
      <c r="X121">
        <v>1339646332</v>
      </c>
      <c r="Y121">
        <f t="shared" si="39"/>
        <v>0.161</v>
      </c>
      <c r="AA121">
        <v>71.78</v>
      </c>
      <c r="AB121">
        <v>0</v>
      </c>
      <c r="AC121">
        <v>0</v>
      </c>
      <c r="AD121">
        <v>0</v>
      </c>
      <c r="AE121">
        <v>14.56</v>
      </c>
      <c r="AF121">
        <v>0</v>
      </c>
      <c r="AG121">
        <v>0</v>
      </c>
      <c r="AH121">
        <v>0</v>
      </c>
      <c r="AI121">
        <v>4.93</v>
      </c>
      <c r="AJ121">
        <v>1</v>
      </c>
      <c r="AK121">
        <v>1</v>
      </c>
      <c r="AL121">
        <v>1</v>
      </c>
      <c r="AM121">
        <v>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0.161</v>
      </c>
      <c r="AU121" t="s">
        <v>77</v>
      </c>
      <c r="AV121">
        <v>0</v>
      </c>
      <c r="AW121">
        <v>2</v>
      </c>
      <c r="AX121">
        <v>55915830</v>
      </c>
      <c r="AY121">
        <v>1</v>
      </c>
      <c r="AZ121">
        <v>0</v>
      </c>
      <c r="BA121">
        <v>141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v>0</v>
      </c>
      <c r="CX121">
        <f>ROUND(Y121*Source!I294,9)</f>
        <v>3.5242900000000001</v>
      </c>
      <c r="CY121">
        <f t="shared" si="40"/>
        <v>71.78</v>
      </c>
      <c r="CZ121">
        <f t="shared" si="41"/>
        <v>14.56</v>
      </c>
      <c r="DA121">
        <f t="shared" si="42"/>
        <v>4.93</v>
      </c>
      <c r="DB121">
        <f t="shared" si="43"/>
        <v>2.34</v>
      </c>
      <c r="DC121">
        <f t="shared" si="44"/>
        <v>0</v>
      </c>
      <c r="DD121" t="s">
        <v>3</v>
      </c>
      <c r="DE121" t="s">
        <v>3</v>
      </c>
      <c r="DF121">
        <f t="shared" si="45"/>
        <v>252.97</v>
      </c>
      <c r="DG121">
        <f t="shared" si="46"/>
        <v>0</v>
      </c>
      <c r="DH121">
        <f t="shared" si="29"/>
        <v>0</v>
      </c>
      <c r="DI121">
        <f t="shared" si="30"/>
        <v>0</v>
      </c>
      <c r="DJ121">
        <f t="shared" si="47"/>
        <v>252.97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ROW(Source!A294)</f>
        <v>294</v>
      </c>
      <c r="B122">
        <v>55915258</v>
      </c>
      <c r="C122">
        <v>55915822</v>
      </c>
      <c r="D122">
        <v>0</v>
      </c>
      <c r="E122">
        <v>0</v>
      </c>
      <c r="F122">
        <v>1</v>
      </c>
      <c r="G122">
        <v>1081</v>
      </c>
      <c r="H122">
        <v>3</v>
      </c>
      <c r="I122" t="s">
        <v>410</v>
      </c>
      <c r="J122" t="s">
        <v>410</v>
      </c>
      <c r="K122" t="s">
        <v>260</v>
      </c>
      <c r="L122">
        <v>1301</v>
      </c>
      <c r="N122">
        <v>1003</v>
      </c>
      <c r="O122" t="s">
        <v>261</v>
      </c>
      <c r="P122" t="s">
        <v>261</v>
      </c>
      <c r="Q122">
        <v>1</v>
      </c>
      <c r="W122">
        <v>0</v>
      </c>
      <c r="X122">
        <v>-833202236</v>
      </c>
      <c r="Y122">
        <f t="shared" si="39"/>
        <v>102</v>
      </c>
      <c r="AA122">
        <v>111.2</v>
      </c>
      <c r="AB122">
        <v>0</v>
      </c>
      <c r="AC122">
        <v>0</v>
      </c>
      <c r="AD122">
        <v>0</v>
      </c>
      <c r="AE122">
        <v>14.69</v>
      </c>
      <c r="AF122">
        <v>0</v>
      </c>
      <c r="AG122">
        <v>0</v>
      </c>
      <c r="AH122">
        <v>0</v>
      </c>
      <c r="AI122">
        <v>7.57</v>
      </c>
      <c r="AJ122">
        <v>1</v>
      </c>
      <c r="AK122">
        <v>1</v>
      </c>
      <c r="AL122">
        <v>1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 t="s">
        <v>3</v>
      </c>
      <c r="AT122">
        <v>102</v>
      </c>
      <c r="AU122" t="s">
        <v>77</v>
      </c>
      <c r="AV122">
        <v>0</v>
      </c>
      <c r="AW122">
        <v>1</v>
      </c>
      <c r="AX122">
        <v>-1</v>
      </c>
      <c r="AY122">
        <v>0</v>
      </c>
      <c r="AZ122">
        <v>0</v>
      </c>
      <c r="BA122" t="s">
        <v>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ROUND(Y122*Source!I294,9)</f>
        <v>2232.7800000000002</v>
      </c>
      <c r="CY122">
        <f t="shared" si="40"/>
        <v>111.2</v>
      </c>
      <c r="CZ122">
        <f t="shared" si="41"/>
        <v>14.69</v>
      </c>
      <c r="DA122">
        <f t="shared" si="42"/>
        <v>7.57</v>
      </c>
      <c r="DB122">
        <f t="shared" si="43"/>
        <v>1498.38</v>
      </c>
      <c r="DC122">
        <f t="shared" si="44"/>
        <v>0</v>
      </c>
      <c r="DD122" t="s">
        <v>3</v>
      </c>
      <c r="DE122" t="s">
        <v>3</v>
      </c>
      <c r="DF122">
        <f t="shared" si="45"/>
        <v>248285.14</v>
      </c>
      <c r="DG122">
        <f t="shared" si="46"/>
        <v>0</v>
      </c>
      <c r="DH122">
        <f t="shared" si="29"/>
        <v>0</v>
      </c>
      <c r="DI122">
        <f t="shared" si="30"/>
        <v>0</v>
      </c>
      <c r="DJ122">
        <f t="shared" si="47"/>
        <v>248285.14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ROW(Source!A301)</f>
        <v>301</v>
      </c>
      <c r="B123">
        <v>55915256</v>
      </c>
      <c r="C123">
        <v>55915850</v>
      </c>
      <c r="D123">
        <v>55424304</v>
      </c>
      <c r="E123">
        <v>1081</v>
      </c>
      <c r="F123">
        <v>1</v>
      </c>
      <c r="G123">
        <v>1081</v>
      </c>
      <c r="H123">
        <v>1</v>
      </c>
      <c r="I123" t="s">
        <v>363</v>
      </c>
      <c r="J123" t="s">
        <v>3</v>
      </c>
      <c r="K123" t="s">
        <v>364</v>
      </c>
      <c r="L123">
        <v>1191</v>
      </c>
      <c r="N123">
        <v>1013</v>
      </c>
      <c r="O123" t="s">
        <v>365</v>
      </c>
      <c r="P123" t="s">
        <v>365</v>
      </c>
      <c r="Q123">
        <v>1</v>
      </c>
      <c r="W123">
        <v>0</v>
      </c>
      <c r="X123">
        <v>476480486</v>
      </c>
      <c r="Y123">
        <f>(AT123*1.2)</f>
        <v>12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10</v>
      </c>
      <c r="AU123" t="s">
        <v>78</v>
      </c>
      <c r="AV123">
        <v>1</v>
      </c>
      <c r="AW123">
        <v>2</v>
      </c>
      <c r="AX123">
        <v>55915869</v>
      </c>
      <c r="AY123">
        <v>1</v>
      </c>
      <c r="AZ123">
        <v>0</v>
      </c>
      <c r="BA123">
        <v>145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U123">
        <f>ROUND(AT123*Source!I301*AH123*AL123,2)</f>
        <v>0</v>
      </c>
      <c r="CV123">
        <f>ROUND(Y123*Source!I301,9)</f>
        <v>125.64</v>
      </c>
      <c r="CW123">
        <v>0</v>
      </c>
      <c r="CX123">
        <f>ROUND(Y123*Source!I301,9)</f>
        <v>125.64</v>
      </c>
      <c r="CY123">
        <f>AD123</f>
        <v>0</v>
      </c>
      <c r="CZ123">
        <f>AH123</f>
        <v>0</v>
      </c>
      <c r="DA123">
        <f>AL123</f>
        <v>1</v>
      </c>
      <c r="DB123">
        <f>ROUND((ROUND(AT123*CZ123,2)*1.2),6)</f>
        <v>0</v>
      </c>
      <c r="DC123">
        <f>ROUND((ROUND(AT123*AG123,2)*1.2),6)</f>
        <v>0</v>
      </c>
      <c r="DD123" t="s">
        <v>3</v>
      </c>
      <c r="DE123" t="s">
        <v>3</v>
      </c>
      <c r="DF123">
        <f t="shared" ref="DF123:DF138" si="48">ROUND(ROUND(AE123,2)*CX123,2)</f>
        <v>0</v>
      </c>
      <c r="DG123">
        <f t="shared" si="46"/>
        <v>0</v>
      </c>
      <c r="DH123">
        <f t="shared" si="29"/>
        <v>0</v>
      </c>
      <c r="DI123">
        <f t="shared" si="30"/>
        <v>0</v>
      </c>
      <c r="DJ123">
        <f>DI123</f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ROW(Source!A301)</f>
        <v>301</v>
      </c>
      <c r="B124">
        <v>55915256</v>
      </c>
      <c r="C124">
        <v>55915850</v>
      </c>
      <c r="D124">
        <v>55490209</v>
      </c>
      <c r="E124">
        <v>1</v>
      </c>
      <c r="F124">
        <v>1</v>
      </c>
      <c r="G124">
        <v>1081</v>
      </c>
      <c r="H124">
        <v>2</v>
      </c>
      <c r="I124" t="s">
        <v>411</v>
      </c>
      <c r="J124" t="s">
        <v>412</v>
      </c>
      <c r="K124" t="s">
        <v>413</v>
      </c>
      <c r="L124">
        <v>1368</v>
      </c>
      <c r="N124">
        <v>1011</v>
      </c>
      <c r="O124" t="s">
        <v>390</v>
      </c>
      <c r="P124" t="s">
        <v>390</v>
      </c>
      <c r="Q124">
        <v>1</v>
      </c>
      <c r="W124">
        <v>0</v>
      </c>
      <c r="X124">
        <v>874612079</v>
      </c>
      <c r="Y124">
        <f>(AT124*1.2)</f>
        <v>0.22799999999999998</v>
      </c>
      <c r="AA124">
        <v>0</v>
      </c>
      <c r="AB124">
        <v>88.67</v>
      </c>
      <c r="AC124">
        <v>13.47</v>
      </c>
      <c r="AD124">
        <v>0</v>
      </c>
      <c r="AE124">
        <v>0</v>
      </c>
      <c r="AF124">
        <v>83.1</v>
      </c>
      <c r="AG124">
        <v>12.62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0.19</v>
      </c>
      <c r="AU124" t="s">
        <v>78</v>
      </c>
      <c r="AV124">
        <v>0</v>
      </c>
      <c r="AW124">
        <v>2</v>
      </c>
      <c r="AX124">
        <v>55915870</v>
      </c>
      <c r="AY124">
        <v>1</v>
      </c>
      <c r="AZ124">
        <v>0</v>
      </c>
      <c r="BA124">
        <v>146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f>ROUND(Y124*Source!I301*DO124,9)</f>
        <v>30.1259592</v>
      </c>
      <c r="CX124">
        <f>ROUND(Y124*Source!I301,9)</f>
        <v>2.3871600000000002</v>
      </c>
      <c r="CY124">
        <f>AB124</f>
        <v>88.67</v>
      </c>
      <c r="CZ124">
        <f>AF124</f>
        <v>83.1</v>
      </c>
      <c r="DA124">
        <f>AJ124</f>
        <v>1</v>
      </c>
      <c r="DB124">
        <f>ROUND((ROUND(AT124*CZ124,2)*1.2),6)</f>
        <v>18.948</v>
      </c>
      <c r="DC124">
        <f>ROUND((ROUND(AT124*AG124,2)*1.2),6)</f>
        <v>2.88</v>
      </c>
      <c r="DD124" t="s">
        <v>3</v>
      </c>
      <c r="DE124" t="s">
        <v>3</v>
      </c>
      <c r="DF124">
        <f t="shared" si="48"/>
        <v>0</v>
      </c>
      <c r="DG124">
        <f t="shared" si="46"/>
        <v>198.37</v>
      </c>
      <c r="DH124">
        <f t="shared" si="29"/>
        <v>30.13</v>
      </c>
      <c r="DI124">
        <f t="shared" si="30"/>
        <v>0</v>
      </c>
      <c r="DJ124">
        <f>DG124</f>
        <v>198.37</v>
      </c>
      <c r="DK124">
        <v>0</v>
      </c>
      <c r="DL124" t="s">
        <v>414</v>
      </c>
      <c r="DM124">
        <v>0</v>
      </c>
      <c r="DN124" t="s">
        <v>365</v>
      </c>
      <c r="DO124">
        <v>12.62</v>
      </c>
    </row>
    <row r="125" spans="1:119" x14ac:dyDescent="0.2">
      <c r="A125">
        <f>ROW(Source!A301)</f>
        <v>301</v>
      </c>
      <c r="B125">
        <v>55915256</v>
      </c>
      <c r="C125">
        <v>55915850</v>
      </c>
      <c r="D125">
        <v>55489526</v>
      </c>
      <c r="E125">
        <v>1</v>
      </c>
      <c r="F125">
        <v>1</v>
      </c>
      <c r="G125">
        <v>1081</v>
      </c>
      <c r="H125">
        <v>2</v>
      </c>
      <c r="I125" t="s">
        <v>415</v>
      </c>
      <c r="J125" t="s">
        <v>416</v>
      </c>
      <c r="K125" t="s">
        <v>417</v>
      </c>
      <c r="L125">
        <v>1368</v>
      </c>
      <c r="N125">
        <v>1011</v>
      </c>
      <c r="O125" t="s">
        <v>390</v>
      </c>
      <c r="P125" t="s">
        <v>390</v>
      </c>
      <c r="Q125">
        <v>1</v>
      </c>
      <c r="W125">
        <v>0</v>
      </c>
      <c r="X125">
        <v>1727344431</v>
      </c>
      <c r="Y125">
        <f>(AT125*1.2)</f>
        <v>2.8439999999999999</v>
      </c>
      <c r="AA125">
        <v>0</v>
      </c>
      <c r="AB125">
        <v>2.42</v>
      </c>
      <c r="AC125">
        <v>0</v>
      </c>
      <c r="AD125">
        <v>0</v>
      </c>
      <c r="AE125">
        <v>0</v>
      </c>
      <c r="AF125">
        <v>2.27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2.37</v>
      </c>
      <c r="AU125" t="s">
        <v>78</v>
      </c>
      <c r="AV125">
        <v>0</v>
      </c>
      <c r="AW125">
        <v>2</v>
      </c>
      <c r="AX125">
        <v>55915871</v>
      </c>
      <c r="AY125">
        <v>1</v>
      </c>
      <c r="AZ125">
        <v>0</v>
      </c>
      <c r="BA125">
        <v>147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f>ROUND(Y125*Source!I301*DO125,9)</f>
        <v>0</v>
      </c>
      <c r="CX125">
        <f>ROUND(Y125*Source!I301,9)</f>
        <v>29.776679999999999</v>
      </c>
      <c r="CY125">
        <f>AB125</f>
        <v>2.42</v>
      </c>
      <c r="CZ125">
        <f>AF125</f>
        <v>2.27</v>
      </c>
      <c r="DA125">
        <f>AJ125</f>
        <v>1</v>
      </c>
      <c r="DB125">
        <f>ROUND((ROUND(AT125*CZ125,2)*1.2),6)</f>
        <v>6.4560000000000004</v>
      </c>
      <c r="DC125">
        <f>ROUND((ROUND(AT125*AG125,2)*1.2),6)</f>
        <v>0</v>
      </c>
      <c r="DD125" t="s">
        <v>3</v>
      </c>
      <c r="DE125" t="s">
        <v>3</v>
      </c>
      <c r="DF125">
        <f t="shared" si="48"/>
        <v>0</v>
      </c>
      <c r="DG125">
        <f t="shared" si="46"/>
        <v>67.59</v>
      </c>
      <c r="DH125">
        <f t="shared" si="29"/>
        <v>0</v>
      </c>
      <c r="DI125">
        <f t="shared" si="30"/>
        <v>0</v>
      </c>
      <c r="DJ125">
        <f>DG125</f>
        <v>67.59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ROW(Source!A301)</f>
        <v>301</v>
      </c>
      <c r="B126">
        <v>55915256</v>
      </c>
      <c r="C126">
        <v>55915850</v>
      </c>
      <c r="D126">
        <v>55489536</v>
      </c>
      <c r="E126">
        <v>1</v>
      </c>
      <c r="F126">
        <v>1</v>
      </c>
      <c r="G126">
        <v>1081</v>
      </c>
      <c r="H126">
        <v>2</v>
      </c>
      <c r="I126" t="s">
        <v>418</v>
      </c>
      <c r="J126" t="s">
        <v>419</v>
      </c>
      <c r="K126" t="s">
        <v>420</v>
      </c>
      <c r="L126">
        <v>1368</v>
      </c>
      <c r="N126">
        <v>1011</v>
      </c>
      <c r="O126" t="s">
        <v>390</v>
      </c>
      <c r="P126" t="s">
        <v>390</v>
      </c>
      <c r="Q126">
        <v>1</v>
      </c>
      <c r="W126">
        <v>0</v>
      </c>
      <c r="X126">
        <v>-1606999100</v>
      </c>
      <c r="Y126">
        <f>(AT126*1.2)</f>
        <v>2.8439999999999999</v>
      </c>
      <c r="AA126">
        <v>0</v>
      </c>
      <c r="AB126">
        <v>0.78</v>
      </c>
      <c r="AC126">
        <v>0</v>
      </c>
      <c r="AD126">
        <v>0</v>
      </c>
      <c r="AE126">
        <v>0</v>
      </c>
      <c r="AF126">
        <v>0.73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2.37</v>
      </c>
      <c r="AU126" t="s">
        <v>78</v>
      </c>
      <c r="AV126">
        <v>0</v>
      </c>
      <c r="AW126">
        <v>2</v>
      </c>
      <c r="AX126">
        <v>55915872</v>
      </c>
      <c r="AY126">
        <v>1</v>
      </c>
      <c r="AZ126">
        <v>0</v>
      </c>
      <c r="BA126">
        <v>148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f>ROUND(Y126*Source!I301*DO126,9)</f>
        <v>0</v>
      </c>
      <c r="CX126">
        <f>ROUND(Y126*Source!I301,9)</f>
        <v>29.776679999999999</v>
      </c>
      <c r="CY126">
        <f>AB126</f>
        <v>0.78</v>
      </c>
      <c r="CZ126">
        <f>AF126</f>
        <v>0.73</v>
      </c>
      <c r="DA126">
        <f>AJ126</f>
        <v>1</v>
      </c>
      <c r="DB126">
        <f>ROUND((ROUND(AT126*CZ126,2)*1.2),6)</f>
        <v>2.0760000000000001</v>
      </c>
      <c r="DC126">
        <f>ROUND((ROUND(AT126*AG126,2)*1.2),6)</f>
        <v>0</v>
      </c>
      <c r="DD126" t="s">
        <v>3</v>
      </c>
      <c r="DE126" t="s">
        <v>3</v>
      </c>
      <c r="DF126">
        <f t="shared" si="48"/>
        <v>0</v>
      </c>
      <c r="DG126">
        <f t="shared" si="46"/>
        <v>21.74</v>
      </c>
      <c r="DH126">
        <f t="shared" si="29"/>
        <v>0</v>
      </c>
      <c r="DI126">
        <f t="shared" si="30"/>
        <v>0</v>
      </c>
      <c r="DJ126">
        <f>DG126</f>
        <v>21.74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ROW(Source!A301)</f>
        <v>301</v>
      </c>
      <c r="B127">
        <v>55915256</v>
      </c>
      <c r="C127">
        <v>55915850</v>
      </c>
      <c r="D127">
        <v>55461719</v>
      </c>
      <c r="E127">
        <v>1</v>
      </c>
      <c r="F127">
        <v>1</v>
      </c>
      <c r="G127">
        <v>1081</v>
      </c>
      <c r="H127">
        <v>3</v>
      </c>
      <c r="I127" t="s">
        <v>421</v>
      </c>
      <c r="J127" t="s">
        <v>422</v>
      </c>
      <c r="K127" t="s">
        <v>423</v>
      </c>
      <c r="L127">
        <v>1348</v>
      </c>
      <c r="N127">
        <v>1009</v>
      </c>
      <c r="O127" t="s">
        <v>324</v>
      </c>
      <c r="P127" t="s">
        <v>324</v>
      </c>
      <c r="Q127">
        <v>1000</v>
      </c>
      <c r="W127">
        <v>0</v>
      </c>
      <c r="X127">
        <v>-1265888387</v>
      </c>
      <c r="Y127">
        <f t="shared" ref="Y127:Y134" si="49">(AT127*1)</f>
        <v>1.1E-4</v>
      </c>
      <c r="AA127">
        <v>11505.28</v>
      </c>
      <c r="AB127">
        <v>0</v>
      </c>
      <c r="AC127">
        <v>0</v>
      </c>
      <c r="AD127">
        <v>0</v>
      </c>
      <c r="AE127">
        <v>10643.18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1.1E-4</v>
      </c>
      <c r="AU127" t="s">
        <v>77</v>
      </c>
      <c r="AV127">
        <v>0</v>
      </c>
      <c r="AW127">
        <v>2</v>
      </c>
      <c r="AX127">
        <v>55915873</v>
      </c>
      <c r="AY127">
        <v>1</v>
      </c>
      <c r="AZ127">
        <v>0</v>
      </c>
      <c r="BA127">
        <v>149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ROUND(Y127*Source!I301,9)</f>
        <v>1.1517000000000001E-3</v>
      </c>
      <c r="CY127">
        <f t="shared" ref="CY127:CY134" si="50">AA127</f>
        <v>11505.28</v>
      </c>
      <c r="CZ127">
        <f t="shared" ref="CZ127:CZ134" si="51">AE127</f>
        <v>10643.18</v>
      </c>
      <c r="DA127">
        <f t="shared" ref="DA127:DA134" si="52">AI127</f>
        <v>1</v>
      </c>
      <c r="DB127">
        <f t="shared" ref="DB127:DB134" si="53">ROUND((ROUND(AT127*CZ127,2)*1),6)</f>
        <v>1.17</v>
      </c>
      <c r="DC127">
        <f t="shared" ref="DC127:DC134" si="54">ROUND((ROUND(AT127*AG127,2)*1),6)</f>
        <v>0</v>
      </c>
      <c r="DD127" t="s">
        <v>3</v>
      </c>
      <c r="DE127" t="s">
        <v>3</v>
      </c>
      <c r="DF127">
        <f t="shared" si="48"/>
        <v>12.26</v>
      </c>
      <c r="DG127">
        <f t="shared" si="46"/>
        <v>0</v>
      </c>
      <c r="DH127">
        <f t="shared" si="29"/>
        <v>0</v>
      </c>
      <c r="DI127">
        <f t="shared" si="30"/>
        <v>0</v>
      </c>
      <c r="DJ127">
        <f t="shared" ref="DJ127:DJ134" si="55">DF127</f>
        <v>12.26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ROW(Source!A301)</f>
        <v>301</v>
      </c>
      <c r="B128">
        <v>55915256</v>
      </c>
      <c r="C128">
        <v>55915850</v>
      </c>
      <c r="D128">
        <v>55459514</v>
      </c>
      <c r="E128">
        <v>1</v>
      </c>
      <c r="F128">
        <v>1</v>
      </c>
      <c r="G128">
        <v>1081</v>
      </c>
      <c r="H128">
        <v>3</v>
      </c>
      <c r="I128" t="s">
        <v>424</v>
      </c>
      <c r="J128" t="s">
        <v>425</v>
      </c>
      <c r="K128" t="s">
        <v>426</v>
      </c>
      <c r="L128">
        <v>1348</v>
      </c>
      <c r="N128">
        <v>1009</v>
      </c>
      <c r="O128" t="s">
        <v>324</v>
      </c>
      <c r="P128" t="s">
        <v>324</v>
      </c>
      <c r="Q128">
        <v>1000</v>
      </c>
      <c r="W128">
        <v>0</v>
      </c>
      <c r="X128">
        <v>-129967446</v>
      </c>
      <c r="Y128">
        <f t="shared" si="49"/>
        <v>7.2000000000000005E-4</v>
      </c>
      <c r="AA128">
        <v>12143.54</v>
      </c>
      <c r="AB128">
        <v>0</v>
      </c>
      <c r="AC128">
        <v>0</v>
      </c>
      <c r="AD128">
        <v>0</v>
      </c>
      <c r="AE128">
        <v>11233.62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-2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7.2000000000000005E-4</v>
      </c>
      <c r="AU128" t="s">
        <v>77</v>
      </c>
      <c r="AV128">
        <v>0</v>
      </c>
      <c r="AW128">
        <v>2</v>
      </c>
      <c r="AX128">
        <v>55915874</v>
      </c>
      <c r="AY128">
        <v>1</v>
      </c>
      <c r="AZ128">
        <v>0</v>
      </c>
      <c r="BA128">
        <v>150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ROUND(Y128*Source!I301,9)</f>
        <v>7.5383999999999998E-3</v>
      </c>
      <c r="CY128">
        <f t="shared" si="50"/>
        <v>12143.54</v>
      </c>
      <c r="CZ128">
        <f t="shared" si="51"/>
        <v>11233.62</v>
      </c>
      <c r="DA128">
        <f t="shared" si="52"/>
        <v>1</v>
      </c>
      <c r="DB128">
        <f t="shared" si="53"/>
        <v>8.09</v>
      </c>
      <c r="DC128">
        <f t="shared" si="54"/>
        <v>0</v>
      </c>
      <c r="DD128" t="s">
        <v>3</v>
      </c>
      <c r="DE128" t="s">
        <v>3</v>
      </c>
      <c r="DF128">
        <f t="shared" si="48"/>
        <v>84.68</v>
      </c>
      <c r="DG128">
        <f t="shared" si="46"/>
        <v>0</v>
      </c>
      <c r="DH128">
        <f t="shared" si="29"/>
        <v>0</v>
      </c>
      <c r="DI128">
        <f t="shared" si="30"/>
        <v>0</v>
      </c>
      <c r="DJ128">
        <f t="shared" si="55"/>
        <v>84.68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ROW(Source!A301)</f>
        <v>301</v>
      </c>
      <c r="B129">
        <v>55915256</v>
      </c>
      <c r="C129">
        <v>55915850</v>
      </c>
      <c r="D129">
        <v>55466023</v>
      </c>
      <c r="E129">
        <v>1</v>
      </c>
      <c r="F129">
        <v>1</v>
      </c>
      <c r="G129">
        <v>1081</v>
      </c>
      <c r="H129">
        <v>3</v>
      </c>
      <c r="I129" t="s">
        <v>427</v>
      </c>
      <c r="J129" t="s">
        <v>428</v>
      </c>
      <c r="K129" t="s">
        <v>429</v>
      </c>
      <c r="L129">
        <v>1346</v>
      </c>
      <c r="N129">
        <v>1009</v>
      </c>
      <c r="O129" t="s">
        <v>339</v>
      </c>
      <c r="P129" t="s">
        <v>339</v>
      </c>
      <c r="Q129">
        <v>1</v>
      </c>
      <c r="W129">
        <v>0</v>
      </c>
      <c r="X129">
        <v>-569829969</v>
      </c>
      <c r="Y129">
        <f t="shared" si="49"/>
        <v>0.62</v>
      </c>
      <c r="AA129">
        <v>27.89</v>
      </c>
      <c r="AB129">
        <v>0</v>
      </c>
      <c r="AC129">
        <v>0</v>
      </c>
      <c r="AD129">
        <v>0</v>
      </c>
      <c r="AE129">
        <v>25.8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0.62</v>
      </c>
      <c r="AU129" t="s">
        <v>77</v>
      </c>
      <c r="AV129">
        <v>0</v>
      </c>
      <c r="AW129">
        <v>2</v>
      </c>
      <c r="AX129">
        <v>55915875</v>
      </c>
      <c r="AY129">
        <v>1</v>
      </c>
      <c r="AZ129">
        <v>0</v>
      </c>
      <c r="BA129">
        <v>151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ROUND(Y129*Source!I301,9)</f>
        <v>6.4913999999999996</v>
      </c>
      <c r="CY129">
        <f t="shared" si="50"/>
        <v>27.89</v>
      </c>
      <c r="CZ129">
        <f t="shared" si="51"/>
        <v>25.8</v>
      </c>
      <c r="DA129">
        <f t="shared" si="52"/>
        <v>1</v>
      </c>
      <c r="DB129">
        <f t="shared" si="53"/>
        <v>16</v>
      </c>
      <c r="DC129">
        <f t="shared" si="54"/>
        <v>0</v>
      </c>
      <c r="DD129" t="s">
        <v>3</v>
      </c>
      <c r="DE129" t="s">
        <v>3</v>
      </c>
      <c r="DF129">
        <f t="shared" si="48"/>
        <v>167.48</v>
      </c>
      <c r="DG129">
        <f t="shared" si="46"/>
        <v>0</v>
      </c>
      <c r="DH129">
        <f t="shared" ref="DH129:DH135" si="56">ROUND(ROUND(AG129,2)*CX129,2)</f>
        <v>0</v>
      </c>
      <c r="DI129">
        <f t="shared" ref="DI129:DI160" si="57">ROUND(ROUND(AH129,2)*CX129,2)</f>
        <v>0</v>
      </c>
      <c r="DJ129">
        <f t="shared" si="55"/>
        <v>167.48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ROW(Source!A301)</f>
        <v>301</v>
      </c>
      <c r="B130">
        <v>55915256</v>
      </c>
      <c r="C130">
        <v>55915850</v>
      </c>
      <c r="D130">
        <v>55459792</v>
      </c>
      <c r="E130">
        <v>1</v>
      </c>
      <c r="F130">
        <v>1</v>
      </c>
      <c r="G130">
        <v>1081</v>
      </c>
      <c r="H130">
        <v>3</v>
      </c>
      <c r="I130" t="s">
        <v>430</v>
      </c>
      <c r="J130" t="s">
        <v>431</v>
      </c>
      <c r="K130" t="s">
        <v>432</v>
      </c>
      <c r="L130">
        <v>1348</v>
      </c>
      <c r="N130">
        <v>1009</v>
      </c>
      <c r="O130" t="s">
        <v>324</v>
      </c>
      <c r="P130" t="s">
        <v>324</v>
      </c>
      <c r="Q130">
        <v>1000</v>
      </c>
      <c r="W130">
        <v>0</v>
      </c>
      <c r="X130">
        <v>114569696</v>
      </c>
      <c r="Y130">
        <f t="shared" si="49"/>
        <v>2.5999999999999998E-4</v>
      </c>
      <c r="AA130">
        <v>65898.22</v>
      </c>
      <c r="AB130">
        <v>0</v>
      </c>
      <c r="AC130">
        <v>0</v>
      </c>
      <c r="AD130">
        <v>0</v>
      </c>
      <c r="AE130">
        <v>60960.43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2.5999999999999998E-4</v>
      </c>
      <c r="AU130" t="s">
        <v>77</v>
      </c>
      <c r="AV130">
        <v>0</v>
      </c>
      <c r="AW130">
        <v>2</v>
      </c>
      <c r="AX130">
        <v>55915876</v>
      </c>
      <c r="AY130">
        <v>1</v>
      </c>
      <c r="AZ130">
        <v>0</v>
      </c>
      <c r="BA130">
        <v>152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ROUND(Y130*Source!I301,9)</f>
        <v>2.7222000000000001E-3</v>
      </c>
      <c r="CY130">
        <f t="shared" si="50"/>
        <v>65898.22</v>
      </c>
      <c r="CZ130">
        <f t="shared" si="51"/>
        <v>60960.43</v>
      </c>
      <c r="DA130">
        <f t="shared" si="52"/>
        <v>1</v>
      </c>
      <c r="DB130">
        <f t="shared" si="53"/>
        <v>15.85</v>
      </c>
      <c r="DC130">
        <f t="shared" si="54"/>
        <v>0</v>
      </c>
      <c r="DD130" t="s">
        <v>3</v>
      </c>
      <c r="DE130" t="s">
        <v>3</v>
      </c>
      <c r="DF130">
        <f t="shared" si="48"/>
        <v>165.95</v>
      </c>
      <c r="DG130">
        <f t="shared" si="46"/>
        <v>0</v>
      </c>
      <c r="DH130">
        <f t="shared" si="56"/>
        <v>0</v>
      </c>
      <c r="DI130">
        <f t="shared" si="57"/>
        <v>0</v>
      </c>
      <c r="DJ130">
        <f t="shared" si="55"/>
        <v>165.95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ROW(Source!A301)</f>
        <v>301</v>
      </c>
      <c r="B131">
        <v>55915256</v>
      </c>
      <c r="C131">
        <v>55915850</v>
      </c>
      <c r="D131">
        <v>55459815</v>
      </c>
      <c r="E131">
        <v>1</v>
      </c>
      <c r="F131">
        <v>1</v>
      </c>
      <c r="G131">
        <v>1081</v>
      </c>
      <c r="H131">
        <v>3</v>
      </c>
      <c r="I131" t="s">
        <v>433</v>
      </c>
      <c r="J131" t="s">
        <v>434</v>
      </c>
      <c r="K131" t="s">
        <v>435</v>
      </c>
      <c r="L131">
        <v>1348</v>
      </c>
      <c r="N131">
        <v>1009</v>
      </c>
      <c r="O131" t="s">
        <v>324</v>
      </c>
      <c r="P131" t="s">
        <v>324</v>
      </c>
      <c r="Q131">
        <v>1000</v>
      </c>
      <c r="W131">
        <v>0</v>
      </c>
      <c r="X131">
        <v>-557692701</v>
      </c>
      <c r="Y131">
        <f t="shared" si="49"/>
        <v>1E-4</v>
      </c>
      <c r="AA131">
        <v>8619.5400000000009</v>
      </c>
      <c r="AB131">
        <v>0</v>
      </c>
      <c r="AC131">
        <v>0</v>
      </c>
      <c r="AD131">
        <v>0</v>
      </c>
      <c r="AE131">
        <v>7973.67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1E-4</v>
      </c>
      <c r="AU131" t="s">
        <v>77</v>
      </c>
      <c r="AV131">
        <v>0</v>
      </c>
      <c r="AW131">
        <v>2</v>
      </c>
      <c r="AX131">
        <v>55915877</v>
      </c>
      <c r="AY131">
        <v>1</v>
      </c>
      <c r="AZ131">
        <v>0</v>
      </c>
      <c r="BA131">
        <v>153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v>0</v>
      </c>
      <c r="CX131">
        <f>ROUND(Y131*Source!I301,9)</f>
        <v>1.047E-3</v>
      </c>
      <c r="CY131">
        <f t="shared" si="50"/>
        <v>8619.5400000000009</v>
      </c>
      <c r="CZ131">
        <f t="shared" si="51"/>
        <v>7973.67</v>
      </c>
      <c r="DA131">
        <f t="shared" si="52"/>
        <v>1</v>
      </c>
      <c r="DB131">
        <f t="shared" si="53"/>
        <v>0.8</v>
      </c>
      <c r="DC131">
        <f t="shared" si="54"/>
        <v>0</v>
      </c>
      <c r="DD131" t="s">
        <v>3</v>
      </c>
      <c r="DE131" t="s">
        <v>3</v>
      </c>
      <c r="DF131">
        <f t="shared" si="48"/>
        <v>8.35</v>
      </c>
      <c r="DG131">
        <f t="shared" si="46"/>
        <v>0</v>
      </c>
      <c r="DH131">
        <f t="shared" si="56"/>
        <v>0</v>
      </c>
      <c r="DI131">
        <f t="shared" si="57"/>
        <v>0</v>
      </c>
      <c r="DJ131">
        <f t="shared" si="55"/>
        <v>8.35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ROW(Source!A301)</f>
        <v>301</v>
      </c>
      <c r="B132">
        <v>55915256</v>
      </c>
      <c r="C132">
        <v>55915850</v>
      </c>
      <c r="D132">
        <v>55482203</v>
      </c>
      <c r="E132">
        <v>1</v>
      </c>
      <c r="F132">
        <v>1</v>
      </c>
      <c r="G132">
        <v>1081</v>
      </c>
      <c r="H132">
        <v>3</v>
      </c>
      <c r="I132" t="s">
        <v>400</v>
      </c>
      <c r="J132" t="s">
        <v>401</v>
      </c>
      <c r="K132" t="s">
        <v>402</v>
      </c>
      <c r="L132">
        <v>1356</v>
      </c>
      <c r="N132">
        <v>1010</v>
      </c>
      <c r="O132" t="s">
        <v>403</v>
      </c>
      <c r="P132" t="s">
        <v>403</v>
      </c>
      <c r="Q132">
        <v>1000</v>
      </c>
      <c r="W132">
        <v>0</v>
      </c>
      <c r="X132">
        <v>474149623</v>
      </c>
      <c r="Y132">
        <f t="shared" si="49"/>
        <v>0.01</v>
      </c>
      <c r="AA132">
        <v>245.02</v>
      </c>
      <c r="AB132">
        <v>0</v>
      </c>
      <c r="AC132">
        <v>0</v>
      </c>
      <c r="AD132">
        <v>0</v>
      </c>
      <c r="AE132">
        <v>226.66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-2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0.01</v>
      </c>
      <c r="AU132" t="s">
        <v>77</v>
      </c>
      <c r="AV132">
        <v>0</v>
      </c>
      <c r="AW132">
        <v>2</v>
      </c>
      <c r="AX132">
        <v>55915878</v>
      </c>
      <c r="AY132">
        <v>1</v>
      </c>
      <c r="AZ132">
        <v>0</v>
      </c>
      <c r="BA132">
        <v>154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v>0</v>
      </c>
      <c r="CX132">
        <f>ROUND(Y132*Source!I301,9)</f>
        <v>0.1047</v>
      </c>
      <c r="CY132">
        <f t="shared" si="50"/>
        <v>245.02</v>
      </c>
      <c r="CZ132">
        <f t="shared" si="51"/>
        <v>226.66</v>
      </c>
      <c r="DA132">
        <f t="shared" si="52"/>
        <v>1</v>
      </c>
      <c r="DB132">
        <f t="shared" si="53"/>
        <v>2.27</v>
      </c>
      <c r="DC132">
        <f t="shared" si="54"/>
        <v>0</v>
      </c>
      <c r="DD132" t="s">
        <v>3</v>
      </c>
      <c r="DE132" t="s">
        <v>3</v>
      </c>
      <c r="DF132">
        <f t="shared" si="48"/>
        <v>23.73</v>
      </c>
      <c r="DG132">
        <f t="shared" si="46"/>
        <v>0</v>
      </c>
      <c r="DH132">
        <f t="shared" si="56"/>
        <v>0</v>
      </c>
      <c r="DI132">
        <f t="shared" si="57"/>
        <v>0</v>
      </c>
      <c r="DJ132">
        <f t="shared" si="55"/>
        <v>23.73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ROW(Source!A301)</f>
        <v>301</v>
      </c>
      <c r="B133">
        <v>55915256</v>
      </c>
      <c r="C133">
        <v>55915850</v>
      </c>
      <c r="D133">
        <v>55481864</v>
      </c>
      <c r="E133">
        <v>1</v>
      </c>
      <c r="F133">
        <v>1</v>
      </c>
      <c r="G133">
        <v>1081</v>
      </c>
      <c r="H133">
        <v>3</v>
      </c>
      <c r="I133" t="s">
        <v>436</v>
      </c>
      <c r="J133" t="s">
        <v>437</v>
      </c>
      <c r="K133" t="s">
        <v>438</v>
      </c>
      <c r="L133">
        <v>1301</v>
      </c>
      <c r="N133">
        <v>1003</v>
      </c>
      <c r="O133" t="s">
        <v>261</v>
      </c>
      <c r="P133" t="s">
        <v>261</v>
      </c>
      <c r="Q133">
        <v>1</v>
      </c>
      <c r="W133">
        <v>0</v>
      </c>
      <c r="X133">
        <v>-877267416</v>
      </c>
      <c r="Y133">
        <f t="shared" si="49"/>
        <v>2.4500000000000002</v>
      </c>
      <c r="AA133">
        <v>0.76</v>
      </c>
      <c r="AB133">
        <v>0</v>
      </c>
      <c r="AC133">
        <v>0</v>
      </c>
      <c r="AD133">
        <v>0</v>
      </c>
      <c r="AE133">
        <v>0.7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2.4500000000000002</v>
      </c>
      <c r="AU133" t="s">
        <v>77</v>
      </c>
      <c r="AV133">
        <v>0</v>
      </c>
      <c r="AW133">
        <v>2</v>
      </c>
      <c r="AX133">
        <v>55915879</v>
      </c>
      <c r="AY133">
        <v>1</v>
      </c>
      <c r="AZ133">
        <v>0</v>
      </c>
      <c r="BA133">
        <v>155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v>0</v>
      </c>
      <c r="CX133">
        <f>ROUND(Y133*Source!I301,9)</f>
        <v>25.651499999999999</v>
      </c>
      <c r="CY133">
        <f t="shared" si="50"/>
        <v>0.76</v>
      </c>
      <c r="CZ133">
        <f t="shared" si="51"/>
        <v>0.7</v>
      </c>
      <c r="DA133">
        <f t="shared" si="52"/>
        <v>1</v>
      </c>
      <c r="DB133">
        <f t="shared" si="53"/>
        <v>1.72</v>
      </c>
      <c r="DC133">
        <f t="shared" si="54"/>
        <v>0</v>
      </c>
      <c r="DD133" t="s">
        <v>3</v>
      </c>
      <c r="DE133" t="s">
        <v>3</v>
      </c>
      <c r="DF133">
        <f t="shared" si="48"/>
        <v>17.96</v>
      </c>
      <c r="DG133">
        <f t="shared" si="46"/>
        <v>0</v>
      </c>
      <c r="DH133">
        <f t="shared" si="56"/>
        <v>0</v>
      </c>
      <c r="DI133">
        <f t="shared" si="57"/>
        <v>0</v>
      </c>
      <c r="DJ133">
        <f t="shared" si="55"/>
        <v>17.96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">
      <c r="A134">
        <f>ROW(Source!A301)</f>
        <v>301</v>
      </c>
      <c r="B134">
        <v>55915256</v>
      </c>
      <c r="C134">
        <v>55915850</v>
      </c>
      <c r="D134">
        <v>55481866</v>
      </c>
      <c r="E134">
        <v>1</v>
      </c>
      <c r="F134">
        <v>1</v>
      </c>
      <c r="G134">
        <v>1081</v>
      </c>
      <c r="H134">
        <v>3</v>
      </c>
      <c r="I134" t="s">
        <v>439</v>
      </c>
      <c r="J134" t="s">
        <v>440</v>
      </c>
      <c r="K134" t="s">
        <v>441</v>
      </c>
      <c r="L134">
        <v>1356</v>
      </c>
      <c r="N134">
        <v>1010</v>
      </c>
      <c r="O134" t="s">
        <v>403</v>
      </c>
      <c r="P134" t="s">
        <v>403</v>
      </c>
      <c r="Q134">
        <v>1000</v>
      </c>
      <c r="W134">
        <v>0</v>
      </c>
      <c r="X134">
        <v>-314125572</v>
      </c>
      <c r="Y134">
        <f t="shared" si="49"/>
        <v>2.0799999999999999E-2</v>
      </c>
      <c r="AA134">
        <v>6.96</v>
      </c>
      <c r="AB134">
        <v>0</v>
      </c>
      <c r="AC134">
        <v>0</v>
      </c>
      <c r="AD134">
        <v>0</v>
      </c>
      <c r="AE134">
        <v>6.44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-2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2.0799999999999999E-2</v>
      </c>
      <c r="AU134" t="s">
        <v>77</v>
      </c>
      <c r="AV134">
        <v>0</v>
      </c>
      <c r="AW134">
        <v>2</v>
      </c>
      <c r="AX134">
        <v>55915880</v>
      </c>
      <c r="AY134">
        <v>1</v>
      </c>
      <c r="AZ134">
        <v>0</v>
      </c>
      <c r="BA134">
        <v>156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ROUND(Y134*Source!I301,9)</f>
        <v>0.217776</v>
      </c>
      <c r="CY134">
        <f t="shared" si="50"/>
        <v>6.96</v>
      </c>
      <c r="CZ134">
        <f t="shared" si="51"/>
        <v>6.44</v>
      </c>
      <c r="DA134">
        <f t="shared" si="52"/>
        <v>1</v>
      </c>
      <c r="DB134">
        <f t="shared" si="53"/>
        <v>0.13</v>
      </c>
      <c r="DC134">
        <f t="shared" si="54"/>
        <v>0</v>
      </c>
      <c r="DD134" t="s">
        <v>3</v>
      </c>
      <c r="DE134" t="s">
        <v>3</v>
      </c>
      <c r="DF134">
        <f t="shared" si="48"/>
        <v>1.4</v>
      </c>
      <c r="DG134">
        <f t="shared" si="46"/>
        <v>0</v>
      </c>
      <c r="DH134">
        <f t="shared" si="56"/>
        <v>0</v>
      </c>
      <c r="DI134">
        <f t="shared" si="57"/>
        <v>0</v>
      </c>
      <c r="DJ134">
        <f t="shared" si="55"/>
        <v>1.4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">
      <c r="A135">
        <f>ROW(Source!A302)</f>
        <v>302</v>
      </c>
      <c r="B135">
        <v>55915258</v>
      </c>
      <c r="C135">
        <v>55915850</v>
      </c>
      <c r="D135">
        <v>55424304</v>
      </c>
      <c r="E135">
        <v>1081</v>
      </c>
      <c r="F135">
        <v>1</v>
      </c>
      <c r="G135">
        <v>1081</v>
      </c>
      <c r="H135">
        <v>1</v>
      </c>
      <c r="I135" t="s">
        <v>363</v>
      </c>
      <c r="J135" t="s">
        <v>3</v>
      </c>
      <c r="K135" t="s">
        <v>364</v>
      </c>
      <c r="L135">
        <v>1191</v>
      </c>
      <c r="N135">
        <v>1013</v>
      </c>
      <c r="O135" t="s">
        <v>365</v>
      </c>
      <c r="P135" t="s">
        <v>365</v>
      </c>
      <c r="Q135">
        <v>1</v>
      </c>
      <c r="W135">
        <v>0</v>
      </c>
      <c r="X135">
        <v>476480486</v>
      </c>
      <c r="Y135">
        <f>(AT135*1.2)</f>
        <v>12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5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10</v>
      </c>
      <c r="AU135" t="s">
        <v>78</v>
      </c>
      <c r="AV135">
        <v>1</v>
      </c>
      <c r="AW135">
        <v>2</v>
      </c>
      <c r="AX135">
        <v>55915869</v>
      </c>
      <c r="AY135">
        <v>1</v>
      </c>
      <c r="AZ135">
        <v>0</v>
      </c>
      <c r="BA135">
        <v>160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U135">
        <f>ROUND(AT135*Source!I302*AH135*AL135,2)</f>
        <v>0</v>
      </c>
      <c r="CV135">
        <f>ROUND(Y135*Source!I302,9)</f>
        <v>125.64</v>
      </c>
      <c r="CW135">
        <v>0</v>
      </c>
      <c r="CX135">
        <f>ROUND(Y135*Source!I302,9)</f>
        <v>125.64</v>
      </c>
      <c r="CY135">
        <f>AD135</f>
        <v>0</v>
      </c>
      <c r="CZ135">
        <f>AH135</f>
        <v>0</v>
      </c>
      <c r="DA135">
        <f>AL135</f>
        <v>1</v>
      </c>
      <c r="DB135">
        <f>ROUND((ROUND(AT135*CZ135,2)*1.2),6)</f>
        <v>0</v>
      </c>
      <c r="DC135">
        <f>ROUND((ROUND(AT135*AG135,2)*1.2),6)</f>
        <v>0</v>
      </c>
      <c r="DD135" t="s">
        <v>3</v>
      </c>
      <c r="DE135" t="s">
        <v>3</v>
      </c>
      <c r="DF135">
        <f t="shared" si="48"/>
        <v>0</v>
      </c>
      <c r="DG135">
        <f t="shared" si="46"/>
        <v>0</v>
      </c>
      <c r="DH135">
        <f t="shared" si="56"/>
        <v>0</v>
      </c>
      <c r="DI135">
        <f t="shared" si="57"/>
        <v>0</v>
      </c>
      <c r="DJ135">
        <f>DI135</f>
        <v>0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ROW(Source!A302)</f>
        <v>302</v>
      </c>
      <c r="B136">
        <v>55915258</v>
      </c>
      <c r="C136">
        <v>55915850</v>
      </c>
      <c r="D136">
        <v>55490209</v>
      </c>
      <c r="E136">
        <v>1</v>
      </c>
      <c r="F136">
        <v>1</v>
      </c>
      <c r="G136">
        <v>1081</v>
      </c>
      <c r="H136">
        <v>2</v>
      </c>
      <c r="I136" t="s">
        <v>411</v>
      </c>
      <c r="J136" t="s">
        <v>412</v>
      </c>
      <c r="K136" t="s">
        <v>413</v>
      </c>
      <c r="L136">
        <v>1368</v>
      </c>
      <c r="N136">
        <v>1011</v>
      </c>
      <c r="O136" t="s">
        <v>390</v>
      </c>
      <c r="P136" t="s">
        <v>390</v>
      </c>
      <c r="Q136">
        <v>1</v>
      </c>
      <c r="W136">
        <v>0</v>
      </c>
      <c r="X136">
        <v>874612079</v>
      </c>
      <c r="Y136">
        <f>(AT136*1.2)</f>
        <v>0.22799999999999998</v>
      </c>
      <c r="AA136">
        <v>0</v>
      </c>
      <c r="AB136">
        <v>1513.56</v>
      </c>
      <c r="AC136">
        <v>758.78</v>
      </c>
      <c r="AD136">
        <v>0</v>
      </c>
      <c r="AE136">
        <v>0</v>
      </c>
      <c r="AF136">
        <v>83.1</v>
      </c>
      <c r="AG136">
        <v>12.62</v>
      </c>
      <c r="AH136">
        <v>0</v>
      </c>
      <c r="AI136">
        <v>1</v>
      </c>
      <c r="AJ136">
        <v>17.07</v>
      </c>
      <c r="AK136">
        <v>56.35</v>
      </c>
      <c r="AL136">
        <v>1</v>
      </c>
      <c r="AM136">
        <v>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0.19</v>
      </c>
      <c r="AU136" t="s">
        <v>78</v>
      </c>
      <c r="AV136">
        <v>0</v>
      </c>
      <c r="AW136">
        <v>2</v>
      </c>
      <c r="AX136">
        <v>55915870</v>
      </c>
      <c r="AY136">
        <v>1</v>
      </c>
      <c r="AZ136">
        <v>0</v>
      </c>
      <c r="BA136">
        <v>161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f>ROUND(Y136*Source!I302*DO136,9)</f>
        <v>30.1259592</v>
      </c>
      <c r="CX136">
        <f>ROUND(Y136*Source!I302,9)</f>
        <v>2.3871600000000002</v>
      </c>
      <c r="CY136">
        <f>AB136</f>
        <v>1513.56</v>
      </c>
      <c r="CZ136">
        <f>AF136</f>
        <v>83.1</v>
      </c>
      <c r="DA136">
        <f>AJ136</f>
        <v>17.07</v>
      </c>
      <c r="DB136">
        <f>ROUND((ROUND(AT136*CZ136,2)*1.2),6)</f>
        <v>18.948</v>
      </c>
      <c r="DC136">
        <f>ROUND((ROUND(AT136*AG136,2)*1.2),6)</f>
        <v>2.88</v>
      </c>
      <c r="DD136" t="s">
        <v>3</v>
      </c>
      <c r="DE136" t="s">
        <v>3</v>
      </c>
      <c r="DF136">
        <f t="shared" si="48"/>
        <v>0</v>
      </c>
      <c r="DG136">
        <f>ROUND(ROUND(AF136*AJ136,2)*CX136,2)</f>
        <v>3386.23</v>
      </c>
      <c r="DH136">
        <f>ROUND(ROUND(AG136*AK136,2)*CX136,2)</f>
        <v>1697.6</v>
      </c>
      <c r="DI136">
        <f t="shared" si="57"/>
        <v>0</v>
      </c>
      <c r="DJ136">
        <f>DG136</f>
        <v>3386.23</v>
      </c>
      <c r="DK136">
        <v>0</v>
      </c>
      <c r="DL136" t="s">
        <v>414</v>
      </c>
      <c r="DM136">
        <v>0</v>
      </c>
      <c r="DN136" t="s">
        <v>365</v>
      </c>
      <c r="DO136">
        <v>12.62</v>
      </c>
    </row>
    <row r="137" spans="1:119" x14ac:dyDescent="0.2">
      <c r="A137">
        <f>ROW(Source!A302)</f>
        <v>302</v>
      </c>
      <c r="B137">
        <v>55915258</v>
      </c>
      <c r="C137">
        <v>55915850</v>
      </c>
      <c r="D137">
        <v>55489526</v>
      </c>
      <c r="E137">
        <v>1</v>
      </c>
      <c r="F137">
        <v>1</v>
      </c>
      <c r="G137">
        <v>1081</v>
      </c>
      <c r="H137">
        <v>2</v>
      </c>
      <c r="I137" t="s">
        <v>415</v>
      </c>
      <c r="J137" t="s">
        <v>416</v>
      </c>
      <c r="K137" t="s">
        <v>417</v>
      </c>
      <c r="L137">
        <v>1368</v>
      </c>
      <c r="N137">
        <v>1011</v>
      </c>
      <c r="O137" t="s">
        <v>390</v>
      </c>
      <c r="P137" t="s">
        <v>390</v>
      </c>
      <c r="Q137">
        <v>1</v>
      </c>
      <c r="W137">
        <v>0</v>
      </c>
      <c r="X137">
        <v>1727344431</v>
      </c>
      <c r="Y137">
        <f>(AT137*1.2)</f>
        <v>2.8439999999999999</v>
      </c>
      <c r="AA137">
        <v>0</v>
      </c>
      <c r="AB137">
        <v>24.58</v>
      </c>
      <c r="AC137">
        <v>0</v>
      </c>
      <c r="AD137">
        <v>0</v>
      </c>
      <c r="AE137">
        <v>0</v>
      </c>
      <c r="AF137">
        <v>2.27</v>
      </c>
      <c r="AG137">
        <v>0</v>
      </c>
      <c r="AH137">
        <v>0</v>
      </c>
      <c r="AI137">
        <v>1</v>
      </c>
      <c r="AJ137">
        <v>10.15</v>
      </c>
      <c r="AK137">
        <v>1</v>
      </c>
      <c r="AL137">
        <v>1</v>
      </c>
      <c r="AM137">
        <v>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2.37</v>
      </c>
      <c r="AU137" t="s">
        <v>78</v>
      </c>
      <c r="AV137">
        <v>0</v>
      </c>
      <c r="AW137">
        <v>2</v>
      </c>
      <c r="AX137">
        <v>55915871</v>
      </c>
      <c r="AY137">
        <v>1</v>
      </c>
      <c r="AZ137">
        <v>0</v>
      </c>
      <c r="BA137">
        <v>162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f>ROUND(Y137*Source!I302*DO137,9)</f>
        <v>0</v>
      </c>
      <c r="CX137">
        <f>ROUND(Y137*Source!I302,9)</f>
        <v>29.776679999999999</v>
      </c>
      <c r="CY137">
        <f>AB137</f>
        <v>24.58</v>
      </c>
      <c r="CZ137">
        <f>AF137</f>
        <v>2.27</v>
      </c>
      <c r="DA137">
        <f>AJ137</f>
        <v>10.15</v>
      </c>
      <c r="DB137">
        <f>ROUND((ROUND(AT137*CZ137,2)*1.2),6)</f>
        <v>6.4560000000000004</v>
      </c>
      <c r="DC137">
        <f>ROUND((ROUND(AT137*AG137,2)*1.2),6)</f>
        <v>0</v>
      </c>
      <c r="DD137" t="s">
        <v>3</v>
      </c>
      <c r="DE137" t="s">
        <v>3</v>
      </c>
      <c r="DF137">
        <f t="shared" si="48"/>
        <v>0</v>
      </c>
      <c r="DG137">
        <f>ROUND(ROUND(AF137*AJ137,2)*CX137,2)</f>
        <v>686.05</v>
      </c>
      <c r="DH137">
        <f t="shared" ref="DH137:DH172" si="58">ROUND(ROUND(AG137,2)*CX137,2)</f>
        <v>0</v>
      </c>
      <c r="DI137">
        <f t="shared" si="57"/>
        <v>0</v>
      </c>
      <c r="DJ137">
        <f>DG137</f>
        <v>686.05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ROW(Source!A302)</f>
        <v>302</v>
      </c>
      <c r="B138">
        <v>55915258</v>
      </c>
      <c r="C138">
        <v>55915850</v>
      </c>
      <c r="D138">
        <v>55489536</v>
      </c>
      <c r="E138">
        <v>1</v>
      </c>
      <c r="F138">
        <v>1</v>
      </c>
      <c r="G138">
        <v>1081</v>
      </c>
      <c r="H138">
        <v>2</v>
      </c>
      <c r="I138" t="s">
        <v>418</v>
      </c>
      <c r="J138" t="s">
        <v>419</v>
      </c>
      <c r="K138" t="s">
        <v>420</v>
      </c>
      <c r="L138">
        <v>1368</v>
      </c>
      <c r="N138">
        <v>1011</v>
      </c>
      <c r="O138" t="s">
        <v>390</v>
      </c>
      <c r="P138" t="s">
        <v>390</v>
      </c>
      <c r="Q138">
        <v>1</v>
      </c>
      <c r="W138">
        <v>0</v>
      </c>
      <c r="X138">
        <v>-1606999100</v>
      </c>
      <c r="Y138">
        <f>(AT138*1.2)</f>
        <v>2.8439999999999999</v>
      </c>
      <c r="AA138">
        <v>0</v>
      </c>
      <c r="AB138">
        <v>7.24</v>
      </c>
      <c r="AC138">
        <v>0</v>
      </c>
      <c r="AD138">
        <v>0</v>
      </c>
      <c r="AE138">
        <v>0</v>
      </c>
      <c r="AF138">
        <v>0.73</v>
      </c>
      <c r="AG138">
        <v>0</v>
      </c>
      <c r="AH138">
        <v>0</v>
      </c>
      <c r="AI138">
        <v>1</v>
      </c>
      <c r="AJ138">
        <v>9.3000000000000007</v>
      </c>
      <c r="AK138">
        <v>1</v>
      </c>
      <c r="AL138">
        <v>1</v>
      </c>
      <c r="AM138">
        <v>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2.37</v>
      </c>
      <c r="AU138" t="s">
        <v>78</v>
      </c>
      <c r="AV138">
        <v>0</v>
      </c>
      <c r="AW138">
        <v>2</v>
      </c>
      <c r="AX138">
        <v>55915872</v>
      </c>
      <c r="AY138">
        <v>1</v>
      </c>
      <c r="AZ138">
        <v>0</v>
      </c>
      <c r="BA138">
        <v>163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f>ROUND(Y138*Source!I302*DO138,9)</f>
        <v>0</v>
      </c>
      <c r="CX138">
        <f>ROUND(Y138*Source!I302,9)</f>
        <v>29.776679999999999</v>
      </c>
      <c r="CY138">
        <f>AB138</f>
        <v>7.24</v>
      </c>
      <c r="CZ138">
        <f>AF138</f>
        <v>0.73</v>
      </c>
      <c r="DA138">
        <f>AJ138</f>
        <v>9.3000000000000007</v>
      </c>
      <c r="DB138">
        <f>ROUND((ROUND(AT138*CZ138,2)*1.2),6)</f>
        <v>2.0760000000000001</v>
      </c>
      <c r="DC138">
        <f>ROUND((ROUND(AT138*AG138,2)*1.2),6)</f>
        <v>0</v>
      </c>
      <c r="DD138" t="s">
        <v>3</v>
      </c>
      <c r="DE138" t="s">
        <v>3</v>
      </c>
      <c r="DF138">
        <f t="shared" si="48"/>
        <v>0</v>
      </c>
      <c r="DG138">
        <f>ROUND(ROUND(AF138*AJ138,2)*CX138,2)</f>
        <v>202.18</v>
      </c>
      <c r="DH138">
        <f t="shared" si="58"/>
        <v>0</v>
      </c>
      <c r="DI138">
        <f t="shared" si="57"/>
        <v>0</v>
      </c>
      <c r="DJ138">
        <f>DG138</f>
        <v>202.18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ROW(Source!A302)</f>
        <v>302</v>
      </c>
      <c r="B139">
        <v>55915258</v>
      </c>
      <c r="C139">
        <v>55915850</v>
      </c>
      <c r="D139">
        <v>55461719</v>
      </c>
      <c r="E139">
        <v>1</v>
      </c>
      <c r="F139">
        <v>1</v>
      </c>
      <c r="G139">
        <v>1081</v>
      </c>
      <c r="H139">
        <v>3</v>
      </c>
      <c r="I139" t="s">
        <v>421</v>
      </c>
      <c r="J139" t="s">
        <v>422</v>
      </c>
      <c r="K139" t="s">
        <v>423</v>
      </c>
      <c r="L139">
        <v>1348</v>
      </c>
      <c r="N139">
        <v>1009</v>
      </c>
      <c r="O139" t="s">
        <v>324</v>
      </c>
      <c r="P139" t="s">
        <v>324</v>
      </c>
      <c r="Q139">
        <v>1000</v>
      </c>
      <c r="W139">
        <v>0</v>
      </c>
      <c r="X139">
        <v>-1265888387</v>
      </c>
      <c r="Y139">
        <f t="shared" ref="Y139:Y146" si="59">(AT139*1)</f>
        <v>1.1E-4</v>
      </c>
      <c r="AA139">
        <v>159463.15</v>
      </c>
      <c r="AB139">
        <v>0</v>
      </c>
      <c r="AC139">
        <v>0</v>
      </c>
      <c r="AD139">
        <v>0</v>
      </c>
      <c r="AE139">
        <v>10643.18</v>
      </c>
      <c r="AF139">
        <v>0</v>
      </c>
      <c r="AG139">
        <v>0</v>
      </c>
      <c r="AH139">
        <v>0</v>
      </c>
      <c r="AI139">
        <v>13.86</v>
      </c>
      <c r="AJ139">
        <v>1</v>
      </c>
      <c r="AK139">
        <v>1</v>
      </c>
      <c r="AL139">
        <v>1</v>
      </c>
      <c r="AM139">
        <v>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1.1E-4</v>
      </c>
      <c r="AU139" t="s">
        <v>77</v>
      </c>
      <c r="AV139">
        <v>0</v>
      </c>
      <c r="AW139">
        <v>2</v>
      </c>
      <c r="AX139">
        <v>55915873</v>
      </c>
      <c r="AY139">
        <v>1</v>
      </c>
      <c r="AZ139">
        <v>0</v>
      </c>
      <c r="BA139">
        <v>164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ROUND(Y139*Source!I302,9)</f>
        <v>1.1517000000000001E-3</v>
      </c>
      <c r="CY139">
        <f t="shared" ref="CY139:CY146" si="60">AA139</f>
        <v>159463.15</v>
      </c>
      <c r="CZ139">
        <f t="shared" ref="CZ139:CZ146" si="61">AE139</f>
        <v>10643.18</v>
      </c>
      <c r="DA139">
        <f t="shared" ref="DA139:DA146" si="62">AI139</f>
        <v>13.86</v>
      </c>
      <c r="DB139">
        <f t="shared" ref="DB139:DB146" si="63">ROUND((ROUND(AT139*CZ139,2)*1),6)</f>
        <v>1.17</v>
      </c>
      <c r="DC139">
        <f t="shared" ref="DC139:DC146" si="64">ROUND((ROUND(AT139*AG139,2)*1),6)</f>
        <v>0</v>
      </c>
      <c r="DD139" t="s">
        <v>3</v>
      </c>
      <c r="DE139" t="s">
        <v>3</v>
      </c>
      <c r="DF139">
        <f t="shared" ref="DF139:DF146" si="65">ROUND(ROUND(AE139*AI139,2)*CX139,2)</f>
        <v>169.89</v>
      </c>
      <c r="DG139">
        <f t="shared" ref="DG139:DG172" si="66">ROUND(ROUND(AF139,2)*CX139,2)</f>
        <v>0</v>
      </c>
      <c r="DH139">
        <f t="shared" si="58"/>
        <v>0</v>
      </c>
      <c r="DI139">
        <f t="shared" si="57"/>
        <v>0</v>
      </c>
      <c r="DJ139">
        <f t="shared" ref="DJ139:DJ146" si="67">DF139</f>
        <v>169.89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ROW(Source!A302)</f>
        <v>302</v>
      </c>
      <c r="B140">
        <v>55915258</v>
      </c>
      <c r="C140">
        <v>55915850</v>
      </c>
      <c r="D140">
        <v>55459514</v>
      </c>
      <c r="E140">
        <v>1</v>
      </c>
      <c r="F140">
        <v>1</v>
      </c>
      <c r="G140">
        <v>1081</v>
      </c>
      <c r="H140">
        <v>3</v>
      </c>
      <c r="I140" t="s">
        <v>424</v>
      </c>
      <c r="J140" t="s">
        <v>425</v>
      </c>
      <c r="K140" t="s">
        <v>426</v>
      </c>
      <c r="L140">
        <v>1348</v>
      </c>
      <c r="N140">
        <v>1009</v>
      </c>
      <c r="O140" t="s">
        <v>324</v>
      </c>
      <c r="P140" t="s">
        <v>324</v>
      </c>
      <c r="Q140">
        <v>1000</v>
      </c>
      <c r="W140">
        <v>0</v>
      </c>
      <c r="X140">
        <v>-129967446</v>
      </c>
      <c r="Y140">
        <f t="shared" si="59"/>
        <v>7.2000000000000005E-4</v>
      </c>
      <c r="AA140">
        <v>42866.71</v>
      </c>
      <c r="AB140">
        <v>0</v>
      </c>
      <c r="AC140">
        <v>0</v>
      </c>
      <c r="AD140">
        <v>0</v>
      </c>
      <c r="AE140">
        <v>11233.62</v>
      </c>
      <c r="AF140">
        <v>0</v>
      </c>
      <c r="AG140">
        <v>0</v>
      </c>
      <c r="AH140">
        <v>0</v>
      </c>
      <c r="AI140">
        <v>3.53</v>
      </c>
      <c r="AJ140">
        <v>1</v>
      </c>
      <c r="AK140">
        <v>1</v>
      </c>
      <c r="AL140">
        <v>1</v>
      </c>
      <c r="AM140">
        <v>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7.2000000000000005E-4</v>
      </c>
      <c r="AU140" t="s">
        <v>77</v>
      </c>
      <c r="AV140">
        <v>0</v>
      </c>
      <c r="AW140">
        <v>2</v>
      </c>
      <c r="AX140">
        <v>55915874</v>
      </c>
      <c r="AY140">
        <v>1</v>
      </c>
      <c r="AZ140">
        <v>0</v>
      </c>
      <c r="BA140">
        <v>165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ROUND(Y140*Source!I302,9)</f>
        <v>7.5383999999999998E-3</v>
      </c>
      <c r="CY140">
        <f t="shared" si="60"/>
        <v>42866.71</v>
      </c>
      <c r="CZ140">
        <f t="shared" si="61"/>
        <v>11233.62</v>
      </c>
      <c r="DA140">
        <f t="shared" si="62"/>
        <v>3.53</v>
      </c>
      <c r="DB140">
        <f t="shared" si="63"/>
        <v>8.09</v>
      </c>
      <c r="DC140">
        <f t="shared" si="64"/>
        <v>0</v>
      </c>
      <c r="DD140" t="s">
        <v>3</v>
      </c>
      <c r="DE140" t="s">
        <v>3</v>
      </c>
      <c r="DF140">
        <f t="shared" si="65"/>
        <v>298.93</v>
      </c>
      <c r="DG140">
        <f t="shared" si="66"/>
        <v>0</v>
      </c>
      <c r="DH140">
        <f t="shared" si="58"/>
        <v>0</v>
      </c>
      <c r="DI140">
        <f t="shared" si="57"/>
        <v>0</v>
      </c>
      <c r="DJ140">
        <f t="shared" si="67"/>
        <v>298.93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">
      <c r="A141">
        <f>ROW(Source!A302)</f>
        <v>302</v>
      </c>
      <c r="B141">
        <v>55915258</v>
      </c>
      <c r="C141">
        <v>55915850</v>
      </c>
      <c r="D141">
        <v>55466023</v>
      </c>
      <c r="E141">
        <v>1</v>
      </c>
      <c r="F141">
        <v>1</v>
      </c>
      <c r="G141">
        <v>1081</v>
      </c>
      <c r="H141">
        <v>3</v>
      </c>
      <c r="I141" t="s">
        <v>427</v>
      </c>
      <c r="J141" t="s">
        <v>428</v>
      </c>
      <c r="K141" t="s">
        <v>429</v>
      </c>
      <c r="L141">
        <v>1346</v>
      </c>
      <c r="N141">
        <v>1009</v>
      </c>
      <c r="O141" t="s">
        <v>339</v>
      </c>
      <c r="P141" t="s">
        <v>339</v>
      </c>
      <c r="Q141">
        <v>1</v>
      </c>
      <c r="W141">
        <v>0</v>
      </c>
      <c r="X141">
        <v>-569829969</v>
      </c>
      <c r="Y141">
        <f t="shared" si="59"/>
        <v>0.62</v>
      </c>
      <c r="AA141">
        <v>212.24</v>
      </c>
      <c r="AB141">
        <v>0</v>
      </c>
      <c r="AC141">
        <v>0</v>
      </c>
      <c r="AD141">
        <v>0</v>
      </c>
      <c r="AE141">
        <v>25.8</v>
      </c>
      <c r="AF141">
        <v>0</v>
      </c>
      <c r="AG141">
        <v>0</v>
      </c>
      <c r="AH141">
        <v>0</v>
      </c>
      <c r="AI141">
        <v>7.61</v>
      </c>
      <c r="AJ141">
        <v>1</v>
      </c>
      <c r="AK141">
        <v>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0.62</v>
      </c>
      <c r="AU141" t="s">
        <v>77</v>
      </c>
      <c r="AV141">
        <v>0</v>
      </c>
      <c r="AW141">
        <v>2</v>
      </c>
      <c r="AX141">
        <v>55915875</v>
      </c>
      <c r="AY141">
        <v>1</v>
      </c>
      <c r="AZ141">
        <v>0</v>
      </c>
      <c r="BA141">
        <v>166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ROUND(Y141*Source!I302,9)</f>
        <v>6.4913999999999996</v>
      </c>
      <c r="CY141">
        <f t="shared" si="60"/>
        <v>212.24</v>
      </c>
      <c r="CZ141">
        <f t="shared" si="61"/>
        <v>25.8</v>
      </c>
      <c r="DA141">
        <f t="shared" si="62"/>
        <v>7.61</v>
      </c>
      <c r="DB141">
        <f t="shared" si="63"/>
        <v>16</v>
      </c>
      <c r="DC141">
        <f t="shared" si="64"/>
        <v>0</v>
      </c>
      <c r="DD141" t="s">
        <v>3</v>
      </c>
      <c r="DE141" t="s">
        <v>3</v>
      </c>
      <c r="DF141">
        <f t="shared" si="65"/>
        <v>1274.52</v>
      </c>
      <c r="DG141">
        <f t="shared" si="66"/>
        <v>0</v>
      </c>
      <c r="DH141">
        <f t="shared" si="58"/>
        <v>0</v>
      </c>
      <c r="DI141">
        <f t="shared" si="57"/>
        <v>0</v>
      </c>
      <c r="DJ141">
        <f t="shared" si="67"/>
        <v>1274.52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ROW(Source!A302)</f>
        <v>302</v>
      </c>
      <c r="B142">
        <v>55915258</v>
      </c>
      <c r="C142">
        <v>55915850</v>
      </c>
      <c r="D142">
        <v>55459792</v>
      </c>
      <c r="E142">
        <v>1</v>
      </c>
      <c r="F142">
        <v>1</v>
      </c>
      <c r="G142">
        <v>1081</v>
      </c>
      <c r="H142">
        <v>3</v>
      </c>
      <c r="I142" t="s">
        <v>430</v>
      </c>
      <c r="J142" t="s">
        <v>431</v>
      </c>
      <c r="K142" t="s">
        <v>432</v>
      </c>
      <c r="L142">
        <v>1348</v>
      </c>
      <c r="N142">
        <v>1009</v>
      </c>
      <c r="O142" t="s">
        <v>324</v>
      </c>
      <c r="P142" t="s">
        <v>324</v>
      </c>
      <c r="Q142">
        <v>1000</v>
      </c>
      <c r="W142">
        <v>0</v>
      </c>
      <c r="X142">
        <v>114569696</v>
      </c>
      <c r="Y142">
        <f t="shared" si="59"/>
        <v>2.5999999999999998E-4</v>
      </c>
      <c r="AA142">
        <v>1618460.4</v>
      </c>
      <c r="AB142">
        <v>0</v>
      </c>
      <c r="AC142">
        <v>0</v>
      </c>
      <c r="AD142">
        <v>0</v>
      </c>
      <c r="AE142">
        <v>60960.43</v>
      </c>
      <c r="AF142">
        <v>0</v>
      </c>
      <c r="AG142">
        <v>0</v>
      </c>
      <c r="AH142">
        <v>0</v>
      </c>
      <c r="AI142">
        <v>24.56</v>
      </c>
      <c r="AJ142">
        <v>1</v>
      </c>
      <c r="AK142">
        <v>1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2.5999999999999998E-4</v>
      </c>
      <c r="AU142" t="s">
        <v>77</v>
      </c>
      <c r="AV142">
        <v>0</v>
      </c>
      <c r="AW142">
        <v>2</v>
      </c>
      <c r="AX142">
        <v>55915876</v>
      </c>
      <c r="AY142">
        <v>1</v>
      </c>
      <c r="AZ142">
        <v>0</v>
      </c>
      <c r="BA142">
        <v>167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ROUND(Y142*Source!I302,9)</f>
        <v>2.7222000000000001E-3</v>
      </c>
      <c r="CY142">
        <f t="shared" si="60"/>
        <v>1618460.4</v>
      </c>
      <c r="CZ142">
        <f t="shared" si="61"/>
        <v>60960.43</v>
      </c>
      <c r="DA142">
        <f t="shared" si="62"/>
        <v>24.56</v>
      </c>
      <c r="DB142">
        <f t="shared" si="63"/>
        <v>15.85</v>
      </c>
      <c r="DC142">
        <f t="shared" si="64"/>
        <v>0</v>
      </c>
      <c r="DD142" t="s">
        <v>3</v>
      </c>
      <c r="DE142" t="s">
        <v>3</v>
      </c>
      <c r="DF142">
        <f t="shared" si="65"/>
        <v>4075.65</v>
      </c>
      <c r="DG142">
        <f t="shared" si="66"/>
        <v>0</v>
      </c>
      <c r="DH142">
        <f t="shared" si="58"/>
        <v>0</v>
      </c>
      <c r="DI142">
        <f t="shared" si="57"/>
        <v>0</v>
      </c>
      <c r="DJ142">
        <f t="shared" si="67"/>
        <v>4075.65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ROW(Source!A302)</f>
        <v>302</v>
      </c>
      <c r="B143">
        <v>55915258</v>
      </c>
      <c r="C143">
        <v>55915850</v>
      </c>
      <c r="D143">
        <v>55459815</v>
      </c>
      <c r="E143">
        <v>1</v>
      </c>
      <c r="F143">
        <v>1</v>
      </c>
      <c r="G143">
        <v>1081</v>
      </c>
      <c r="H143">
        <v>3</v>
      </c>
      <c r="I143" t="s">
        <v>433</v>
      </c>
      <c r="J143" t="s">
        <v>434</v>
      </c>
      <c r="K143" t="s">
        <v>435</v>
      </c>
      <c r="L143">
        <v>1348</v>
      </c>
      <c r="N143">
        <v>1009</v>
      </c>
      <c r="O143" t="s">
        <v>324</v>
      </c>
      <c r="P143" t="s">
        <v>324</v>
      </c>
      <c r="Q143">
        <v>1000</v>
      </c>
      <c r="W143">
        <v>0</v>
      </c>
      <c r="X143">
        <v>-557692701</v>
      </c>
      <c r="Y143">
        <f t="shared" si="59"/>
        <v>1E-4</v>
      </c>
      <c r="AA143">
        <v>78696.38</v>
      </c>
      <c r="AB143">
        <v>0</v>
      </c>
      <c r="AC143">
        <v>0</v>
      </c>
      <c r="AD143">
        <v>0</v>
      </c>
      <c r="AE143">
        <v>7973.67</v>
      </c>
      <c r="AF143">
        <v>0</v>
      </c>
      <c r="AG143">
        <v>0</v>
      </c>
      <c r="AH143">
        <v>0</v>
      </c>
      <c r="AI143">
        <v>9.1300000000000008</v>
      </c>
      <c r="AJ143">
        <v>1</v>
      </c>
      <c r="AK143">
        <v>1</v>
      </c>
      <c r="AL143">
        <v>1</v>
      </c>
      <c r="AM143">
        <v>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1E-4</v>
      </c>
      <c r="AU143" t="s">
        <v>77</v>
      </c>
      <c r="AV143">
        <v>0</v>
      </c>
      <c r="AW143">
        <v>2</v>
      </c>
      <c r="AX143">
        <v>55915877</v>
      </c>
      <c r="AY143">
        <v>1</v>
      </c>
      <c r="AZ143">
        <v>0</v>
      </c>
      <c r="BA143">
        <v>168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ROUND(Y143*Source!I302,9)</f>
        <v>1.047E-3</v>
      </c>
      <c r="CY143">
        <f t="shared" si="60"/>
        <v>78696.38</v>
      </c>
      <c r="CZ143">
        <f t="shared" si="61"/>
        <v>7973.67</v>
      </c>
      <c r="DA143">
        <f t="shared" si="62"/>
        <v>9.1300000000000008</v>
      </c>
      <c r="DB143">
        <f t="shared" si="63"/>
        <v>0.8</v>
      </c>
      <c r="DC143">
        <f t="shared" si="64"/>
        <v>0</v>
      </c>
      <c r="DD143" t="s">
        <v>3</v>
      </c>
      <c r="DE143" t="s">
        <v>3</v>
      </c>
      <c r="DF143">
        <f t="shared" si="65"/>
        <v>76.22</v>
      </c>
      <c r="DG143">
        <f t="shared" si="66"/>
        <v>0</v>
      </c>
      <c r="DH143">
        <f t="shared" si="58"/>
        <v>0</v>
      </c>
      <c r="DI143">
        <f t="shared" si="57"/>
        <v>0</v>
      </c>
      <c r="DJ143">
        <f t="shared" si="67"/>
        <v>76.22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ROW(Source!A302)</f>
        <v>302</v>
      </c>
      <c r="B144">
        <v>55915258</v>
      </c>
      <c r="C144">
        <v>55915850</v>
      </c>
      <c r="D144">
        <v>55482203</v>
      </c>
      <c r="E144">
        <v>1</v>
      </c>
      <c r="F144">
        <v>1</v>
      </c>
      <c r="G144">
        <v>1081</v>
      </c>
      <c r="H144">
        <v>3</v>
      </c>
      <c r="I144" t="s">
        <v>400</v>
      </c>
      <c r="J144" t="s">
        <v>401</v>
      </c>
      <c r="K144" t="s">
        <v>402</v>
      </c>
      <c r="L144">
        <v>1356</v>
      </c>
      <c r="N144">
        <v>1010</v>
      </c>
      <c r="O144" t="s">
        <v>403</v>
      </c>
      <c r="P144" t="s">
        <v>403</v>
      </c>
      <c r="Q144">
        <v>1000</v>
      </c>
      <c r="W144">
        <v>0</v>
      </c>
      <c r="X144">
        <v>474149623</v>
      </c>
      <c r="Y144">
        <f t="shared" si="59"/>
        <v>0.01</v>
      </c>
      <c r="AA144">
        <v>1651.43</v>
      </c>
      <c r="AB144">
        <v>0</v>
      </c>
      <c r="AC144">
        <v>0</v>
      </c>
      <c r="AD144">
        <v>0</v>
      </c>
      <c r="AE144">
        <v>226.66</v>
      </c>
      <c r="AF144">
        <v>0</v>
      </c>
      <c r="AG144">
        <v>0</v>
      </c>
      <c r="AH144">
        <v>0</v>
      </c>
      <c r="AI144">
        <v>6.74</v>
      </c>
      <c r="AJ144">
        <v>1</v>
      </c>
      <c r="AK144">
        <v>1</v>
      </c>
      <c r="AL144">
        <v>1</v>
      </c>
      <c r="AM144">
        <v>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0.01</v>
      </c>
      <c r="AU144" t="s">
        <v>77</v>
      </c>
      <c r="AV144">
        <v>0</v>
      </c>
      <c r="AW144">
        <v>2</v>
      </c>
      <c r="AX144">
        <v>55915878</v>
      </c>
      <c r="AY144">
        <v>1</v>
      </c>
      <c r="AZ144">
        <v>0</v>
      </c>
      <c r="BA144">
        <v>169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ROUND(Y144*Source!I302,9)</f>
        <v>0.1047</v>
      </c>
      <c r="CY144">
        <f t="shared" si="60"/>
        <v>1651.43</v>
      </c>
      <c r="CZ144">
        <f t="shared" si="61"/>
        <v>226.66</v>
      </c>
      <c r="DA144">
        <f t="shared" si="62"/>
        <v>6.74</v>
      </c>
      <c r="DB144">
        <f t="shared" si="63"/>
        <v>2.27</v>
      </c>
      <c r="DC144">
        <f t="shared" si="64"/>
        <v>0</v>
      </c>
      <c r="DD144" t="s">
        <v>3</v>
      </c>
      <c r="DE144" t="s">
        <v>3</v>
      </c>
      <c r="DF144">
        <f t="shared" si="65"/>
        <v>159.94999999999999</v>
      </c>
      <c r="DG144">
        <f t="shared" si="66"/>
        <v>0</v>
      </c>
      <c r="DH144">
        <f t="shared" si="58"/>
        <v>0</v>
      </c>
      <c r="DI144">
        <f t="shared" si="57"/>
        <v>0</v>
      </c>
      <c r="DJ144">
        <f t="shared" si="67"/>
        <v>159.94999999999999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ROW(Source!A302)</f>
        <v>302</v>
      </c>
      <c r="B145">
        <v>55915258</v>
      </c>
      <c r="C145">
        <v>55915850</v>
      </c>
      <c r="D145">
        <v>55481864</v>
      </c>
      <c r="E145">
        <v>1</v>
      </c>
      <c r="F145">
        <v>1</v>
      </c>
      <c r="G145">
        <v>1081</v>
      </c>
      <c r="H145">
        <v>3</v>
      </c>
      <c r="I145" t="s">
        <v>436</v>
      </c>
      <c r="J145" t="s">
        <v>437</v>
      </c>
      <c r="K145" t="s">
        <v>438</v>
      </c>
      <c r="L145">
        <v>1301</v>
      </c>
      <c r="N145">
        <v>1003</v>
      </c>
      <c r="O145" t="s">
        <v>261</v>
      </c>
      <c r="P145" t="s">
        <v>261</v>
      </c>
      <c r="Q145">
        <v>1</v>
      </c>
      <c r="W145">
        <v>0</v>
      </c>
      <c r="X145">
        <v>-877267416</v>
      </c>
      <c r="Y145">
        <f t="shared" si="59"/>
        <v>2.4500000000000002</v>
      </c>
      <c r="AA145">
        <v>5.35</v>
      </c>
      <c r="AB145">
        <v>0</v>
      </c>
      <c r="AC145">
        <v>0</v>
      </c>
      <c r="AD145">
        <v>0</v>
      </c>
      <c r="AE145">
        <v>0.7</v>
      </c>
      <c r="AF145">
        <v>0</v>
      </c>
      <c r="AG145">
        <v>0</v>
      </c>
      <c r="AH145">
        <v>0</v>
      </c>
      <c r="AI145">
        <v>7.07</v>
      </c>
      <c r="AJ145">
        <v>1</v>
      </c>
      <c r="AK145">
        <v>1</v>
      </c>
      <c r="AL145">
        <v>1</v>
      </c>
      <c r="AM145">
        <v>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2.4500000000000002</v>
      </c>
      <c r="AU145" t="s">
        <v>77</v>
      </c>
      <c r="AV145">
        <v>0</v>
      </c>
      <c r="AW145">
        <v>2</v>
      </c>
      <c r="AX145">
        <v>55915879</v>
      </c>
      <c r="AY145">
        <v>1</v>
      </c>
      <c r="AZ145">
        <v>0</v>
      </c>
      <c r="BA145">
        <v>170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v>0</v>
      </c>
      <c r="CX145">
        <f>ROUND(Y145*Source!I302,9)</f>
        <v>25.651499999999999</v>
      </c>
      <c r="CY145">
        <f t="shared" si="60"/>
        <v>5.35</v>
      </c>
      <c r="CZ145">
        <f t="shared" si="61"/>
        <v>0.7</v>
      </c>
      <c r="DA145">
        <f t="shared" si="62"/>
        <v>7.07</v>
      </c>
      <c r="DB145">
        <f t="shared" si="63"/>
        <v>1.72</v>
      </c>
      <c r="DC145">
        <f t="shared" si="64"/>
        <v>0</v>
      </c>
      <c r="DD145" t="s">
        <v>3</v>
      </c>
      <c r="DE145" t="s">
        <v>3</v>
      </c>
      <c r="DF145">
        <f t="shared" si="65"/>
        <v>126.97</v>
      </c>
      <c r="DG145">
        <f t="shared" si="66"/>
        <v>0</v>
      </c>
      <c r="DH145">
        <f t="shared" si="58"/>
        <v>0</v>
      </c>
      <c r="DI145">
        <f t="shared" si="57"/>
        <v>0</v>
      </c>
      <c r="DJ145">
        <f t="shared" si="67"/>
        <v>126.97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ROW(Source!A302)</f>
        <v>302</v>
      </c>
      <c r="B146">
        <v>55915258</v>
      </c>
      <c r="C146">
        <v>55915850</v>
      </c>
      <c r="D146">
        <v>55481866</v>
      </c>
      <c r="E146">
        <v>1</v>
      </c>
      <c r="F146">
        <v>1</v>
      </c>
      <c r="G146">
        <v>1081</v>
      </c>
      <c r="H146">
        <v>3</v>
      </c>
      <c r="I146" t="s">
        <v>439</v>
      </c>
      <c r="J146" t="s">
        <v>440</v>
      </c>
      <c r="K146" t="s">
        <v>441</v>
      </c>
      <c r="L146">
        <v>1356</v>
      </c>
      <c r="N146">
        <v>1010</v>
      </c>
      <c r="O146" t="s">
        <v>403</v>
      </c>
      <c r="P146" t="s">
        <v>403</v>
      </c>
      <c r="Q146">
        <v>1000</v>
      </c>
      <c r="W146">
        <v>0</v>
      </c>
      <c r="X146">
        <v>-314125572</v>
      </c>
      <c r="Y146">
        <f t="shared" si="59"/>
        <v>2.0799999999999999E-2</v>
      </c>
      <c r="AA146">
        <v>232.73</v>
      </c>
      <c r="AB146">
        <v>0</v>
      </c>
      <c r="AC146">
        <v>0</v>
      </c>
      <c r="AD146">
        <v>0</v>
      </c>
      <c r="AE146">
        <v>6.44</v>
      </c>
      <c r="AF146">
        <v>0</v>
      </c>
      <c r="AG146">
        <v>0</v>
      </c>
      <c r="AH146">
        <v>0</v>
      </c>
      <c r="AI146">
        <v>33.43</v>
      </c>
      <c r="AJ146">
        <v>1</v>
      </c>
      <c r="AK146">
        <v>1</v>
      </c>
      <c r="AL146">
        <v>1</v>
      </c>
      <c r="AM146">
        <v>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2.0799999999999999E-2</v>
      </c>
      <c r="AU146" t="s">
        <v>77</v>
      </c>
      <c r="AV146">
        <v>0</v>
      </c>
      <c r="AW146">
        <v>2</v>
      </c>
      <c r="AX146">
        <v>55915880</v>
      </c>
      <c r="AY146">
        <v>1</v>
      </c>
      <c r="AZ146">
        <v>0</v>
      </c>
      <c r="BA146">
        <v>171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ROUND(Y146*Source!I302,9)</f>
        <v>0.217776</v>
      </c>
      <c r="CY146">
        <f t="shared" si="60"/>
        <v>232.73</v>
      </c>
      <c r="CZ146">
        <f t="shared" si="61"/>
        <v>6.44</v>
      </c>
      <c r="DA146">
        <f t="shared" si="62"/>
        <v>33.43</v>
      </c>
      <c r="DB146">
        <f t="shared" si="63"/>
        <v>0.13</v>
      </c>
      <c r="DC146">
        <f t="shared" si="64"/>
        <v>0</v>
      </c>
      <c r="DD146" t="s">
        <v>3</v>
      </c>
      <c r="DE146" t="s">
        <v>3</v>
      </c>
      <c r="DF146">
        <f t="shared" si="65"/>
        <v>46.88</v>
      </c>
      <c r="DG146">
        <f t="shared" si="66"/>
        <v>0</v>
      </c>
      <c r="DH146">
        <f t="shared" si="58"/>
        <v>0</v>
      </c>
      <c r="DI146">
        <f t="shared" si="57"/>
        <v>0</v>
      </c>
      <c r="DJ146">
        <f t="shared" si="67"/>
        <v>46.88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ROW(Source!A342)</f>
        <v>342</v>
      </c>
      <c r="B147">
        <v>55915256</v>
      </c>
      <c r="C147">
        <v>55915952</v>
      </c>
      <c r="D147">
        <v>55424304</v>
      </c>
      <c r="E147">
        <v>1081</v>
      </c>
      <c r="F147">
        <v>1</v>
      </c>
      <c r="G147">
        <v>1081</v>
      </c>
      <c r="H147">
        <v>1</v>
      </c>
      <c r="I147" t="s">
        <v>363</v>
      </c>
      <c r="J147" t="s">
        <v>3</v>
      </c>
      <c r="K147" t="s">
        <v>364</v>
      </c>
      <c r="L147">
        <v>1191</v>
      </c>
      <c r="N147">
        <v>1013</v>
      </c>
      <c r="O147" t="s">
        <v>365</v>
      </c>
      <c r="P147" t="s">
        <v>365</v>
      </c>
      <c r="Q147">
        <v>1</v>
      </c>
      <c r="W147">
        <v>0</v>
      </c>
      <c r="X147">
        <v>476480486</v>
      </c>
      <c r="Y147">
        <f>(AT147*1.2)</f>
        <v>8.4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-2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7</v>
      </c>
      <c r="AU147" t="s">
        <v>78</v>
      </c>
      <c r="AV147">
        <v>1</v>
      </c>
      <c r="AW147">
        <v>2</v>
      </c>
      <c r="AX147">
        <v>55915953</v>
      </c>
      <c r="AY147">
        <v>1</v>
      </c>
      <c r="AZ147">
        <v>0</v>
      </c>
      <c r="BA147">
        <v>175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U147">
        <f>ROUND(AT147*Source!I342*AH147*AL147,2)</f>
        <v>0</v>
      </c>
      <c r="CV147">
        <f>ROUND(Y147*Source!I342,9)</f>
        <v>8.4</v>
      </c>
      <c r="CW147">
        <v>0</v>
      </c>
      <c r="CX147">
        <f>ROUND(Y147*Source!I342,9)</f>
        <v>8.4</v>
      </c>
      <c r="CY147">
        <f>AD147</f>
        <v>0</v>
      </c>
      <c r="CZ147">
        <f>AH147</f>
        <v>0</v>
      </c>
      <c r="DA147">
        <f>AL147</f>
        <v>1</v>
      </c>
      <c r="DB147">
        <f>ROUND((ROUND(AT147*CZ147,2)*1.2),6)</f>
        <v>0</v>
      </c>
      <c r="DC147">
        <f>ROUND((ROUND(AT147*AG147,2)*1.2),6)</f>
        <v>0</v>
      </c>
      <c r="DD147" t="s">
        <v>3</v>
      </c>
      <c r="DE147" t="s">
        <v>3</v>
      </c>
      <c r="DF147">
        <f t="shared" ref="DF147:DF154" si="68">ROUND(ROUND(AE147,2)*CX147,2)</f>
        <v>0</v>
      </c>
      <c r="DG147">
        <f t="shared" si="66"/>
        <v>0</v>
      </c>
      <c r="DH147">
        <f t="shared" si="58"/>
        <v>0</v>
      </c>
      <c r="DI147">
        <f t="shared" si="57"/>
        <v>0</v>
      </c>
      <c r="DJ147">
        <f>DI147</f>
        <v>0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ROW(Source!A342)</f>
        <v>342</v>
      </c>
      <c r="B148">
        <v>55915256</v>
      </c>
      <c r="C148">
        <v>55915952</v>
      </c>
      <c r="D148">
        <v>55459793</v>
      </c>
      <c r="E148">
        <v>1</v>
      </c>
      <c r="F148">
        <v>1</v>
      </c>
      <c r="G148">
        <v>1081</v>
      </c>
      <c r="H148">
        <v>3</v>
      </c>
      <c r="I148" t="s">
        <v>369</v>
      </c>
      <c r="J148" t="s">
        <v>370</v>
      </c>
      <c r="K148" t="s">
        <v>371</v>
      </c>
      <c r="L148">
        <v>1348</v>
      </c>
      <c r="N148">
        <v>1009</v>
      </c>
      <c r="O148" t="s">
        <v>324</v>
      </c>
      <c r="P148" t="s">
        <v>324</v>
      </c>
      <c r="Q148">
        <v>1000</v>
      </c>
      <c r="W148">
        <v>0</v>
      </c>
      <c r="X148">
        <v>-761454284</v>
      </c>
      <c r="Y148">
        <f>(AT148*1)</f>
        <v>1.2E-5</v>
      </c>
      <c r="AA148">
        <v>64123.05</v>
      </c>
      <c r="AB148">
        <v>0</v>
      </c>
      <c r="AC148">
        <v>0</v>
      </c>
      <c r="AD148">
        <v>0</v>
      </c>
      <c r="AE148">
        <v>64123.05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-2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1.2E-5</v>
      </c>
      <c r="AU148" t="s">
        <v>77</v>
      </c>
      <c r="AV148">
        <v>0</v>
      </c>
      <c r="AW148">
        <v>2</v>
      </c>
      <c r="AX148">
        <v>55915954</v>
      </c>
      <c r="AY148">
        <v>1</v>
      </c>
      <c r="AZ148">
        <v>0</v>
      </c>
      <c r="BA148">
        <v>176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ROUND(Y148*Source!I342,9)</f>
        <v>1.2E-5</v>
      </c>
      <c r="CY148">
        <f t="shared" ref="CY148:CY153" si="69">AA148</f>
        <v>64123.05</v>
      </c>
      <c r="CZ148">
        <f t="shared" ref="CZ148:CZ153" si="70">AE148</f>
        <v>64123.05</v>
      </c>
      <c r="DA148">
        <f t="shared" ref="DA148:DA153" si="71">AI148</f>
        <v>1</v>
      </c>
      <c r="DB148">
        <f>ROUND((ROUND(AT148*CZ148,2)*1),6)</f>
        <v>0.77</v>
      </c>
      <c r="DC148">
        <f>ROUND((ROUND(AT148*AG148,2)*1),6)</f>
        <v>0</v>
      </c>
      <c r="DD148" t="s">
        <v>3</v>
      </c>
      <c r="DE148" t="s">
        <v>3</v>
      </c>
      <c r="DF148">
        <f t="shared" si="68"/>
        <v>0.77</v>
      </c>
      <c r="DG148">
        <f t="shared" si="66"/>
        <v>0</v>
      </c>
      <c r="DH148">
        <f t="shared" si="58"/>
        <v>0</v>
      </c>
      <c r="DI148">
        <f t="shared" si="57"/>
        <v>0</v>
      </c>
      <c r="DJ148">
        <f t="shared" ref="DJ148:DJ153" si="72">DF148</f>
        <v>0.77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">
      <c r="A149">
        <f>ROW(Source!A342)</f>
        <v>342</v>
      </c>
      <c r="B149">
        <v>55915256</v>
      </c>
      <c r="C149">
        <v>55915952</v>
      </c>
      <c r="D149">
        <v>55466338</v>
      </c>
      <c r="E149">
        <v>1</v>
      </c>
      <c r="F149">
        <v>1</v>
      </c>
      <c r="G149">
        <v>1081</v>
      </c>
      <c r="H149">
        <v>3</v>
      </c>
      <c r="I149" t="s">
        <v>442</v>
      </c>
      <c r="J149" t="s">
        <v>443</v>
      </c>
      <c r="K149" t="s">
        <v>444</v>
      </c>
      <c r="L149">
        <v>1349</v>
      </c>
      <c r="N149">
        <v>1009</v>
      </c>
      <c r="O149" t="s">
        <v>445</v>
      </c>
      <c r="P149" t="s">
        <v>445</v>
      </c>
      <c r="Q149">
        <v>1E-3</v>
      </c>
      <c r="W149">
        <v>0</v>
      </c>
      <c r="X149">
        <v>-667754050</v>
      </c>
      <c r="Y149">
        <f>(AT149*1)</f>
        <v>2</v>
      </c>
      <c r="AA149">
        <v>7.0000000000000007E-2</v>
      </c>
      <c r="AB149">
        <v>0</v>
      </c>
      <c r="AC149">
        <v>0</v>
      </c>
      <c r="AD149">
        <v>0</v>
      </c>
      <c r="AE149">
        <v>7.0000000000000007E-2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-2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2</v>
      </c>
      <c r="AU149" t="s">
        <v>77</v>
      </c>
      <c r="AV149">
        <v>0</v>
      </c>
      <c r="AW149">
        <v>2</v>
      </c>
      <c r="AX149">
        <v>55915955</v>
      </c>
      <c r="AY149">
        <v>1</v>
      </c>
      <c r="AZ149">
        <v>0</v>
      </c>
      <c r="BA149">
        <v>177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ROUND(Y149*Source!I342,9)</f>
        <v>2</v>
      </c>
      <c r="CY149">
        <f t="shared" si="69"/>
        <v>7.0000000000000007E-2</v>
      </c>
      <c r="CZ149">
        <f t="shared" si="70"/>
        <v>7.0000000000000007E-2</v>
      </c>
      <c r="DA149">
        <f t="shared" si="71"/>
        <v>1</v>
      </c>
      <c r="DB149">
        <f>ROUND((ROUND(AT149*CZ149,2)*1),6)</f>
        <v>0.14000000000000001</v>
      </c>
      <c r="DC149">
        <f>ROUND((ROUND(AT149*AG149,2)*1),6)</f>
        <v>0</v>
      </c>
      <c r="DD149" t="s">
        <v>3</v>
      </c>
      <c r="DE149" t="s">
        <v>3</v>
      </c>
      <c r="DF149">
        <f t="shared" si="68"/>
        <v>0.14000000000000001</v>
      </c>
      <c r="DG149">
        <f t="shared" si="66"/>
        <v>0</v>
      </c>
      <c r="DH149">
        <f t="shared" si="58"/>
        <v>0</v>
      </c>
      <c r="DI149">
        <f t="shared" si="57"/>
        <v>0</v>
      </c>
      <c r="DJ149">
        <f t="shared" si="72"/>
        <v>0.14000000000000001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ROW(Source!A342)</f>
        <v>342</v>
      </c>
      <c r="B150">
        <v>55915256</v>
      </c>
      <c r="C150">
        <v>55915952</v>
      </c>
      <c r="D150">
        <v>55482233</v>
      </c>
      <c r="E150">
        <v>1</v>
      </c>
      <c r="F150">
        <v>1</v>
      </c>
      <c r="G150">
        <v>1081</v>
      </c>
      <c r="H150">
        <v>3</v>
      </c>
      <c r="I150" t="s">
        <v>446</v>
      </c>
      <c r="J150" t="s">
        <v>447</v>
      </c>
      <c r="K150" t="s">
        <v>448</v>
      </c>
      <c r="L150">
        <v>1346</v>
      </c>
      <c r="N150">
        <v>1009</v>
      </c>
      <c r="O150" t="s">
        <v>339</v>
      </c>
      <c r="P150" t="s">
        <v>339</v>
      </c>
      <c r="Q150">
        <v>1</v>
      </c>
      <c r="W150">
        <v>0</v>
      </c>
      <c r="X150">
        <v>1566362712</v>
      </c>
      <c r="Y150">
        <f>(AT150*1)</f>
        <v>6.0000000000000001E-3</v>
      </c>
      <c r="AA150">
        <v>493.08</v>
      </c>
      <c r="AB150">
        <v>0</v>
      </c>
      <c r="AC150">
        <v>0</v>
      </c>
      <c r="AD150">
        <v>0</v>
      </c>
      <c r="AE150">
        <v>493.08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-2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6.0000000000000001E-3</v>
      </c>
      <c r="AU150" t="s">
        <v>77</v>
      </c>
      <c r="AV150">
        <v>0</v>
      </c>
      <c r="AW150">
        <v>2</v>
      </c>
      <c r="AX150">
        <v>55915956</v>
      </c>
      <c r="AY150">
        <v>1</v>
      </c>
      <c r="AZ150">
        <v>0</v>
      </c>
      <c r="BA150">
        <v>178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ROUND(Y150*Source!I342,9)</f>
        <v>6.0000000000000001E-3</v>
      </c>
      <c r="CY150">
        <f t="shared" si="69"/>
        <v>493.08</v>
      </c>
      <c r="CZ150">
        <f t="shared" si="70"/>
        <v>493.08</v>
      </c>
      <c r="DA150">
        <f t="shared" si="71"/>
        <v>1</v>
      </c>
      <c r="DB150">
        <f>ROUND((ROUND(AT150*CZ150,2)*1),6)</f>
        <v>2.96</v>
      </c>
      <c r="DC150">
        <f>ROUND((ROUND(AT150*AG150,2)*1),6)</f>
        <v>0</v>
      </c>
      <c r="DD150" t="s">
        <v>3</v>
      </c>
      <c r="DE150" t="s">
        <v>3</v>
      </c>
      <c r="DF150">
        <f t="shared" si="68"/>
        <v>2.96</v>
      </c>
      <c r="DG150">
        <f t="shared" si="66"/>
        <v>0</v>
      </c>
      <c r="DH150">
        <f t="shared" si="58"/>
        <v>0</v>
      </c>
      <c r="DI150">
        <f t="shared" si="57"/>
        <v>0</v>
      </c>
      <c r="DJ150">
        <f t="shared" si="72"/>
        <v>2.96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ROW(Source!A342)</f>
        <v>342</v>
      </c>
      <c r="B151">
        <v>55915256</v>
      </c>
      <c r="C151">
        <v>55915952</v>
      </c>
      <c r="D151">
        <v>55487942</v>
      </c>
      <c r="E151">
        <v>1</v>
      </c>
      <c r="F151">
        <v>1</v>
      </c>
      <c r="G151">
        <v>1081</v>
      </c>
      <c r="H151">
        <v>3</v>
      </c>
      <c r="I151" t="s">
        <v>375</v>
      </c>
      <c r="J151" t="s">
        <v>376</v>
      </c>
      <c r="K151" t="s">
        <v>377</v>
      </c>
      <c r="L151">
        <v>1303</v>
      </c>
      <c r="N151">
        <v>1003</v>
      </c>
      <c r="O151" t="s">
        <v>378</v>
      </c>
      <c r="P151" t="s">
        <v>378</v>
      </c>
      <c r="Q151">
        <v>1000</v>
      </c>
      <c r="W151">
        <v>0</v>
      </c>
      <c r="X151">
        <v>-1692873835</v>
      </c>
      <c r="Y151">
        <f>(AT151*1)</f>
        <v>0.06</v>
      </c>
      <c r="AA151">
        <v>516.63</v>
      </c>
      <c r="AB151">
        <v>0</v>
      </c>
      <c r="AC151">
        <v>0</v>
      </c>
      <c r="AD151">
        <v>0</v>
      </c>
      <c r="AE151">
        <v>516.63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-2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0.06</v>
      </c>
      <c r="AU151" t="s">
        <v>77</v>
      </c>
      <c r="AV151">
        <v>0</v>
      </c>
      <c r="AW151">
        <v>2</v>
      </c>
      <c r="AX151">
        <v>55915957</v>
      </c>
      <c r="AY151">
        <v>1</v>
      </c>
      <c r="AZ151">
        <v>0</v>
      </c>
      <c r="BA151">
        <v>179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ROUND(Y151*Source!I342,9)</f>
        <v>0.06</v>
      </c>
      <c r="CY151">
        <f t="shared" si="69"/>
        <v>516.63</v>
      </c>
      <c r="CZ151">
        <f t="shared" si="70"/>
        <v>516.63</v>
      </c>
      <c r="DA151">
        <f t="shared" si="71"/>
        <v>1</v>
      </c>
      <c r="DB151">
        <f>ROUND((ROUND(AT151*CZ151,2)*1),6)</f>
        <v>31</v>
      </c>
      <c r="DC151">
        <f>ROUND((ROUND(AT151*AG151,2)*1),6)</f>
        <v>0</v>
      </c>
      <c r="DD151" t="s">
        <v>3</v>
      </c>
      <c r="DE151" t="s">
        <v>3</v>
      </c>
      <c r="DF151">
        <f t="shared" si="68"/>
        <v>31</v>
      </c>
      <c r="DG151">
        <f t="shared" si="66"/>
        <v>0</v>
      </c>
      <c r="DH151">
        <f t="shared" si="58"/>
        <v>0</v>
      </c>
      <c r="DI151">
        <f t="shared" si="57"/>
        <v>0</v>
      </c>
      <c r="DJ151">
        <f t="shared" si="72"/>
        <v>31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ROW(Source!A342)</f>
        <v>342</v>
      </c>
      <c r="B152">
        <v>55915256</v>
      </c>
      <c r="C152">
        <v>55915952</v>
      </c>
      <c r="D152">
        <v>55565202</v>
      </c>
      <c r="E152">
        <v>1</v>
      </c>
      <c r="F152">
        <v>1</v>
      </c>
      <c r="G152">
        <v>1081</v>
      </c>
      <c r="H152">
        <v>3</v>
      </c>
      <c r="I152" t="s">
        <v>291</v>
      </c>
      <c r="J152" t="s">
        <v>293</v>
      </c>
      <c r="K152" t="s">
        <v>292</v>
      </c>
      <c r="L152">
        <v>1354</v>
      </c>
      <c r="N152">
        <v>1010</v>
      </c>
      <c r="O152" t="s">
        <v>191</v>
      </c>
      <c r="P152" t="s">
        <v>191</v>
      </c>
      <c r="Q152">
        <v>1</v>
      </c>
      <c r="W152">
        <v>0</v>
      </c>
      <c r="X152">
        <v>1023391834</v>
      </c>
      <c r="Y152">
        <f>AT152</f>
        <v>1</v>
      </c>
      <c r="AA152">
        <v>148.71</v>
      </c>
      <c r="AB152">
        <v>0</v>
      </c>
      <c r="AC152">
        <v>0</v>
      </c>
      <c r="AD152">
        <v>0</v>
      </c>
      <c r="AE152">
        <v>148.71</v>
      </c>
      <c r="AF152">
        <v>0</v>
      </c>
      <c r="AG152">
        <v>0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 t="s">
        <v>3</v>
      </c>
      <c r="AT152">
        <v>1</v>
      </c>
      <c r="AU152" t="s">
        <v>3</v>
      </c>
      <c r="AV152">
        <v>0</v>
      </c>
      <c r="AW152">
        <v>1</v>
      </c>
      <c r="AX152">
        <v>-1</v>
      </c>
      <c r="AY152">
        <v>0</v>
      </c>
      <c r="AZ152">
        <v>0</v>
      </c>
      <c r="BA152" t="s">
        <v>3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ROUND(Y152*Source!I342,9)</f>
        <v>1</v>
      </c>
      <c r="CY152">
        <f t="shared" si="69"/>
        <v>148.71</v>
      </c>
      <c r="CZ152">
        <f t="shared" si="70"/>
        <v>148.71</v>
      </c>
      <c r="DA152">
        <f t="shared" si="71"/>
        <v>1</v>
      </c>
      <c r="DB152">
        <f>ROUND(ROUND(AT152*CZ152,2),6)</f>
        <v>148.71</v>
      </c>
      <c r="DC152">
        <f>ROUND(ROUND(AT152*AG152,2),6)</f>
        <v>0</v>
      </c>
      <c r="DD152" t="s">
        <v>3</v>
      </c>
      <c r="DE152" t="s">
        <v>3</v>
      </c>
      <c r="DF152">
        <f t="shared" si="68"/>
        <v>148.71</v>
      </c>
      <c r="DG152">
        <f t="shared" si="66"/>
        <v>0</v>
      </c>
      <c r="DH152">
        <f t="shared" si="58"/>
        <v>0</v>
      </c>
      <c r="DI152">
        <f t="shared" si="57"/>
        <v>0</v>
      </c>
      <c r="DJ152">
        <f t="shared" si="72"/>
        <v>148.71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ROW(Source!A342)</f>
        <v>342</v>
      </c>
      <c r="B153">
        <v>55915256</v>
      </c>
      <c r="C153">
        <v>55915952</v>
      </c>
      <c r="D153">
        <v>55565203</v>
      </c>
      <c r="E153">
        <v>1</v>
      </c>
      <c r="F153">
        <v>1</v>
      </c>
      <c r="G153">
        <v>1081</v>
      </c>
      <c r="H153">
        <v>3</v>
      </c>
      <c r="I153" t="s">
        <v>295</v>
      </c>
      <c r="J153" t="s">
        <v>297</v>
      </c>
      <c r="K153" t="s">
        <v>296</v>
      </c>
      <c r="L153">
        <v>1354</v>
      </c>
      <c r="N153">
        <v>1010</v>
      </c>
      <c r="O153" t="s">
        <v>191</v>
      </c>
      <c r="P153" t="s">
        <v>191</v>
      </c>
      <c r="Q153">
        <v>1</v>
      </c>
      <c r="W153">
        <v>0</v>
      </c>
      <c r="X153">
        <v>1377802567</v>
      </c>
      <c r="Y153">
        <f>(AT153*1)</f>
        <v>1</v>
      </c>
      <c r="AA153">
        <v>77.11</v>
      </c>
      <c r="AB153">
        <v>0</v>
      </c>
      <c r="AC153">
        <v>0</v>
      </c>
      <c r="AD153">
        <v>0</v>
      </c>
      <c r="AE153">
        <v>77.11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 t="s">
        <v>3</v>
      </c>
      <c r="AT153">
        <v>1</v>
      </c>
      <c r="AU153" t="s">
        <v>77</v>
      </c>
      <c r="AV153">
        <v>0</v>
      </c>
      <c r="AW153">
        <v>1</v>
      </c>
      <c r="AX153">
        <v>-1</v>
      </c>
      <c r="AY153">
        <v>0</v>
      </c>
      <c r="AZ153">
        <v>0</v>
      </c>
      <c r="BA153" t="s">
        <v>3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ROUND(Y153*Source!I342,9)</f>
        <v>1</v>
      </c>
      <c r="CY153">
        <f t="shared" si="69"/>
        <v>77.11</v>
      </c>
      <c r="CZ153">
        <f t="shared" si="70"/>
        <v>77.11</v>
      </c>
      <c r="DA153">
        <f t="shared" si="71"/>
        <v>1</v>
      </c>
      <c r="DB153">
        <f>ROUND((ROUND(AT153*CZ153,2)*1),6)</f>
        <v>77.11</v>
      </c>
      <c r="DC153">
        <f>ROUND((ROUND(AT153*AG153,2)*1),6)</f>
        <v>0</v>
      </c>
      <c r="DD153" t="s">
        <v>3</v>
      </c>
      <c r="DE153" t="s">
        <v>3</v>
      </c>
      <c r="DF153">
        <f t="shared" si="68"/>
        <v>77.11</v>
      </c>
      <c r="DG153">
        <f t="shared" si="66"/>
        <v>0</v>
      </c>
      <c r="DH153">
        <f t="shared" si="58"/>
        <v>0</v>
      </c>
      <c r="DI153">
        <f t="shared" si="57"/>
        <v>0</v>
      </c>
      <c r="DJ153">
        <f t="shared" si="72"/>
        <v>77.11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ROW(Source!A343)</f>
        <v>343</v>
      </c>
      <c r="B154">
        <v>55915258</v>
      </c>
      <c r="C154">
        <v>55915952</v>
      </c>
      <c r="D154">
        <v>55424304</v>
      </c>
      <c r="E154">
        <v>1081</v>
      </c>
      <c r="F154">
        <v>1</v>
      </c>
      <c r="G154">
        <v>1081</v>
      </c>
      <c r="H154">
        <v>1</v>
      </c>
      <c r="I154" t="s">
        <v>363</v>
      </c>
      <c r="J154" t="s">
        <v>3</v>
      </c>
      <c r="K154" t="s">
        <v>364</v>
      </c>
      <c r="L154">
        <v>1191</v>
      </c>
      <c r="N154">
        <v>1013</v>
      </c>
      <c r="O154" t="s">
        <v>365</v>
      </c>
      <c r="P154" t="s">
        <v>365</v>
      </c>
      <c r="Q154">
        <v>1</v>
      </c>
      <c r="W154">
        <v>0</v>
      </c>
      <c r="X154">
        <v>476480486</v>
      </c>
      <c r="Y154">
        <f>(AT154*1.2)</f>
        <v>8.4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5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7</v>
      </c>
      <c r="AU154" t="s">
        <v>78</v>
      </c>
      <c r="AV154">
        <v>1</v>
      </c>
      <c r="AW154">
        <v>2</v>
      </c>
      <c r="AX154">
        <v>55915953</v>
      </c>
      <c r="AY154">
        <v>1</v>
      </c>
      <c r="AZ154">
        <v>0</v>
      </c>
      <c r="BA154">
        <v>182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U154">
        <f>ROUND(AT154*Source!I343*AH154*AL154,2)</f>
        <v>0</v>
      </c>
      <c r="CV154">
        <f>ROUND(Y154*Source!I343,9)</f>
        <v>8.4</v>
      </c>
      <c r="CW154">
        <v>0</v>
      </c>
      <c r="CX154">
        <f>ROUND(Y154*Source!I343,9)</f>
        <v>8.4</v>
      </c>
      <c r="CY154">
        <f>AD154</f>
        <v>0</v>
      </c>
      <c r="CZ154">
        <f>AH154</f>
        <v>0</v>
      </c>
      <c r="DA154">
        <f>AL154</f>
        <v>1</v>
      </c>
      <c r="DB154">
        <f>ROUND((ROUND(AT154*CZ154,2)*1.2),6)</f>
        <v>0</v>
      </c>
      <c r="DC154">
        <f>ROUND((ROUND(AT154*AG154,2)*1.2),6)</f>
        <v>0</v>
      </c>
      <c r="DD154" t="s">
        <v>3</v>
      </c>
      <c r="DE154" t="s">
        <v>3</v>
      </c>
      <c r="DF154">
        <f t="shared" si="68"/>
        <v>0</v>
      </c>
      <c r="DG154">
        <f t="shared" si="66"/>
        <v>0</v>
      </c>
      <c r="DH154">
        <f t="shared" si="58"/>
        <v>0</v>
      </c>
      <c r="DI154">
        <f t="shared" si="57"/>
        <v>0</v>
      </c>
      <c r="DJ154">
        <f>DI154</f>
        <v>0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ROW(Source!A343)</f>
        <v>343</v>
      </c>
      <c r="B155">
        <v>55915258</v>
      </c>
      <c r="C155">
        <v>55915952</v>
      </c>
      <c r="D155">
        <v>55459793</v>
      </c>
      <c r="E155">
        <v>1</v>
      </c>
      <c r="F155">
        <v>1</v>
      </c>
      <c r="G155">
        <v>1081</v>
      </c>
      <c r="H155">
        <v>3</v>
      </c>
      <c r="I155" t="s">
        <v>369</v>
      </c>
      <c r="J155" t="s">
        <v>370</v>
      </c>
      <c r="K155" t="s">
        <v>371</v>
      </c>
      <c r="L155">
        <v>1348</v>
      </c>
      <c r="N155">
        <v>1009</v>
      </c>
      <c r="O155" t="s">
        <v>324</v>
      </c>
      <c r="P155" t="s">
        <v>324</v>
      </c>
      <c r="Q155">
        <v>1000</v>
      </c>
      <c r="W155">
        <v>0</v>
      </c>
      <c r="X155">
        <v>-761454284</v>
      </c>
      <c r="Y155">
        <f>(AT155*1)</f>
        <v>1.2E-5</v>
      </c>
      <c r="AA155">
        <v>1930745.04</v>
      </c>
      <c r="AB155">
        <v>0</v>
      </c>
      <c r="AC155">
        <v>0</v>
      </c>
      <c r="AD155">
        <v>0</v>
      </c>
      <c r="AE155">
        <v>64123.05</v>
      </c>
      <c r="AF155">
        <v>0</v>
      </c>
      <c r="AG155">
        <v>0</v>
      </c>
      <c r="AH155">
        <v>0</v>
      </c>
      <c r="AI155">
        <v>30.11</v>
      </c>
      <c r="AJ155">
        <v>1</v>
      </c>
      <c r="AK155">
        <v>1</v>
      </c>
      <c r="AL155">
        <v>1</v>
      </c>
      <c r="AM155">
        <v>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1.2E-5</v>
      </c>
      <c r="AU155" t="s">
        <v>77</v>
      </c>
      <c r="AV155">
        <v>0</v>
      </c>
      <c r="AW155">
        <v>2</v>
      </c>
      <c r="AX155">
        <v>55915954</v>
      </c>
      <c r="AY155">
        <v>1</v>
      </c>
      <c r="AZ155">
        <v>0</v>
      </c>
      <c r="BA155">
        <v>183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ROUND(Y155*Source!I343,9)</f>
        <v>1.2E-5</v>
      </c>
      <c r="CY155">
        <f t="shared" ref="CY155:CY160" si="73">AA155</f>
        <v>1930745.04</v>
      </c>
      <c r="CZ155">
        <f t="shared" ref="CZ155:CZ160" si="74">AE155</f>
        <v>64123.05</v>
      </c>
      <c r="DA155">
        <f t="shared" ref="DA155:DA160" si="75">AI155</f>
        <v>30.11</v>
      </c>
      <c r="DB155">
        <f>ROUND((ROUND(AT155*CZ155,2)*1),6)</f>
        <v>0.77</v>
      </c>
      <c r="DC155">
        <f>ROUND((ROUND(AT155*AG155,2)*1),6)</f>
        <v>0</v>
      </c>
      <c r="DD155" t="s">
        <v>3</v>
      </c>
      <c r="DE155" t="s">
        <v>3</v>
      </c>
      <c r="DF155">
        <f t="shared" ref="DF155:DF160" si="76">ROUND(ROUND(AE155*AI155,2)*CX155,2)</f>
        <v>23.17</v>
      </c>
      <c r="DG155">
        <f t="shared" si="66"/>
        <v>0</v>
      </c>
      <c r="DH155">
        <f t="shared" si="58"/>
        <v>0</v>
      </c>
      <c r="DI155">
        <f t="shared" si="57"/>
        <v>0</v>
      </c>
      <c r="DJ155">
        <f t="shared" ref="DJ155:DJ160" si="77">DF155</f>
        <v>23.17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ROW(Source!A343)</f>
        <v>343</v>
      </c>
      <c r="B156">
        <v>55915258</v>
      </c>
      <c r="C156">
        <v>55915952</v>
      </c>
      <c r="D156">
        <v>55466338</v>
      </c>
      <c r="E156">
        <v>1</v>
      </c>
      <c r="F156">
        <v>1</v>
      </c>
      <c r="G156">
        <v>1081</v>
      </c>
      <c r="H156">
        <v>3</v>
      </c>
      <c r="I156" t="s">
        <v>442</v>
      </c>
      <c r="J156" t="s">
        <v>443</v>
      </c>
      <c r="K156" t="s">
        <v>444</v>
      </c>
      <c r="L156">
        <v>1349</v>
      </c>
      <c r="N156">
        <v>1009</v>
      </c>
      <c r="O156" t="s">
        <v>445</v>
      </c>
      <c r="P156" t="s">
        <v>445</v>
      </c>
      <c r="Q156">
        <v>1E-3</v>
      </c>
      <c r="W156">
        <v>0</v>
      </c>
      <c r="X156">
        <v>-667754050</v>
      </c>
      <c r="Y156">
        <f>(AT156*1)</f>
        <v>2</v>
      </c>
      <c r="AA156">
        <v>0.44</v>
      </c>
      <c r="AB156">
        <v>0</v>
      </c>
      <c r="AC156">
        <v>0</v>
      </c>
      <c r="AD156">
        <v>0</v>
      </c>
      <c r="AE156">
        <v>7.0000000000000007E-2</v>
      </c>
      <c r="AF156">
        <v>0</v>
      </c>
      <c r="AG156">
        <v>0</v>
      </c>
      <c r="AH156">
        <v>0</v>
      </c>
      <c r="AI156">
        <v>6.29</v>
      </c>
      <c r="AJ156">
        <v>1</v>
      </c>
      <c r="AK156">
        <v>1</v>
      </c>
      <c r="AL156">
        <v>1</v>
      </c>
      <c r="AM156">
        <v>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2</v>
      </c>
      <c r="AU156" t="s">
        <v>77</v>
      </c>
      <c r="AV156">
        <v>0</v>
      </c>
      <c r="AW156">
        <v>2</v>
      </c>
      <c r="AX156">
        <v>55915955</v>
      </c>
      <c r="AY156">
        <v>1</v>
      </c>
      <c r="AZ156">
        <v>0</v>
      </c>
      <c r="BA156">
        <v>184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ROUND(Y156*Source!I343,9)</f>
        <v>2</v>
      </c>
      <c r="CY156">
        <f t="shared" si="73"/>
        <v>0.44</v>
      </c>
      <c r="CZ156">
        <f t="shared" si="74"/>
        <v>7.0000000000000007E-2</v>
      </c>
      <c r="DA156">
        <f t="shared" si="75"/>
        <v>6.29</v>
      </c>
      <c r="DB156">
        <f>ROUND((ROUND(AT156*CZ156,2)*1),6)</f>
        <v>0.14000000000000001</v>
      </c>
      <c r="DC156">
        <f>ROUND((ROUND(AT156*AG156,2)*1),6)</f>
        <v>0</v>
      </c>
      <c r="DD156" t="s">
        <v>3</v>
      </c>
      <c r="DE156" t="s">
        <v>3</v>
      </c>
      <c r="DF156">
        <f t="shared" si="76"/>
        <v>0.88</v>
      </c>
      <c r="DG156">
        <f t="shared" si="66"/>
        <v>0</v>
      </c>
      <c r="DH156">
        <f t="shared" si="58"/>
        <v>0</v>
      </c>
      <c r="DI156">
        <f t="shared" si="57"/>
        <v>0</v>
      </c>
      <c r="DJ156">
        <f t="shared" si="77"/>
        <v>0.88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ROW(Source!A343)</f>
        <v>343</v>
      </c>
      <c r="B157">
        <v>55915258</v>
      </c>
      <c r="C157">
        <v>55915952</v>
      </c>
      <c r="D157">
        <v>55482233</v>
      </c>
      <c r="E157">
        <v>1</v>
      </c>
      <c r="F157">
        <v>1</v>
      </c>
      <c r="G157">
        <v>1081</v>
      </c>
      <c r="H157">
        <v>3</v>
      </c>
      <c r="I157" t="s">
        <v>446</v>
      </c>
      <c r="J157" t="s">
        <v>447</v>
      </c>
      <c r="K157" t="s">
        <v>448</v>
      </c>
      <c r="L157">
        <v>1346</v>
      </c>
      <c r="N157">
        <v>1009</v>
      </c>
      <c r="O157" t="s">
        <v>339</v>
      </c>
      <c r="P157" t="s">
        <v>339</v>
      </c>
      <c r="Q157">
        <v>1</v>
      </c>
      <c r="W157">
        <v>0</v>
      </c>
      <c r="X157">
        <v>1566362712</v>
      </c>
      <c r="Y157">
        <f>(AT157*1)</f>
        <v>6.0000000000000001E-3</v>
      </c>
      <c r="AA157">
        <v>3047.23</v>
      </c>
      <c r="AB157">
        <v>0</v>
      </c>
      <c r="AC157">
        <v>0</v>
      </c>
      <c r="AD157">
        <v>0</v>
      </c>
      <c r="AE157">
        <v>493.08</v>
      </c>
      <c r="AF157">
        <v>0</v>
      </c>
      <c r="AG157">
        <v>0</v>
      </c>
      <c r="AH157">
        <v>0</v>
      </c>
      <c r="AI157">
        <v>6.18</v>
      </c>
      <c r="AJ157">
        <v>1</v>
      </c>
      <c r="AK157">
        <v>1</v>
      </c>
      <c r="AL157">
        <v>1</v>
      </c>
      <c r="AM157">
        <v>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6.0000000000000001E-3</v>
      </c>
      <c r="AU157" t="s">
        <v>77</v>
      </c>
      <c r="AV157">
        <v>0</v>
      </c>
      <c r="AW157">
        <v>2</v>
      </c>
      <c r="AX157">
        <v>55915956</v>
      </c>
      <c r="AY157">
        <v>1</v>
      </c>
      <c r="AZ157">
        <v>0</v>
      </c>
      <c r="BA157">
        <v>185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ROUND(Y157*Source!I343,9)</f>
        <v>6.0000000000000001E-3</v>
      </c>
      <c r="CY157">
        <f t="shared" si="73"/>
        <v>3047.23</v>
      </c>
      <c r="CZ157">
        <f t="shared" si="74"/>
        <v>493.08</v>
      </c>
      <c r="DA157">
        <f t="shared" si="75"/>
        <v>6.18</v>
      </c>
      <c r="DB157">
        <f>ROUND((ROUND(AT157*CZ157,2)*1),6)</f>
        <v>2.96</v>
      </c>
      <c r="DC157">
        <f>ROUND((ROUND(AT157*AG157,2)*1),6)</f>
        <v>0</v>
      </c>
      <c r="DD157" t="s">
        <v>3</v>
      </c>
      <c r="DE157" t="s">
        <v>3</v>
      </c>
      <c r="DF157">
        <f t="shared" si="76"/>
        <v>18.28</v>
      </c>
      <c r="DG157">
        <f t="shared" si="66"/>
        <v>0</v>
      </c>
      <c r="DH157">
        <f t="shared" si="58"/>
        <v>0</v>
      </c>
      <c r="DI157">
        <f t="shared" si="57"/>
        <v>0</v>
      </c>
      <c r="DJ157">
        <f t="shared" si="77"/>
        <v>18.28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ROW(Source!A343)</f>
        <v>343</v>
      </c>
      <c r="B158">
        <v>55915258</v>
      </c>
      <c r="C158">
        <v>55915952</v>
      </c>
      <c r="D158">
        <v>55487942</v>
      </c>
      <c r="E158">
        <v>1</v>
      </c>
      <c r="F158">
        <v>1</v>
      </c>
      <c r="G158">
        <v>1081</v>
      </c>
      <c r="H158">
        <v>3</v>
      </c>
      <c r="I158" t="s">
        <v>375</v>
      </c>
      <c r="J158" t="s">
        <v>376</v>
      </c>
      <c r="K158" t="s">
        <v>377</v>
      </c>
      <c r="L158">
        <v>1303</v>
      </c>
      <c r="N158">
        <v>1003</v>
      </c>
      <c r="O158" t="s">
        <v>378</v>
      </c>
      <c r="P158" t="s">
        <v>378</v>
      </c>
      <c r="Q158">
        <v>1000</v>
      </c>
      <c r="W158">
        <v>0</v>
      </c>
      <c r="X158">
        <v>-1692873835</v>
      </c>
      <c r="Y158">
        <f>(AT158*1)</f>
        <v>0.06</v>
      </c>
      <c r="AA158">
        <v>5269.63</v>
      </c>
      <c r="AB158">
        <v>0</v>
      </c>
      <c r="AC158">
        <v>0</v>
      </c>
      <c r="AD158">
        <v>0</v>
      </c>
      <c r="AE158">
        <v>516.63</v>
      </c>
      <c r="AF158">
        <v>0</v>
      </c>
      <c r="AG158">
        <v>0</v>
      </c>
      <c r="AH158">
        <v>0</v>
      </c>
      <c r="AI158">
        <v>10.199999999999999</v>
      </c>
      <c r="AJ158">
        <v>1</v>
      </c>
      <c r="AK158">
        <v>1</v>
      </c>
      <c r="AL158">
        <v>1</v>
      </c>
      <c r="AM158">
        <v>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0.06</v>
      </c>
      <c r="AU158" t="s">
        <v>77</v>
      </c>
      <c r="AV158">
        <v>0</v>
      </c>
      <c r="AW158">
        <v>2</v>
      </c>
      <c r="AX158">
        <v>55915957</v>
      </c>
      <c r="AY158">
        <v>1</v>
      </c>
      <c r="AZ158">
        <v>0</v>
      </c>
      <c r="BA158">
        <v>186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ROUND(Y158*Source!I343,9)</f>
        <v>0.06</v>
      </c>
      <c r="CY158">
        <f t="shared" si="73"/>
        <v>5269.63</v>
      </c>
      <c r="CZ158">
        <f t="shared" si="74"/>
        <v>516.63</v>
      </c>
      <c r="DA158">
        <f t="shared" si="75"/>
        <v>10.199999999999999</v>
      </c>
      <c r="DB158">
        <f>ROUND((ROUND(AT158*CZ158,2)*1),6)</f>
        <v>31</v>
      </c>
      <c r="DC158">
        <f>ROUND((ROUND(AT158*AG158,2)*1),6)</f>
        <v>0</v>
      </c>
      <c r="DD158" t="s">
        <v>3</v>
      </c>
      <c r="DE158" t="s">
        <v>3</v>
      </c>
      <c r="DF158">
        <f t="shared" si="76"/>
        <v>316.18</v>
      </c>
      <c r="DG158">
        <f t="shared" si="66"/>
        <v>0</v>
      </c>
      <c r="DH158">
        <f t="shared" si="58"/>
        <v>0</v>
      </c>
      <c r="DI158">
        <f t="shared" si="57"/>
        <v>0</v>
      </c>
      <c r="DJ158">
        <f t="shared" si="77"/>
        <v>316.18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ROW(Source!A343)</f>
        <v>343</v>
      </c>
      <c r="B159">
        <v>55915258</v>
      </c>
      <c r="C159">
        <v>55915952</v>
      </c>
      <c r="D159">
        <v>55565202</v>
      </c>
      <c r="E159">
        <v>1</v>
      </c>
      <c r="F159">
        <v>1</v>
      </c>
      <c r="G159">
        <v>1081</v>
      </c>
      <c r="H159">
        <v>3</v>
      </c>
      <c r="I159" t="s">
        <v>291</v>
      </c>
      <c r="J159" t="s">
        <v>293</v>
      </c>
      <c r="K159" t="s">
        <v>292</v>
      </c>
      <c r="L159">
        <v>1354</v>
      </c>
      <c r="N159">
        <v>1010</v>
      </c>
      <c r="O159" t="s">
        <v>191</v>
      </c>
      <c r="P159" t="s">
        <v>191</v>
      </c>
      <c r="Q159">
        <v>1</v>
      </c>
      <c r="W159">
        <v>0</v>
      </c>
      <c r="X159">
        <v>1023391834</v>
      </c>
      <c r="Y159">
        <f>AT159</f>
        <v>1</v>
      </c>
      <c r="AA159">
        <v>840.21</v>
      </c>
      <c r="AB159">
        <v>0</v>
      </c>
      <c r="AC159">
        <v>0</v>
      </c>
      <c r="AD159">
        <v>0</v>
      </c>
      <c r="AE159">
        <v>148.71</v>
      </c>
      <c r="AF159">
        <v>0</v>
      </c>
      <c r="AG159">
        <v>0</v>
      </c>
      <c r="AH159">
        <v>0</v>
      </c>
      <c r="AI159">
        <v>5.65</v>
      </c>
      <c r="AJ159">
        <v>1</v>
      </c>
      <c r="AK159">
        <v>1</v>
      </c>
      <c r="AL159">
        <v>1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 t="s">
        <v>3</v>
      </c>
      <c r="AT159">
        <v>1</v>
      </c>
      <c r="AU159" t="s">
        <v>3</v>
      </c>
      <c r="AV159">
        <v>0</v>
      </c>
      <c r="AW159">
        <v>1</v>
      </c>
      <c r="AX159">
        <v>-1</v>
      </c>
      <c r="AY159">
        <v>0</v>
      </c>
      <c r="AZ159">
        <v>0</v>
      </c>
      <c r="BA159" t="s">
        <v>3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ROUND(Y159*Source!I343,9)</f>
        <v>1</v>
      </c>
      <c r="CY159">
        <f t="shared" si="73"/>
        <v>840.21</v>
      </c>
      <c r="CZ159">
        <f t="shared" si="74"/>
        <v>148.71</v>
      </c>
      <c r="DA159">
        <f t="shared" si="75"/>
        <v>5.65</v>
      </c>
      <c r="DB159">
        <f>ROUND(ROUND(AT159*CZ159,2),6)</f>
        <v>148.71</v>
      </c>
      <c r="DC159">
        <f>ROUND(ROUND(AT159*AG159,2),6)</f>
        <v>0</v>
      </c>
      <c r="DD159" t="s">
        <v>3</v>
      </c>
      <c r="DE159" t="s">
        <v>3</v>
      </c>
      <c r="DF159">
        <f t="shared" si="76"/>
        <v>840.21</v>
      </c>
      <c r="DG159">
        <f t="shared" si="66"/>
        <v>0</v>
      </c>
      <c r="DH159">
        <f t="shared" si="58"/>
        <v>0</v>
      </c>
      <c r="DI159">
        <f t="shared" si="57"/>
        <v>0</v>
      </c>
      <c r="DJ159">
        <f t="shared" si="77"/>
        <v>840.21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ROW(Source!A343)</f>
        <v>343</v>
      </c>
      <c r="B160">
        <v>55915258</v>
      </c>
      <c r="C160">
        <v>55915952</v>
      </c>
      <c r="D160">
        <v>55565203</v>
      </c>
      <c r="E160">
        <v>1</v>
      </c>
      <c r="F160">
        <v>1</v>
      </c>
      <c r="G160">
        <v>1081</v>
      </c>
      <c r="H160">
        <v>3</v>
      </c>
      <c r="I160" t="s">
        <v>295</v>
      </c>
      <c r="J160" t="s">
        <v>297</v>
      </c>
      <c r="K160" t="s">
        <v>296</v>
      </c>
      <c r="L160">
        <v>1354</v>
      </c>
      <c r="N160">
        <v>1010</v>
      </c>
      <c r="O160" t="s">
        <v>191</v>
      </c>
      <c r="P160" t="s">
        <v>191</v>
      </c>
      <c r="Q160">
        <v>1</v>
      </c>
      <c r="W160">
        <v>0</v>
      </c>
      <c r="X160">
        <v>1377802567</v>
      </c>
      <c r="Y160">
        <f>(AT160*1)</f>
        <v>1</v>
      </c>
      <c r="AA160">
        <v>321.55</v>
      </c>
      <c r="AB160">
        <v>0</v>
      </c>
      <c r="AC160">
        <v>0</v>
      </c>
      <c r="AD160">
        <v>0</v>
      </c>
      <c r="AE160">
        <v>77.11</v>
      </c>
      <c r="AF160">
        <v>0</v>
      </c>
      <c r="AG160">
        <v>0</v>
      </c>
      <c r="AH160">
        <v>0</v>
      </c>
      <c r="AI160">
        <v>4.17</v>
      </c>
      <c r="AJ160">
        <v>1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 t="s">
        <v>3</v>
      </c>
      <c r="AT160">
        <v>1</v>
      </c>
      <c r="AU160" t="s">
        <v>77</v>
      </c>
      <c r="AV160">
        <v>0</v>
      </c>
      <c r="AW160">
        <v>1</v>
      </c>
      <c r="AX160">
        <v>-1</v>
      </c>
      <c r="AY160">
        <v>0</v>
      </c>
      <c r="AZ160">
        <v>0</v>
      </c>
      <c r="BA160" t="s">
        <v>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ROUND(Y160*Source!I343,9)</f>
        <v>1</v>
      </c>
      <c r="CY160">
        <f t="shared" si="73"/>
        <v>321.55</v>
      </c>
      <c r="CZ160">
        <f t="shared" si="74"/>
        <v>77.11</v>
      </c>
      <c r="DA160">
        <f t="shared" si="75"/>
        <v>4.17</v>
      </c>
      <c r="DB160">
        <f>ROUND((ROUND(AT160*CZ160,2)*1),6)</f>
        <v>77.11</v>
      </c>
      <c r="DC160">
        <f>ROUND((ROUND(AT160*AG160,2)*1),6)</f>
        <v>0</v>
      </c>
      <c r="DD160" t="s">
        <v>3</v>
      </c>
      <c r="DE160" t="s">
        <v>3</v>
      </c>
      <c r="DF160">
        <f t="shared" si="76"/>
        <v>321.55</v>
      </c>
      <c r="DG160">
        <f t="shared" si="66"/>
        <v>0</v>
      </c>
      <c r="DH160">
        <f t="shared" si="58"/>
        <v>0</v>
      </c>
      <c r="DI160">
        <f t="shared" si="57"/>
        <v>0</v>
      </c>
      <c r="DJ160">
        <f t="shared" si="77"/>
        <v>321.55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">
      <c r="A161">
        <f>ROW(Source!A389)</f>
        <v>389</v>
      </c>
      <c r="B161">
        <v>55915256</v>
      </c>
      <c r="C161">
        <v>55916044</v>
      </c>
      <c r="D161">
        <v>55424304</v>
      </c>
      <c r="E161">
        <v>1081</v>
      </c>
      <c r="F161">
        <v>1</v>
      </c>
      <c r="G161">
        <v>1081</v>
      </c>
      <c r="H161">
        <v>1</v>
      </c>
      <c r="I161" t="s">
        <v>363</v>
      </c>
      <c r="J161" t="s">
        <v>3</v>
      </c>
      <c r="K161" t="s">
        <v>364</v>
      </c>
      <c r="L161">
        <v>1191</v>
      </c>
      <c r="N161">
        <v>1013</v>
      </c>
      <c r="O161" t="s">
        <v>365</v>
      </c>
      <c r="P161" t="s">
        <v>365</v>
      </c>
      <c r="Q161">
        <v>1</v>
      </c>
      <c r="W161">
        <v>0</v>
      </c>
      <c r="X161">
        <v>476480486</v>
      </c>
      <c r="Y161">
        <f>(AT161*1.2)</f>
        <v>0.42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-2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0.35</v>
      </c>
      <c r="AU161" t="s">
        <v>78</v>
      </c>
      <c r="AV161">
        <v>1</v>
      </c>
      <c r="AW161">
        <v>2</v>
      </c>
      <c r="AX161">
        <v>55916045</v>
      </c>
      <c r="AY161">
        <v>1</v>
      </c>
      <c r="AZ161">
        <v>0</v>
      </c>
      <c r="BA161">
        <v>189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U161">
        <f>ROUND(AT161*Source!I389*AH161*AL161,2)</f>
        <v>0</v>
      </c>
      <c r="CV161">
        <f>ROUND(Y161*Source!I389,9)</f>
        <v>17.64</v>
      </c>
      <c r="CW161">
        <v>0</v>
      </c>
      <c r="CX161">
        <f>ROUND(Y161*Source!I389,9)</f>
        <v>17.64</v>
      </c>
      <c r="CY161">
        <f>AD161</f>
        <v>0</v>
      </c>
      <c r="CZ161">
        <f>AH161</f>
        <v>0</v>
      </c>
      <c r="DA161">
        <f>AL161</f>
        <v>1</v>
      </c>
      <c r="DB161">
        <f>ROUND((ROUND(AT161*CZ161,2)*1.2),6)</f>
        <v>0</v>
      </c>
      <c r="DC161">
        <f>ROUND((ROUND(AT161*AG161,2)*1.2),6)</f>
        <v>0</v>
      </c>
      <c r="DD161" t="s">
        <v>3</v>
      </c>
      <c r="DE161" t="s">
        <v>3</v>
      </c>
      <c r="DF161">
        <f t="shared" ref="DF161:DF169" si="78">ROUND(ROUND(AE161,2)*CX161,2)</f>
        <v>0</v>
      </c>
      <c r="DG161">
        <f t="shared" si="66"/>
        <v>0</v>
      </c>
      <c r="DH161">
        <f t="shared" si="58"/>
        <v>0</v>
      </c>
      <c r="DI161">
        <f t="shared" ref="DI161:DI172" si="79">ROUND(ROUND(AH161,2)*CX161,2)</f>
        <v>0</v>
      </c>
      <c r="DJ161">
        <f>DI161</f>
        <v>0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ROW(Source!A390)</f>
        <v>390</v>
      </c>
      <c r="B162">
        <v>55915258</v>
      </c>
      <c r="C162">
        <v>55916044</v>
      </c>
      <c r="D162">
        <v>55424304</v>
      </c>
      <c r="E162">
        <v>1081</v>
      </c>
      <c r="F162">
        <v>1</v>
      </c>
      <c r="G162">
        <v>1081</v>
      </c>
      <c r="H162">
        <v>1</v>
      </c>
      <c r="I162" t="s">
        <v>363</v>
      </c>
      <c r="J162" t="s">
        <v>3</v>
      </c>
      <c r="K162" t="s">
        <v>364</v>
      </c>
      <c r="L162">
        <v>1191</v>
      </c>
      <c r="N162">
        <v>1013</v>
      </c>
      <c r="O162" t="s">
        <v>365</v>
      </c>
      <c r="P162" t="s">
        <v>365</v>
      </c>
      <c r="Q162">
        <v>1</v>
      </c>
      <c r="W162">
        <v>0</v>
      </c>
      <c r="X162">
        <v>476480486</v>
      </c>
      <c r="Y162">
        <f>(AT162*1.2)</f>
        <v>0.42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1</v>
      </c>
      <c r="AL162">
        <v>1</v>
      </c>
      <c r="AM162">
        <v>5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0.35</v>
      </c>
      <c r="AU162" t="s">
        <v>78</v>
      </c>
      <c r="AV162">
        <v>1</v>
      </c>
      <c r="AW162">
        <v>2</v>
      </c>
      <c r="AX162">
        <v>55916045</v>
      </c>
      <c r="AY162">
        <v>1</v>
      </c>
      <c r="AZ162">
        <v>0</v>
      </c>
      <c r="BA162">
        <v>190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U162">
        <f>ROUND(AT162*Source!I390*AH162*AL162,2)</f>
        <v>0</v>
      </c>
      <c r="CV162">
        <f>ROUND(Y162*Source!I390,9)</f>
        <v>17.64</v>
      </c>
      <c r="CW162">
        <v>0</v>
      </c>
      <c r="CX162">
        <f>ROUND(Y162*Source!I390,9)</f>
        <v>17.64</v>
      </c>
      <c r="CY162">
        <f>AD162</f>
        <v>0</v>
      </c>
      <c r="CZ162">
        <f>AH162</f>
        <v>0</v>
      </c>
      <c r="DA162">
        <f>AL162</f>
        <v>1</v>
      </c>
      <c r="DB162">
        <f>ROUND((ROUND(AT162*CZ162,2)*1.2),6)</f>
        <v>0</v>
      </c>
      <c r="DC162">
        <f>ROUND((ROUND(AT162*AG162,2)*1.2),6)</f>
        <v>0</v>
      </c>
      <c r="DD162" t="s">
        <v>3</v>
      </c>
      <c r="DE162" t="s">
        <v>3</v>
      </c>
      <c r="DF162">
        <f t="shared" si="78"/>
        <v>0</v>
      </c>
      <c r="DG162">
        <f t="shared" si="66"/>
        <v>0</v>
      </c>
      <c r="DH162">
        <f t="shared" si="58"/>
        <v>0</v>
      </c>
      <c r="DI162">
        <f t="shared" si="79"/>
        <v>0</v>
      </c>
      <c r="DJ162">
        <f>DI162</f>
        <v>0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">
      <c r="A163">
        <f>ROW(Source!A393)</f>
        <v>393</v>
      </c>
      <c r="B163">
        <v>55915256</v>
      </c>
      <c r="C163">
        <v>55916052</v>
      </c>
      <c r="D163">
        <v>55424304</v>
      </c>
      <c r="E163">
        <v>1081</v>
      </c>
      <c r="F163">
        <v>1</v>
      </c>
      <c r="G163">
        <v>1081</v>
      </c>
      <c r="H163">
        <v>1</v>
      </c>
      <c r="I163" t="s">
        <v>363</v>
      </c>
      <c r="J163" t="s">
        <v>3</v>
      </c>
      <c r="K163" t="s">
        <v>364</v>
      </c>
      <c r="L163">
        <v>1191</v>
      </c>
      <c r="N163">
        <v>1013</v>
      </c>
      <c r="O163" t="s">
        <v>365</v>
      </c>
      <c r="P163" t="s">
        <v>365</v>
      </c>
      <c r="Q163">
        <v>1</v>
      </c>
      <c r="W163">
        <v>0</v>
      </c>
      <c r="X163">
        <v>476480486</v>
      </c>
      <c r="Y163">
        <f>(AT163*1.2)</f>
        <v>1.512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1.26</v>
      </c>
      <c r="AU163" t="s">
        <v>78</v>
      </c>
      <c r="AV163">
        <v>1</v>
      </c>
      <c r="AW163">
        <v>2</v>
      </c>
      <c r="AX163">
        <v>55916053</v>
      </c>
      <c r="AY163">
        <v>1</v>
      </c>
      <c r="AZ163">
        <v>0</v>
      </c>
      <c r="BA163">
        <v>191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U163">
        <f>ROUND(AT163*Source!I393*AH163*AL163,2)</f>
        <v>0</v>
      </c>
      <c r="CV163">
        <f>ROUND(Y163*Source!I393,9)</f>
        <v>48.928319999999999</v>
      </c>
      <c r="CW163">
        <v>0</v>
      </c>
      <c r="CX163">
        <f>ROUND(Y163*Source!I393,9)</f>
        <v>48.928319999999999</v>
      </c>
      <c r="CY163">
        <f>AD163</f>
        <v>0</v>
      </c>
      <c r="CZ163">
        <f>AH163</f>
        <v>0</v>
      </c>
      <c r="DA163">
        <f>AL163</f>
        <v>1</v>
      </c>
      <c r="DB163">
        <f>ROUND((ROUND(AT163*CZ163,2)*1.2),6)</f>
        <v>0</v>
      </c>
      <c r="DC163">
        <f>ROUND((ROUND(AT163*AG163,2)*1.2),6)</f>
        <v>0</v>
      </c>
      <c r="DD163" t="s">
        <v>3</v>
      </c>
      <c r="DE163" t="s">
        <v>3</v>
      </c>
      <c r="DF163">
        <f t="shared" si="78"/>
        <v>0</v>
      </c>
      <c r="DG163">
        <f t="shared" si="66"/>
        <v>0</v>
      </c>
      <c r="DH163">
        <f t="shared" si="58"/>
        <v>0</v>
      </c>
      <c r="DI163">
        <f t="shared" si="79"/>
        <v>0</v>
      </c>
      <c r="DJ163">
        <f>DI163</f>
        <v>0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">
      <c r="A164">
        <f>ROW(Source!A394)</f>
        <v>394</v>
      </c>
      <c r="B164">
        <v>55915258</v>
      </c>
      <c r="C164">
        <v>55916052</v>
      </c>
      <c r="D164">
        <v>55424304</v>
      </c>
      <c r="E164">
        <v>1081</v>
      </c>
      <c r="F164">
        <v>1</v>
      </c>
      <c r="G164">
        <v>1081</v>
      </c>
      <c r="H164">
        <v>1</v>
      </c>
      <c r="I164" t="s">
        <v>363</v>
      </c>
      <c r="J164" t="s">
        <v>3</v>
      </c>
      <c r="K164" t="s">
        <v>364</v>
      </c>
      <c r="L164">
        <v>1191</v>
      </c>
      <c r="N164">
        <v>1013</v>
      </c>
      <c r="O164" t="s">
        <v>365</v>
      </c>
      <c r="P164" t="s">
        <v>365</v>
      </c>
      <c r="Q164">
        <v>1</v>
      </c>
      <c r="W164">
        <v>0</v>
      </c>
      <c r="X164">
        <v>476480486</v>
      </c>
      <c r="Y164">
        <f>(AT164*1.2)</f>
        <v>1.512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5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1.26</v>
      </c>
      <c r="AU164" t="s">
        <v>78</v>
      </c>
      <c r="AV164">
        <v>1</v>
      </c>
      <c r="AW164">
        <v>2</v>
      </c>
      <c r="AX164">
        <v>55916053</v>
      </c>
      <c r="AY164">
        <v>1</v>
      </c>
      <c r="AZ164">
        <v>0</v>
      </c>
      <c r="BA164">
        <v>193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U164">
        <f>ROUND(AT164*Source!I394*AH164*AL164,2)</f>
        <v>0</v>
      </c>
      <c r="CV164">
        <f>ROUND(Y164*Source!I394,9)</f>
        <v>48.928319999999999</v>
      </c>
      <c r="CW164">
        <v>0</v>
      </c>
      <c r="CX164">
        <f>ROUND(Y164*Source!I394,9)</f>
        <v>48.928319999999999</v>
      </c>
      <c r="CY164">
        <f>AD164</f>
        <v>0</v>
      </c>
      <c r="CZ164">
        <f>AH164</f>
        <v>0</v>
      </c>
      <c r="DA164">
        <f>AL164</f>
        <v>1</v>
      </c>
      <c r="DB164">
        <f>ROUND((ROUND(AT164*CZ164,2)*1.2),6)</f>
        <v>0</v>
      </c>
      <c r="DC164">
        <f>ROUND((ROUND(AT164*AG164,2)*1.2),6)</f>
        <v>0</v>
      </c>
      <c r="DD164" t="s">
        <v>3</v>
      </c>
      <c r="DE164" t="s">
        <v>3</v>
      </c>
      <c r="DF164">
        <f t="shared" si="78"/>
        <v>0</v>
      </c>
      <c r="DG164">
        <f t="shared" si="66"/>
        <v>0</v>
      </c>
      <c r="DH164">
        <f t="shared" si="58"/>
        <v>0</v>
      </c>
      <c r="DI164">
        <f t="shared" si="79"/>
        <v>0</v>
      </c>
      <c r="DJ164">
        <f>DI164</f>
        <v>0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ROW(Source!A434)</f>
        <v>434</v>
      </c>
      <c r="B165">
        <v>55915256</v>
      </c>
      <c r="C165">
        <v>55916122</v>
      </c>
      <c r="D165">
        <v>55424304</v>
      </c>
      <c r="E165">
        <v>1081</v>
      </c>
      <c r="F165">
        <v>1</v>
      </c>
      <c r="G165">
        <v>1081</v>
      </c>
      <c r="H165">
        <v>1</v>
      </c>
      <c r="I165" t="s">
        <v>363</v>
      </c>
      <c r="J165" t="s">
        <v>3</v>
      </c>
      <c r="K165" t="s">
        <v>364</v>
      </c>
      <c r="L165">
        <v>1191</v>
      </c>
      <c r="N165">
        <v>1013</v>
      </c>
      <c r="O165" t="s">
        <v>365</v>
      </c>
      <c r="P165" t="s">
        <v>365</v>
      </c>
      <c r="Q165">
        <v>1</v>
      </c>
      <c r="W165">
        <v>0</v>
      </c>
      <c r="X165">
        <v>476480486</v>
      </c>
      <c r="Y165">
        <f>(AT165*1.2)</f>
        <v>2.472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2.06</v>
      </c>
      <c r="AU165" t="s">
        <v>78</v>
      </c>
      <c r="AV165">
        <v>1</v>
      </c>
      <c r="AW165">
        <v>2</v>
      </c>
      <c r="AX165">
        <v>55916123</v>
      </c>
      <c r="AY165">
        <v>1</v>
      </c>
      <c r="AZ165">
        <v>0</v>
      </c>
      <c r="BA165">
        <v>195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U165">
        <f>ROUND(AT165*Source!I434*AH165*AL165,2)</f>
        <v>0</v>
      </c>
      <c r="CV165">
        <f>ROUND(Y165*Source!I434,9)</f>
        <v>37.08</v>
      </c>
      <c r="CW165">
        <v>0</v>
      </c>
      <c r="CX165">
        <f>ROUND(Y165*Source!I434,9)</f>
        <v>37.08</v>
      </c>
      <c r="CY165">
        <f>AD165</f>
        <v>0</v>
      </c>
      <c r="CZ165">
        <f>AH165</f>
        <v>0</v>
      </c>
      <c r="DA165">
        <f>AL165</f>
        <v>1</v>
      </c>
      <c r="DB165">
        <f>ROUND((ROUND(AT165*CZ165,2)*1.2),6)</f>
        <v>0</v>
      </c>
      <c r="DC165">
        <f>ROUND((ROUND(AT165*AG165,2)*1.2),6)</f>
        <v>0</v>
      </c>
      <c r="DD165" t="s">
        <v>3</v>
      </c>
      <c r="DE165" t="s">
        <v>3</v>
      </c>
      <c r="DF165">
        <f t="shared" si="78"/>
        <v>0</v>
      </c>
      <c r="DG165">
        <f t="shared" si="66"/>
        <v>0</v>
      </c>
      <c r="DH165">
        <f t="shared" si="58"/>
        <v>0</v>
      </c>
      <c r="DI165">
        <f t="shared" si="79"/>
        <v>0</v>
      </c>
      <c r="DJ165">
        <f>DI165</f>
        <v>0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ROW(Source!A434)</f>
        <v>434</v>
      </c>
      <c r="B166">
        <v>55915256</v>
      </c>
      <c r="C166">
        <v>55916122</v>
      </c>
      <c r="D166">
        <v>55461079</v>
      </c>
      <c r="E166">
        <v>1</v>
      </c>
      <c r="F166">
        <v>1</v>
      </c>
      <c r="G166">
        <v>1081</v>
      </c>
      <c r="H166">
        <v>3</v>
      </c>
      <c r="I166" t="s">
        <v>381</v>
      </c>
      <c r="J166" t="s">
        <v>382</v>
      </c>
      <c r="K166" t="s">
        <v>383</v>
      </c>
      <c r="L166">
        <v>1346</v>
      </c>
      <c r="N166">
        <v>1009</v>
      </c>
      <c r="O166" t="s">
        <v>339</v>
      </c>
      <c r="P166" t="s">
        <v>339</v>
      </c>
      <c r="Q166">
        <v>1</v>
      </c>
      <c r="W166">
        <v>0</v>
      </c>
      <c r="X166">
        <v>177299582</v>
      </c>
      <c r="Y166">
        <f>(AT166*1)</f>
        <v>0.4</v>
      </c>
      <c r="AA166">
        <v>45.62</v>
      </c>
      <c r="AB166">
        <v>0</v>
      </c>
      <c r="AC166">
        <v>0</v>
      </c>
      <c r="AD166">
        <v>0</v>
      </c>
      <c r="AE166">
        <v>45.62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-2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0.4</v>
      </c>
      <c r="AU166" t="s">
        <v>77</v>
      </c>
      <c r="AV166">
        <v>0</v>
      </c>
      <c r="AW166">
        <v>2</v>
      </c>
      <c r="AX166">
        <v>55916124</v>
      </c>
      <c r="AY166">
        <v>1</v>
      </c>
      <c r="AZ166">
        <v>0</v>
      </c>
      <c r="BA166">
        <v>196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ROUND(Y166*Source!I434,9)</f>
        <v>6</v>
      </c>
      <c r="CY166">
        <f>AA166</f>
        <v>45.62</v>
      </c>
      <c r="CZ166">
        <f>AE166</f>
        <v>45.62</v>
      </c>
      <c r="DA166">
        <f>AI166</f>
        <v>1</v>
      </c>
      <c r="DB166">
        <f>ROUND((ROUND(AT166*CZ166,2)*1),6)</f>
        <v>18.25</v>
      </c>
      <c r="DC166">
        <f>ROUND((ROUND(AT166*AG166,2)*1),6)</f>
        <v>0</v>
      </c>
      <c r="DD166" t="s">
        <v>3</v>
      </c>
      <c r="DE166" t="s">
        <v>3</v>
      </c>
      <c r="DF166">
        <f t="shared" si="78"/>
        <v>273.72000000000003</v>
      </c>
      <c r="DG166">
        <f t="shared" si="66"/>
        <v>0</v>
      </c>
      <c r="DH166">
        <f t="shared" si="58"/>
        <v>0</v>
      </c>
      <c r="DI166">
        <f t="shared" si="79"/>
        <v>0</v>
      </c>
      <c r="DJ166">
        <f>DF166</f>
        <v>273.72000000000003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ROW(Source!A434)</f>
        <v>434</v>
      </c>
      <c r="B167">
        <v>55915256</v>
      </c>
      <c r="C167">
        <v>55916122</v>
      </c>
      <c r="D167">
        <v>55466111</v>
      </c>
      <c r="E167">
        <v>1</v>
      </c>
      <c r="F167">
        <v>1</v>
      </c>
      <c r="G167">
        <v>1081</v>
      </c>
      <c r="H167">
        <v>3</v>
      </c>
      <c r="I167" t="s">
        <v>337</v>
      </c>
      <c r="J167" t="s">
        <v>340</v>
      </c>
      <c r="K167" t="s">
        <v>338</v>
      </c>
      <c r="L167">
        <v>1346</v>
      </c>
      <c r="N167">
        <v>1009</v>
      </c>
      <c r="O167" t="s">
        <v>339</v>
      </c>
      <c r="P167" t="s">
        <v>339</v>
      </c>
      <c r="Q167">
        <v>1</v>
      </c>
      <c r="W167">
        <v>0</v>
      </c>
      <c r="X167">
        <v>-2097101800</v>
      </c>
      <c r="Y167">
        <f>(AT167*1)</f>
        <v>0.11</v>
      </c>
      <c r="AA167">
        <v>31.08</v>
      </c>
      <c r="AB167">
        <v>0</v>
      </c>
      <c r="AC167">
        <v>0</v>
      </c>
      <c r="AD167">
        <v>0</v>
      </c>
      <c r="AE167">
        <v>31.08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 t="s">
        <v>3</v>
      </c>
      <c r="AT167">
        <v>0.11</v>
      </c>
      <c r="AU167" t="s">
        <v>77</v>
      </c>
      <c r="AV167">
        <v>0</v>
      </c>
      <c r="AW167">
        <v>1</v>
      </c>
      <c r="AX167">
        <v>-1</v>
      </c>
      <c r="AY167">
        <v>0</v>
      </c>
      <c r="AZ167">
        <v>0</v>
      </c>
      <c r="BA167" t="s">
        <v>3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ROUND(Y167*Source!I434,9)</f>
        <v>1.65</v>
      </c>
      <c r="CY167">
        <f>AA167</f>
        <v>31.08</v>
      </c>
      <c r="CZ167">
        <f>AE167</f>
        <v>31.08</v>
      </c>
      <c r="DA167">
        <f>AI167</f>
        <v>1</v>
      </c>
      <c r="DB167">
        <f>ROUND((ROUND(AT167*CZ167,2)*1),6)</f>
        <v>3.42</v>
      </c>
      <c r="DC167">
        <f>ROUND((ROUND(AT167*AG167,2)*1),6)</f>
        <v>0</v>
      </c>
      <c r="DD167" t="s">
        <v>3</v>
      </c>
      <c r="DE167" t="s">
        <v>3</v>
      </c>
      <c r="DF167">
        <f t="shared" si="78"/>
        <v>51.28</v>
      </c>
      <c r="DG167">
        <f t="shared" si="66"/>
        <v>0</v>
      </c>
      <c r="DH167">
        <f t="shared" si="58"/>
        <v>0</v>
      </c>
      <c r="DI167">
        <f t="shared" si="79"/>
        <v>0</v>
      </c>
      <c r="DJ167">
        <f>DF167</f>
        <v>51.28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ROW(Source!A434)</f>
        <v>434</v>
      </c>
      <c r="B168">
        <v>55915256</v>
      </c>
      <c r="C168">
        <v>55916122</v>
      </c>
      <c r="D168">
        <v>55467056</v>
      </c>
      <c r="E168">
        <v>1</v>
      </c>
      <c r="F168">
        <v>1</v>
      </c>
      <c r="G168">
        <v>1081</v>
      </c>
      <c r="H168">
        <v>3</v>
      </c>
      <c r="I168" t="s">
        <v>384</v>
      </c>
      <c r="J168" t="s">
        <v>385</v>
      </c>
      <c r="K168" t="s">
        <v>386</v>
      </c>
      <c r="L168">
        <v>1348</v>
      </c>
      <c r="N168">
        <v>1009</v>
      </c>
      <c r="O168" t="s">
        <v>324</v>
      </c>
      <c r="P168" t="s">
        <v>324</v>
      </c>
      <c r="Q168">
        <v>1000</v>
      </c>
      <c r="W168">
        <v>0</v>
      </c>
      <c r="X168">
        <v>-831077638</v>
      </c>
      <c r="Y168">
        <f>(AT168*1)</f>
        <v>2E-3</v>
      </c>
      <c r="AA168">
        <v>5102.09</v>
      </c>
      <c r="AB168">
        <v>0</v>
      </c>
      <c r="AC168">
        <v>0</v>
      </c>
      <c r="AD168">
        <v>0</v>
      </c>
      <c r="AE168">
        <v>5102.09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-2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2E-3</v>
      </c>
      <c r="AU168" t="s">
        <v>77</v>
      </c>
      <c r="AV168">
        <v>0</v>
      </c>
      <c r="AW168">
        <v>2</v>
      </c>
      <c r="AX168">
        <v>55916125</v>
      </c>
      <c r="AY168">
        <v>1</v>
      </c>
      <c r="AZ168">
        <v>0</v>
      </c>
      <c r="BA168">
        <v>197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ROUND(Y168*Source!I434,9)</f>
        <v>0.03</v>
      </c>
      <c r="CY168">
        <f>AA168</f>
        <v>5102.09</v>
      </c>
      <c r="CZ168">
        <f>AE168</f>
        <v>5102.09</v>
      </c>
      <c r="DA168">
        <f>AI168</f>
        <v>1</v>
      </c>
      <c r="DB168">
        <f>ROUND((ROUND(AT168*CZ168,2)*1),6)</f>
        <v>10.199999999999999</v>
      </c>
      <c r="DC168">
        <f>ROUND((ROUND(AT168*AG168,2)*1),6)</f>
        <v>0</v>
      </c>
      <c r="DD168" t="s">
        <v>3</v>
      </c>
      <c r="DE168" t="s">
        <v>3</v>
      </c>
      <c r="DF168">
        <f t="shared" si="78"/>
        <v>153.06</v>
      </c>
      <c r="DG168">
        <f t="shared" si="66"/>
        <v>0</v>
      </c>
      <c r="DH168">
        <f t="shared" si="58"/>
        <v>0</v>
      </c>
      <c r="DI168">
        <f t="shared" si="79"/>
        <v>0</v>
      </c>
      <c r="DJ168">
        <f>DF168</f>
        <v>153.06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ROW(Source!A435)</f>
        <v>435</v>
      </c>
      <c r="B169">
        <v>55915258</v>
      </c>
      <c r="C169">
        <v>55916122</v>
      </c>
      <c r="D169">
        <v>55424304</v>
      </c>
      <c r="E169">
        <v>1081</v>
      </c>
      <c r="F169">
        <v>1</v>
      </c>
      <c r="G169">
        <v>1081</v>
      </c>
      <c r="H169">
        <v>1</v>
      </c>
      <c r="I169" t="s">
        <v>363</v>
      </c>
      <c r="J169" t="s">
        <v>3</v>
      </c>
      <c r="K169" t="s">
        <v>364</v>
      </c>
      <c r="L169">
        <v>1191</v>
      </c>
      <c r="N169">
        <v>1013</v>
      </c>
      <c r="O169" t="s">
        <v>365</v>
      </c>
      <c r="P169" t="s">
        <v>365</v>
      </c>
      <c r="Q169">
        <v>1</v>
      </c>
      <c r="W169">
        <v>0</v>
      </c>
      <c r="X169">
        <v>476480486</v>
      </c>
      <c r="Y169">
        <f>(AT169*1.2)</f>
        <v>2.472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5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2.06</v>
      </c>
      <c r="AU169" t="s">
        <v>78</v>
      </c>
      <c r="AV169">
        <v>1</v>
      </c>
      <c r="AW169">
        <v>2</v>
      </c>
      <c r="AX169">
        <v>55916123</v>
      </c>
      <c r="AY169">
        <v>1</v>
      </c>
      <c r="AZ169">
        <v>0</v>
      </c>
      <c r="BA169">
        <v>200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U169">
        <f>ROUND(AT169*Source!I435*AH169*AL169,2)</f>
        <v>0</v>
      </c>
      <c r="CV169">
        <f>ROUND(Y169*Source!I435,9)</f>
        <v>37.08</v>
      </c>
      <c r="CW169">
        <v>0</v>
      </c>
      <c r="CX169">
        <f>ROUND(Y169*Source!I435,9)</f>
        <v>37.08</v>
      </c>
      <c r="CY169">
        <f>AD169</f>
        <v>0</v>
      </c>
      <c r="CZ169">
        <f>AH169</f>
        <v>0</v>
      </c>
      <c r="DA169">
        <f>AL169</f>
        <v>1</v>
      </c>
      <c r="DB169">
        <f>ROUND((ROUND(AT169*CZ169,2)*1.2),6)</f>
        <v>0</v>
      </c>
      <c r="DC169">
        <f>ROUND((ROUND(AT169*AG169,2)*1.2),6)</f>
        <v>0</v>
      </c>
      <c r="DD169" t="s">
        <v>3</v>
      </c>
      <c r="DE169" t="s">
        <v>3</v>
      </c>
      <c r="DF169">
        <f t="shared" si="78"/>
        <v>0</v>
      </c>
      <c r="DG169">
        <f t="shared" si="66"/>
        <v>0</v>
      </c>
      <c r="DH169">
        <f t="shared" si="58"/>
        <v>0</v>
      </c>
      <c r="DI169">
        <f t="shared" si="79"/>
        <v>0</v>
      </c>
      <c r="DJ169">
        <f>DI169</f>
        <v>0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ROW(Source!A435)</f>
        <v>435</v>
      </c>
      <c r="B170">
        <v>55915258</v>
      </c>
      <c r="C170">
        <v>55916122</v>
      </c>
      <c r="D170">
        <v>55461079</v>
      </c>
      <c r="E170">
        <v>1</v>
      </c>
      <c r="F170">
        <v>1</v>
      </c>
      <c r="G170">
        <v>1081</v>
      </c>
      <c r="H170">
        <v>3</v>
      </c>
      <c r="I170" t="s">
        <v>381</v>
      </c>
      <c r="J170" t="s">
        <v>382</v>
      </c>
      <c r="K170" t="s">
        <v>383</v>
      </c>
      <c r="L170">
        <v>1346</v>
      </c>
      <c r="N170">
        <v>1009</v>
      </c>
      <c r="O170" t="s">
        <v>339</v>
      </c>
      <c r="P170" t="s">
        <v>339</v>
      </c>
      <c r="Q170">
        <v>1</v>
      </c>
      <c r="W170">
        <v>0</v>
      </c>
      <c r="X170">
        <v>177299582</v>
      </c>
      <c r="Y170">
        <f>(AT170*1)</f>
        <v>0.4</v>
      </c>
      <c r="AA170">
        <v>239.05</v>
      </c>
      <c r="AB170">
        <v>0</v>
      </c>
      <c r="AC170">
        <v>0</v>
      </c>
      <c r="AD170">
        <v>0</v>
      </c>
      <c r="AE170">
        <v>45.62</v>
      </c>
      <c r="AF170">
        <v>0</v>
      </c>
      <c r="AG170">
        <v>0</v>
      </c>
      <c r="AH170">
        <v>0</v>
      </c>
      <c r="AI170">
        <v>5.24</v>
      </c>
      <c r="AJ170">
        <v>1</v>
      </c>
      <c r="AK170">
        <v>1</v>
      </c>
      <c r="AL170">
        <v>1</v>
      </c>
      <c r="AM170">
        <v>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0.4</v>
      </c>
      <c r="AU170" t="s">
        <v>77</v>
      </c>
      <c r="AV170">
        <v>0</v>
      </c>
      <c r="AW170">
        <v>2</v>
      </c>
      <c r="AX170">
        <v>55916124</v>
      </c>
      <c r="AY170">
        <v>1</v>
      </c>
      <c r="AZ170">
        <v>0</v>
      </c>
      <c r="BA170">
        <v>201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ROUND(Y170*Source!I435,9)</f>
        <v>6</v>
      </c>
      <c r="CY170">
        <f>AA170</f>
        <v>239.05</v>
      </c>
      <c r="CZ170">
        <f>AE170</f>
        <v>45.62</v>
      </c>
      <c r="DA170">
        <f>AI170</f>
        <v>5.24</v>
      </c>
      <c r="DB170">
        <f>ROUND((ROUND(AT170*CZ170,2)*1),6)</f>
        <v>18.25</v>
      </c>
      <c r="DC170">
        <f>ROUND((ROUND(AT170*AG170,2)*1),6)</f>
        <v>0</v>
      </c>
      <c r="DD170" t="s">
        <v>3</v>
      </c>
      <c r="DE170" t="s">
        <v>3</v>
      </c>
      <c r="DF170">
        <f>ROUND(ROUND(AE170*AI170,2)*CX170,2)</f>
        <v>1434.3</v>
      </c>
      <c r="DG170">
        <f t="shared" si="66"/>
        <v>0</v>
      </c>
      <c r="DH170">
        <f t="shared" si="58"/>
        <v>0</v>
      </c>
      <c r="DI170">
        <f t="shared" si="79"/>
        <v>0</v>
      </c>
      <c r="DJ170">
        <f>DF170</f>
        <v>1434.3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">
      <c r="A171">
        <f>ROW(Source!A435)</f>
        <v>435</v>
      </c>
      <c r="B171">
        <v>55915258</v>
      </c>
      <c r="C171">
        <v>55916122</v>
      </c>
      <c r="D171">
        <v>55466111</v>
      </c>
      <c r="E171">
        <v>1</v>
      </c>
      <c r="F171">
        <v>1</v>
      </c>
      <c r="G171">
        <v>1081</v>
      </c>
      <c r="H171">
        <v>3</v>
      </c>
      <c r="I171" t="s">
        <v>337</v>
      </c>
      <c r="J171" t="s">
        <v>340</v>
      </c>
      <c r="K171" t="s">
        <v>338</v>
      </c>
      <c r="L171">
        <v>1346</v>
      </c>
      <c r="N171">
        <v>1009</v>
      </c>
      <c r="O171" t="s">
        <v>339</v>
      </c>
      <c r="P171" t="s">
        <v>339</v>
      </c>
      <c r="Q171">
        <v>1</v>
      </c>
      <c r="W171">
        <v>0</v>
      </c>
      <c r="X171">
        <v>-2097101800</v>
      </c>
      <c r="Y171">
        <f>(AT171*1)</f>
        <v>0.11</v>
      </c>
      <c r="AA171">
        <v>111.58</v>
      </c>
      <c r="AB171">
        <v>0</v>
      </c>
      <c r="AC171">
        <v>0</v>
      </c>
      <c r="AD171">
        <v>0</v>
      </c>
      <c r="AE171">
        <v>31.08</v>
      </c>
      <c r="AF171">
        <v>0</v>
      </c>
      <c r="AG171">
        <v>0</v>
      </c>
      <c r="AH171">
        <v>0</v>
      </c>
      <c r="AI171">
        <v>3.59</v>
      </c>
      <c r="AJ171">
        <v>1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 t="s">
        <v>3</v>
      </c>
      <c r="AT171">
        <v>0.11</v>
      </c>
      <c r="AU171" t="s">
        <v>77</v>
      </c>
      <c r="AV171">
        <v>0</v>
      </c>
      <c r="AW171">
        <v>1</v>
      </c>
      <c r="AX171">
        <v>-1</v>
      </c>
      <c r="AY171">
        <v>0</v>
      </c>
      <c r="AZ171">
        <v>0</v>
      </c>
      <c r="BA171" t="s">
        <v>3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ROUND(Y171*Source!I435,9)</f>
        <v>1.65</v>
      </c>
      <c r="CY171">
        <f>AA171</f>
        <v>111.58</v>
      </c>
      <c r="CZ171">
        <f>AE171</f>
        <v>31.08</v>
      </c>
      <c r="DA171">
        <f>AI171</f>
        <v>3.59</v>
      </c>
      <c r="DB171">
        <f>ROUND((ROUND(AT171*CZ171,2)*1),6)</f>
        <v>3.42</v>
      </c>
      <c r="DC171">
        <f>ROUND((ROUND(AT171*AG171,2)*1),6)</f>
        <v>0</v>
      </c>
      <c r="DD171" t="s">
        <v>3</v>
      </c>
      <c r="DE171" t="s">
        <v>3</v>
      </c>
      <c r="DF171">
        <f>ROUND(ROUND(AE171*AI171,2)*CX171,2)</f>
        <v>184.11</v>
      </c>
      <c r="DG171">
        <f t="shared" si="66"/>
        <v>0</v>
      </c>
      <c r="DH171">
        <f t="shared" si="58"/>
        <v>0</v>
      </c>
      <c r="DI171">
        <f t="shared" si="79"/>
        <v>0</v>
      </c>
      <c r="DJ171">
        <f>DF171</f>
        <v>184.11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ROW(Source!A435)</f>
        <v>435</v>
      </c>
      <c r="B172">
        <v>55915258</v>
      </c>
      <c r="C172">
        <v>55916122</v>
      </c>
      <c r="D172">
        <v>55467056</v>
      </c>
      <c r="E172">
        <v>1</v>
      </c>
      <c r="F172">
        <v>1</v>
      </c>
      <c r="G172">
        <v>1081</v>
      </c>
      <c r="H172">
        <v>3</v>
      </c>
      <c r="I172" t="s">
        <v>384</v>
      </c>
      <c r="J172" t="s">
        <v>385</v>
      </c>
      <c r="K172" t="s">
        <v>386</v>
      </c>
      <c r="L172">
        <v>1348</v>
      </c>
      <c r="N172">
        <v>1009</v>
      </c>
      <c r="O172" t="s">
        <v>324</v>
      </c>
      <c r="P172" t="s">
        <v>324</v>
      </c>
      <c r="Q172">
        <v>1000</v>
      </c>
      <c r="W172">
        <v>0</v>
      </c>
      <c r="X172">
        <v>-831077638</v>
      </c>
      <c r="Y172">
        <f>(AT172*1)</f>
        <v>2E-3</v>
      </c>
      <c r="AA172">
        <v>41531.01</v>
      </c>
      <c r="AB172">
        <v>0</v>
      </c>
      <c r="AC172">
        <v>0</v>
      </c>
      <c r="AD172">
        <v>0</v>
      </c>
      <c r="AE172">
        <v>5102.09</v>
      </c>
      <c r="AF172">
        <v>0</v>
      </c>
      <c r="AG172">
        <v>0</v>
      </c>
      <c r="AH172">
        <v>0</v>
      </c>
      <c r="AI172">
        <v>8.14</v>
      </c>
      <c r="AJ172">
        <v>1</v>
      </c>
      <c r="AK172">
        <v>1</v>
      </c>
      <c r="AL172">
        <v>1</v>
      </c>
      <c r="AM172">
        <v>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2E-3</v>
      </c>
      <c r="AU172" t="s">
        <v>77</v>
      </c>
      <c r="AV172">
        <v>0</v>
      </c>
      <c r="AW172">
        <v>2</v>
      </c>
      <c r="AX172">
        <v>55916125</v>
      </c>
      <c r="AY172">
        <v>1</v>
      </c>
      <c r="AZ172">
        <v>0</v>
      </c>
      <c r="BA172">
        <v>202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ROUND(Y172*Source!I435,9)</f>
        <v>0.03</v>
      </c>
      <c r="CY172">
        <f>AA172</f>
        <v>41531.01</v>
      </c>
      <c r="CZ172">
        <f>AE172</f>
        <v>5102.09</v>
      </c>
      <c r="DA172">
        <f>AI172</f>
        <v>8.14</v>
      </c>
      <c r="DB172">
        <f>ROUND((ROUND(AT172*CZ172,2)*1),6)</f>
        <v>10.199999999999999</v>
      </c>
      <c r="DC172">
        <f>ROUND((ROUND(AT172*AG172,2)*1),6)</f>
        <v>0</v>
      </c>
      <c r="DD172" t="s">
        <v>3</v>
      </c>
      <c r="DE172" t="s">
        <v>3</v>
      </c>
      <c r="DF172">
        <f>ROUND(ROUND(AE172*AI172,2)*CX172,2)</f>
        <v>1245.93</v>
      </c>
      <c r="DG172">
        <f t="shared" si="66"/>
        <v>0</v>
      </c>
      <c r="DH172">
        <f t="shared" si="58"/>
        <v>0</v>
      </c>
      <c r="DI172">
        <f t="shared" si="79"/>
        <v>0</v>
      </c>
      <c r="DJ172">
        <f>DF172</f>
        <v>1245.93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20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55983114</v>
      </c>
      <c r="C1">
        <v>55983112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363</v>
      </c>
      <c r="J1" t="s">
        <v>3</v>
      </c>
      <c r="K1" t="s">
        <v>364</v>
      </c>
      <c r="L1">
        <v>1191</v>
      </c>
      <c r="N1">
        <v>1013</v>
      </c>
      <c r="O1" t="s">
        <v>365</v>
      </c>
      <c r="P1" t="s">
        <v>365</v>
      </c>
      <c r="Q1">
        <v>1</v>
      </c>
      <c r="X1">
        <v>5.7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25</v>
      </c>
      <c r="AG1">
        <v>2.052</v>
      </c>
      <c r="AH1">
        <v>2</v>
      </c>
      <c r="AI1">
        <v>55983113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ROW(Source!A29)</f>
        <v>29</v>
      </c>
      <c r="B2">
        <v>55983114</v>
      </c>
      <c r="C2">
        <v>55983112</v>
      </c>
      <c r="D2">
        <v>55424304</v>
      </c>
      <c r="E2">
        <v>1081</v>
      </c>
      <c r="F2">
        <v>1</v>
      </c>
      <c r="G2">
        <v>1081</v>
      </c>
      <c r="H2">
        <v>1</v>
      </c>
      <c r="I2" t="s">
        <v>363</v>
      </c>
      <c r="J2" t="s">
        <v>3</v>
      </c>
      <c r="K2" t="s">
        <v>364</v>
      </c>
      <c r="L2">
        <v>1191</v>
      </c>
      <c r="N2">
        <v>1013</v>
      </c>
      <c r="O2" t="s">
        <v>365</v>
      </c>
      <c r="P2" t="s">
        <v>365</v>
      </c>
      <c r="Q2">
        <v>1</v>
      </c>
      <c r="X2">
        <v>5.7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 t="s">
        <v>25</v>
      </c>
      <c r="AG2">
        <v>2.052</v>
      </c>
      <c r="AH2">
        <v>2</v>
      </c>
      <c r="AI2">
        <v>55983113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ROW(Source!A30)</f>
        <v>30</v>
      </c>
      <c r="B3">
        <v>55983120</v>
      </c>
      <c r="C3">
        <v>55983115</v>
      </c>
      <c r="D3">
        <v>55424304</v>
      </c>
      <c r="E3">
        <v>1081</v>
      </c>
      <c r="F3">
        <v>1</v>
      </c>
      <c r="G3">
        <v>1081</v>
      </c>
      <c r="H3">
        <v>1</v>
      </c>
      <c r="I3" t="s">
        <v>363</v>
      </c>
      <c r="J3" t="s">
        <v>3</v>
      </c>
      <c r="K3" t="s">
        <v>364</v>
      </c>
      <c r="L3">
        <v>1191</v>
      </c>
      <c r="N3">
        <v>1013</v>
      </c>
      <c r="O3" t="s">
        <v>365</v>
      </c>
      <c r="P3" t="s">
        <v>365</v>
      </c>
      <c r="Q3">
        <v>1</v>
      </c>
      <c r="X3">
        <v>2.65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25</v>
      </c>
      <c r="AG3">
        <v>0.95399999999999985</v>
      </c>
      <c r="AH3">
        <v>2</v>
      </c>
      <c r="AI3">
        <v>55983116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ROW(Source!A30)</f>
        <v>30</v>
      </c>
      <c r="B4">
        <v>55983121</v>
      </c>
      <c r="C4">
        <v>55983115</v>
      </c>
      <c r="D4">
        <v>55461074</v>
      </c>
      <c r="E4">
        <v>1</v>
      </c>
      <c r="F4">
        <v>1</v>
      </c>
      <c r="G4">
        <v>1081</v>
      </c>
      <c r="H4">
        <v>3</v>
      </c>
      <c r="I4" t="s">
        <v>366</v>
      </c>
      <c r="J4" t="s">
        <v>367</v>
      </c>
      <c r="K4" t="s">
        <v>368</v>
      </c>
      <c r="L4">
        <v>1346</v>
      </c>
      <c r="N4">
        <v>1009</v>
      </c>
      <c r="O4" t="s">
        <v>339</v>
      </c>
      <c r="P4" t="s">
        <v>339</v>
      </c>
      <c r="Q4">
        <v>1</v>
      </c>
      <c r="X4">
        <v>6.2700000000000004E-3</v>
      </c>
      <c r="Y4">
        <v>27.62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24</v>
      </c>
      <c r="AG4">
        <v>0</v>
      </c>
      <c r="AH4">
        <v>2</v>
      </c>
      <c r="AI4">
        <v>55983117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ROW(Source!A30)</f>
        <v>30</v>
      </c>
      <c r="B5">
        <v>55983122</v>
      </c>
      <c r="C5">
        <v>55983115</v>
      </c>
      <c r="D5">
        <v>55459793</v>
      </c>
      <c r="E5">
        <v>1</v>
      </c>
      <c r="F5">
        <v>1</v>
      </c>
      <c r="G5">
        <v>1081</v>
      </c>
      <c r="H5">
        <v>3</v>
      </c>
      <c r="I5" t="s">
        <v>369</v>
      </c>
      <c r="J5" t="s">
        <v>370</v>
      </c>
      <c r="K5" t="s">
        <v>371</v>
      </c>
      <c r="L5">
        <v>1348</v>
      </c>
      <c r="N5">
        <v>1009</v>
      </c>
      <c r="O5" t="s">
        <v>324</v>
      </c>
      <c r="P5" t="s">
        <v>324</v>
      </c>
      <c r="Q5">
        <v>1000</v>
      </c>
      <c r="X5">
        <v>1.0000000000000001E-5</v>
      </c>
      <c r="Y5">
        <v>64123.05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24</v>
      </c>
      <c r="AG5">
        <v>0</v>
      </c>
      <c r="AH5">
        <v>2</v>
      </c>
      <c r="AI5">
        <v>55983118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ROW(Source!A30)</f>
        <v>30</v>
      </c>
      <c r="B6">
        <v>55983123</v>
      </c>
      <c r="C6">
        <v>55983115</v>
      </c>
      <c r="D6">
        <v>55469253</v>
      </c>
      <c r="E6">
        <v>1</v>
      </c>
      <c r="F6">
        <v>1</v>
      </c>
      <c r="G6">
        <v>1081</v>
      </c>
      <c r="H6">
        <v>3</v>
      </c>
      <c r="I6" t="s">
        <v>372</v>
      </c>
      <c r="J6" t="s">
        <v>373</v>
      </c>
      <c r="K6" t="s">
        <v>374</v>
      </c>
      <c r="L6">
        <v>1354</v>
      </c>
      <c r="N6">
        <v>1010</v>
      </c>
      <c r="O6" t="s">
        <v>191</v>
      </c>
      <c r="P6" t="s">
        <v>191</v>
      </c>
      <c r="Q6">
        <v>1</v>
      </c>
      <c r="X6">
        <v>0.1</v>
      </c>
      <c r="Y6">
        <v>15.25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24</v>
      </c>
      <c r="AG6">
        <v>0</v>
      </c>
      <c r="AH6">
        <v>2</v>
      </c>
      <c r="AI6">
        <v>55983119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ROW(Source!A30)</f>
        <v>30</v>
      </c>
      <c r="B7">
        <v>55983124</v>
      </c>
      <c r="C7">
        <v>55983115</v>
      </c>
      <c r="D7">
        <v>55441122</v>
      </c>
      <c r="E7">
        <v>1081</v>
      </c>
      <c r="F7">
        <v>1</v>
      </c>
      <c r="G7">
        <v>1081</v>
      </c>
      <c r="H7">
        <v>3</v>
      </c>
      <c r="I7" t="s">
        <v>449</v>
      </c>
      <c r="J7" t="s">
        <v>3</v>
      </c>
      <c r="K7" t="s">
        <v>450</v>
      </c>
      <c r="L7">
        <v>1354</v>
      </c>
      <c r="N7">
        <v>1010</v>
      </c>
      <c r="O7" t="s">
        <v>191</v>
      </c>
      <c r="P7" t="s">
        <v>191</v>
      </c>
      <c r="Q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24</v>
      </c>
      <c r="AG7">
        <v>0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ROW(Source!A31)</f>
        <v>31</v>
      </c>
      <c r="B8">
        <v>55983120</v>
      </c>
      <c r="C8">
        <v>55983115</v>
      </c>
      <c r="D8">
        <v>55424304</v>
      </c>
      <c r="E8">
        <v>1081</v>
      </c>
      <c r="F8">
        <v>1</v>
      </c>
      <c r="G8">
        <v>1081</v>
      </c>
      <c r="H8">
        <v>1</v>
      </c>
      <c r="I8" t="s">
        <v>363</v>
      </c>
      <c r="J8" t="s">
        <v>3</v>
      </c>
      <c r="K8" t="s">
        <v>364</v>
      </c>
      <c r="L8">
        <v>1191</v>
      </c>
      <c r="N8">
        <v>1013</v>
      </c>
      <c r="O8" t="s">
        <v>365</v>
      </c>
      <c r="P8" t="s">
        <v>365</v>
      </c>
      <c r="Q8">
        <v>1</v>
      </c>
      <c r="X8">
        <v>2.65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 t="s">
        <v>25</v>
      </c>
      <c r="AG8">
        <v>0.95399999999999985</v>
      </c>
      <c r="AH8">
        <v>2</v>
      </c>
      <c r="AI8">
        <v>55983116</v>
      </c>
      <c r="AJ8">
        <v>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ROW(Source!A31)</f>
        <v>31</v>
      </c>
      <c r="B9">
        <v>55983121</v>
      </c>
      <c r="C9">
        <v>55983115</v>
      </c>
      <c r="D9">
        <v>55461074</v>
      </c>
      <c r="E9">
        <v>1</v>
      </c>
      <c r="F9">
        <v>1</v>
      </c>
      <c r="G9">
        <v>1081</v>
      </c>
      <c r="H9">
        <v>3</v>
      </c>
      <c r="I9" t="s">
        <v>366</v>
      </c>
      <c r="J9" t="s">
        <v>367</v>
      </c>
      <c r="K9" t="s">
        <v>368</v>
      </c>
      <c r="L9">
        <v>1346</v>
      </c>
      <c r="N9">
        <v>1009</v>
      </c>
      <c r="O9" t="s">
        <v>339</v>
      </c>
      <c r="P9" t="s">
        <v>339</v>
      </c>
      <c r="Q9">
        <v>1</v>
      </c>
      <c r="X9">
        <v>6.2700000000000004E-3</v>
      </c>
      <c r="Y9">
        <v>27.62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24</v>
      </c>
      <c r="AG9">
        <v>0</v>
      </c>
      <c r="AH9">
        <v>2</v>
      </c>
      <c r="AI9">
        <v>55983117</v>
      </c>
      <c r="AJ9">
        <v>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ROW(Source!A31)</f>
        <v>31</v>
      </c>
      <c r="B10">
        <v>55983122</v>
      </c>
      <c r="C10">
        <v>55983115</v>
      </c>
      <c r="D10">
        <v>55459793</v>
      </c>
      <c r="E10">
        <v>1</v>
      </c>
      <c r="F10">
        <v>1</v>
      </c>
      <c r="G10">
        <v>1081</v>
      </c>
      <c r="H10">
        <v>3</v>
      </c>
      <c r="I10" t="s">
        <v>369</v>
      </c>
      <c r="J10" t="s">
        <v>370</v>
      </c>
      <c r="K10" t="s">
        <v>371</v>
      </c>
      <c r="L10">
        <v>1348</v>
      </c>
      <c r="N10">
        <v>1009</v>
      </c>
      <c r="O10" t="s">
        <v>324</v>
      </c>
      <c r="P10" t="s">
        <v>324</v>
      </c>
      <c r="Q10">
        <v>1000</v>
      </c>
      <c r="X10">
        <v>1.0000000000000001E-5</v>
      </c>
      <c r="Y10">
        <v>64123.05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24</v>
      </c>
      <c r="AG10">
        <v>0</v>
      </c>
      <c r="AH10">
        <v>2</v>
      </c>
      <c r="AI10">
        <v>55983118</v>
      </c>
      <c r="AJ10">
        <v>9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ROW(Source!A31)</f>
        <v>31</v>
      </c>
      <c r="B11">
        <v>55983123</v>
      </c>
      <c r="C11">
        <v>55983115</v>
      </c>
      <c r="D11">
        <v>55469253</v>
      </c>
      <c r="E11">
        <v>1</v>
      </c>
      <c r="F11">
        <v>1</v>
      </c>
      <c r="G11">
        <v>1081</v>
      </c>
      <c r="H11">
        <v>3</v>
      </c>
      <c r="I11" t="s">
        <v>372</v>
      </c>
      <c r="J11" t="s">
        <v>373</v>
      </c>
      <c r="K11" t="s">
        <v>374</v>
      </c>
      <c r="L11">
        <v>1354</v>
      </c>
      <c r="N11">
        <v>1010</v>
      </c>
      <c r="O11" t="s">
        <v>191</v>
      </c>
      <c r="P11" t="s">
        <v>191</v>
      </c>
      <c r="Q11">
        <v>1</v>
      </c>
      <c r="X11">
        <v>0.1</v>
      </c>
      <c r="Y11">
        <v>15.25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24</v>
      </c>
      <c r="AG11">
        <v>0</v>
      </c>
      <c r="AH11">
        <v>2</v>
      </c>
      <c r="AI11">
        <v>55983119</v>
      </c>
      <c r="AJ11">
        <v>10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ROW(Source!A31)</f>
        <v>31</v>
      </c>
      <c r="B12">
        <v>55983124</v>
      </c>
      <c r="C12">
        <v>55983115</v>
      </c>
      <c r="D12">
        <v>55441122</v>
      </c>
      <c r="E12">
        <v>1081</v>
      </c>
      <c r="F12">
        <v>1</v>
      </c>
      <c r="G12">
        <v>1081</v>
      </c>
      <c r="H12">
        <v>3</v>
      </c>
      <c r="I12" t="s">
        <v>449</v>
      </c>
      <c r="J12" t="s">
        <v>3</v>
      </c>
      <c r="K12" t="s">
        <v>450</v>
      </c>
      <c r="L12">
        <v>1354</v>
      </c>
      <c r="N12">
        <v>1010</v>
      </c>
      <c r="O12" t="s">
        <v>191</v>
      </c>
      <c r="P12" t="s">
        <v>191</v>
      </c>
      <c r="Q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24</v>
      </c>
      <c r="AG12">
        <v>0</v>
      </c>
      <c r="AH12">
        <v>3</v>
      </c>
      <c r="AI12">
        <v>-1</v>
      </c>
      <c r="AJ12" t="s">
        <v>3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ROW(Source!A32)</f>
        <v>32</v>
      </c>
      <c r="B13">
        <v>55983127</v>
      </c>
      <c r="C13">
        <v>55983125</v>
      </c>
      <c r="D13">
        <v>55424304</v>
      </c>
      <c r="E13">
        <v>1081</v>
      </c>
      <c r="F13">
        <v>1</v>
      </c>
      <c r="G13">
        <v>1081</v>
      </c>
      <c r="H13">
        <v>1</v>
      </c>
      <c r="I13" t="s">
        <v>363</v>
      </c>
      <c r="J13" t="s">
        <v>3</v>
      </c>
      <c r="K13" t="s">
        <v>364</v>
      </c>
      <c r="L13">
        <v>1191</v>
      </c>
      <c r="N13">
        <v>1013</v>
      </c>
      <c r="O13" t="s">
        <v>365</v>
      </c>
      <c r="P13" t="s">
        <v>365</v>
      </c>
      <c r="Q13">
        <v>1</v>
      </c>
      <c r="X13">
        <v>2.4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 t="s">
        <v>25</v>
      </c>
      <c r="AG13">
        <v>0.86399999999999999</v>
      </c>
      <c r="AH13">
        <v>2</v>
      </c>
      <c r="AI13">
        <v>55983126</v>
      </c>
      <c r="AJ13">
        <v>11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ROW(Source!A33)</f>
        <v>33</v>
      </c>
      <c r="B14">
        <v>55983127</v>
      </c>
      <c r="C14">
        <v>55983125</v>
      </c>
      <c r="D14">
        <v>55424304</v>
      </c>
      <c r="E14">
        <v>1081</v>
      </c>
      <c r="F14">
        <v>1</v>
      </c>
      <c r="G14">
        <v>1081</v>
      </c>
      <c r="H14">
        <v>1</v>
      </c>
      <c r="I14" t="s">
        <v>363</v>
      </c>
      <c r="J14" t="s">
        <v>3</v>
      </c>
      <c r="K14" t="s">
        <v>364</v>
      </c>
      <c r="L14">
        <v>1191</v>
      </c>
      <c r="N14">
        <v>1013</v>
      </c>
      <c r="O14" t="s">
        <v>365</v>
      </c>
      <c r="P14" t="s">
        <v>365</v>
      </c>
      <c r="Q14">
        <v>1</v>
      </c>
      <c r="X14">
        <v>2.4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 t="s">
        <v>25</v>
      </c>
      <c r="AG14">
        <v>0.86399999999999999</v>
      </c>
      <c r="AH14">
        <v>2</v>
      </c>
      <c r="AI14">
        <v>55983126</v>
      </c>
      <c r="AJ14">
        <v>12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ROW(Source!A34)</f>
        <v>34</v>
      </c>
      <c r="B15">
        <v>55983130</v>
      </c>
      <c r="C15">
        <v>55983128</v>
      </c>
      <c r="D15">
        <v>55424304</v>
      </c>
      <c r="E15">
        <v>1081</v>
      </c>
      <c r="F15">
        <v>1</v>
      </c>
      <c r="G15">
        <v>1081</v>
      </c>
      <c r="H15">
        <v>1</v>
      </c>
      <c r="I15" t="s">
        <v>363</v>
      </c>
      <c r="J15" t="s">
        <v>3</v>
      </c>
      <c r="K15" t="s">
        <v>364</v>
      </c>
      <c r="L15">
        <v>1191</v>
      </c>
      <c r="N15">
        <v>1013</v>
      </c>
      <c r="O15" t="s">
        <v>365</v>
      </c>
      <c r="P15" t="s">
        <v>365</v>
      </c>
      <c r="Q15">
        <v>1</v>
      </c>
      <c r="X15">
        <v>1.2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 t="s">
        <v>25</v>
      </c>
      <c r="AG15">
        <v>0.432</v>
      </c>
      <c r="AH15">
        <v>2</v>
      </c>
      <c r="AI15">
        <v>55983129</v>
      </c>
      <c r="AJ15">
        <v>13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ROW(Source!A35)</f>
        <v>35</v>
      </c>
      <c r="B16">
        <v>55983130</v>
      </c>
      <c r="C16">
        <v>55983128</v>
      </c>
      <c r="D16">
        <v>55424304</v>
      </c>
      <c r="E16">
        <v>1081</v>
      </c>
      <c r="F16">
        <v>1</v>
      </c>
      <c r="G16">
        <v>1081</v>
      </c>
      <c r="H16">
        <v>1</v>
      </c>
      <c r="I16" t="s">
        <v>363</v>
      </c>
      <c r="J16" t="s">
        <v>3</v>
      </c>
      <c r="K16" t="s">
        <v>364</v>
      </c>
      <c r="L16">
        <v>1191</v>
      </c>
      <c r="N16">
        <v>1013</v>
      </c>
      <c r="O16" t="s">
        <v>365</v>
      </c>
      <c r="P16" t="s">
        <v>365</v>
      </c>
      <c r="Q16">
        <v>1</v>
      </c>
      <c r="X16">
        <v>1.2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 t="s">
        <v>25</v>
      </c>
      <c r="AG16">
        <v>0.432</v>
      </c>
      <c r="AH16">
        <v>2</v>
      </c>
      <c r="AI16">
        <v>55983129</v>
      </c>
      <c r="AJ16">
        <v>14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ROW(Source!A36)</f>
        <v>36</v>
      </c>
      <c r="B17">
        <v>55983133</v>
      </c>
      <c r="C17">
        <v>55983131</v>
      </c>
      <c r="D17">
        <v>55424304</v>
      </c>
      <c r="E17">
        <v>1081</v>
      </c>
      <c r="F17">
        <v>1</v>
      </c>
      <c r="G17">
        <v>1081</v>
      </c>
      <c r="H17">
        <v>1</v>
      </c>
      <c r="I17" t="s">
        <v>363</v>
      </c>
      <c r="J17" t="s">
        <v>3</v>
      </c>
      <c r="K17" t="s">
        <v>364</v>
      </c>
      <c r="L17">
        <v>1191</v>
      </c>
      <c r="N17">
        <v>1013</v>
      </c>
      <c r="O17" t="s">
        <v>365</v>
      </c>
      <c r="P17" t="s">
        <v>365</v>
      </c>
      <c r="Q17">
        <v>1</v>
      </c>
      <c r="X17">
        <v>5.7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 t="s">
        <v>25</v>
      </c>
      <c r="AG17">
        <v>2.052</v>
      </c>
      <c r="AH17">
        <v>2</v>
      </c>
      <c r="AI17">
        <v>55983132</v>
      </c>
      <c r="AJ17">
        <v>15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ROW(Source!A37)</f>
        <v>37</v>
      </c>
      <c r="B18">
        <v>55983133</v>
      </c>
      <c r="C18">
        <v>55983131</v>
      </c>
      <c r="D18">
        <v>55424304</v>
      </c>
      <c r="E18">
        <v>1081</v>
      </c>
      <c r="F18">
        <v>1</v>
      </c>
      <c r="G18">
        <v>1081</v>
      </c>
      <c r="H18">
        <v>1</v>
      </c>
      <c r="I18" t="s">
        <v>363</v>
      </c>
      <c r="J18" t="s">
        <v>3</v>
      </c>
      <c r="K18" t="s">
        <v>364</v>
      </c>
      <c r="L18">
        <v>1191</v>
      </c>
      <c r="N18">
        <v>1013</v>
      </c>
      <c r="O18" t="s">
        <v>365</v>
      </c>
      <c r="P18" t="s">
        <v>365</v>
      </c>
      <c r="Q18">
        <v>1</v>
      </c>
      <c r="X18">
        <v>5.7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 t="s">
        <v>25</v>
      </c>
      <c r="AG18">
        <v>2.052</v>
      </c>
      <c r="AH18">
        <v>2</v>
      </c>
      <c r="AI18">
        <v>55983132</v>
      </c>
      <c r="AJ18">
        <v>16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ROW(Source!A38)</f>
        <v>38</v>
      </c>
      <c r="B19">
        <v>55983136</v>
      </c>
      <c r="C19">
        <v>55983134</v>
      </c>
      <c r="D19">
        <v>55424304</v>
      </c>
      <c r="E19">
        <v>1081</v>
      </c>
      <c r="F19">
        <v>1</v>
      </c>
      <c r="G19">
        <v>1081</v>
      </c>
      <c r="H19">
        <v>1</v>
      </c>
      <c r="I19" t="s">
        <v>363</v>
      </c>
      <c r="J19" t="s">
        <v>3</v>
      </c>
      <c r="K19" t="s">
        <v>364</v>
      </c>
      <c r="L19">
        <v>1191</v>
      </c>
      <c r="N19">
        <v>1013</v>
      </c>
      <c r="O19" t="s">
        <v>365</v>
      </c>
      <c r="P19" t="s">
        <v>365</v>
      </c>
      <c r="Q19">
        <v>1</v>
      </c>
      <c r="X19">
        <v>1.8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 t="s">
        <v>25</v>
      </c>
      <c r="AG19">
        <v>0.64800000000000002</v>
      </c>
      <c r="AH19">
        <v>2</v>
      </c>
      <c r="AI19">
        <v>55983135</v>
      </c>
      <c r="AJ19">
        <v>17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ROW(Source!A39)</f>
        <v>39</v>
      </c>
      <c r="B20">
        <v>55983136</v>
      </c>
      <c r="C20">
        <v>55983134</v>
      </c>
      <c r="D20">
        <v>55424304</v>
      </c>
      <c r="E20">
        <v>1081</v>
      </c>
      <c r="F20">
        <v>1</v>
      </c>
      <c r="G20">
        <v>1081</v>
      </c>
      <c r="H20">
        <v>1</v>
      </c>
      <c r="I20" t="s">
        <v>363</v>
      </c>
      <c r="J20" t="s">
        <v>3</v>
      </c>
      <c r="K20" t="s">
        <v>364</v>
      </c>
      <c r="L20">
        <v>1191</v>
      </c>
      <c r="N20">
        <v>1013</v>
      </c>
      <c r="O20" t="s">
        <v>365</v>
      </c>
      <c r="P20" t="s">
        <v>365</v>
      </c>
      <c r="Q20">
        <v>1</v>
      </c>
      <c r="X20">
        <v>1.8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</v>
      </c>
      <c r="AF20" t="s">
        <v>25</v>
      </c>
      <c r="AG20">
        <v>0.64800000000000002</v>
      </c>
      <c r="AH20">
        <v>2</v>
      </c>
      <c r="AI20">
        <v>55983135</v>
      </c>
      <c r="AJ20">
        <v>18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ROW(Source!A40)</f>
        <v>40</v>
      </c>
      <c r="B21">
        <v>55983139</v>
      </c>
      <c r="C21">
        <v>55983137</v>
      </c>
      <c r="D21">
        <v>55424304</v>
      </c>
      <c r="E21">
        <v>1081</v>
      </c>
      <c r="F21">
        <v>1</v>
      </c>
      <c r="G21">
        <v>1081</v>
      </c>
      <c r="H21">
        <v>1</v>
      </c>
      <c r="I21" t="s">
        <v>363</v>
      </c>
      <c r="J21" t="s">
        <v>3</v>
      </c>
      <c r="K21" t="s">
        <v>364</v>
      </c>
      <c r="L21">
        <v>1191</v>
      </c>
      <c r="N21">
        <v>1013</v>
      </c>
      <c r="O21" t="s">
        <v>365</v>
      </c>
      <c r="P21" t="s">
        <v>365</v>
      </c>
      <c r="Q21">
        <v>1</v>
      </c>
      <c r="X21">
        <v>0.84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 t="s">
        <v>25</v>
      </c>
      <c r="AG21">
        <v>0.3024</v>
      </c>
      <c r="AH21">
        <v>2</v>
      </c>
      <c r="AI21">
        <v>55983138</v>
      </c>
      <c r="AJ21">
        <v>19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ROW(Source!A41)</f>
        <v>41</v>
      </c>
      <c r="B22">
        <v>55983139</v>
      </c>
      <c r="C22">
        <v>55983137</v>
      </c>
      <c r="D22">
        <v>55424304</v>
      </c>
      <c r="E22">
        <v>1081</v>
      </c>
      <c r="F22">
        <v>1</v>
      </c>
      <c r="G22">
        <v>1081</v>
      </c>
      <c r="H22">
        <v>1</v>
      </c>
      <c r="I22" t="s">
        <v>363</v>
      </c>
      <c r="J22" t="s">
        <v>3</v>
      </c>
      <c r="K22" t="s">
        <v>364</v>
      </c>
      <c r="L22">
        <v>1191</v>
      </c>
      <c r="N22">
        <v>1013</v>
      </c>
      <c r="O22" t="s">
        <v>365</v>
      </c>
      <c r="P22" t="s">
        <v>365</v>
      </c>
      <c r="Q22">
        <v>1</v>
      </c>
      <c r="X22">
        <v>0.84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 t="s">
        <v>25</v>
      </c>
      <c r="AG22">
        <v>0.3024</v>
      </c>
      <c r="AH22">
        <v>2</v>
      </c>
      <c r="AI22">
        <v>55983138</v>
      </c>
      <c r="AJ22">
        <v>20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ROW(Source!A42)</f>
        <v>42</v>
      </c>
      <c r="B23">
        <v>55983142</v>
      </c>
      <c r="C23">
        <v>55983140</v>
      </c>
      <c r="D23">
        <v>55424304</v>
      </c>
      <c r="E23">
        <v>1081</v>
      </c>
      <c r="F23">
        <v>1</v>
      </c>
      <c r="G23">
        <v>1081</v>
      </c>
      <c r="H23">
        <v>1</v>
      </c>
      <c r="I23" t="s">
        <v>363</v>
      </c>
      <c r="J23" t="s">
        <v>3</v>
      </c>
      <c r="K23" t="s">
        <v>364</v>
      </c>
      <c r="L23">
        <v>1191</v>
      </c>
      <c r="N23">
        <v>1013</v>
      </c>
      <c r="O23" t="s">
        <v>365</v>
      </c>
      <c r="P23" t="s">
        <v>365</v>
      </c>
      <c r="Q23">
        <v>1</v>
      </c>
      <c r="X23">
        <v>0.84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 t="s">
        <v>25</v>
      </c>
      <c r="AG23">
        <v>0.3024</v>
      </c>
      <c r="AH23">
        <v>2</v>
      </c>
      <c r="AI23">
        <v>55983141</v>
      </c>
      <c r="AJ23">
        <v>21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ROW(Source!A43)</f>
        <v>43</v>
      </c>
      <c r="B24">
        <v>55983142</v>
      </c>
      <c r="C24">
        <v>55983140</v>
      </c>
      <c r="D24">
        <v>55424304</v>
      </c>
      <c r="E24">
        <v>1081</v>
      </c>
      <c r="F24">
        <v>1</v>
      </c>
      <c r="G24">
        <v>1081</v>
      </c>
      <c r="H24">
        <v>1</v>
      </c>
      <c r="I24" t="s">
        <v>363</v>
      </c>
      <c r="J24" t="s">
        <v>3</v>
      </c>
      <c r="K24" t="s">
        <v>364</v>
      </c>
      <c r="L24">
        <v>1191</v>
      </c>
      <c r="N24">
        <v>1013</v>
      </c>
      <c r="O24" t="s">
        <v>365</v>
      </c>
      <c r="P24" t="s">
        <v>365</v>
      </c>
      <c r="Q24">
        <v>1</v>
      </c>
      <c r="X24">
        <v>0.84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 t="s">
        <v>25</v>
      </c>
      <c r="AG24">
        <v>0.3024</v>
      </c>
      <c r="AH24">
        <v>2</v>
      </c>
      <c r="AI24">
        <v>55983141</v>
      </c>
      <c r="AJ24">
        <v>22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ROW(Source!A44)</f>
        <v>44</v>
      </c>
      <c r="B25">
        <v>55983147</v>
      </c>
      <c r="C25">
        <v>55983143</v>
      </c>
      <c r="D25">
        <v>55424304</v>
      </c>
      <c r="E25">
        <v>1081</v>
      </c>
      <c r="F25">
        <v>1</v>
      </c>
      <c r="G25">
        <v>1081</v>
      </c>
      <c r="H25">
        <v>1</v>
      </c>
      <c r="I25" t="s">
        <v>363</v>
      </c>
      <c r="J25" t="s">
        <v>3</v>
      </c>
      <c r="K25" t="s">
        <v>364</v>
      </c>
      <c r="L25">
        <v>1191</v>
      </c>
      <c r="N25">
        <v>1013</v>
      </c>
      <c r="O25" t="s">
        <v>365</v>
      </c>
      <c r="P25" t="s">
        <v>365</v>
      </c>
      <c r="Q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 t="s">
        <v>25</v>
      </c>
      <c r="AG25">
        <v>0.36</v>
      </c>
      <c r="AH25">
        <v>2</v>
      </c>
      <c r="AI25">
        <v>55983144</v>
      </c>
      <c r="AJ25">
        <v>23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ROW(Source!A44)</f>
        <v>44</v>
      </c>
      <c r="B26">
        <v>55983148</v>
      </c>
      <c r="C26">
        <v>55983143</v>
      </c>
      <c r="D26">
        <v>55459793</v>
      </c>
      <c r="E26">
        <v>1</v>
      </c>
      <c r="F26">
        <v>1</v>
      </c>
      <c r="G26">
        <v>1081</v>
      </c>
      <c r="H26">
        <v>3</v>
      </c>
      <c r="I26" t="s">
        <v>369</v>
      </c>
      <c r="J26" t="s">
        <v>370</v>
      </c>
      <c r="K26" t="s">
        <v>371</v>
      </c>
      <c r="L26">
        <v>1348</v>
      </c>
      <c r="N26">
        <v>1009</v>
      </c>
      <c r="O26" t="s">
        <v>324</v>
      </c>
      <c r="P26" t="s">
        <v>324</v>
      </c>
      <c r="Q26">
        <v>1000</v>
      </c>
      <c r="X26">
        <v>1.0000000000000001E-5</v>
      </c>
      <c r="Y26">
        <v>64123.05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24</v>
      </c>
      <c r="AG26">
        <v>0</v>
      </c>
      <c r="AH26">
        <v>2</v>
      </c>
      <c r="AI26">
        <v>55983145</v>
      </c>
      <c r="AJ26">
        <v>24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ROW(Source!A44)</f>
        <v>44</v>
      </c>
      <c r="B27">
        <v>55983149</v>
      </c>
      <c r="C27">
        <v>55983143</v>
      </c>
      <c r="D27">
        <v>55487942</v>
      </c>
      <c r="E27">
        <v>1</v>
      </c>
      <c r="F27">
        <v>1</v>
      </c>
      <c r="G27">
        <v>1081</v>
      </c>
      <c r="H27">
        <v>3</v>
      </c>
      <c r="I27" t="s">
        <v>375</v>
      </c>
      <c r="J27" t="s">
        <v>376</v>
      </c>
      <c r="K27" t="s">
        <v>377</v>
      </c>
      <c r="L27">
        <v>1303</v>
      </c>
      <c r="N27">
        <v>1003</v>
      </c>
      <c r="O27" t="s">
        <v>378</v>
      </c>
      <c r="P27" t="s">
        <v>378</v>
      </c>
      <c r="Q27">
        <v>1000</v>
      </c>
      <c r="X27">
        <v>2E-3</v>
      </c>
      <c r="Y27">
        <v>516.63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24</v>
      </c>
      <c r="AG27">
        <v>0</v>
      </c>
      <c r="AH27">
        <v>2</v>
      </c>
      <c r="AI27">
        <v>55983146</v>
      </c>
      <c r="AJ27">
        <v>25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ROW(Source!A44)</f>
        <v>44</v>
      </c>
      <c r="B28">
        <v>55983150</v>
      </c>
      <c r="C28">
        <v>55983143</v>
      </c>
      <c r="D28">
        <v>55431425</v>
      </c>
      <c r="E28">
        <v>1081</v>
      </c>
      <c r="F28">
        <v>1</v>
      </c>
      <c r="G28">
        <v>1081</v>
      </c>
      <c r="H28">
        <v>3</v>
      </c>
      <c r="I28" t="s">
        <v>451</v>
      </c>
      <c r="J28" t="s">
        <v>3</v>
      </c>
      <c r="K28" t="s">
        <v>452</v>
      </c>
      <c r="L28">
        <v>1354</v>
      </c>
      <c r="N28">
        <v>1010</v>
      </c>
      <c r="O28" t="s">
        <v>191</v>
      </c>
      <c r="P28" t="s">
        <v>191</v>
      </c>
      <c r="Q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24</v>
      </c>
      <c r="AG28">
        <v>0</v>
      </c>
      <c r="AH28">
        <v>3</v>
      </c>
      <c r="AI28">
        <v>-1</v>
      </c>
      <c r="AJ28" t="s">
        <v>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ROW(Source!A45)</f>
        <v>45</v>
      </c>
      <c r="B29">
        <v>55983147</v>
      </c>
      <c r="C29">
        <v>55983143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363</v>
      </c>
      <c r="J29" t="s">
        <v>3</v>
      </c>
      <c r="K29" t="s">
        <v>364</v>
      </c>
      <c r="L29">
        <v>1191</v>
      </c>
      <c r="N29">
        <v>1013</v>
      </c>
      <c r="O29" t="s">
        <v>365</v>
      </c>
      <c r="P29" t="s">
        <v>365</v>
      </c>
      <c r="Q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 t="s">
        <v>25</v>
      </c>
      <c r="AG29">
        <v>0.36</v>
      </c>
      <c r="AH29">
        <v>2</v>
      </c>
      <c r="AI29">
        <v>55983144</v>
      </c>
      <c r="AJ29">
        <v>26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ROW(Source!A45)</f>
        <v>45</v>
      </c>
      <c r="B30">
        <v>55983148</v>
      </c>
      <c r="C30">
        <v>55983143</v>
      </c>
      <c r="D30">
        <v>55459793</v>
      </c>
      <c r="E30">
        <v>1</v>
      </c>
      <c r="F30">
        <v>1</v>
      </c>
      <c r="G30">
        <v>1081</v>
      </c>
      <c r="H30">
        <v>3</v>
      </c>
      <c r="I30" t="s">
        <v>369</v>
      </c>
      <c r="J30" t="s">
        <v>370</v>
      </c>
      <c r="K30" t="s">
        <v>371</v>
      </c>
      <c r="L30">
        <v>1348</v>
      </c>
      <c r="N30">
        <v>1009</v>
      </c>
      <c r="O30" t="s">
        <v>324</v>
      </c>
      <c r="P30" t="s">
        <v>324</v>
      </c>
      <c r="Q30">
        <v>1000</v>
      </c>
      <c r="X30">
        <v>1.0000000000000001E-5</v>
      </c>
      <c r="Y30">
        <v>64123.05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24</v>
      </c>
      <c r="AG30">
        <v>0</v>
      </c>
      <c r="AH30">
        <v>2</v>
      </c>
      <c r="AI30">
        <v>55983145</v>
      </c>
      <c r="AJ30">
        <v>27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ROW(Source!A45)</f>
        <v>45</v>
      </c>
      <c r="B31">
        <v>55983149</v>
      </c>
      <c r="C31">
        <v>55983143</v>
      </c>
      <c r="D31">
        <v>55487942</v>
      </c>
      <c r="E31">
        <v>1</v>
      </c>
      <c r="F31">
        <v>1</v>
      </c>
      <c r="G31">
        <v>1081</v>
      </c>
      <c r="H31">
        <v>3</v>
      </c>
      <c r="I31" t="s">
        <v>375</v>
      </c>
      <c r="J31" t="s">
        <v>376</v>
      </c>
      <c r="K31" t="s">
        <v>377</v>
      </c>
      <c r="L31">
        <v>1303</v>
      </c>
      <c r="N31">
        <v>1003</v>
      </c>
      <c r="O31" t="s">
        <v>378</v>
      </c>
      <c r="P31" t="s">
        <v>378</v>
      </c>
      <c r="Q31">
        <v>1000</v>
      </c>
      <c r="X31">
        <v>2E-3</v>
      </c>
      <c r="Y31">
        <v>516.63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24</v>
      </c>
      <c r="AG31">
        <v>0</v>
      </c>
      <c r="AH31">
        <v>2</v>
      </c>
      <c r="AI31">
        <v>55983146</v>
      </c>
      <c r="AJ31">
        <v>28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ROW(Source!A45)</f>
        <v>45</v>
      </c>
      <c r="B32">
        <v>55983150</v>
      </c>
      <c r="C32">
        <v>55983143</v>
      </c>
      <c r="D32">
        <v>55431425</v>
      </c>
      <c r="E32">
        <v>1081</v>
      </c>
      <c r="F32">
        <v>1</v>
      </c>
      <c r="G32">
        <v>1081</v>
      </c>
      <c r="H32">
        <v>3</v>
      </c>
      <c r="I32" t="s">
        <v>451</v>
      </c>
      <c r="J32" t="s">
        <v>3</v>
      </c>
      <c r="K32" t="s">
        <v>452</v>
      </c>
      <c r="L32">
        <v>1354</v>
      </c>
      <c r="N32">
        <v>1010</v>
      </c>
      <c r="O32" t="s">
        <v>191</v>
      </c>
      <c r="P32" t="s">
        <v>191</v>
      </c>
      <c r="Q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24</v>
      </c>
      <c r="AG32">
        <v>0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ROW(Source!A46)</f>
        <v>46</v>
      </c>
      <c r="B33">
        <v>55983153</v>
      </c>
      <c r="C33">
        <v>55983151</v>
      </c>
      <c r="D33">
        <v>55424304</v>
      </c>
      <c r="E33">
        <v>1081</v>
      </c>
      <c r="F33">
        <v>1</v>
      </c>
      <c r="G33">
        <v>1081</v>
      </c>
      <c r="H33">
        <v>1</v>
      </c>
      <c r="I33" t="s">
        <v>363</v>
      </c>
      <c r="J33" t="s">
        <v>3</v>
      </c>
      <c r="K33" t="s">
        <v>364</v>
      </c>
      <c r="L33">
        <v>1191</v>
      </c>
      <c r="N33">
        <v>1013</v>
      </c>
      <c r="O33" t="s">
        <v>365</v>
      </c>
      <c r="P33" t="s">
        <v>365</v>
      </c>
      <c r="Q33">
        <v>1</v>
      </c>
      <c r="X33">
        <v>0.35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25</v>
      </c>
      <c r="AG33">
        <v>0.126</v>
      </c>
      <c r="AH33">
        <v>2</v>
      </c>
      <c r="AI33">
        <v>55983152</v>
      </c>
      <c r="AJ33">
        <v>29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ROW(Source!A47)</f>
        <v>47</v>
      </c>
      <c r="B34">
        <v>55983153</v>
      </c>
      <c r="C34">
        <v>55983151</v>
      </c>
      <c r="D34">
        <v>55424304</v>
      </c>
      <c r="E34">
        <v>1081</v>
      </c>
      <c r="F34">
        <v>1</v>
      </c>
      <c r="G34">
        <v>1081</v>
      </c>
      <c r="H34">
        <v>1</v>
      </c>
      <c r="I34" t="s">
        <v>363</v>
      </c>
      <c r="J34" t="s">
        <v>3</v>
      </c>
      <c r="K34" t="s">
        <v>364</v>
      </c>
      <c r="L34">
        <v>1191</v>
      </c>
      <c r="N34">
        <v>1013</v>
      </c>
      <c r="O34" t="s">
        <v>365</v>
      </c>
      <c r="P34" t="s">
        <v>365</v>
      </c>
      <c r="Q34">
        <v>1</v>
      </c>
      <c r="X34">
        <v>0.35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 t="s">
        <v>25</v>
      </c>
      <c r="AG34">
        <v>0.126</v>
      </c>
      <c r="AH34">
        <v>2</v>
      </c>
      <c r="AI34">
        <v>55983152</v>
      </c>
      <c r="AJ34">
        <v>30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ROW(Source!A48)</f>
        <v>48</v>
      </c>
      <c r="B35">
        <v>55983159</v>
      </c>
      <c r="C35">
        <v>55983154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363</v>
      </c>
      <c r="J35" t="s">
        <v>3</v>
      </c>
      <c r="K35" t="s">
        <v>364</v>
      </c>
      <c r="L35">
        <v>1191</v>
      </c>
      <c r="N35">
        <v>1013</v>
      </c>
      <c r="O35" t="s">
        <v>365</v>
      </c>
      <c r="P35" t="s">
        <v>365</v>
      </c>
      <c r="Q35">
        <v>1</v>
      </c>
      <c r="X35">
        <v>3.18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 t="s">
        <v>25</v>
      </c>
      <c r="AG35">
        <v>1.1447999999999998</v>
      </c>
      <c r="AH35">
        <v>2</v>
      </c>
      <c r="AI35">
        <v>55983155</v>
      </c>
      <c r="AJ35">
        <v>31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ROW(Source!A48)</f>
        <v>48</v>
      </c>
      <c r="B36">
        <v>55983160</v>
      </c>
      <c r="C36">
        <v>55983154</v>
      </c>
      <c r="D36">
        <v>55461074</v>
      </c>
      <c r="E36">
        <v>1</v>
      </c>
      <c r="F36">
        <v>1</v>
      </c>
      <c r="G36">
        <v>1081</v>
      </c>
      <c r="H36">
        <v>3</v>
      </c>
      <c r="I36" t="s">
        <v>366</v>
      </c>
      <c r="J36" t="s">
        <v>367</v>
      </c>
      <c r="K36" t="s">
        <v>368</v>
      </c>
      <c r="L36">
        <v>1346</v>
      </c>
      <c r="N36">
        <v>1009</v>
      </c>
      <c r="O36" t="s">
        <v>339</v>
      </c>
      <c r="P36" t="s">
        <v>339</v>
      </c>
      <c r="Q36">
        <v>1</v>
      </c>
      <c r="X36">
        <v>6.2700000000000004E-3</v>
      </c>
      <c r="Y36">
        <v>27.62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24</v>
      </c>
      <c r="AG36">
        <v>0</v>
      </c>
      <c r="AH36">
        <v>2</v>
      </c>
      <c r="AI36">
        <v>55983156</v>
      </c>
      <c r="AJ36">
        <v>32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ROW(Source!A48)</f>
        <v>48</v>
      </c>
      <c r="B37">
        <v>55983161</v>
      </c>
      <c r="C37">
        <v>55983154</v>
      </c>
      <c r="D37">
        <v>55459793</v>
      </c>
      <c r="E37">
        <v>1</v>
      </c>
      <c r="F37">
        <v>1</v>
      </c>
      <c r="G37">
        <v>1081</v>
      </c>
      <c r="H37">
        <v>3</v>
      </c>
      <c r="I37" t="s">
        <v>369</v>
      </c>
      <c r="J37" t="s">
        <v>370</v>
      </c>
      <c r="K37" t="s">
        <v>371</v>
      </c>
      <c r="L37">
        <v>1348</v>
      </c>
      <c r="N37">
        <v>1009</v>
      </c>
      <c r="O37" t="s">
        <v>324</v>
      </c>
      <c r="P37" t="s">
        <v>324</v>
      </c>
      <c r="Q37">
        <v>1000</v>
      </c>
      <c r="X37">
        <v>1.0000000000000001E-5</v>
      </c>
      <c r="Y37">
        <v>64123.05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24</v>
      </c>
      <c r="AG37">
        <v>0</v>
      </c>
      <c r="AH37">
        <v>2</v>
      </c>
      <c r="AI37">
        <v>55983157</v>
      </c>
      <c r="AJ37">
        <v>33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ROW(Source!A48)</f>
        <v>48</v>
      </c>
      <c r="B38">
        <v>55983162</v>
      </c>
      <c r="C38">
        <v>55983154</v>
      </c>
      <c r="D38">
        <v>55469253</v>
      </c>
      <c r="E38">
        <v>1</v>
      </c>
      <c r="F38">
        <v>1</v>
      </c>
      <c r="G38">
        <v>1081</v>
      </c>
      <c r="H38">
        <v>3</v>
      </c>
      <c r="I38" t="s">
        <v>372</v>
      </c>
      <c r="J38" t="s">
        <v>373</v>
      </c>
      <c r="K38" t="s">
        <v>374</v>
      </c>
      <c r="L38">
        <v>1354</v>
      </c>
      <c r="N38">
        <v>1010</v>
      </c>
      <c r="O38" t="s">
        <v>191</v>
      </c>
      <c r="P38" t="s">
        <v>191</v>
      </c>
      <c r="Q38">
        <v>1</v>
      </c>
      <c r="X38">
        <v>0.1</v>
      </c>
      <c r="Y38">
        <v>15.25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24</v>
      </c>
      <c r="AG38">
        <v>0</v>
      </c>
      <c r="AH38">
        <v>2</v>
      </c>
      <c r="AI38">
        <v>55983158</v>
      </c>
      <c r="AJ38">
        <v>34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ROW(Source!A48)</f>
        <v>48</v>
      </c>
      <c r="B39">
        <v>55983163</v>
      </c>
      <c r="C39">
        <v>55983154</v>
      </c>
      <c r="D39">
        <v>55441135</v>
      </c>
      <c r="E39">
        <v>1081</v>
      </c>
      <c r="F39">
        <v>1</v>
      </c>
      <c r="G39">
        <v>1081</v>
      </c>
      <c r="H39">
        <v>3</v>
      </c>
      <c r="I39" t="s">
        <v>453</v>
      </c>
      <c r="J39" t="s">
        <v>3</v>
      </c>
      <c r="K39" t="s">
        <v>454</v>
      </c>
      <c r="L39">
        <v>1354</v>
      </c>
      <c r="N39">
        <v>1010</v>
      </c>
      <c r="O39" t="s">
        <v>191</v>
      </c>
      <c r="P39" t="s">
        <v>191</v>
      </c>
      <c r="Q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24</v>
      </c>
      <c r="AG39">
        <v>0</v>
      </c>
      <c r="AH39">
        <v>3</v>
      </c>
      <c r="AI39">
        <v>-1</v>
      </c>
      <c r="AJ39" t="s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ROW(Source!A49)</f>
        <v>49</v>
      </c>
      <c r="B40">
        <v>55983159</v>
      </c>
      <c r="C40">
        <v>55983154</v>
      </c>
      <c r="D40">
        <v>55424304</v>
      </c>
      <c r="E40">
        <v>1081</v>
      </c>
      <c r="F40">
        <v>1</v>
      </c>
      <c r="G40">
        <v>1081</v>
      </c>
      <c r="H40">
        <v>1</v>
      </c>
      <c r="I40" t="s">
        <v>363</v>
      </c>
      <c r="J40" t="s">
        <v>3</v>
      </c>
      <c r="K40" t="s">
        <v>364</v>
      </c>
      <c r="L40">
        <v>1191</v>
      </c>
      <c r="N40">
        <v>1013</v>
      </c>
      <c r="O40" t="s">
        <v>365</v>
      </c>
      <c r="P40" t="s">
        <v>365</v>
      </c>
      <c r="Q40">
        <v>1</v>
      </c>
      <c r="X40">
        <v>3.18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 t="s">
        <v>25</v>
      </c>
      <c r="AG40">
        <v>1.1447999999999998</v>
      </c>
      <c r="AH40">
        <v>2</v>
      </c>
      <c r="AI40">
        <v>55983155</v>
      </c>
      <c r="AJ40">
        <v>35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ROW(Source!A49)</f>
        <v>49</v>
      </c>
      <c r="B41">
        <v>55983160</v>
      </c>
      <c r="C41">
        <v>55983154</v>
      </c>
      <c r="D41">
        <v>55461074</v>
      </c>
      <c r="E41">
        <v>1</v>
      </c>
      <c r="F41">
        <v>1</v>
      </c>
      <c r="G41">
        <v>1081</v>
      </c>
      <c r="H41">
        <v>3</v>
      </c>
      <c r="I41" t="s">
        <v>366</v>
      </c>
      <c r="J41" t="s">
        <v>367</v>
      </c>
      <c r="K41" t="s">
        <v>368</v>
      </c>
      <c r="L41">
        <v>1346</v>
      </c>
      <c r="N41">
        <v>1009</v>
      </c>
      <c r="O41" t="s">
        <v>339</v>
      </c>
      <c r="P41" t="s">
        <v>339</v>
      </c>
      <c r="Q41">
        <v>1</v>
      </c>
      <c r="X41">
        <v>6.2700000000000004E-3</v>
      </c>
      <c r="Y41">
        <v>27.62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24</v>
      </c>
      <c r="AG41">
        <v>0</v>
      </c>
      <c r="AH41">
        <v>2</v>
      </c>
      <c r="AI41">
        <v>55983156</v>
      </c>
      <c r="AJ41">
        <v>36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ROW(Source!A49)</f>
        <v>49</v>
      </c>
      <c r="B42">
        <v>55983161</v>
      </c>
      <c r="C42">
        <v>55983154</v>
      </c>
      <c r="D42">
        <v>55459793</v>
      </c>
      <c r="E42">
        <v>1</v>
      </c>
      <c r="F42">
        <v>1</v>
      </c>
      <c r="G42">
        <v>1081</v>
      </c>
      <c r="H42">
        <v>3</v>
      </c>
      <c r="I42" t="s">
        <v>369</v>
      </c>
      <c r="J42" t="s">
        <v>370</v>
      </c>
      <c r="K42" t="s">
        <v>371</v>
      </c>
      <c r="L42">
        <v>1348</v>
      </c>
      <c r="N42">
        <v>1009</v>
      </c>
      <c r="O42" t="s">
        <v>324</v>
      </c>
      <c r="P42" t="s">
        <v>324</v>
      </c>
      <c r="Q42">
        <v>1000</v>
      </c>
      <c r="X42">
        <v>1.0000000000000001E-5</v>
      </c>
      <c r="Y42">
        <v>64123.05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24</v>
      </c>
      <c r="AG42">
        <v>0</v>
      </c>
      <c r="AH42">
        <v>2</v>
      </c>
      <c r="AI42">
        <v>55983157</v>
      </c>
      <c r="AJ42">
        <v>37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ROW(Source!A49)</f>
        <v>49</v>
      </c>
      <c r="B43">
        <v>55983162</v>
      </c>
      <c r="C43">
        <v>55983154</v>
      </c>
      <c r="D43">
        <v>55469253</v>
      </c>
      <c r="E43">
        <v>1</v>
      </c>
      <c r="F43">
        <v>1</v>
      </c>
      <c r="G43">
        <v>1081</v>
      </c>
      <c r="H43">
        <v>3</v>
      </c>
      <c r="I43" t="s">
        <v>372</v>
      </c>
      <c r="J43" t="s">
        <v>373</v>
      </c>
      <c r="K43" t="s">
        <v>374</v>
      </c>
      <c r="L43">
        <v>1354</v>
      </c>
      <c r="N43">
        <v>1010</v>
      </c>
      <c r="O43" t="s">
        <v>191</v>
      </c>
      <c r="P43" t="s">
        <v>191</v>
      </c>
      <c r="Q43">
        <v>1</v>
      </c>
      <c r="X43">
        <v>0.1</v>
      </c>
      <c r="Y43">
        <v>15.25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24</v>
      </c>
      <c r="AG43">
        <v>0</v>
      </c>
      <c r="AH43">
        <v>2</v>
      </c>
      <c r="AI43">
        <v>55983158</v>
      </c>
      <c r="AJ43">
        <v>38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ROW(Source!A49)</f>
        <v>49</v>
      </c>
      <c r="B44">
        <v>55983163</v>
      </c>
      <c r="C44">
        <v>55983154</v>
      </c>
      <c r="D44">
        <v>55441135</v>
      </c>
      <c r="E44">
        <v>1081</v>
      </c>
      <c r="F44">
        <v>1</v>
      </c>
      <c r="G44">
        <v>1081</v>
      </c>
      <c r="H44">
        <v>3</v>
      </c>
      <c r="I44" t="s">
        <v>453</v>
      </c>
      <c r="J44" t="s">
        <v>3</v>
      </c>
      <c r="K44" t="s">
        <v>454</v>
      </c>
      <c r="L44">
        <v>1354</v>
      </c>
      <c r="N44">
        <v>1010</v>
      </c>
      <c r="O44" t="s">
        <v>191</v>
      </c>
      <c r="P44" t="s">
        <v>191</v>
      </c>
      <c r="Q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24</v>
      </c>
      <c r="AG44">
        <v>0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ROW(Source!A50)</f>
        <v>50</v>
      </c>
      <c r="B45">
        <v>55983169</v>
      </c>
      <c r="C45">
        <v>55983164</v>
      </c>
      <c r="D45">
        <v>55424304</v>
      </c>
      <c r="E45">
        <v>1081</v>
      </c>
      <c r="F45">
        <v>1</v>
      </c>
      <c r="G45">
        <v>1081</v>
      </c>
      <c r="H45">
        <v>1</v>
      </c>
      <c r="I45" t="s">
        <v>363</v>
      </c>
      <c r="J45" t="s">
        <v>3</v>
      </c>
      <c r="K45" t="s">
        <v>364</v>
      </c>
      <c r="L45">
        <v>1191</v>
      </c>
      <c r="N45">
        <v>1013</v>
      </c>
      <c r="O45" t="s">
        <v>365</v>
      </c>
      <c r="P45" t="s">
        <v>365</v>
      </c>
      <c r="Q45">
        <v>1</v>
      </c>
      <c r="X45">
        <v>3.18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 t="s">
        <v>25</v>
      </c>
      <c r="AG45">
        <v>1.1447999999999998</v>
      </c>
      <c r="AH45">
        <v>2</v>
      </c>
      <c r="AI45">
        <v>55983165</v>
      </c>
      <c r="AJ45">
        <v>39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ROW(Source!A50)</f>
        <v>50</v>
      </c>
      <c r="B46">
        <v>55983170</v>
      </c>
      <c r="C46">
        <v>55983164</v>
      </c>
      <c r="D46">
        <v>55461074</v>
      </c>
      <c r="E46">
        <v>1</v>
      </c>
      <c r="F46">
        <v>1</v>
      </c>
      <c r="G46">
        <v>1081</v>
      </c>
      <c r="H46">
        <v>3</v>
      </c>
      <c r="I46" t="s">
        <v>366</v>
      </c>
      <c r="J46" t="s">
        <v>367</v>
      </c>
      <c r="K46" t="s">
        <v>368</v>
      </c>
      <c r="L46">
        <v>1346</v>
      </c>
      <c r="N46">
        <v>1009</v>
      </c>
      <c r="O46" t="s">
        <v>339</v>
      </c>
      <c r="P46" t="s">
        <v>339</v>
      </c>
      <c r="Q46">
        <v>1</v>
      </c>
      <c r="X46">
        <v>6.2700000000000004E-3</v>
      </c>
      <c r="Y46">
        <v>27.62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24</v>
      </c>
      <c r="AG46">
        <v>0</v>
      </c>
      <c r="AH46">
        <v>2</v>
      </c>
      <c r="AI46">
        <v>55983166</v>
      </c>
      <c r="AJ46">
        <v>40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ROW(Source!A50)</f>
        <v>50</v>
      </c>
      <c r="B47">
        <v>55983171</v>
      </c>
      <c r="C47">
        <v>55983164</v>
      </c>
      <c r="D47">
        <v>55459793</v>
      </c>
      <c r="E47">
        <v>1</v>
      </c>
      <c r="F47">
        <v>1</v>
      </c>
      <c r="G47">
        <v>1081</v>
      </c>
      <c r="H47">
        <v>3</v>
      </c>
      <c r="I47" t="s">
        <v>369</v>
      </c>
      <c r="J47" t="s">
        <v>370</v>
      </c>
      <c r="K47" t="s">
        <v>371</v>
      </c>
      <c r="L47">
        <v>1348</v>
      </c>
      <c r="N47">
        <v>1009</v>
      </c>
      <c r="O47" t="s">
        <v>324</v>
      </c>
      <c r="P47" t="s">
        <v>324</v>
      </c>
      <c r="Q47">
        <v>1000</v>
      </c>
      <c r="X47">
        <v>1.0000000000000001E-5</v>
      </c>
      <c r="Y47">
        <v>64123.05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24</v>
      </c>
      <c r="AG47">
        <v>0</v>
      </c>
      <c r="AH47">
        <v>2</v>
      </c>
      <c r="AI47">
        <v>55983167</v>
      </c>
      <c r="AJ47">
        <v>41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ROW(Source!A50)</f>
        <v>50</v>
      </c>
      <c r="B48">
        <v>55983172</v>
      </c>
      <c r="C48">
        <v>55983164</v>
      </c>
      <c r="D48">
        <v>55469253</v>
      </c>
      <c r="E48">
        <v>1</v>
      </c>
      <c r="F48">
        <v>1</v>
      </c>
      <c r="G48">
        <v>1081</v>
      </c>
      <c r="H48">
        <v>3</v>
      </c>
      <c r="I48" t="s">
        <v>372</v>
      </c>
      <c r="J48" t="s">
        <v>373</v>
      </c>
      <c r="K48" t="s">
        <v>374</v>
      </c>
      <c r="L48">
        <v>1354</v>
      </c>
      <c r="N48">
        <v>1010</v>
      </c>
      <c r="O48" t="s">
        <v>191</v>
      </c>
      <c r="P48" t="s">
        <v>191</v>
      </c>
      <c r="Q48">
        <v>1</v>
      </c>
      <c r="X48">
        <v>0.1</v>
      </c>
      <c r="Y48">
        <v>15.25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24</v>
      </c>
      <c r="AG48">
        <v>0</v>
      </c>
      <c r="AH48">
        <v>2</v>
      </c>
      <c r="AI48">
        <v>55983168</v>
      </c>
      <c r="AJ48">
        <v>42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ROW(Source!A50)</f>
        <v>50</v>
      </c>
      <c r="B49">
        <v>55983173</v>
      </c>
      <c r="C49">
        <v>55983164</v>
      </c>
      <c r="D49">
        <v>55441135</v>
      </c>
      <c r="E49">
        <v>1081</v>
      </c>
      <c r="F49">
        <v>1</v>
      </c>
      <c r="G49">
        <v>1081</v>
      </c>
      <c r="H49">
        <v>3</v>
      </c>
      <c r="I49" t="s">
        <v>453</v>
      </c>
      <c r="J49" t="s">
        <v>3</v>
      </c>
      <c r="K49" t="s">
        <v>454</v>
      </c>
      <c r="L49">
        <v>1354</v>
      </c>
      <c r="N49">
        <v>1010</v>
      </c>
      <c r="O49" t="s">
        <v>191</v>
      </c>
      <c r="P49" t="s">
        <v>191</v>
      </c>
      <c r="Q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24</v>
      </c>
      <c r="AG49">
        <v>0</v>
      </c>
      <c r="AH49">
        <v>3</v>
      </c>
      <c r="AI49">
        <v>-1</v>
      </c>
      <c r="AJ49" t="s">
        <v>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ROW(Source!A51)</f>
        <v>51</v>
      </c>
      <c r="B50">
        <v>55983169</v>
      </c>
      <c r="C50">
        <v>55983164</v>
      </c>
      <c r="D50">
        <v>55424304</v>
      </c>
      <c r="E50">
        <v>1081</v>
      </c>
      <c r="F50">
        <v>1</v>
      </c>
      <c r="G50">
        <v>1081</v>
      </c>
      <c r="H50">
        <v>1</v>
      </c>
      <c r="I50" t="s">
        <v>363</v>
      </c>
      <c r="J50" t="s">
        <v>3</v>
      </c>
      <c r="K50" t="s">
        <v>364</v>
      </c>
      <c r="L50">
        <v>1191</v>
      </c>
      <c r="N50">
        <v>1013</v>
      </c>
      <c r="O50" t="s">
        <v>365</v>
      </c>
      <c r="P50" t="s">
        <v>365</v>
      </c>
      <c r="Q50">
        <v>1</v>
      </c>
      <c r="X50">
        <v>3.18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 t="s">
        <v>25</v>
      </c>
      <c r="AG50">
        <v>1.1447999999999998</v>
      </c>
      <c r="AH50">
        <v>2</v>
      </c>
      <c r="AI50">
        <v>55983165</v>
      </c>
      <c r="AJ50">
        <v>43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ROW(Source!A51)</f>
        <v>51</v>
      </c>
      <c r="B51">
        <v>55983170</v>
      </c>
      <c r="C51">
        <v>55983164</v>
      </c>
      <c r="D51">
        <v>55461074</v>
      </c>
      <c r="E51">
        <v>1</v>
      </c>
      <c r="F51">
        <v>1</v>
      </c>
      <c r="G51">
        <v>1081</v>
      </c>
      <c r="H51">
        <v>3</v>
      </c>
      <c r="I51" t="s">
        <v>366</v>
      </c>
      <c r="J51" t="s">
        <v>367</v>
      </c>
      <c r="K51" t="s">
        <v>368</v>
      </c>
      <c r="L51">
        <v>1346</v>
      </c>
      <c r="N51">
        <v>1009</v>
      </c>
      <c r="O51" t="s">
        <v>339</v>
      </c>
      <c r="P51" t="s">
        <v>339</v>
      </c>
      <c r="Q51">
        <v>1</v>
      </c>
      <c r="X51">
        <v>6.2700000000000004E-3</v>
      </c>
      <c r="Y51">
        <v>27.62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24</v>
      </c>
      <c r="AG51">
        <v>0</v>
      </c>
      <c r="AH51">
        <v>2</v>
      </c>
      <c r="AI51">
        <v>55983166</v>
      </c>
      <c r="AJ51">
        <v>44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ROW(Source!A51)</f>
        <v>51</v>
      </c>
      <c r="B52">
        <v>55983171</v>
      </c>
      <c r="C52">
        <v>55983164</v>
      </c>
      <c r="D52">
        <v>55459793</v>
      </c>
      <c r="E52">
        <v>1</v>
      </c>
      <c r="F52">
        <v>1</v>
      </c>
      <c r="G52">
        <v>1081</v>
      </c>
      <c r="H52">
        <v>3</v>
      </c>
      <c r="I52" t="s">
        <v>369</v>
      </c>
      <c r="J52" t="s">
        <v>370</v>
      </c>
      <c r="K52" t="s">
        <v>371</v>
      </c>
      <c r="L52">
        <v>1348</v>
      </c>
      <c r="N52">
        <v>1009</v>
      </c>
      <c r="O52" t="s">
        <v>324</v>
      </c>
      <c r="P52" t="s">
        <v>324</v>
      </c>
      <c r="Q52">
        <v>1000</v>
      </c>
      <c r="X52">
        <v>1.0000000000000001E-5</v>
      </c>
      <c r="Y52">
        <v>64123.05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24</v>
      </c>
      <c r="AG52">
        <v>0</v>
      </c>
      <c r="AH52">
        <v>2</v>
      </c>
      <c r="AI52">
        <v>55983167</v>
      </c>
      <c r="AJ52">
        <v>45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ROW(Source!A51)</f>
        <v>51</v>
      </c>
      <c r="B53">
        <v>55983172</v>
      </c>
      <c r="C53">
        <v>55983164</v>
      </c>
      <c r="D53">
        <v>55469253</v>
      </c>
      <c r="E53">
        <v>1</v>
      </c>
      <c r="F53">
        <v>1</v>
      </c>
      <c r="G53">
        <v>1081</v>
      </c>
      <c r="H53">
        <v>3</v>
      </c>
      <c r="I53" t="s">
        <v>372</v>
      </c>
      <c r="J53" t="s">
        <v>373</v>
      </c>
      <c r="K53" t="s">
        <v>374</v>
      </c>
      <c r="L53">
        <v>1354</v>
      </c>
      <c r="N53">
        <v>1010</v>
      </c>
      <c r="O53" t="s">
        <v>191</v>
      </c>
      <c r="P53" t="s">
        <v>191</v>
      </c>
      <c r="Q53">
        <v>1</v>
      </c>
      <c r="X53">
        <v>0.1</v>
      </c>
      <c r="Y53">
        <v>15.25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24</v>
      </c>
      <c r="AG53">
        <v>0</v>
      </c>
      <c r="AH53">
        <v>2</v>
      </c>
      <c r="AI53">
        <v>55983168</v>
      </c>
      <c r="AJ53">
        <v>46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ROW(Source!A51)</f>
        <v>51</v>
      </c>
      <c r="B54">
        <v>55983173</v>
      </c>
      <c r="C54">
        <v>55983164</v>
      </c>
      <c r="D54">
        <v>55441135</v>
      </c>
      <c r="E54">
        <v>1081</v>
      </c>
      <c r="F54">
        <v>1</v>
      </c>
      <c r="G54">
        <v>1081</v>
      </c>
      <c r="H54">
        <v>3</v>
      </c>
      <c r="I54" t="s">
        <v>453</v>
      </c>
      <c r="J54" t="s">
        <v>3</v>
      </c>
      <c r="K54" t="s">
        <v>454</v>
      </c>
      <c r="L54">
        <v>1354</v>
      </c>
      <c r="N54">
        <v>1010</v>
      </c>
      <c r="O54" t="s">
        <v>191</v>
      </c>
      <c r="P54" t="s">
        <v>191</v>
      </c>
      <c r="Q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24</v>
      </c>
      <c r="AG54">
        <v>0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ROW(Source!A52)</f>
        <v>52</v>
      </c>
      <c r="B55">
        <v>55983176</v>
      </c>
      <c r="C55">
        <v>55983174</v>
      </c>
      <c r="D55">
        <v>55424304</v>
      </c>
      <c r="E55">
        <v>1081</v>
      </c>
      <c r="F55">
        <v>1</v>
      </c>
      <c r="G55">
        <v>1081</v>
      </c>
      <c r="H55">
        <v>1</v>
      </c>
      <c r="I55" t="s">
        <v>363</v>
      </c>
      <c r="J55" t="s">
        <v>3</v>
      </c>
      <c r="K55" t="s">
        <v>364</v>
      </c>
      <c r="L55">
        <v>1191</v>
      </c>
      <c r="N55">
        <v>1013</v>
      </c>
      <c r="O55" t="s">
        <v>365</v>
      </c>
      <c r="P55" t="s">
        <v>365</v>
      </c>
      <c r="Q55">
        <v>1</v>
      </c>
      <c r="X55">
        <v>9.64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</v>
      </c>
      <c r="AF55" t="s">
        <v>78</v>
      </c>
      <c r="AG55">
        <v>11.568</v>
      </c>
      <c r="AH55">
        <v>2</v>
      </c>
      <c r="AI55">
        <v>55983175</v>
      </c>
      <c r="AJ55">
        <v>47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ROW(Source!A53)</f>
        <v>53</v>
      </c>
      <c r="B56">
        <v>55983176</v>
      </c>
      <c r="C56">
        <v>55983174</v>
      </c>
      <c r="D56">
        <v>55424304</v>
      </c>
      <c r="E56">
        <v>1081</v>
      </c>
      <c r="F56">
        <v>1</v>
      </c>
      <c r="G56">
        <v>1081</v>
      </c>
      <c r="H56">
        <v>1</v>
      </c>
      <c r="I56" t="s">
        <v>363</v>
      </c>
      <c r="J56" t="s">
        <v>3</v>
      </c>
      <c r="K56" t="s">
        <v>364</v>
      </c>
      <c r="L56">
        <v>1191</v>
      </c>
      <c r="N56">
        <v>1013</v>
      </c>
      <c r="O56" t="s">
        <v>365</v>
      </c>
      <c r="P56" t="s">
        <v>365</v>
      </c>
      <c r="Q56">
        <v>1</v>
      </c>
      <c r="X56">
        <v>9.64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1</v>
      </c>
      <c r="AF56" t="s">
        <v>78</v>
      </c>
      <c r="AG56">
        <v>11.568</v>
      </c>
      <c r="AH56">
        <v>2</v>
      </c>
      <c r="AI56">
        <v>55983175</v>
      </c>
      <c r="AJ56">
        <v>48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ROW(Source!A54)</f>
        <v>54</v>
      </c>
      <c r="B57">
        <v>55983180</v>
      </c>
      <c r="C57">
        <v>55983177</v>
      </c>
      <c r="D57">
        <v>55424304</v>
      </c>
      <c r="E57">
        <v>1081</v>
      </c>
      <c r="F57">
        <v>1</v>
      </c>
      <c r="G57">
        <v>1081</v>
      </c>
      <c r="H57">
        <v>1</v>
      </c>
      <c r="I57" t="s">
        <v>363</v>
      </c>
      <c r="J57" t="s">
        <v>3</v>
      </c>
      <c r="K57" t="s">
        <v>364</v>
      </c>
      <c r="L57">
        <v>1191</v>
      </c>
      <c r="N57">
        <v>1013</v>
      </c>
      <c r="O57" t="s">
        <v>365</v>
      </c>
      <c r="P57" t="s">
        <v>365</v>
      </c>
      <c r="Q57">
        <v>1</v>
      </c>
      <c r="X57">
        <v>30.44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 t="s">
        <v>78</v>
      </c>
      <c r="AG57">
        <v>36.527999999999999</v>
      </c>
      <c r="AH57">
        <v>2</v>
      </c>
      <c r="AI57">
        <v>55983178</v>
      </c>
      <c r="AJ57">
        <v>49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ROW(Source!A54)</f>
        <v>54</v>
      </c>
      <c r="B58">
        <v>55983181</v>
      </c>
      <c r="C58">
        <v>55983177</v>
      </c>
      <c r="D58">
        <v>55424288</v>
      </c>
      <c r="E58">
        <v>1081</v>
      </c>
      <c r="F58">
        <v>1</v>
      </c>
      <c r="G58">
        <v>1081</v>
      </c>
      <c r="H58">
        <v>3</v>
      </c>
      <c r="I58" t="s">
        <v>379</v>
      </c>
      <c r="J58" t="s">
        <v>3</v>
      </c>
      <c r="K58" t="s">
        <v>380</v>
      </c>
      <c r="L58">
        <v>1348</v>
      </c>
      <c r="N58">
        <v>1009</v>
      </c>
      <c r="O58" t="s">
        <v>324</v>
      </c>
      <c r="P58" t="s">
        <v>324</v>
      </c>
      <c r="Q58">
        <v>1000</v>
      </c>
      <c r="X58">
        <v>0.247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77</v>
      </c>
      <c r="AG58">
        <v>0.247</v>
      </c>
      <c r="AH58">
        <v>2</v>
      </c>
      <c r="AI58">
        <v>55983179</v>
      </c>
      <c r="AJ58">
        <v>50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ROW(Source!A55)</f>
        <v>55</v>
      </c>
      <c r="B59">
        <v>55983180</v>
      </c>
      <c r="C59">
        <v>55983177</v>
      </c>
      <c r="D59">
        <v>55424304</v>
      </c>
      <c r="E59">
        <v>1081</v>
      </c>
      <c r="F59">
        <v>1</v>
      </c>
      <c r="G59">
        <v>1081</v>
      </c>
      <c r="H59">
        <v>1</v>
      </c>
      <c r="I59" t="s">
        <v>363</v>
      </c>
      <c r="J59" t="s">
        <v>3</v>
      </c>
      <c r="K59" t="s">
        <v>364</v>
      </c>
      <c r="L59">
        <v>1191</v>
      </c>
      <c r="N59">
        <v>1013</v>
      </c>
      <c r="O59" t="s">
        <v>365</v>
      </c>
      <c r="P59" t="s">
        <v>365</v>
      </c>
      <c r="Q59">
        <v>1</v>
      </c>
      <c r="X59">
        <v>30.44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 t="s">
        <v>78</v>
      </c>
      <c r="AG59">
        <v>36.527999999999999</v>
      </c>
      <c r="AH59">
        <v>2</v>
      </c>
      <c r="AI59">
        <v>55983178</v>
      </c>
      <c r="AJ59">
        <v>51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ROW(Source!A55)</f>
        <v>55</v>
      </c>
      <c r="B60">
        <v>55983181</v>
      </c>
      <c r="C60">
        <v>55983177</v>
      </c>
      <c r="D60">
        <v>55424288</v>
      </c>
      <c r="E60">
        <v>1081</v>
      </c>
      <c r="F60">
        <v>1</v>
      </c>
      <c r="G60">
        <v>1081</v>
      </c>
      <c r="H60">
        <v>3</v>
      </c>
      <c r="I60" t="s">
        <v>379</v>
      </c>
      <c r="J60" t="s">
        <v>3</v>
      </c>
      <c r="K60" t="s">
        <v>380</v>
      </c>
      <c r="L60">
        <v>1348</v>
      </c>
      <c r="N60">
        <v>1009</v>
      </c>
      <c r="O60" t="s">
        <v>324</v>
      </c>
      <c r="P60" t="s">
        <v>324</v>
      </c>
      <c r="Q60">
        <v>1000</v>
      </c>
      <c r="X60">
        <v>0.247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77</v>
      </c>
      <c r="AG60">
        <v>0.247</v>
      </c>
      <c r="AH60">
        <v>2</v>
      </c>
      <c r="AI60">
        <v>55983179</v>
      </c>
      <c r="AJ60">
        <v>52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ROW(Source!A56)</f>
        <v>56</v>
      </c>
      <c r="B61">
        <v>55983186</v>
      </c>
      <c r="C61">
        <v>55983182</v>
      </c>
      <c r="D61">
        <v>55424304</v>
      </c>
      <c r="E61">
        <v>1081</v>
      </c>
      <c r="F61">
        <v>1</v>
      </c>
      <c r="G61">
        <v>1081</v>
      </c>
      <c r="H61">
        <v>1</v>
      </c>
      <c r="I61" t="s">
        <v>363</v>
      </c>
      <c r="J61" t="s">
        <v>3</v>
      </c>
      <c r="K61" t="s">
        <v>364</v>
      </c>
      <c r="L61">
        <v>1191</v>
      </c>
      <c r="N61">
        <v>1013</v>
      </c>
      <c r="O61" t="s">
        <v>365</v>
      </c>
      <c r="P61" t="s">
        <v>365</v>
      </c>
      <c r="Q61">
        <v>1</v>
      </c>
      <c r="X61">
        <v>2.06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1</v>
      </c>
      <c r="AF61" t="s">
        <v>25</v>
      </c>
      <c r="AG61">
        <v>0.74159999999999993</v>
      </c>
      <c r="AH61">
        <v>2</v>
      </c>
      <c r="AI61">
        <v>55983183</v>
      </c>
      <c r="AJ61">
        <v>53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ROW(Source!A56)</f>
        <v>56</v>
      </c>
      <c r="B62">
        <v>55983187</v>
      </c>
      <c r="C62">
        <v>55983182</v>
      </c>
      <c r="D62">
        <v>55461079</v>
      </c>
      <c r="E62">
        <v>1</v>
      </c>
      <c r="F62">
        <v>1</v>
      </c>
      <c r="G62">
        <v>1081</v>
      </c>
      <c r="H62">
        <v>3</v>
      </c>
      <c r="I62" t="s">
        <v>381</v>
      </c>
      <c r="J62" t="s">
        <v>382</v>
      </c>
      <c r="K62" t="s">
        <v>383</v>
      </c>
      <c r="L62">
        <v>1346</v>
      </c>
      <c r="N62">
        <v>1009</v>
      </c>
      <c r="O62" t="s">
        <v>339</v>
      </c>
      <c r="P62" t="s">
        <v>339</v>
      </c>
      <c r="Q62">
        <v>1</v>
      </c>
      <c r="X62">
        <v>0.4</v>
      </c>
      <c r="Y62">
        <v>45.62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24</v>
      </c>
      <c r="AG62">
        <v>0</v>
      </c>
      <c r="AH62">
        <v>2</v>
      </c>
      <c r="AI62">
        <v>55983184</v>
      </c>
      <c r="AJ62">
        <v>54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ROW(Source!A56)</f>
        <v>56</v>
      </c>
      <c r="B63">
        <v>55983188</v>
      </c>
      <c r="C63">
        <v>55983182</v>
      </c>
      <c r="D63">
        <v>55467056</v>
      </c>
      <c r="E63">
        <v>1</v>
      </c>
      <c r="F63">
        <v>1</v>
      </c>
      <c r="G63">
        <v>1081</v>
      </c>
      <c r="H63">
        <v>3</v>
      </c>
      <c r="I63" t="s">
        <v>384</v>
      </c>
      <c r="J63" t="s">
        <v>385</v>
      </c>
      <c r="K63" t="s">
        <v>386</v>
      </c>
      <c r="L63">
        <v>1348</v>
      </c>
      <c r="N63">
        <v>1009</v>
      </c>
      <c r="O63" t="s">
        <v>324</v>
      </c>
      <c r="P63" t="s">
        <v>324</v>
      </c>
      <c r="Q63">
        <v>1000</v>
      </c>
      <c r="X63">
        <v>2E-3</v>
      </c>
      <c r="Y63">
        <v>5102.09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24</v>
      </c>
      <c r="AG63">
        <v>0</v>
      </c>
      <c r="AH63">
        <v>2</v>
      </c>
      <c r="AI63">
        <v>55983185</v>
      </c>
      <c r="AJ63">
        <v>55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ROW(Source!A56)</f>
        <v>56</v>
      </c>
      <c r="B64">
        <v>55983189</v>
      </c>
      <c r="C64">
        <v>55983182</v>
      </c>
      <c r="D64">
        <v>55416982</v>
      </c>
      <c r="E64">
        <v>1081</v>
      </c>
      <c r="F64">
        <v>1</v>
      </c>
      <c r="G64">
        <v>1081</v>
      </c>
      <c r="H64">
        <v>3</v>
      </c>
      <c r="I64" t="s">
        <v>455</v>
      </c>
      <c r="J64" t="s">
        <v>3</v>
      </c>
      <c r="K64" t="s">
        <v>456</v>
      </c>
      <c r="L64">
        <v>1346</v>
      </c>
      <c r="N64">
        <v>1009</v>
      </c>
      <c r="O64" t="s">
        <v>339</v>
      </c>
      <c r="P64" t="s">
        <v>339</v>
      </c>
      <c r="Q64">
        <v>1</v>
      </c>
      <c r="X64">
        <v>0.11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24</v>
      </c>
      <c r="AG64">
        <v>0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ROW(Source!A56)</f>
        <v>56</v>
      </c>
      <c r="B65">
        <v>55983190</v>
      </c>
      <c r="C65">
        <v>55983182</v>
      </c>
      <c r="D65">
        <v>55431407</v>
      </c>
      <c r="E65">
        <v>1081</v>
      </c>
      <c r="F65">
        <v>1</v>
      </c>
      <c r="G65">
        <v>1081</v>
      </c>
      <c r="H65">
        <v>3</v>
      </c>
      <c r="I65" t="s">
        <v>457</v>
      </c>
      <c r="J65" t="s">
        <v>3</v>
      </c>
      <c r="K65" t="s">
        <v>458</v>
      </c>
      <c r="L65">
        <v>1354</v>
      </c>
      <c r="N65">
        <v>1010</v>
      </c>
      <c r="O65" t="s">
        <v>191</v>
      </c>
      <c r="P65" t="s">
        <v>191</v>
      </c>
      <c r="Q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24</v>
      </c>
      <c r="AG65">
        <v>0</v>
      </c>
      <c r="AH65">
        <v>3</v>
      </c>
      <c r="AI65">
        <v>-1</v>
      </c>
      <c r="AJ65" t="s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ROW(Source!A57)</f>
        <v>57</v>
      </c>
      <c r="B66">
        <v>55983186</v>
      </c>
      <c r="C66">
        <v>55983182</v>
      </c>
      <c r="D66">
        <v>55424304</v>
      </c>
      <c r="E66">
        <v>1081</v>
      </c>
      <c r="F66">
        <v>1</v>
      </c>
      <c r="G66">
        <v>1081</v>
      </c>
      <c r="H66">
        <v>1</v>
      </c>
      <c r="I66" t="s">
        <v>363</v>
      </c>
      <c r="J66" t="s">
        <v>3</v>
      </c>
      <c r="K66" t="s">
        <v>364</v>
      </c>
      <c r="L66">
        <v>1191</v>
      </c>
      <c r="N66">
        <v>1013</v>
      </c>
      <c r="O66" t="s">
        <v>365</v>
      </c>
      <c r="P66" t="s">
        <v>365</v>
      </c>
      <c r="Q66">
        <v>1</v>
      </c>
      <c r="X66">
        <v>2.06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1</v>
      </c>
      <c r="AF66" t="s">
        <v>25</v>
      </c>
      <c r="AG66">
        <v>0.74159999999999993</v>
      </c>
      <c r="AH66">
        <v>2</v>
      </c>
      <c r="AI66">
        <v>55983183</v>
      </c>
      <c r="AJ66">
        <v>56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ROW(Source!A57)</f>
        <v>57</v>
      </c>
      <c r="B67">
        <v>55983187</v>
      </c>
      <c r="C67">
        <v>55983182</v>
      </c>
      <c r="D67">
        <v>55461079</v>
      </c>
      <c r="E67">
        <v>1</v>
      </c>
      <c r="F67">
        <v>1</v>
      </c>
      <c r="G67">
        <v>1081</v>
      </c>
      <c r="H67">
        <v>3</v>
      </c>
      <c r="I67" t="s">
        <v>381</v>
      </c>
      <c r="J67" t="s">
        <v>382</v>
      </c>
      <c r="K67" t="s">
        <v>383</v>
      </c>
      <c r="L67">
        <v>1346</v>
      </c>
      <c r="N67">
        <v>1009</v>
      </c>
      <c r="O67" t="s">
        <v>339</v>
      </c>
      <c r="P67" t="s">
        <v>339</v>
      </c>
      <c r="Q67">
        <v>1</v>
      </c>
      <c r="X67">
        <v>0.4</v>
      </c>
      <c r="Y67">
        <v>45.62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24</v>
      </c>
      <c r="AG67">
        <v>0</v>
      </c>
      <c r="AH67">
        <v>2</v>
      </c>
      <c r="AI67">
        <v>55983184</v>
      </c>
      <c r="AJ67">
        <v>57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ROW(Source!A57)</f>
        <v>57</v>
      </c>
      <c r="B68">
        <v>55983188</v>
      </c>
      <c r="C68">
        <v>55983182</v>
      </c>
      <c r="D68">
        <v>55467056</v>
      </c>
      <c r="E68">
        <v>1</v>
      </c>
      <c r="F68">
        <v>1</v>
      </c>
      <c r="G68">
        <v>1081</v>
      </c>
      <c r="H68">
        <v>3</v>
      </c>
      <c r="I68" t="s">
        <v>384</v>
      </c>
      <c r="J68" t="s">
        <v>385</v>
      </c>
      <c r="K68" t="s">
        <v>386</v>
      </c>
      <c r="L68">
        <v>1348</v>
      </c>
      <c r="N68">
        <v>1009</v>
      </c>
      <c r="O68" t="s">
        <v>324</v>
      </c>
      <c r="P68" t="s">
        <v>324</v>
      </c>
      <c r="Q68">
        <v>1000</v>
      </c>
      <c r="X68">
        <v>2E-3</v>
      </c>
      <c r="Y68">
        <v>5102.09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24</v>
      </c>
      <c r="AG68">
        <v>0</v>
      </c>
      <c r="AH68">
        <v>2</v>
      </c>
      <c r="AI68">
        <v>55983185</v>
      </c>
      <c r="AJ68">
        <v>58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ROW(Source!A57)</f>
        <v>57</v>
      </c>
      <c r="B69">
        <v>55983189</v>
      </c>
      <c r="C69">
        <v>55983182</v>
      </c>
      <c r="D69">
        <v>55416982</v>
      </c>
      <c r="E69">
        <v>1081</v>
      </c>
      <c r="F69">
        <v>1</v>
      </c>
      <c r="G69">
        <v>1081</v>
      </c>
      <c r="H69">
        <v>3</v>
      </c>
      <c r="I69" t="s">
        <v>455</v>
      </c>
      <c r="J69" t="s">
        <v>3</v>
      </c>
      <c r="K69" t="s">
        <v>456</v>
      </c>
      <c r="L69">
        <v>1346</v>
      </c>
      <c r="N69">
        <v>1009</v>
      </c>
      <c r="O69" t="s">
        <v>339</v>
      </c>
      <c r="P69" t="s">
        <v>339</v>
      </c>
      <c r="Q69">
        <v>1</v>
      </c>
      <c r="X69">
        <v>0.11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24</v>
      </c>
      <c r="AG69">
        <v>0</v>
      </c>
      <c r="AH69">
        <v>3</v>
      </c>
      <c r="AI69">
        <v>-1</v>
      </c>
      <c r="AJ69" t="s">
        <v>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ROW(Source!A57)</f>
        <v>57</v>
      </c>
      <c r="B70">
        <v>55983190</v>
      </c>
      <c r="C70">
        <v>55983182</v>
      </c>
      <c r="D70">
        <v>55431407</v>
      </c>
      <c r="E70">
        <v>1081</v>
      </c>
      <c r="F70">
        <v>1</v>
      </c>
      <c r="G70">
        <v>1081</v>
      </c>
      <c r="H70">
        <v>3</v>
      </c>
      <c r="I70" t="s">
        <v>457</v>
      </c>
      <c r="J70" t="s">
        <v>3</v>
      </c>
      <c r="K70" t="s">
        <v>458</v>
      </c>
      <c r="L70">
        <v>1354</v>
      </c>
      <c r="N70">
        <v>1010</v>
      </c>
      <c r="O70" t="s">
        <v>191</v>
      </c>
      <c r="P70" t="s">
        <v>191</v>
      </c>
      <c r="Q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24</v>
      </c>
      <c r="AG70">
        <v>0</v>
      </c>
      <c r="AH70">
        <v>3</v>
      </c>
      <c r="AI70">
        <v>-1</v>
      </c>
      <c r="AJ70" t="s">
        <v>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ROW(Source!A93)</f>
        <v>93</v>
      </c>
      <c r="B71">
        <v>55915439</v>
      </c>
      <c r="C71">
        <v>55915438</v>
      </c>
      <c r="D71">
        <v>55424304</v>
      </c>
      <c r="E71">
        <v>1081</v>
      </c>
      <c r="F71">
        <v>1</v>
      </c>
      <c r="G71">
        <v>1081</v>
      </c>
      <c r="H71">
        <v>1</v>
      </c>
      <c r="I71" t="s">
        <v>363</v>
      </c>
      <c r="J71" t="s">
        <v>3</v>
      </c>
      <c r="K71" t="s">
        <v>364</v>
      </c>
      <c r="L71">
        <v>1191</v>
      </c>
      <c r="N71">
        <v>1013</v>
      </c>
      <c r="O71" t="s">
        <v>365</v>
      </c>
      <c r="P71" t="s">
        <v>365</v>
      </c>
      <c r="Q71">
        <v>1</v>
      </c>
      <c r="X71">
        <v>5.7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 t="s">
        <v>78</v>
      </c>
      <c r="AG71">
        <v>6.84</v>
      </c>
      <c r="AH71">
        <v>2</v>
      </c>
      <c r="AI71">
        <v>55915439</v>
      </c>
      <c r="AJ71">
        <v>59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ROW(Source!A94)</f>
        <v>94</v>
      </c>
      <c r="B72">
        <v>55915439</v>
      </c>
      <c r="C72">
        <v>55915438</v>
      </c>
      <c r="D72">
        <v>55424304</v>
      </c>
      <c r="E72">
        <v>1081</v>
      </c>
      <c r="F72">
        <v>1</v>
      </c>
      <c r="G72">
        <v>1081</v>
      </c>
      <c r="H72">
        <v>1</v>
      </c>
      <c r="I72" t="s">
        <v>363</v>
      </c>
      <c r="J72" t="s">
        <v>3</v>
      </c>
      <c r="K72" t="s">
        <v>364</v>
      </c>
      <c r="L72">
        <v>1191</v>
      </c>
      <c r="N72">
        <v>1013</v>
      </c>
      <c r="O72" t="s">
        <v>365</v>
      </c>
      <c r="P72" t="s">
        <v>365</v>
      </c>
      <c r="Q72">
        <v>1</v>
      </c>
      <c r="X72">
        <v>5.7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 t="s">
        <v>78</v>
      </c>
      <c r="AG72">
        <v>6.84</v>
      </c>
      <c r="AH72">
        <v>2</v>
      </c>
      <c r="AI72">
        <v>55915439</v>
      </c>
      <c r="AJ72">
        <v>60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ROW(Source!A97)</f>
        <v>97</v>
      </c>
      <c r="B73">
        <v>55915448</v>
      </c>
      <c r="C73">
        <v>55915447</v>
      </c>
      <c r="D73">
        <v>55424304</v>
      </c>
      <c r="E73">
        <v>1081</v>
      </c>
      <c r="F73">
        <v>1</v>
      </c>
      <c r="G73">
        <v>1081</v>
      </c>
      <c r="H73">
        <v>1</v>
      </c>
      <c r="I73" t="s">
        <v>363</v>
      </c>
      <c r="J73" t="s">
        <v>3</v>
      </c>
      <c r="K73" t="s">
        <v>364</v>
      </c>
      <c r="L73">
        <v>1191</v>
      </c>
      <c r="N73">
        <v>1013</v>
      </c>
      <c r="O73" t="s">
        <v>365</v>
      </c>
      <c r="P73" t="s">
        <v>365</v>
      </c>
      <c r="Q73">
        <v>1</v>
      </c>
      <c r="X73">
        <v>2.65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 t="s">
        <v>78</v>
      </c>
      <c r="AG73">
        <v>3.1799999999999997</v>
      </c>
      <c r="AH73">
        <v>2</v>
      </c>
      <c r="AI73">
        <v>55915448</v>
      </c>
      <c r="AJ73">
        <v>61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ROW(Source!A97)</f>
        <v>97</v>
      </c>
      <c r="B74">
        <v>55915449</v>
      </c>
      <c r="C74">
        <v>55915447</v>
      </c>
      <c r="D74">
        <v>55461074</v>
      </c>
      <c r="E74">
        <v>1</v>
      </c>
      <c r="F74">
        <v>1</v>
      </c>
      <c r="G74">
        <v>1081</v>
      </c>
      <c r="H74">
        <v>3</v>
      </c>
      <c r="I74" t="s">
        <v>366</v>
      </c>
      <c r="J74" t="s">
        <v>367</v>
      </c>
      <c r="K74" t="s">
        <v>368</v>
      </c>
      <c r="L74">
        <v>1346</v>
      </c>
      <c r="N74">
        <v>1009</v>
      </c>
      <c r="O74" t="s">
        <v>339</v>
      </c>
      <c r="P74" t="s">
        <v>339</v>
      </c>
      <c r="Q74">
        <v>1</v>
      </c>
      <c r="X74">
        <v>6.2700000000000004E-3</v>
      </c>
      <c r="Y74">
        <v>27.62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77</v>
      </c>
      <c r="AG74">
        <v>6.2700000000000004E-3</v>
      </c>
      <c r="AH74">
        <v>2</v>
      </c>
      <c r="AI74">
        <v>55915449</v>
      </c>
      <c r="AJ74">
        <v>62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ROW(Source!A97)</f>
        <v>97</v>
      </c>
      <c r="B75">
        <v>55915450</v>
      </c>
      <c r="C75">
        <v>55915447</v>
      </c>
      <c r="D75">
        <v>55459793</v>
      </c>
      <c r="E75">
        <v>1</v>
      </c>
      <c r="F75">
        <v>1</v>
      </c>
      <c r="G75">
        <v>1081</v>
      </c>
      <c r="H75">
        <v>3</v>
      </c>
      <c r="I75" t="s">
        <v>369</v>
      </c>
      <c r="J75" t="s">
        <v>370</v>
      </c>
      <c r="K75" t="s">
        <v>371</v>
      </c>
      <c r="L75">
        <v>1348</v>
      </c>
      <c r="N75">
        <v>1009</v>
      </c>
      <c r="O75" t="s">
        <v>324</v>
      </c>
      <c r="P75" t="s">
        <v>324</v>
      </c>
      <c r="Q75">
        <v>1000</v>
      </c>
      <c r="X75">
        <v>1.0000000000000001E-5</v>
      </c>
      <c r="Y75">
        <v>64123.05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 t="s">
        <v>77</v>
      </c>
      <c r="AG75">
        <v>1.0000000000000001E-5</v>
      </c>
      <c r="AH75">
        <v>2</v>
      </c>
      <c r="AI75">
        <v>55915450</v>
      </c>
      <c r="AJ75">
        <v>63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ROW(Source!A97)</f>
        <v>97</v>
      </c>
      <c r="B76">
        <v>55915451</v>
      </c>
      <c r="C76">
        <v>55915447</v>
      </c>
      <c r="D76">
        <v>55469253</v>
      </c>
      <c r="E76">
        <v>1</v>
      </c>
      <c r="F76">
        <v>1</v>
      </c>
      <c r="G76">
        <v>1081</v>
      </c>
      <c r="H76">
        <v>3</v>
      </c>
      <c r="I76" t="s">
        <v>372</v>
      </c>
      <c r="J76" t="s">
        <v>373</v>
      </c>
      <c r="K76" t="s">
        <v>374</v>
      </c>
      <c r="L76">
        <v>1354</v>
      </c>
      <c r="N76">
        <v>1010</v>
      </c>
      <c r="O76" t="s">
        <v>191</v>
      </c>
      <c r="P76" t="s">
        <v>191</v>
      </c>
      <c r="Q76">
        <v>1</v>
      </c>
      <c r="X76">
        <v>0.1</v>
      </c>
      <c r="Y76">
        <v>15.25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77</v>
      </c>
      <c r="AG76">
        <v>0.1</v>
      </c>
      <c r="AH76">
        <v>2</v>
      </c>
      <c r="AI76">
        <v>55915451</v>
      </c>
      <c r="AJ76">
        <v>64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ROW(Source!A97)</f>
        <v>97</v>
      </c>
      <c r="B77">
        <v>55915452</v>
      </c>
      <c r="C77">
        <v>55915447</v>
      </c>
      <c r="D77">
        <v>55441122</v>
      </c>
      <c r="E77">
        <v>1081</v>
      </c>
      <c r="F77">
        <v>1</v>
      </c>
      <c r="G77">
        <v>1081</v>
      </c>
      <c r="H77">
        <v>3</v>
      </c>
      <c r="I77" t="s">
        <v>449</v>
      </c>
      <c r="J77" t="s">
        <v>3</v>
      </c>
      <c r="K77" t="s">
        <v>450</v>
      </c>
      <c r="L77">
        <v>1354</v>
      </c>
      <c r="N77">
        <v>1010</v>
      </c>
      <c r="O77" t="s">
        <v>191</v>
      </c>
      <c r="P77" t="s">
        <v>191</v>
      </c>
      <c r="Q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77</v>
      </c>
      <c r="AG77">
        <v>1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ROW(Source!A98)</f>
        <v>98</v>
      </c>
      <c r="B78">
        <v>55915448</v>
      </c>
      <c r="C78">
        <v>55915447</v>
      </c>
      <c r="D78">
        <v>55424304</v>
      </c>
      <c r="E78">
        <v>1081</v>
      </c>
      <c r="F78">
        <v>1</v>
      </c>
      <c r="G78">
        <v>1081</v>
      </c>
      <c r="H78">
        <v>1</v>
      </c>
      <c r="I78" t="s">
        <v>363</v>
      </c>
      <c r="J78" t="s">
        <v>3</v>
      </c>
      <c r="K78" t="s">
        <v>364</v>
      </c>
      <c r="L78">
        <v>1191</v>
      </c>
      <c r="N78">
        <v>1013</v>
      </c>
      <c r="O78" t="s">
        <v>365</v>
      </c>
      <c r="P78" t="s">
        <v>365</v>
      </c>
      <c r="Q78">
        <v>1</v>
      </c>
      <c r="X78">
        <v>2.65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 t="s">
        <v>78</v>
      </c>
      <c r="AG78">
        <v>3.1799999999999997</v>
      </c>
      <c r="AH78">
        <v>2</v>
      </c>
      <c r="AI78">
        <v>55915448</v>
      </c>
      <c r="AJ78">
        <v>65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ROW(Source!A98)</f>
        <v>98</v>
      </c>
      <c r="B79">
        <v>55915449</v>
      </c>
      <c r="C79">
        <v>55915447</v>
      </c>
      <c r="D79">
        <v>55461074</v>
      </c>
      <c r="E79">
        <v>1</v>
      </c>
      <c r="F79">
        <v>1</v>
      </c>
      <c r="G79">
        <v>1081</v>
      </c>
      <c r="H79">
        <v>3</v>
      </c>
      <c r="I79" t="s">
        <v>366</v>
      </c>
      <c r="J79" t="s">
        <v>367</v>
      </c>
      <c r="K79" t="s">
        <v>368</v>
      </c>
      <c r="L79">
        <v>1346</v>
      </c>
      <c r="N79">
        <v>1009</v>
      </c>
      <c r="O79" t="s">
        <v>339</v>
      </c>
      <c r="P79" t="s">
        <v>339</v>
      </c>
      <c r="Q79">
        <v>1</v>
      </c>
      <c r="X79">
        <v>6.2700000000000004E-3</v>
      </c>
      <c r="Y79">
        <v>27.62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77</v>
      </c>
      <c r="AG79">
        <v>6.2700000000000004E-3</v>
      </c>
      <c r="AH79">
        <v>2</v>
      </c>
      <c r="AI79">
        <v>55915449</v>
      </c>
      <c r="AJ79">
        <v>66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ROW(Source!A98)</f>
        <v>98</v>
      </c>
      <c r="B80">
        <v>55915450</v>
      </c>
      <c r="C80">
        <v>55915447</v>
      </c>
      <c r="D80">
        <v>55459793</v>
      </c>
      <c r="E80">
        <v>1</v>
      </c>
      <c r="F80">
        <v>1</v>
      </c>
      <c r="G80">
        <v>1081</v>
      </c>
      <c r="H80">
        <v>3</v>
      </c>
      <c r="I80" t="s">
        <v>369</v>
      </c>
      <c r="J80" t="s">
        <v>370</v>
      </c>
      <c r="K80" t="s">
        <v>371</v>
      </c>
      <c r="L80">
        <v>1348</v>
      </c>
      <c r="N80">
        <v>1009</v>
      </c>
      <c r="O80" t="s">
        <v>324</v>
      </c>
      <c r="P80" t="s">
        <v>324</v>
      </c>
      <c r="Q80">
        <v>1000</v>
      </c>
      <c r="X80">
        <v>1.0000000000000001E-5</v>
      </c>
      <c r="Y80">
        <v>64123.05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77</v>
      </c>
      <c r="AG80">
        <v>1.0000000000000001E-5</v>
      </c>
      <c r="AH80">
        <v>2</v>
      </c>
      <c r="AI80">
        <v>55915450</v>
      </c>
      <c r="AJ80">
        <v>67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ROW(Source!A98)</f>
        <v>98</v>
      </c>
      <c r="B81">
        <v>55915451</v>
      </c>
      <c r="C81">
        <v>55915447</v>
      </c>
      <c r="D81">
        <v>55469253</v>
      </c>
      <c r="E81">
        <v>1</v>
      </c>
      <c r="F81">
        <v>1</v>
      </c>
      <c r="G81">
        <v>1081</v>
      </c>
      <c r="H81">
        <v>3</v>
      </c>
      <c r="I81" t="s">
        <v>372</v>
      </c>
      <c r="J81" t="s">
        <v>373</v>
      </c>
      <c r="K81" t="s">
        <v>374</v>
      </c>
      <c r="L81">
        <v>1354</v>
      </c>
      <c r="N81">
        <v>1010</v>
      </c>
      <c r="O81" t="s">
        <v>191</v>
      </c>
      <c r="P81" t="s">
        <v>191</v>
      </c>
      <c r="Q81">
        <v>1</v>
      </c>
      <c r="X81">
        <v>0.1</v>
      </c>
      <c r="Y81">
        <v>15.25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77</v>
      </c>
      <c r="AG81">
        <v>0.1</v>
      </c>
      <c r="AH81">
        <v>2</v>
      </c>
      <c r="AI81">
        <v>55915451</v>
      </c>
      <c r="AJ81">
        <v>68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ROW(Source!A98)</f>
        <v>98</v>
      </c>
      <c r="B82">
        <v>55915452</v>
      </c>
      <c r="C82">
        <v>55915447</v>
      </c>
      <c r="D82">
        <v>55441122</v>
      </c>
      <c r="E82">
        <v>1081</v>
      </c>
      <c r="F82">
        <v>1</v>
      </c>
      <c r="G82">
        <v>1081</v>
      </c>
      <c r="H82">
        <v>3</v>
      </c>
      <c r="I82" t="s">
        <v>449</v>
      </c>
      <c r="J82" t="s">
        <v>3</v>
      </c>
      <c r="K82" t="s">
        <v>450</v>
      </c>
      <c r="L82">
        <v>1354</v>
      </c>
      <c r="N82">
        <v>1010</v>
      </c>
      <c r="O82" t="s">
        <v>191</v>
      </c>
      <c r="P82" t="s">
        <v>191</v>
      </c>
      <c r="Q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77</v>
      </c>
      <c r="AG82">
        <v>1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ROW(Source!A101)</f>
        <v>101</v>
      </c>
      <c r="B83">
        <v>55915462</v>
      </c>
      <c r="C83">
        <v>55915461</v>
      </c>
      <c r="D83">
        <v>55424304</v>
      </c>
      <c r="E83">
        <v>1081</v>
      </c>
      <c r="F83">
        <v>1</v>
      </c>
      <c r="G83">
        <v>1081</v>
      </c>
      <c r="H83">
        <v>1</v>
      </c>
      <c r="I83" t="s">
        <v>363</v>
      </c>
      <c r="J83" t="s">
        <v>3</v>
      </c>
      <c r="K83" t="s">
        <v>364</v>
      </c>
      <c r="L83">
        <v>1191</v>
      </c>
      <c r="N83">
        <v>1013</v>
      </c>
      <c r="O83" t="s">
        <v>365</v>
      </c>
      <c r="P83" t="s">
        <v>365</v>
      </c>
      <c r="Q83">
        <v>1</v>
      </c>
      <c r="X83">
        <v>2.4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78</v>
      </c>
      <c r="AG83">
        <v>2.88</v>
      </c>
      <c r="AH83">
        <v>2</v>
      </c>
      <c r="AI83">
        <v>55915462</v>
      </c>
      <c r="AJ83">
        <v>69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ROW(Source!A102)</f>
        <v>102</v>
      </c>
      <c r="B84">
        <v>55915462</v>
      </c>
      <c r="C84">
        <v>55915461</v>
      </c>
      <c r="D84">
        <v>55424304</v>
      </c>
      <c r="E84">
        <v>1081</v>
      </c>
      <c r="F84">
        <v>1</v>
      </c>
      <c r="G84">
        <v>1081</v>
      </c>
      <c r="H84">
        <v>1</v>
      </c>
      <c r="I84" t="s">
        <v>363</v>
      </c>
      <c r="J84" t="s">
        <v>3</v>
      </c>
      <c r="K84" t="s">
        <v>364</v>
      </c>
      <c r="L84">
        <v>1191</v>
      </c>
      <c r="N84">
        <v>1013</v>
      </c>
      <c r="O84" t="s">
        <v>365</v>
      </c>
      <c r="P84" t="s">
        <v>365</v>
      </c>
      <c r="Q84">
        <v>1</v>
      </c>
      <c r="X84">
        <v>2.4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 t="s">
        <v>78</v>
      </c>
      <c r="AG84">
        <v>2.88</v>
      </c>
      <c r="AH84">
        <v>2</v>
      </c>
      <c r="AI84">
        <v>55915462</v>
      </c>
      <c r="AJ84">
        <v>70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ROW(Source!A105)</f>
        <v>105</v>
      </c>
      <c r="B85">
        <v>55915464</v>
      </c>
      <c r="C85">
        <v>55915463</v>
      </c>
      <c r="D85">
        <v>55424304</v>
      </c>
      <c r="E85">
        <v>1081</v>
      </c>
      <c r="F85">
        <v>1</v>
      </c>
      <c r="G85">
        <v>1081</v>
      </c>
      <c r="H85">
        <v>1</v>
      </c>
      <c r="I85" t="s">
        <v>363</v>
      </c>
      <c r="J85" t="s">
        <v>3</v>
      </c>
      <c r="K85" t="s">
        <v>364</v>
      </c>
      <c r="L85">
        <v>1191</v>
      </c>
      <c r="N85">
        <v>1013</v>
      </c>
      <c r="O85" t="s">
        <v>365</v>
      </c>
      <c r="P85" t="s">
        <v>365</v>
      </c>
      <c r="Q85">
        <v>1</v>
      </c>
      <c r="X85">
        <v>1.2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78</v>
      </c>
      <c r="AG85">
        <v>1.44</v>
      </c>
      <c r="AH85">
        <v>2</v>
      </c>
      <c r="AI85">
        <v>55915464</v>
      </c>
      <c r="AJ85">
        <v>71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ROW(Source!A106)</f>
        <v>106</v>
      </c>
      <c r="B86">
        <v>55915464</v>
      </c>
      <c r="C86">
        <v>55915463</v>
      </c>
      <c r="D86">
        <v>55424304</v>
      </c>
      <c r="E86">
        <v>1081</v>
      </c>
      <c r="F86">
        <v>1</v>
      </c>
      <c r="G86">
        <v>1081</v>
      </c>
      <c r="H86">
        <v>1</v>
      </c>
      <c r="I86" t="s">
        <v>363</v>
      </c>
      <c r="J86" t="s">
        <v>3</v>
      </c>
      <c r="K86" t="s">
        <v>364</v>
      </c>
      <c r="L86">
        <v>1191</v>
      </c>
      <c r="N86">
        <v>1013</v>
      </c>
      <c r="O86" t="s">
        <v>365</v>
      </c>
      <c r="P86" t="s">
        <v>365</v>
      </c>
      <c r="Q86">
        <v>1</v>
      </c>
      <c r="X86">
        <v>1.2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1</v>
      </c>
      <c r="AF86" t="s">
        <v>78</v>
      </c>
      <c r="AG86">
        <v>1.44</v>
      </c>
      <c r="AH86">
        <v>2</v>
      </c>
      <c r="AI86">
        <v>55915464</v>
      </c>
      <c r="AJ86">
        <v>72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ROW(Source!A109)</f>
        <v>109</v>
      </c>
      <c r="B87">
        <v>55915481</v>
      </c>
      <c r="C87">
        <v>55915480</v>
      </c>
      <c r="D87">
        <v>55424304</v>
      </c>
      <c r="E87">
        <v>1081</v>
      </c>
      <c r="F87">
        <v>1</v>
      </c>
      <c r="G87">
        <v>1081</v>
      </c>
      <c r="H87">
        <v>1</v>
      </c>
      <c r="I87" t="s">
        <v>363</v>
      </c>
      <c r="J87" t="s">
        <v>3</v>
      </c>
      <c r="K87" t="s">
        <v>364</v>
      </c>
      <c r="L87">
        <v>1191</v>
      </c>
      <c r="N87">
        <v>1013</v>
      </c>
      <c r="O87" t="s">
        <v>365</v>
      </c>
      <c r="P87" t="s">
        <v>365</v>
      </c>
      <c r="Q87">
        <v>1</v>
      </c>
      <c r="X87">
        <v>5.7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 t="s">
        <v>78</v>
      </c>
      <c r="AG87">
        <v>6.84</v>
      </c>
      <c r="AH87">
        <v>2</v>
      </c>
      <c r="AI87">
        <v>55915481</v>
      </c>
      <c r="AJ87">
        <v>73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ROW(Source!A110)</f>
        <v>110</v>
      </c>
      <c r="B88">
        <v>55915481</v>
      </c>
      <c r="C88">
        <v>55915480</v>
      </c>
      <c r="D88">
        <v>55424304</v>
      </c>
      <c r="E88">
        <v>1081</v>
      </c>
      <c r="F88">
        <v>1</v>
      </c>
      <c r="G88">
        <v>1081</v>
      </c>
      <c r="H88">
        <v>1</v>
      </c>
      <c r="I88" t="s">
        <v>363</v>
      </c>
      <c r="J88" t="s">
        <v>3</v>
      </c>
      <c r="K88" t="s">
        <v>364</v>
      </c>
      <c r="L88">
        <v>1191</v>
      </c>
      <c r="N88">
        <v>1013</v>
      </c>
      <c r="O88" t="s">
        <v>365</v>
      </c>
      <c r="P88" t="s">
        <v>365</v>
      </c>
      <c r="Q88">
        <v>1</v>
      </c>
      <c r="X88">
        <v>5.7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1</v>
      </c>
      <c r="AF88" t="s">
        <v>78</v>
      </c>
      <c r="AG88">
        <v>6.84</v>
      </c>
      <c r="AH88">
        <v>2</v>
      </c>
      <c r="AI88">
        <v>55915481</v>
      </c>
      <c r="AJ88">
        <v>74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ROW(Source!A113)</f>
        <v>113</v>
      </c>
      <c r="B89">
        <v>55915489</v>
      </c>
      <c r="C89">
        <v>55915488</v>
      </c>
      <c r="D89">
        <v>55424304</v>
      </c>
      <c r="E89">
        <v>1081</v>
      </c>
      <c r="F89">
        <v>1</v>
      </c>
      <c r="G89">
        <v>1081</v>
      </c>
      <c r="H89">
        <v>1</v>
      </c>
      <c r="I89" t="s">
        <v>363</v>
      </c>
      <c r="J89" t="s">
        <v>3</v>
      </c>
      <c r="K89" t="s">
        <v>364</v>
      </c>
      <c r="L89">
        <v>1191</v>
      </c>
      <c r="N89">
        <v>1013</v>
      </c>
      <c r="O89" t="s">
        <v>365</v>
      </c>
      <c r="P89" t="s">
        <v>365</v>
      </c>
      <c r="Q89">
        <v>1</v>
      </c>
      <c r="X89">
        <v>1.8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 t="s">
        <v>78</v>
      </c>
      <c r="AG89">
        <v>2.16</v>
      </c>
      <c r="AH89">
        <v>2</v>
      </c>
      <c r="AI89">
        <v>55915489</v>
      </c>
      <c r="AJ89">
        <v>75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ROW(Source!A114)</f>
        <v>114</v>
      </c>
      <c r="B90">
        <v>55915489</v>
      </c>
      <c r="C90">
        <v>55915488</v>
      </c>
      <c r="D90">
        <v>55424304</v>
      </c>
      <c r="E90">
        <v>1081</v>
      </c>
      <c r="F90">
        <v>1</v>
      </c>
      <c r="G90">
        <v>1081</v>
      </c>
      <c r="H90">
        <v>1</v>
      </c>
      <c r="I90" t="s">
        <v>363</v>
      </c>
      <c r="J90" t="s">
        <v>3</v>
      </c>
      <c r="K90" t="s">
        <v>364</v>
      </c>
      <c r="L90">
        <v>1191</v>
      </c>
      <c r="N90">
        <v>1013</v>
      </c>
      <c r="O90" t="s">
        <v>365</v>
      </c>
      <c r="P90" t="s">
        <v>365</v>
      </c>
      <c r="Q90">
        <v>1</v>
      </c>
      <c r="X90">
        <v>1.8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1</v>
      </c>
      <c r="AF90" t="s">
        <v>78</v>
      </c>
      <c r="AG90">
        <v>2.16</v>
      </c>
      <c r="AH90">
        <v>2</v>
      </c>
      <c r="AI90">
        <v>55915489</v>
      </c>
      <c r="AJ90">
        <v>76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ROW(Source!A152)</f>
        <v>152</v>
      </c>
      <c r="B91">
        <v>55915555</v>
      </c>
      <c r="C91">
        <v>55915554</v>
      </c>
      <c r="D91">
        <v>55424304</v>
      </c>
      <c r="E91">
        <v>1081</v>
      </c>
      <c r="F91">
        <v>1</v>
      </c>
      <c r="G91">
        <v>1081</v>
      </c>
      <c r="H91">
        <v>1</v>
      </c>
      <c r="I91" t="s">
        <v>363</v>
      </c>
      <c r="J91" t="s">
        <v>3</v>
      </c>
      <c r="K91" t="s">
        <v>364</v>
      </c>
      <c r="L91">
        <v>1191</v>
      </c>
      <c r="N91">
        <v>1013</v>
      </c>
      <c r="O91" t="s">
        <v>365</v>
      </c>
      <c r="P91" t="s">
        <v>365</v>
      </c>
      <c r="Q91">
        <v>1</v>
      </c>
      <c r="X91">
        <v>0.84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 t="s">
        <v>78</v>
      </c>
      <c r="AG91">
        <v>1.008</v>
      </c>
      <c r="AH91">
        <v>2</v>
      </c>
      <c r="AI91">
        <v>55915555</v>
      </c>
      <c r="AJ91">
        <v>77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ROW(Source!A153)</f>
        <v>153</v>
      </c>
      <c r="B92">
        <v>55915555</v>
      </c>
      <c r="C92">
        <v>55915554</v>
      </c>
      <c r="D92">
        <v>55424304</v>
      </c>
      <c r="E92">
        <v>1081</v>
      </c>
      <c r="F92">
        <v>1</v>
      </c>
      <c r="G92">
        <v>1081</v>
      </c>
      <c r="H92">
        <v>1</v>
      </c>
      <c r="I92" t="s">
        <v>363</v>
      </c>
      <c r="J92" t="s">
        <v>3</v>
      </c>
      <c r="K92" t="s">
        <v>364</v>
      </c>
      <c r="L92">
        <v>1191</v>
      </c>
      <c r="N92">
        <v>1013</v>
      </c>
      <c r="O92" t="s">
        <v>365</v>
      </c>
      <c r="P92" t="s">
        <v>365</v>
      </c>
      <c r="Q92">
        <v>1</v>
      </c>
      <c r="X92">
        <v>0.84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1</v>
      </c>
      <c r="AF92" t="s">
        <v>78</v>
      </c>
      <c r="AG92">
        <v>1.008</v>
      </c>
      <c r="AH92">
        <v>2</v>
      </c>
      <c r="AI92">
        <v>55915555</v>
      </c>
      <c r="AJ92">
        <v>78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ROW(Source!A158)</f>
        <v>158</v>
      </c>
      <c r="B93">
        <v>55915566</v>
      </c>
      <c r="C93">
        <v>55915565</v>
      </c>
      <c r="D93">
        <v>55424304</v>
      </c>
      <c r="E93">
        <v>1081</v>
      </c>
      <c r="F93">
        <v>1</v>
      </c>
      <c r="G93">
        <v>1081</v>
      </c>
      <c r="H93">
        <v>1</v>
      </c>
      <c r="I93" t="s">
        <v>363</v>
      </c>
      <c r="J93" t="s">
        <v>3</v>
      </c>
      <c r="K93" t="s">
        <v>364</v>
      </c>
      <c r="L93">
        <v>1191</v>
      </c>
      <c r="N93">
        <v>1013</v>
      </c>
      <c r="O93" t="s">
        <v>365</v>
      </c>
      <c r="P93" t="s">
        <v>365</v>
      </c>
      <c r="Q93">
        <v>1</v>
      </c>
      <c r="X93">
        <v>0.84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78</v>
      </c>
      <c r="AG93">
        <v>1.008</v>
      </c>
      <c r="AH93">
        <v>2</v>
      </c>
      <c r="AI93">
        <v>55915566</v>
      </c>
      <c r="AJ93">
        <v>79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ROW(Source!A159)</f>
        <v>159</v>
      </c>
      <c r="B94">
        <v>55915566</v>
      </c>
      <c r="C94">
        <v>55915565</v>
      </c>
      <c r="D94">
        <v>55424304</v>
      </c>
      <c r="E94">
        <v>1081</v>
      </c>
      <c r="F94">
        <v>1</v>
      </c>
      <c r="G94">
        <v>1081</v>
      </c>
      <c r="H94">
        <v>1</v>
      </c>
      <c r="I94" t="s">
        <v>363</v>
      </c>
      <c r="J94" t="s">
        <v>3</v>
      </c>
      <c r="K94" t="s">
        <v>364</v>
      </c>
      <c r="L94">
        <v>1191</v>
      </c>
      <c r="N94">
        <v>1013</v>
      </c>
      <c r="O94" t="s">
        <v>365</v>
      </c>
      <c r="P94" t="s">
        <v>365</v>
      </c>
      <c r="Q94">
        <v>1</v>
      </c>
      <c r="X94">
        <v>0.84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1</v>
      </c>
      <c r="AF94" t="s">
        <v>78</v>
      </c>
      <c r="AG94">
        <v>1.008</v>
      </c>
      <c r="AH94">
        <v>2</v>
      </c>
      <c r="AI94">
        <v>55915566</v>
      </c>
      <c r="AJ94">
        <v>80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ROW(Source!A166)</f>
        <v>166</v>
      </c>
      <c r="B95">
        <v>55915586</v>
      </c>
      <c r="C95">
        <v>55915585</v>
      </c>
      <c r="D95">
        <v>55424304</v>
      </c>
      <c r="E95">
        <v>1081</v>
      </c>
      <c r="F95">
        <v>1</v>
      </c>
      <c r="G95">
        <v>1081</v>
      </c>
      <c r="H95">
        <v>1</v>
      </c>
      <c r="I95" t="s">
        <v>363</v>
      </c>
      <c r="J95" t="s">
        <v>3</v>
      </c>
      <c r="K95" t="s">
        <v>364</v>
      </c>
      <c r="L95">
        <v>1191</v>
      </c>
      <c r="N95">
        <v>1013</v>
      </c>
      <c r="O95" t="s">
        <v>365</v>
      </c>
      <c r="P95" t="s">
        <v>365</v>
      </c>
      <c r="Q95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 t="s">
        <v>78</v>
      </c>
      <c r="AG95">
        <v>1.2</v>
      </c>
      <c r="AH95">
        <v>2</v>
      </c>
      <c r="AI95">
        <v>55915586</v>
      </c>
      <c r="AJ95">
        <v>81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ROW(Source!A166)</f>
        <v>166</v>
      </c>
      <c r="B96">
        <v>55915587</v>
      </c>
      <c r="C96">
        <v>55915585</v>
      </c>
      <c r="D96">
        <v>55459793</v>
      </c>
      <c r="E96">
        <v>1</v>
      </c>
      <c r="F96">
        <v>1</v>
      </c>
      <c r="G96">
        <v>1081</v>
      </c>
      <c r="H96">
        <v>3</v>
      </c>
      <c r="I96" t="s">
        <v>369</v>
      </c>
      <c r="J96" t="s">
        <v>370</v>
      </c>
      <c r="K96" t="s">
        <v>371</v>
      </c>
      <c r="L96">
        <v>1348</v>
      </c>
      <c r="N96">
        <v>1009</v>
      </c>
      <c r="O96" t="s">
        <v>324</v>
      </c>
      <c r="P96" t="s">
        <v>324</v>
      </c>
      <c r="Q96">
        <v>1000</v>
      </c>
      <c r="X96">
        <v>1.0000000000000001E-5</v>
      </c>
      <c r="Y96">
        <v>64123.05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77</v>
      </c>
      <c r="AG96">
        <v>1.0000000000000001E-5</v>
      </c>
      <c r="AH96">
        <v>2</v>
      </c>
      <c r="AI96">
        <v>55915587</v>
      </c>
      <c r="AJ96">
        <v>82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ROW(Source!A166)</f>
        <v>166</v>
      </c>
      <c r="B97">
        <v>55915588</v>
      </c>
      <c r="C97">
        <v>55915585</v>
      </c>
      <c r="D97">
        <v>55487942</v>
      </c>
      <c r="E97">
        <v>1</v>
      </c>
      <c r="F97">
        <v>1</v>
      </c>
      <c r="G97">
        <v>1081</v>
      </c>
      <c r="H97">
        <v>3</v>
      </c>
      <c r="I97" t="s">
        <v>375</v>
      </c>
      <c r="J97" t="s">
        <v>376</v>
      </c>
      <c r="K97" t="s">
        <v>377</v>
      </c>
      <c r="L97">
        <v>1303</v>
      </c>
      <c r="N97">
        <v>1003</v>
      </c>
      <c r="O97" t="s">
        <v>378</v>
      </c>
      <c r="P97" t="s">
        <v>378</v>
      </c>
      <c r="Q97">
        <v>1000</v>
      </c>
      <c r="X97">
        <v>2E-3</v>
      </c>
      <c r="Y97">
        <v>516.63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 t="s">
        <v>77</v>
      </c>
      <c r="AG97">
        <v>2E-3</v>
      </c>
      <c r="AH97">
        <v>2</v>
      </c>
      <c r="AI97">
        <v>55915588</v>
      </c>
      <c r="AJ97">
        <v>83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ROW(Source!A166)</f>
        <v>166</v>
      </c>
      <c r="B98">
        <v>55915589</v>
      </c>
      <c r="C98">
        <v>55915585</v>
      </c>
      <c r="D98">
        <v>55431425</v>
      </c>
      <c r="E98">
        <v>1081</v>
      </c>
      <c r="F98">
        <v>1</v>
      </c>
      <c r="G98">
        <v>1081</v>
      </c>
      <c r="H98">
        <v>3</v>
      </c>
      <c r="I98" t="s">
        <v>451</v>
      </c>
      <c r="J98" t="s">
        <v>3</v>
      </c>
      <c r="K98" t="s">
        <v>452</v>
      </c>
      <c r="L98">
        <v>1354</v>
      </c>
      <c r="N98">
        <v>1010</v>
      </c>
      <c r="O98" t="s">
        <v>191</v>
      </c>
      <c r="P98" t="s">
        <v>191</v>
      </c>
      <c r="Q98">
        <v>1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77</v>
      </c>
      <c r="AG98">
        <v>1</v>
      </c>
      <c r="AH98">
        <v>3</v>
      </c>
      <c r="AI98">
        <v>-1</v>
      </c>
      <c r="AJ98" t="s">
        <v>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ROW(Source!A167)</f>
        <v>167</v>
      </c>
      <c r="B99">
        <v>55915586</v>
      </c>
      <c r="C99">
        <v>55915585</v>
      </c>
      <c r="D99">
        <v>55424304</v>
      </c>
      <c r="E99">
        <v>1081</v>
      </c>
      <c r="F99">
        <v>1</v>
      </c>
      <c r="G99">
        <v>1081</v>
      </c>
      <c r="H99">
        <v>1</v>
      </c>
      <c r="I99" t="s">
        <v>363</v>
      </c>
      <c r="J99" t="s">
        <v>3</v>
      </c>
      <c r="K99" t="s">
        <v>364</v>
      </c>
      <c r="L99">
        <v>1191</v>
      </c>
      <c r="N99">
        <v>1013</v>
      </c>
      <c r="O99" t="s">
        <v>365</v>
      </c>
      <c r="P99" t="s">
        <v>365</v>
      </c>
      <c r="Q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 t="s">
        <v>78</v>
      </c>
      <c r="AG99">
        <v>1.2</v>
      </c>
      <c r="AH99">
        <v>2</v>
      </c>
      <c r="AI99">
        <v>55915586</v>
      </c>
      <c r="AJ99">
        <v>84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ROW(Source!A167)</f>
        <v>167</v>
      </c>
      <c r="B100">
        <v>55915587</v>
      </c>
      <c r="C100">
        <v>55915585</v>
      </c>
      <c r="D100">
        <v>55459793</v>
      </c>
      <c r="E100">
        <v>1</v>
      </c>
      <c r="F100">
        <v>1</v>
      </c>
      <c r="G100">
        <v>1081</v>
      </c>
      <c r="H100">
        <v>3</v>
      </c>
      <c r="I100" t="s">
        <v>369</v>
      </c>
      <c r="J100" t="s">
        <v>370</v>
      </c>
      <c r="K100" t="s">
        <v>371</v>
      </c>
      <c r="L100">
        <v>1348</v>
      </c>
      <c r="N100">
        <v>1009</v>
      </c>
      <c r="O100" t="s">
        <v>324</v>
      </c>
      <c r="P100" t="s">
        <v>324</v>
      </c>
      <c r="Q100">
        <v>1000</v>
      </c>
      <c r="X100">
        <v>1.0000000000000001E-5</v>
      </c>
      <c r="Y100">
        <v>64123.05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77</v>
      </c>
      <c r="AG100">
        <v>1.0000000000000001E-5</v>
      </c>
      <c r="AH100">
        <v>2</v>
      </c>
      <c r="AI100">
        <v>55915587</v>
      </c>
      <c r="AJ100">
        <v>85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ROW(Source!A167)</f>
        <v>167</v>
      </c>
      <c r="B101">
        <v>55915588</v>
      </c>
      <c r="C101">
        <v>55915585</v>
      </c>
      <c r="D101">
        <v>55487942</v>
      </c>
      <c r="E101">
        <v>1</v>
      </c>
      <c r="F101">
        <v>1</v>
      </c>
      <c r="G101">
        <v>1081</v>
      </c>
      <c r="H101">
        <v>3</v>
      </c>
      <c r="I101" t="s">
        <v>375</v>
      </c>
      <c r="J101" t="s">
        <v>376</v>
      </c>
      <c r="K101" t="s">
        <v>377</v>
      </c>
      <c r="L101">
        <v>1303</v>
      </c>
      <c r="N101">
        <v>1003</v>
      </c>
      <c r="O101" t="s">
        <v>378</v>
      </c>
      <c r="P101" t="s">
        <v>378</v>
      </c>
      <c r="Q101">
        <v>1000</v>
      </c>
      <c r="X101">
        <v>2E-3</v>
      </c>
      <c r="Y101">
        <v>516.63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77</v>
      </c>
      <c r="AG101">
        <v>2E-3</v>
      </c>
      <c r="AH101">
        <v>2</v>
      </c>
      <c r="AI101">
        <v>55915588</v>
      </c>
      <c r="AJ101">
        <v>86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ROW(Source!A167)</f>
        <v>167</v>
      </c>
      <c r="B102">
        <v>55915589</v>
      </c>
      <c r="C102">
        <v>55915585</v>
      </c>
      <c r="D102">
        <v>55431425</v>
      </c>
      <c r="E102">
        <v>1081</v>
      </c>
      <c r="F102">
        <v>1</v>
      </c>
      <c r="G102">
        <v>1081</v>
      </c>
      <c r="H102">
        <v>3</v>
      </c>
      <c r="I102" t="s">
        <v>451</v>
      </c>
      <c r="J102" t="s">
        <v>3</v>
      </c>
      <c r="K102" t="s">
        <v>452</v>
      </c>
      <c r="L102">
        <v>1354</v>
      </c>
      <c r="N102">
        <v>1010</v>
      </c>
      <c r="O102" t="s">
        <v>191</v>
      </c>
      <c r="P102" t="s">
        <v>191</v>
      </c>
      <c r="Q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77</v>
      </c>
      <c r="AG102">
        <v>1</v>
      </c>
      <c r="AH102">
        <v>3</v>
      </c>
      <c r="AI102">
        <v>-1</v>
      </c>
      <c r="AJ102" t="s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ROW(Source!A207)</f>
        <v>207</v>
      </c>
      <c r="B103">
        <v>55915657</v>
      </c>
      <c r="C103">
        <v>55915656</v>
      </c>
      <c r="D103">
        <v>55424304</v>
      </c>
      <c r="E103">
        <v>1081</v>
      </c>
      <c r="F103">
        <v>1</v>
      </c>
      <c r="G103">
        <v>1081</v>
      </c>
      <c r="H103">
        <v>1</v>
      </c>
      <c r="I103" t="s">
        <v>363</v>
      </c>
      <c r="J103" t="s">
        <v>3</v>
      </c>
      <c r="K103" t="s">
        <v>364</v>
      </c>
      <c r="L103">
        <v>1191</v>
      </c>
      <c r="N103">
        <v>1013</v>
      </c>
      <c r="O103" t="s">
        <v>365</v>
      </c>
      <c r="P103" t="s">
        <v>365</v>
      </c>
      <c r="Q103">
        <v>1</v>
      </c>
      <c r="X103">
        <v>3.18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 t="s">
        <v>78</v>
      </c>
      <c r="AG103">
        <v>3.8159999999999998</v>
      </c>
      <c r="AH103">
        <v>2</v>
      </c>
      <c r="AI103">
        <v>55915657</v>
      </c>
      <c r="AJ103">
        <v>87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ROW(Source!A207)</f>
        <v>207</v>
      </c>
      <c r="B104">
        <v>55915658</v>
      </c>
      <c r="C104">
        <v>55915656</v>
      </c>
      <c r="D104">
        <v>55461074</v>
      </c>
      <c r="E104">
        <v>1</v>
      </c>
      <c r="F104">
        <v>1</v>
      </c>
      <c r="G104">
        <v>1081</v>
      </c>
      <c r="H104">
        <v>3</v>
      </c>
      <c r="I104" t="s">
        <v>366</v>
      </c>
      <c r="J104" t="s">
        <v>367</v>
      </c>
      <c r="K104" t="s">
        <v>368</v>
      </c>
      <c r="L104">
        <v>1346</v>
      </c>
      <c r="N104">
        <v>1009</v>
      </c>
      <c r="O104" t="s">
        <v>339</v>
      </c>
      <c r="P104" t="s">
        <v>339</v>
      </c>
      <c r="Q104">
        <v>1</v>
      </c>
      <c r="X104">
        <v>6.2700000000000004E-3</v>
      </c>
      <c r="Y104">
        <v>27.62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77</v>
      </c>
      <c r="AG104">
        <v>6.2700000000000004E-3</v>
      </c>
      <c r="AH104">
        <v>2</v>
      </c>
      <c r="AI104">
        <v>55915658</v>
      </c>
      <c r="AJ104">
        <v>88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ROW(Source!A207)</f>
        <v>207</v>
      </c>
      <c r="B105">
        <v>55915659</v>
      </c>
      <c r="C105">
        <v>55915656</v>
      </c>
      <c r="D105">
        <v>55459793</v>
      </c>
      <c r="E105">
        <v>1</v>
      </c>
      <c r="F105">
        <v>1</v>
      </c>
      <c r="G105">
        <v>1081</v>
      </c>
      <c r="H105">
        <v>3</v>
      </c>
      <c r="I105" t="s">
        <v>369</v>
      </c>
      <c r="J105" t="s">
        <v>370</v>
      </c>
      <c r="K105" t="s">
        <v>371</v>
      </c>
      <c r="L105">
        <v>1348</v>
      </c>
      <c r="N105">
        <v>1009</v>
      </c>
      <c r="O105" t="s">
        <v>324</v>
      </c>
      <c r="P105" t="s">
        <v>324</v>
      </c>
      <c r="Q105">
        <v>1000</v>
      </c>
      <c r="X105">
        <v>1.0000000000000001E-5</v>
      </c>
      <c r="Y105">
        <v>64123.05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0</v>
      </c>
      <c r="AF105" t="s">
        <v>77</v>
      </c>
      <c r="AG105">
        <v>1.0000000000000001E-5</v>
      </c>
      <c r="AH105">
        <v>2</v>
      </c>
      <c r="AI105">
        <v>55915659</v>
      </c>
      <c r="AJ105">
        <v>89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ROW(Source!A207)</f>
        <v>207</v>
      </c>
      <c r="B106">
        <v>55915660</v>
      </c>
      <c r="C106">
        <v>55915656</v>
      </c>
      <c r="D106">
        <v>55469253</v>
      </c>
      <c r="E106">
        <v>1</v>
      </c>
      <c r="F106">
        <v>1</v>
      </c>
      <c r="G106">
        <v>1081</v>
      </c>
      <c r="H106">
        <v>3</v>
      </c>
      <c r="I106" t="s">
        <v>372</v>
      </c>
      <c r="J106" t="s">
        <v>373</v>
      </c>
      <c r="K106" t="s">
        <v>374</v>
      </c>
      <c r="L106">
        <v>1354</v>
      </c>
      <c r="N106">
        <v>1010</v>
      </c>
      <c r="O106" t="s">
        <v>191</v>
      </c>
      <c r="P106" t="s">
        <v>191</v>
      </c>
      <c r="Q106">
        <v>1</v>
      </c>
      <c r="X106">
        <v>0.1</v>
      </c>
      <c r="Y106">
        <v>15.25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77</v>
      </c>
      <c r="AG106">
        <v>0.1</v>
      </c>
      <c r="AH106">
        <v>2</v>
      </c>
      <c r="AI106">
        <v>55915660</v>
      </c>
      <c r="AJ106">
        <v>90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ROW(Source!A207)</f>
        <v>207</v>
      </c>
      <c r="B107">
        <v>55915661</v>
      </c>
      <c r="C107">
        <v>55915656</v>
      </c>
      <c r="D107">
        <v>55441135</v>
      </c>
      <c r="E107">
        <v>1081</v>
      </c>
      <c r="F107">
        <v>1</v>
      </c>
      <c r="G107">
        <v>1081</v>
      </c>
      <c r="H107">
        <v>3</v>
      </c>
      <c r="I107" t="s">
        <v>453</v>
      </c>
      <c r="J107" t="s">
        <v>3</v>
      </c>
      <c r="K107" t="s">
        <v>454</v>
      </c>
      <c r="L107">
        <v>1354</v>
      </c>
      <c r="N107">
        <v>1010</v>
      </c>
      <c r="O107" t="s">
        <v>191</v>
      </c>
      <c r="P107" t="s">
        <v>191</v>
      </c>
      <c r="Q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77</v>
      </c>
      <c r="AG107">
        <v>1</v>
      </c>
      <c r="AH107">
        <v>3</v>
      </c>
      <c r="AI107">
        <v>-1</v>
      </c>
      <c r="AJ107" t="s">
        <v>3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ROW(Source!A208)</f>
        <v>208</v>
      </c>
      <c r="B108">
        <v>55915657</v>
      </c>
      <c r="C108">
        <v>55915656</v>
      </c>
      <c r="D108">
        <v>55424304</v>
      </c>
      <c r="E108">
        <v>1081</v>
      </c>
      <c r="F108">
        <v>1</v>
      </c>
      <c r="G108">
        <v>1081</v>
      </c>
      <c r="H108">
        <v>1</v>
      </c>
      <c r="I108" t="s">
        <v>363</v>
      </c>
      <c r="J108" t="s">
        <v>3</v>
      </c>
      <c r="K108" t="s">
        <v>364</v>
      </c>
      <c r="L108">
        <v>1191</v>
      </c>
      <c r="N108">
        <v>1013</v>
      </c>
      <c r="O108" t="s">
        <v>365</v>
      </c>
      <c r="P108" t="s">
        <v>365</v>
      </c>
      <c r="Q108">
        <v>1</v>
      </c>
      <c r="X108">
        <v>3.18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1</v>
      </c>
      <c r="AF108" t="s">
        <v>78</v>
      </c>
      <c r="AG108">
        <v>3.8159999999999998</v>
      </c>
      <c r="AH108">
        <v>2</v>
      </c>
      <c r="AI108">
        <v>55915657</v>
      </c>
      <c r="AJ108">
        <v>91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ROW(Source!A208)</f>
        <v>208</v>
      </c>
      <c r="B109">
        <v>55915658</v>
      </c>
      <c r="C109">
        <v>55915656</v>
      </c>
      <c r="D109">
        <v>55461074</v>
      </c>
      <c r="E109">
        <v>1</v>
      </c>
      <c r="F109">
        <v>1</v>
      </c>
      <c r="G109">
        <v>1081</v>
      </c>
      <c r="H109">
        <v>3</v>
      </c>
      <c r="I109" t="s">
        <v>366</v>
      </c>
      <c r="J109" t="s">
        <v>367</v>
      </c>
      <c r="K109" t="s">
        <v>368</v>
      </c>
      <c r="L109">
        <v>1346</v>
      </c>
      <c r="N109">
        <v>1009</v>
      </c>
      <c r="O109" t="s">
        <v>339</v>
      </c>
      <c r="P109" t="s">
        <v>339</v>
      </c>
      <c r="Q109">
        <v>1</v>
      </c>
      <c r="X109">
        <v>6.2700000000000004E-3</v>
      </c>
      <c r="Y109">
        <v>27.62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 t="s">
        <v>77</v>
      </c>
      <c r="AG109">
        <v>6.2700000000000004E-3</v>
      </c>
      <c r="AH109">
        <v>2</v>
      </c>
      <c r="AI109">
        <v>55915658</v>
      </c>
      <c r="AJ109">
        <v>92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ROW(Source!A208)</f>
        <v>208</v>
      </c>
      <c r="B110">
        <v>55915659</v>
      </c>
      <c r="C110">
        <v>55915656</v>
      </c>
      <c r="D110">
        <v>55459793</v>
      </c>
      <c r="E110">
        <v>1</v>
      </c>
      <c r="F110">
        <v>1</v>
      </c>
      <c r="G110">
        <v>1081</v>
      </c>
      <c r="H110">
        <v>3</v>
      </c>
      <c r="I110" t="s">
        <v>369</v>
      </c>
      <c r="J110" t="s">
        <v>370</v>
      </c>
      <c r="K110" t="s">
        <v>371</v>
      </c>
      <c r="L110">
        <v>1348</v>
      </c>
      <c r="N110">
        <v>1009</v>
      </c>
      <c r="O110" t="s">
        <v>324</v>
      </c>
      <c r="P110" t="s">
        <v>324</v>
      </c>
      <c r="Q110">
        <v>1000</v>
      </c>
      <c r="X110">
        <v>1.0000000000000001E-5</v>
      </c>
      <c r="Y110">
        <v>64123.05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 t="s">
        <v>77</v>
      </c>
      <c r="AG110">
        <v>1.0000000000000001E-5</v>
      </c>
      <c r="AH110">
        <v>2</v>
      </c>
      <c r="AI110">
        <v>55915659</v>
      </c>
      <c r="AJ110">
        <v>93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ROW(Source!A208)</f>
        <v>208</v>
      </c>
      <c r="B111">
        <v>55915660</v>
      </c>
      <c r="C111">
        <v>55915656</v>
      </c>
      <c r="D111">
        <v>55469253</v>
      </c>
      <c r="E111">
        <v>1</v>
      </c>
      <c r="F111">
        <v>1</v>
      </c>
      <c r="G111">
        <v>1081</v>
      </c>
      <c r="H111">
        <v>3</v>
      </c>
      <c r="I111" t="s">
        <v>372</v>
      </c>
      <c r="J111" t="s">
        <v>373</v>
      </c>
      <c r="K111" t="s">
        <v>374</v>
      </c>
      <c r="L111">
        <v>1354</v>
      </c>
      <c r="N111">
        <v>1010</v>
      </c>
      <c r="O111" t="s">
        <v>191</v>
      </c>
      <c r="P111" t="s">
        <v>191</v>
      </c>
      <c r="Q111">
        <v>1</v>
      </c>
      <c r="X111">
        <v>0.1</v>
      </c>
      <c r="Y111">
        <v>15.25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77</v>
      </c>
      <c r="AG111">
        <v>0.1</v>
      </c>
      <c r="AH111">
        <v>2</v>
      </c>
      <c r="AI111">
        <v>55915660</v>
      </c>
      <c r="AJ111">
        <v>94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ROW(Source!A208)</f>
        <v>208</v>
      </c>
      <c r="B112">
        <v>55915661</v>
      </c>
      <c r="C112">
        <v>55915656</v>
      </c>
      <c r="D112">
        <v>55441135</v>
      </c>
      <c r="E112">
        <v>1081</v>
      </c>
      <c r="F112">
        <v>1</v>
      </c>
      <c r="G112">
        <v>1081</v>
      </c>
      <c r="H112">
        <v>3</v>
      </c>
      <c r="I112" t="s">
        <v>453</v>
      </c>
      <c r="J112" t="s">
        <v>3</v>
      </c>
      <c r="K112" t="s">
        <v>454</v>
      </c>
      <c r="L112">
        <v>1354</v>
      </c>
      <c r="N112">
        <v>1010</v>
      </c>
      <c r="O112" t="s">
        <v>191</v>
      </c>
      <c r="P112" t="s">
        <v>191</v>
      </c>
      <c r="Q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 t="s">
        <v>77</v>
      </c>
      <c r="AG112">
        <v>1</v>
      </c>
      <c r="AH112">
        <v>3</v>
      </c>
      <c r="AI112">
        <v>-1</v>
      </c>
      <c r="AJ112" t="s">
        <v>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ROW(Source!A252)</f>
        <v>252</v>
      </c>
      <c r="B113">
        <v>55915750</v>
      </c>
      <c r="C113">
        <v>55915745</v>
      </c>
      <c r="D113">
        <v>55424304</v>
      </c>
      <c r="E113">
        <v>1081</v>
      </c>
      <c r="F113">
        <v>1</v>
      </c>
      <c r="G113">
        <v>1081</v>
      </c>
      <c r="H113">
        <v>1</v>
      </c>
      <c r="I113" t="s">
        <v>363</v>
      </c>
      <c r="J113" t="s">
        <v>3</v>
      </c>
      <c r="K113" t="s">
        <v>364</v>
      </c>
      <c r="L113">
        <v>1191</v>
      </c>
      <c r="N113">
        <v>1013</v>
      </c>
      <c r="O113" t="s">
        <v>365</v>
      </c>
      <c r="P113" t="s">
        <v>365</v>
      </c>
      <c r="Q113">
        <v>1</v>
      </c>
      <c r="X113">
        <v>3.18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78</v>
      </c>
      <c r="AG113">
        <v>3.8159999999999998</v>
      </c>
      <c r="AH113">
        <v>2</v>
      </c>
      <c r="AI113">
        <v>55915746</v>
      </c>
      <c r="AJ113">
        <v>95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ROW(Source!A252)</f>
        <v>252</v>
      </c>
      <c r="B114">
        <v>55915751</v>
      </c>
      <c r="C114">
        <v>55915745</v>
      </c>
      <c r="D114">
        <v>55461074</v>
      </c>
      <c r="E114">
        <v>1</v>
      </c>
      <c r="F114">
        <v>1</v>
      </c>
      <c r="G114">
        <v>1081</v>
      </c>
      <c r="H114">
        <v>3</v>
      </c>
      <c r="I114" t="s">
        <v>366</v>
      </c>
      <c r="J114" t="s">
        <v>367</v>
      </c>
      <c r="K114" t="s">
        <v>368</v>
      </c>
      <c r="L114">
        <v>1346</v>
      </c>
      <c r="N114">
        <v>1009</v>
      </c>
      <c r="O114" t="s">
        <v>339</v>
      </c>
      <c r="P114" t="s">
        <v>339</v>
      </c>
      <c r="Q114">
        <v>1</v>
      </c>
      <c r="X114">
        <v>6.2700000000000004E-3</v>
      </c>
      <c r="Y114">
        <v>27.62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77</v>
      </c>
      <c r="AG114">
        <v>6.2700000000000004E-3</v>
      </c>
      <c r="AH114">
        <v>2</v>
      </c>
      <c r="AI114">
        <v>55915747</v>
      </c>
      <c r="AJ114">
        <v>96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ROW(Source!A252)</f>
        <v>252</v>
      </c>
      <c r="B115">
        <v>55915752</v>
      </c>
      <c r="C115">
        <v>55915745</v>
      </c>
      <c r="D115">
        <v>55459793</v>
      </c>
      <c r="E115">
        <v>1</v>
      </c>
      <c r="F115">
        <v>1</v>
      </c>
      <c r="G115">
        <v>1081</v>
      </c>
      <c r="H115">
        <v>3</v>
      </c>
      <c r="I115" t="s">
        <v>369</v>
      </c>
      <c r="J115" t="s">
        <v>370</v>
      </c>
      <c r="K115" t="s">
        <v>371</v>
      </c>
      <c r="L115">
        <v>1348</v>
      </c>
      <c r="N115">
        <v>1009</v>
      </c>
      <c r="O115" t="s">
        <v>324</v>
      </c>
      <c r="P115" t="s">
        <v>324</v>
      </c>
      <c r="Q115">
        <v>1000</v>
      </c>
      <c r="X115">
        <v>1.0000000000000001E-5</v>
      </c>
      <c r="Y115">
        <v>64123.05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77</v>
      </c>
      <c r="AG115">
        <v>1.0000000000000001E-5</v>
      </c>
      <c r="AH115">
        <v>2</v>
      </c>
      <c r="AI115">
        <v>55915748</v>
      </c>
      <c r="AJ115">
        <v>97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ROW(Source!A252)</f>
        <v>252</v>
      </c>
      <c r="B116">
        <v>55915753</v>
      </c>
      <c r="C116">
        <v>55915745</v>
      </c>
      <c r="D116">
        <v>55469253</v>
      </c>
      <c r="E116">
        <v>1</v>
      </c>
      <c r="F116">
        <v>1</v>
      </c>
      <c r="G116">
        <v>1081</v>
      </c>
      <c r="H116">
        <v>3</v>
      </c>
      <c r="I116" t="s">
        <v>372</v>
      </c>
      <c r="J116" t="s">
        <v>373</v>
      </c>
      <c r="K116" t="s">
        <v>374</v>
      </c>
      <c r="L116">
        <v>1354</v>
      </c>
      <c r="N116">
        <v>1010</v>
      </c>
      <c r="O116" t="s">
        <v>191</v>
      </c>
      <c r="P116" t="s">
        <v>191</v>
      </c>
      <c r="Q116">
        <v>1</v>
      </c>
      <c r="X116">
        <v>0.1</v>
      </c>
      <c r="Y116">
        <v>15.25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77</v>
      </c>
      <c r="AG116">
        <v>0.1</v>
      </c>
      <c r="AH116">
        <v>2</v>
      </c>
      <c r="AI116">
        <v>55915749</v>
      </c>
      <c r="AJ116">
        <v>98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ROW(Source!A252)</f>
        <v>252</v>
      </c>
      <c r="B117">
        <v>55915754</v>
      </c>
      <c r="C117">
        <v>55915745</v>
      </c>
      <c r="D117">
        <v>55441135</v>
      </c>
      <c r="E117">
        <v>1081</v>
      </c>
      <c r="F117">
        <v>1</v>
      </c>
      <c r="G117">
        <v>1081</v>
      </c>
      <c r="H117">
        <v>3</v>
      </c>
      <c r="I117" t="s">
        <v>453</v>
      </c>
      <c r="J117" t="s">
        <v>3</v>
      </c>
      <c r="K117" t="s">
        <v>454</v>
      </c>
      <c r="L117">
        <v>1354</v>
      </c>
      <c r="N117">
        <v>1010</v>
      </c>
      <c r="O117" t="s">
        <v>191</v>
      </c>
      <c r="P117" t="s">
        <v>191</v>
      </c>
      <c r="Q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77</v>
      </c>
      <c r="AG117">
        <v>1</v>
      </c>
      <c r="AH117">
        <v>3</v>
      </c>
      <c r="AI117">
        <v>-1</v>
      </c>
      <c r="AJ117" t="s">
        <v>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ROW(Source!A253)</f>
        <v>253</v>
      </c>
      <c r="B118">
        <v>55915750</v>
      </c>
      <c r="C118">
        <v>55915745</v>
      </c>
      <c r="D118">
        <v>55424304</v>
      </c>
      <c r="E118">
        <v>1081</v>
      </c>
      <c r="F118">
        <v>1</v>
      </c>
      <c r="G118">
        <v>1081</v>
      </c>
      <c r="H118">
        <v>1</v>
      </c>
      <c r="I118" t="s">
        <v>363</v>
      </c>
      <c r="J118" t="s">
        <v>3</v>
      </c>
      <c r="K118" t="s">
        <v>364</v>
      </c>
      <c r="L118">
        <v>1191</v>
      </c>
      <c r="N118">
        <v>1013</v>
      </c>
      <c r="O118" t="s">
        <v>365</v>
      </c>
      <c r="P118" t="s">
        <v>365</v>
      </c>
      <c r="Q118">
        <v>1</v>
      </c>
      <c r="X118">
        <v>3.18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1</v>
      </c>
      <c r="AF118" t="s">
        <v>78</v>
      </c>
      <c r="AG118">
        <v>3.8159999999999998</v>
      </c>
      <c r="AH118">
        <v>2</v>
      </c>
      <c r="AI118">
        <v>55915746</v>
      </c>
      <c r="AJ118">
        <v>99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ROW(Source!A253)</f>
        <v>253</v>
      </c>
      <c r="B119">
        <v>55915751</v>
      </c>
      <c r="C119">
        <v>55915745</v>
      </c>
      <c r="D119">
        <v>55461074</v>
      </c>
      <c r="E119">
        <v>1</v>
      </c>
      <c r="F119">
        <v>1</v>
      </c>
      <c r="G119">
        <v>1081</v>
      </c>
      <c r="H119">
        <v>3</v>
      </c>
      <c r="I119" t="s">
        <v>366</v>
      </c>
      <c r="J119" t="s">
        <v>367</v>
      </c>
      <c r="K119" t="s">
        <v>368</v>
      </c>
      <c r="L119">
        <v>1346</v>
      </c>
      <c r="N119">
        <v>1009</v>
      </c>
      <c r="O119" t="s">
        <v>339</v>
      </c>
      <c r="P119" t="s">
        <v>339</v>
      </c>
      <c r="Q119">
        <v>1</v>
      </c>
      <c r="X119">
        <v>6.2700000000000004E-3</v>
      </c>
      <c r="Y119">
        <v>27.62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77</v>
      </c>
      <c r="AG119">
        <v>6.2700000000000004E-3</v>
      </c>
      <c r="AH119">
        <v>2</v>
      </c>
      <c r="AI119">
        <v>55915747</v>
      </c>
      <c r="AJ119">
        <v>100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ROW(Source!A253)</f>
        <v>253</v>
      </c>
      <c r="B120">
        <v>55915752</v>
      </c>
      <c r="C120">
        <v>55915745</v>
      </c>
      <c r="D120">
        <v>55459793</v>
      </c>
      <c r="E120">
        <v>1</v>
      </c>
      <c r="F120">
        <v>1</v>
      </c>
      <c r="G120">
        <v>1081</v>
      </c>
      <c r="H120">
        <v>3</v>
      </c>
      <c r="I120" t="s">
        <v>369</v>
      </c>
      <c r="J120" t="s">
        <v>370</v>
      </c>
      <c r="K120" t="s">
        <v>371</v>
      </c>
      <c r="L120">
        <v>1348</v>
      </c>
      <c r="N120">
        <v>1009</v>
      </c>
      <c r="O120" t="s">
        <v>324</v>
      </c>
      <c r="P120" t="s">
        <v>324</v>
      </c>
      <c r="Q120">
        <v>1000</v>
      </c>
      <c r="X120">
        <v>1.0000000000000001E-5</v>
      </c>
      <c r="Y120">
        <v>64123.05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77</v>
      </c>
      <c r="AG120">
        <v>1.0000000000000001E-5</v>
      </c>
      <c r="AH120">
        <v>2</v>
      </c>
      <c r="AI120">
        <v>55915748</v>
      </c>
      <c r="AJ120">
        <v>101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ROW(Source!A253)</f>
        <v>253</v>
      </c>
      <c r="B121">
        <v>55915753</v>
      </c>
      <c r="C121">
        <v>55915745</v>
      </c>
      <c r="D121">
        <v>55469253</v>
      </c>
      <c r="E121">
        <v>1</v>
      </c>
      <c r="F121">
        <v>1</v>
      </c>
      <c r="G121">
        <v>1081</v>
      </c>
      <c r="H121">
        <v>3</v>
      </c>
      <c r="I121" t="s">
        <v>372</v>
      </c>
      <c r="J121" t="s">
        <v>373</v>
      </c>
      <c r="K121" t="s">
        <v>374</v>
      </c>
      <c r="L121">
        <v>1354</v>
      </c>
      <c r="N121">
        <v>1010</v>
      </c>
      <c r="O121" t="s">
        <v>191</v>
      </c>
      <c r="P121" t="s">
        <v>191</v>
      </c>
      <c r="Q121">
        <v>1</v>
      </c>
      <c r="X121">
        <v>0.1</v>
      </c>
      <c r="Y121">
        <v>15.25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77</v>
      </c>
      <c r="AG121">
        <v>0.1</v>
      </c>
      <c r="AH121">
        <v>2</v>
      </c>
      <c r="AI121">
        <v>55915749</v>
      </c>
      <c r="AJ121">
        <v>102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ROW(Source!A253)</f>
        <v>253</v>
      </c>
      <c r="B122">
        <v>55915754</v>
      </c>
      <c r="C122">
        <v>55915745</v>
      </c>
      <c r="D122">
        <v>55441135</v>
      </c>
      <c r="E122">
        <v>1081</v>
      </c>
      <c r="F122">
        <v>1</v>
      </c>
      <c r="G122">
        <v>1081</v>
      </c>
      <c r="H122">
        <v>3</v>
      </c>
      <c r="I122" t="s">
        <v>453</v>
      </c>
      <c r="J122" t="s">
        <v>3</v>
      </c>
      <c r="K122" t="s">
        <v>454</v>
      </c>
      <c r="L122">
        <v>1354</v>
      </c>
      <c r="N122">
        <v>1010</v>
      </c>
      <c r="O122" t="s">
        <v>191</v>
      </c>
      <c r="P122" t="s">
        <v>191</v>
      </c>
      <c r="Q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 t="s">
        <v>77</v>
      </c>
      <c r="AG122">
        <v>1</v>
      </c>
      <c r="AH122">
        <v>3</v>
      </c>
      <c r="AI122">
        <v>-1</v>
      </c>
      <c r="AJ122" t="s">
        <v>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ROW(Source!A293)</f>
        <v>293</v>
      </c>
      <c r="B123">
        <v>55915823</v>
      </c>
      <c r="C123">
        <v>55915822</v>
      </c>
      <c r="D123">
        <v>55424304</v>
      </c>
      <c r="E123">
        <v>1081</v>
      </c>
      <c r="F123">
        <v>1</v>
      </c>
      <c r="G123">
        <v>1081</v>
      </c>
      <c r="H123">
        <v>1</v>
      </c>
      <c r="I123" t="s">
        <v>363</v>
      </c>
      <c r="J123" t="s">
        <v>3</v>
      </c>
      <c r="K123" t="s">
        <v>364</v>
      </c>
      <c r="L123">
        <v>1191</v>
      </c>
      <c r="N123">
        <v>1013</v>
      </c>
      <c r="O123" t="s">
        <v>365</v>
      </c>
      <c r="P123" t="s">
        <v>365</v>
      </c>
      <c r="Q123">
        <v>1</v>
      </c>
      <c r="X123">
        <v>16.600000000000001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 t="s">
        <v>78</v>
      </c>
      <c r="AG123">
        <v>19.920000000000002</v>
      </c>
      <c r="AH123">
        <v>2</v>
      </c>
      <c r="AI123">
        <v>55915823</v>
      </c>
      <c r="AJ123">
        <v>103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ROW(Source!A293)</f>
        <v>293</v>
      </c>
      <c r="B124">
        <v>55915824</v>
      </c>
      <c r="C124">
        <v>55915822</v>
      </c>
      <c r="D124">
        <v>55490263</v>
      </c>
      <c r="E124">
        <v>1</v>
      </c>
      <c r="F124">
        <v>1</v>
      </c>
      <c r="G124">
        <v>1081</v>
      </c>
      <c r="H124">
        <v>2</v>
      </c>
      <c r="I124" t="s">
        <v>387</v>
      </c>
      <c r="J124" t="s">
        <v>388</v>
      </c>
      <c r="K124" t="s">
        <v>389</v>
      </c>
      <c r="L124">
        <v>1368</v>
      </c>
      <c r="N124">
        <v>1011</v>
      </c>
      <c r="O124" t="s">
        <v>390</v>
      </c>
      <c r="P124" t="s">
        <v>390</v>
      </c>
      <c r="Q124">
        <v>1</v>
      </c>
      <c r="X124">
        <v>1.1499999999999999</v>
      </c>
      <c r="Y124">
        <v>0</v>
      </c>
      <c r="Z124">
        <v>0.77</v>
      </c>
      <c r="AA124">
        <v>0</v>
      </c>
      <c r="AB124">
        <v>0</v>
      </c>
      <c r="AC124">
        <v>0</v>
      </c>
      <c r="AD124">
        <v>1</v>
      </c>
      <c r="AE124">
        <v>0</v>
      </c>
      <c r="AF124" t="s">
        <v>78</v>
      </c>
      <c r="AG124">
        <v>1.38</v>
      </c>
      <c r="AH124">
        <v>2</v>
      </c>
      <c r="AI124">
        <v>55915824</v>
      </c>
      <c r="AJ124">
        <v>104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ROW(Source!A293)</f>
        <v>293</v>
      </c>
      <c r="B125">
        <v>55915825</v>
      </c>
      <c r="C125">
        <v>55915822</v>
      </c>
      <c r="D125">
        <v>55490296</v>
      </c>
      <c r="E125">
        <v>1</v>
      </c>
      <c r="F125">
        <v>1</v>
      </c>
      <c r="G125">
        <v>1081</v>
      </c>
      <c r="H125">
        <v>2</v>
      </c>
      <c r="I125" t="s">
        <v>391</v>
      </c>
      <c r="J125" t="s">
        <v>392</v>
      </c>
      <c r="K125" t="s">
        <v>393</v>
      </c>
      <c r="L125">
        <v>1368</v>
      </c>
      <c r="N125">
        <v>1011</v>
      </c>
      <c r="O125" t="s">
        <v>390</v>
      </c>
      <c r="P125" t="s">
        <v>390</v>
      </c>
      <c r="Q125">
        <v>1</v>
      </c>
      <c r="X125">
        <v>1.8</v>
      </c>
      <c r="Y125">
        <v>0</v>
      </c>
      <c r="Z125">
        <v>0.47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78</v>
      </c>
      <c r="AG125">
        <v>2.16</v>
      </c>
      <c r="AH125">
        <v>2</v>
      </c>
      <c r="AI125">
        <v>55915825</v>
      </c>
      <c r="AJ125">
        <v>105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ROW(Source!A293)</f>
        <v>293</v>
      </c>
      <c r="B126">
        <v>55915826</v>
      </c>
      <c r="C126">
        <v>55915822</v>
      </c>
      <c r="D126">
        <v>55460960</v>
      </c>
      <c r="E126">
        <v>1</v>
      </c>
      <c r="F126">
        <v>1</v>
      </c>
      <c r="G126">
        <v>1081</v>
      </c>
      <c r="H126">
        <v>3</v>
      </c>
      <c r="I126" t="s">
        <v>394</v>
      </c>
      <c r="J126" t="s">
        <v>395</v>
      </c>
      <c r="K126" t="s">
        <v>396</v>
      </c>
      <c r="L126">
        <v>1348</v>
      </c>
      <c r="N126">
        <v>1009</v>
      </c>
      <c r="O126" t="s">
        <v>324</v>
      </c>
      <c r="P126" t="s">
        <v>324</v>
      </c>
      <c r="Q126">
        <v>1000</v>
      </c>
      <c r="X126">
        <v>1E-3</v>
      </c>
      <c r="Y126">
        <v>58463.58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77</v>
      </c>
      <c r="AG126">
        <v>1E-3</v>
      </c>
      <c r="AH126">
        <v>2</v>
      </c>
      <c r="AI126">
        <v>55915826</v>
      </c>
      <c r="AJ126">
        <v>106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ROW(Source!A293)</f>
        <v>293</v>
      </c>
      <c r="B127">
        <v>55915827</v>
      </c>
      <c r="C127">
        <v>55915822</v>
      </c>
      <c r="D127">
        <v>55461791</v>
      </c>
      <c r="E127">
        <v>1</v>
      </c>
      <c r="F127">
        <v>1</v>
      </c>
      <c r="G127">
        <v>1081</v>
      </c>
      <c r="H127">
        <v>3</v>
      </c>
      <c r="I127" t="s">
        <v>397</v>
      </c>
      <c r="J127" t="s">
        <v>398</v>
      </c>
      <c r="K127" t="s">
        <v>399</v>
      </c>
      <c r="L127">
        <v>1355</v>
      </c>
      <c r="N127">
        <v>1010</v>
      </c>
      <c r="O127" t="s">
        <v>269</v>
      </c>
      <c r="P127" t="s">
        <v>269</v>
      </c>
      <c r="Q127">
        <v>100</v>
      </c>
      <c r="X127">
        <v>2.1419999999999999</v>
      </c>
      <c r="Y127">
        <v>10.6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77</v>
      </c>
      <c r="AG127">
        <v>2.1419999999999999</v>
      </c>
      <c r="AH127">
        <v>2</v>
      </c>
      <c r="AI127">
        <v>55915827</v>
      </c>
      <c r="AJ127">
        <v>107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ROW(Source!A293)</f>
        <v>293</v>
      </c>
      <c r="B128">
        <v>55915828</v>
      </c>
      <c r="C128">
        <v>55915822</v>
      </c>
      <c r="D128">
        <v>55482203</v>
      </c>
      <c r="E128">
        <v>1</v>
      </c>
      <c r="F128">
        <v>1</v>
      </c>
      <c r="G128">
        <v>1081</v>
      </c>
      <c r="H128">
        <v>3</v>
      </c>
      <c r="I128" t="s">
        <v>400</v>
      </c>
      <c r="J128" t="s">
        <v>401</v>
      </c>
      <c r="K128" t="s">
        <v>402</v>
      </c>
      <c r="L128">
        <v>1356</v>
      </c>
      <c r="N128">
        <v>1010</v>
      </c>
      <c r="O128" t="s">
        <v>403</v>
      </c>
      <c r="P128" t="s">
        <v>403</v>
      </c>
      <c r="Q128">
        <v>1000</v>
      </c>
      <c r="X128">
        <v>1.7000000000000001E-2</v>
      </c>
      <c r="Y128">
        <v>226.66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77</v>
      </c>
      <c r="AG128">
        <v>1.7000000000000001E-2</v>
      </c>
      <c r="AH128">
        <v>2</v>
      </c>
      <c r="AI128">
        <v>55915828</v>
      </c>
      <c r="AJ128">
        <v>109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ROW(Source!A293)</f>
        <v>293</v>
      </c>
      <c r="B129">
        <v>55915829</v>
      </c>
      <c r="C129">
        <v>55915822</v>
      </c>
      <c r="D129">
        <v>55481977</v>
      </c>
      <c r="E129">
        <v>1</v>
      </c>
      <c r="F129">
        <v>1</v>
      </c>
      <c r="G129">
        <v>1081</v>
      </c>
      <c r="H129">
        <v>3</v>
      </c>
      <c r="I129" t="s">
        <v>404</v>
      </c>
      <c r="J129" t="s">
        <v>405</v>
      </c>
      <c r="K129" t="s">
        <v>406</v>
      </c>
      <c r="L129">
        <v>1355</v>
      </c>
      <c r="N129">
        <v>1010</v>
      </c>
      <c r="O129" t="s">
        <v>269</v>
      </c>
      <c r="P129" t="s">
        <v>269</v>
      </c>
      <c r="Q129">
        <v>100</v>
      </c>
      <c r="X129">
        <v>0.17</v>
      </c>
      <c r="Y129">
        <v>26.71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77</v>
      </c>
      <c r="AG129">
        <v>0.17</v>
      </c>
      <c r="AH129">
        <v>2</v>
      </c>
      <c r="AI129">
        <v>55915829</v>
      </c>
      <c r="AJ129">
        <v>110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ROW(Source!A293)</f>
        <v>293</v>
      </c>
      <c r="B130">
        <v>55915830</v>
      </c>
      <c r="C130">
        <v>55915822</v>
      </c>
      <c r="D130">
        <v>55469271</v>
      </c>
      <c r="E130">
        <v>1</v>
      </c>
      <c r="F130">
        <v>1</v>
      </c>
      <c r="G130">
        <v>1081</v>
      </c>
      <c r="H130">
        <v>3</v>
      </c>
      <c r="I130" t="s">
        <v>407</v>
      </c>
      <c r="J130" t="s">
        <v>408</v>
      </c>
      <c r="K130" t="s">
        <v>409</v>
      </c>
      <c r="L130">
        <v>1354</v>
      </c>
      <c r="N130">
        <v>1010</v>
      </c>
      <c r="O130" t="s">
        <v>191</v>
      </c>
      <c r="P130" t="s">
        <v>191</v>
      </c>
      <c r="Q130">
        <v>1</v>
      </c>
      <c r="X130">
        <v>0.161</v>
      </c>
      <c r="Y130">
        <v>14.56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77</v>
      </c>
      <c r="AG130">
        <v>0.161</v>
      </c>
      <c r="AH130">
        <v>2</v>
      </c>
      <c r="AI130">
        <v>55915830</v>
      </c>
      <c r="AJ130">
        <v>111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ROW(Source!A293)</f>
        <v>293</v>
      </c>
      <c r="B131">
        <v>55915831</v>
      </c>
      <c r="C131">
        <v>55915822</v>
      </c>
      <c r="D131">
        <v>55428305</v>
      </c>
      <c r="E131">
        <v>1081</v>
      </c>
      <c r="F131">
        <v>1</v>
      </c>
      <c r="G131">
        <v>1081</v>
      </c>
      <c r="H131">
        <v>3</v>
      </c>
      <c r="I131" t="s">
        <v>459</v>
      </c>
      <c r="J131" t="s">
        <v>3</v>
      </c>
      <c r="K131" t="s">
        <v>460</v>
      </c>
      <c r="L131">
        <v>1301</v>
      </c>
      <c r="N131">
        <v>1003</v>
      </c>
      <c r="O131" t="s">
        <v>261</v>
      </c>
      <c r="P131" t="s">
        <v>261</v>
      </c>
      <c r="Q131">
        <v>1</v>
      </c>
      <c r="X131">
        <v>102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 t="s">
        <v>77</v>
      </c>
      <c r="AG131">
        <v>102</v>
      </c>
      <c r="AH131">
        <v>3</v>
      </c>
      <c r="AI131">
        <v>-1</v>
      </c>
      <c r="AJ131" t="s">
        <v>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ROW(Source!A293)</f>
        <v>293</v>
      </c>
      <c r="B132">
        <v>55915832</v>
      </c>
      <c r="C132">
        <v>55915822</v>
      </c>
      <c r="D132">
        <v>55432095</v>
      </c>
      <c r="E132">
        <v>1081</v>
      </c>
      <c r="F132">
        <v>1</v>
      </c>
      <c r="G132">
        <v>1081</v>
      </c>
      <c r="H132">
        <v>3</v>
      </c>
      <c r="I132" t="s">
        <v>461</v>
      </c>
      <c r="J132" t="s">
        <v>3</v>
      </c>
      <c r="K132" t="s">
        <v>462</v>
      </c>
      <c r="L132">
        <v>1355</v>
      </c>
      <c r="N132">
        <v>1010</v>
      </c>
      <c r="O132" t="s">
        <v>269</v>
      </c>
      <c r="P132" t="s">
        <v>269</v>
      </c>
      <c r="Q132">
        <v>100</v>
      </c>
      <c r="X132">
        <v>2.1640000000000001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 t="s">
        <v>77</v>
      </c>
      <c r="AG132">
        <v>2.1640000000000001</v>
      </c>
      <c r="AH132">
        <v>3</v>
      </c>
      <c r="AI132">
        <v>-1</v>
      </c>
      <c r="AJ132" t="s">
        <v>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ROW(Source!A293)</f>
        <v>293</v>
      </c>
      <c r="B133">
        <v>55915833</v>
      </c>
      <c r="C133">
        <v>55915822</v>
      </c>
      <c r="D133">
        <v>55438984</v>
      </c>
      <c r="E133">
        <v>1081</v>
      </c>
      <c r="F133">
        <v>1</v>
      </c>
      <c r="G133">
        <v>1081</v>
      </c>
      <c r="H133">
        <v>3</v>
      </c>
      <c r="I133" t="s">
        <v>463</v>
      </c>
      <c r="J133" t="s">
        <v>3</v>
      </c>
      <c r="K133" t="s">
        <v>464</v>
      </c>
      <c r="L133">
        <v>1303</v>
      </c>
      <c r="N133">
        <v>1003</v>
      </c>
      <c r="O133" t="s">
        <v>378</v>
      </c>
      <c r="P133" t="s">
        <v>378</v>
      </c>
      <c r="Q133">
        <v>1000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 t="s">
        <v>77</v>
      </c>
      <c r="AG133">
        <v>0</v>
      </c>
      <c r="AH133">
        <v>3</v>
      </c>
      <c r="AI133">
        <v>-1</v>
      </c>
      <c r="AJ133" t="s">
        <v>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ROW(Source!A294)</f>
        <v>294</v>
      </c>
      <c r="B134">
        <v>55915823</v>
      </c>
      <c r="C134">
        <v>55915822</v>
      </c>
      <c r="D134">
        <v>55424304</v>
      </c>
      <c r="E134">
        <v>1081</v>
      </c>
      <c r="F134">
        <v>1</v>
      </c>
      <c r="G134">
        <v>1081</v>
      </c>
      <c r="H134">
        <v>1</v>
      </c>
      <c r="I134" t="s">
        <v>363</v>
      </c>
      <c r="J134" t="s">
        <v>3</v>
      </c>
      <c r="K134" t="s">
        <v>364</v>
      </c>
      <c r="L134">
        <v>1191</v>
      </c>
      <c r="N134">
        <v>1013</v>
      </c>
      <c r="O134" t="s">
        <v>365</v>
      </c>
      <c r="P134" t="s">
        <v>365</v>
      </c>
      <c r="Q134">
        <v>1</v>
      </c>
      <c r="X134">
        <v>16.600000000000001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1</v>
      </c>
      <c r="AF134" t="s">
        <v>78</v>
      </c>
      <c r="AG134">
        <v>19.920000000000002</v>
      </c>
      <c r="AH134">
        <v>2</v>
      </c>
      <c r="AI134">
        <v>55915823</v>
      </c>
      <c r="AJ134">
        <v>113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ROW(Source!A294)</f>
        <v>294</v>
      </c>
      <c r="B135">
        <v>55915824</v>
      </c>
      <c r="C135">
        <v>55915822</v>
      </c>
      <c r="D135">
        <v>55490263</v>
      </c>
      <c r="E135">
        <v>1</v>
      </c>
      <c r="F135">
        <v>1</v>
      </c>
      <c r="G135">
        <v>1081</v>
      </c>
      <c r="H135">
        <v>2</v>
      </c>
      <c r="I135" t="s">
        <v>387</v>
      </c>
      <c r="J135" t="s">
        <v>388</v>
      </c>
      <c r="K135" t="s">
        <v>389</v>
      </c>
      <c r="L135">
        <v>1368</v>
      </c>
      <c r="N135">
        <v>1011</v>
      </c>
      <c r="O135" t="s">
        <v>390</v>
      </c>
      <c r="P135" t="s">
        <v>390</v>
      </c>
      <c r="Q135">
        <v>1</v>
      </c>
      <c r="X135">
        <v>1.1499999999999999</v>
      </c>
      <c r="Y135">
        <v>0</v>
      </c>
      <c r="Z135">
        <v>0.77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78</v>
      </c>
      <c r="AG135">
        <v>1.38</v>
      </c>
      <c r="AH135">
        <v>2</v>
      </c>
      <c r="AI135">
        <v>55915824</v>
      </c>
      <c r="AJ135">
        <v>114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ROW(Source!A294)</f>
        <v>294</v>
      </c>
      <c r="B136">
        <v>55915825</v>
      </c>
      <c r="C136">
        <v>55915822</v>
      </c>
      <c r="D136">
        <v>55490296</v>
      </c>
      <c r="E136">
        <v>1</v>
      </c>
      <c r="F136">
        <v>1</v>
      </c>
      <c r="G136">
        <v>1081</v>
      </c>
      <c r="H136">
        <v>2</v>
      </c>
      <c r="I136" t="s">
        <v>391</v>
      </c>
      <c r="J136" t="s">
        <v>392</v>
      </c>
      <c r="K136" t="s">
        <v>393</v>
      </c>
      <c r="L136">
        <v>1368</v>
      </c>
      <c r="N136">
        <v>1011</v>
      </c>
      <c r="O136" t="s">
        <v>390</v>
      </c>
      <c r="P136" t="s">
        <v>390</v>
      </c>
      <c r="Q136">
        <v>1</v>
      </c>
      <c r="X136">
        <v>1.8</v>
      </c>
      <c r="Y136">
        <v>0</v>
      </c>
      <c r="Z136">
        <v>0.47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78</v>
      </c>
      <c r="AG136">
        <v>2.16</v>
      </c>
      <c r="AH136">
        <v>2</v>
      </c>
      <c r="AI136">
        <v>55915825</v>
      </c>
      <c r="AJ136">
        <v>115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ROW(Source!A294)</f>
        <v>294</v>
      </c>
      <c r="B137">
        <v>55915826</v>
      </c>
      <c r="C137">
        <v>55915822</v>
      </c>
      <c r="D137">
        <v>55460960</v>
      </c>
      <c r="E137">
        <v>1</v>
      </c>
      <c r="F137">
        <v>1</v>
      </c>
      <c r="G137">
        <v>1081</v>
      </c>
      <c r="H137">
        <v>3</v>
      </c>
      <c r="I137" t="s">
        <v>394</v>
      </c>
      <c r="J137" t="s">
        <v>395</v>
      </c>
      <c r="K137" t="s">
        <v>396</v>
      </c>
      <c r="L137">
        <v>1348</v>
      </c>
      <c r="N137">
        <v>1009</v>
      </c>
      <c r="O137" t="s">
        <v>324</v>
      </c>
      <c r="P137" t="s">
        <v>324</v>
      </c>
      <c r="Q137">
        <v>1000</v>
      </c>
      <c r="X137">
        <v>1E-3</v>
      </c>
      <c r="Y137">
        <v>58463.58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77</v>
      </c>
      <c r="AG137">
        <v>1E-3</v>
      </c>
      <c r="AH137">
        <v>2</v>
      </c>
      <c r="AI137">
        <v>55915826</v>
      </c>
      <c r="AJ137">
        <v>116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ROW(Source!A294)</f>
        <v>294</v>
      </c>
      <c r="B138">
        <v>55915827</v>
      </c>
      <c r="C138">
        <v>55915822</v>
      </c>
      <c r="D138">
        <v>55461791</v>
      </c>
      <c r="E138">
        <v>1</v>
      </c>
      <c r="F138">
        <v>1</v>
      </c>
      <c r="G138">
        <v>1081</v>
      </c>
      <c r="H138">
        <v>3</v>
      </c>
      <c r="I138" t="s">
        <v>397</v>
      </c>
      <c r="J138" t="s">
        <v>398</v>
      </c>
      <c r="K138" t="s">
        <v>399</v>
      </c>
      <c r="L138">
        <v>1355</v>
      </c>
      <c r="N138">
        <v>1010</v>
      </c>
      <c r="O138" t="s">
        <v>269</v>
      </c>
      <c r="P138" t="s">
        <v>269</v>
      </c>
      <c r="Q138">
        <v>100</v>
      </c>
      <c r="X138">
        <v>2.1419999999999999</v>
      </c>
      <c r="Y138">
        <v>10.6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77</v>
      </c>
      <c r="AG138">
        <v>2.1419999999999999</v>
      </c>
      <c r="AH138">
        <v>2</v>
      </c>
      <c r="AI138">
        <v>55915827</v>
      </c>
      <c r="AJ138">
        <v>117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ROW(Source!A294)</f>
        <v>294</v>
      </c>
      <c r="B139">
        <v>55915828</v>
      </c>
      <c r="C139">
        <v>55915822</v>
      </c>
      <c r="D139">
        <v>55482203</v>
      </c>
      <c r="E139">
        <v>1</v>
      </c>
      <c r="F139">
        <v>1</v>
      </c>
      <c r="G139">
        <v>1081</v>
      </c>
      <c r="H139">
        <v>3</v>
      </c>
      <c r="I139" t="s">
        <v>400</v>
      </c>
      <c r="J139" t="s">
        <v>401</v>
      </c>
      <c r="K139" t="s">
        <v>402</v>
      </c>
      <c r="L139">
        <v>1356</v>
      </c>
      <c r="N139">
        <v>1010</v>
      </c>
      <c r="O139" t="s">
        <v>403</v>
      </c>
      <c r="P139" t="s">
        <v>403</v>
      </c>
      <c r="Q139">
        <v>1000</v>
      </c>
      <c r="X139">
        <v>1.7000000000000001E-2</v>
      </c>
      <c r="Y139">
        <v>226.66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77</v>
      </c>
      <c r="AG139">
        <v>1.7000000000000001E-2</v>
      </c>
      <c r="AH139">
        <v>2</v>
      </c>
      <c r="AI139">
        <v>55915828</v>
      </c>
      <c r="AJ139">
        <v>119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ROW(Source!A294)</f>
        <v>294</v>
      </c>
      <c r="B140">
        <v>55915829</v>
      </c>
      <c r="C140">
        <v>55915822</v>
      </c>
      <c r="D140">
        <v>55481977</v>
      </c>
      <c r="E140">
        <v>1</v>
      </c>
      <c r="F140">
        <v>1</v>
      </c>
      <c r="G140">
        <v>1081</v>
      </c>
      <c r="H140">
        <v>3</v>
      </c>
      <c r="I140" t="s">
        <v>404</v>
      </c>
      <c r="J140" t="s">
        <v>405</v>
      </c>
      <c r="K140" t="s">
        <v>406</v>
      </c>
      <c r="L140">
        <v>1355</v>
      </c>
      <c r="N140">
        <v>1010</v>
      </c>
      <c r="O140" t="s">
        <v>269</v>
      </c>
      <c r="P140" t="s">
        <v>269</v>
      </c>
      <c r="Q140">
        <v>100</v>
      </c>
      <c r="X140">
        <v>0.17</v>
      </c>
      <c r="Y140">
        <v>26.71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77</v>
      </c>
      <c r="AG140">
        <v>0.17</v>
      </c>
      <c r="AH140">
        <v>2</v>
      </c>
      <c r="AI140">
        <v>55915829</v>
      </c>
      <c r="AJ140">
        <v>120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ROW(Source!A294)</f>
        <v>294</v>
      </c>
      <c r="B141">
        <v>55915830</v>
      </c>
      <c r="C141">
        <v>55915822</v>
      </c>
      <c r="D141">
        <v>55469271</v>
      </c>
      <c r="E141">
        <v>1</v>
      </c>
      <c r="F141">
        <v>1</v>
      </c>
      <c r="G141">
        <v>1081</v>
      </c>
      <c r="H141">
        <v>3</v>
      </c>
      <c r="I141" t="s">
        <v>407</v>
      </c>
      <c r="J141" t="s">
        <v>408</v>
      </c>
      <c r="K141" t="s">
        <v>409</v>
      </c>
      <c r="L141">
        <v>1354</v>
      </c>
      <c r="N141">
        <v>1010</v>
      </c>
      <c r="O141" t="s">
        <v>191</v>
      </c>
      <c r="P141" t="s">
        <v>191</v>
      </c>
      <c r="Q141">
        <v>1</v>
      </c>
      <c r="X141">
        <v>0.161</v>
      </c>
      <c r="Y141">
        <v>14.56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77</v>
      </c>
      <c r="AG141">
        <v>0.161</v>
      </c>
      <c r="AH141">
        <v>2</v>
      </c>
      <c r="AI141">
        <v>55915830</v>
      </c>
      <c r="AJ141">
        <v>121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ROW(Source!A294)</f>
        <v>294</v>
      </c>
      <c r="B142">
        <v>55915831</v>
      </c>
      <c r="C142">
        <v>55915822</v>
      </c>
      <c r="D142">
        <v>55428305</v>
      </c>
      <c r="E142">
        <v>1081</v>
      </c>
      <c r="F142">
        <v>1</v>
      </c>
      <c r="G142">
        <v>1081</v>
      </c>
      <c r="H142">
        <v>3</v>
      </c>
      <c r="I142" t="s">
        <v>459</v>
      </c>
      <c r="J142" t="s">
        <v>3</v>
      </c>
      <c r="K142" t="s">
        <v>460</v>
      </c>
      <c r="L142">
        <v>1301</v>
      </c>
      <c r="N142">
        <v>1003</v>
      </c>
      <c r="O142" t="s">
        <v>261</v>
      </c>
      <c r="P142" t="s">
        <v>261</v>
      </c>
      <c r="Q142">
        <v>1</v>
      </c>
      <c r="X142">
        <v>102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77</v>
      </c>
      <c r="AG142">
        <v>102</v>
      </c>
      <c r="AH142">
        <v>3</v>
      </c>
      <c r="AI142">
        <v>-1</v>
      </c>
      <c r="AJ142" t="s">
        <v>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ROW(Source!A294)</f>
        <v>294</v>
      </c>
      <c r="B143">
        <v>55915832</v>
      </c>
      <c r="C143">
        <v>55915822</v>
      </c>
      <c r="D143">
        <v>55432095</v>
      </c>
      <c r="E143">
        <v>1081</v>
      </c>
      <c r="F143">
        <v>1</v>
      </c>
      <c r="G143">
        <v>1081</v>
      </c>
      <c r="H143">
        <v>3</v>
      </c>
      <c r="I143" t="s">
        <v>461</v>
      </c>
      <c r="J143" t="s">
        <v>3</v>
      </c>
      <c r="K143" t="s">
        <v>462</v>
      </c>
      <c r="L143">
        <v>1355</v>
      </c>
      <c r="N143">
        <v>1010</v>
      </c>
      <c r="O143" t="s">
        <v>269</v>
      </c>
      <c r="P143" t="s">
        <v>269</v>
      </c>
      <c r="Q143">
        <v>100</v>
      </c>
      <c r="X143">
        <v>2.1640000000000001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 t="s">
        <v>77</v>
      </c>
      <c r="AG143">
        <v>2.1640000000000001</v>
      </c>
      <c r="AH143">
        <v>3</v>
      </c>
      <c r="AI143">
        <v>-1</v>
      </c>
      <c r="AJ143" t="s">
        <v>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ROW(Source!A294)</f>
        <v>294</v>
      </c>
      <c r="B144">
        <v>55915833</v>
      </c>
      <c r="C144">
        <v>55915822</v>
      </c>
      <c r="D144">
        <v>55438984</v>
      </c>
      <c r="E144">
        <v>1081</v>
      </c>
      <c r="F144">
        <v>1</v>
      </c>
      <c r="G144">
        <v>1081</v>
      </c>
      <c r="H144">
        <v>3</v>
      </c>
      <c r="I144" t="s">
        <v>463</v>
      </c>
      <c r="J144" t="s">
        <v>3</v>
      </c>
      <c r="K144" t="s">
        <v>464</v>
      </c>
      <c r="L144">
        <v>1303</v>
      </c>
      <c r="N144">
        <v>1003</v>
      </c>
      <c r="O144" t="s">
        <v>378</v>
      </c>
      <c r="P144" t="s">
        <v>378</v>
      </c>
      <c r="Q144">
        <v>1000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77</v>
      </c>
      <c r="AG144">
        <v>0</v>
      </c>
      <c r="AH144">
        <v>3</v>
      </c>
      <c r="AI144">
        <v>-1</v>
      </c>
      <c r="AJ144" t="s">
        <v>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ROW(Source!A301)</f>
        <v>301</v>
      </c>
      <c r="B145">
        <v>55915869</v>
      </c>
      <c r="C145">
        <v>55915850</v>
      </c>
      <c r="D145">
        <v>55424304</v>
      </c>
      <c r="E145">
        <v>1081</v>
      </c>
      <c r="F145">
        <v>1</v>
      </c>
      <c r="G145">
        <v>1081</v>
      </c>
      <c r="H145">
        <v>1</v>
      </c>
      <c r="I145" t="s">
        <v>363</v>
      </c>
      <c r="J145" t="s">
        <v>3</v>
      </c>
      <c r="K145" t="s">
        <v>364</v>
      </c>
      <c r="L145">
        <v>1191</v>
      </c>
      <c r="N145">
        <v>1013</v>
      </c>
      <c r="O145" t="s">
        <v>365</v>
      </c>
      <c r="P145" t="s">
        <v>365</v>
      </c>
      <c r="Q145">
        <v>1</v>
      </c>
      <c r="X145">
        <v>10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1</v>
      </c>
      <c r="AF145" t="s">
        <v>78</v>
      </c>
      <c r="AG145">
        <v>12</v>
      </c>
      <c r="AH145">
        <v>2</v>
      </c>
      <c r="AI145">
        <v>55915869</v>
      </c>
      <c r="AJ145">
        <v>123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ROW(Source!A301)</f>
        <v>301</v>
      </c>
      <c r="B146">
        <v>55915870</v>
      </c>
      <c r="C146">
        <v>55915850</v>
      </c>
      <c r="D146">
        <v>55490209</v>
      </c>
      <c r="E146">
        <v>1</v>
      </c>
      <c r="F146">
        <v>1</v>
      </c>
      <c r="G146">
        <v>1081</v>
      </c>
      <c r="H146">
        <v>2</v>
      </c>
      <c r="I146" t="s">
        <v>411</v>
      </c>
      <c r="J146" t="s">
        <v>412</v>
      </c>
      <c r="K146" t="s">
        <v>413</v>
      </c>
      <c r="L146">
        <v>1368</v>
      </c>
      <c r="N146">
        <v>1011</v>
      </c>
      <c r="O146" t="s">
        <v>390</v>
      </c>
      <c r="P146" t="s">
        <v>390</v>
      </c>
      <c r="Q146">
        <v>1</v>
      </c>
      <c r="X146">
        <v>0.19</v>
      </c>
      <c r="Y146">
        <v>0</v>
      </c>
      <c r="Z146">
        <v>83.1</v>
      </c>
      <c r="AA146">
        <v>12.62</v>
      </c>
      <c r="AB146">
        <v>0</v>
      </c>
      <c r="AC146">
        <v>0</v>
      </c>
      <c r="AD146">
        <v>1</v>
      </c>
      <c r="AE146">
        <v>0</v>
      </c>
      <c r="AF146" t="s">
        <v>78</v>
      </c>
      <c r="AG146">
        <v>0.22799999999999998</v>
      </c>
      <c r="AH146">
        <v>2</v>
      </c>
      <c r="AI146">
        <v>55915870</v>
      </c>
      <c r="AJ146">
        <v>124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ROW(Source!A301)</f>
        <v>301</v>
      </c>
      <c r="B147">
        <v>55915871</v>
      </c>
      <c r="C147">
        <v>55915850</v>
      </c>
      <c r="D147">
        <v>55489526</v>
      </c>
      <c r="E147">
        <v>1</v>
      </c>
      <c r="F147">
        <v>1</v>
      </c>
      <c r="G147">
        <v>1081</v>
      </c>
      <c r="H147">
        <v>2</v>
      </c>
      <c r="I147" t="s">
        <v>415</v>
      </c>
      <c r="J147" t="s">
        <v>416</v>
      </c>
      <c r="K147" t="s">
        <v>417</v>
      </c>
      <c r="L147">
        <v>1368</v>
      </c>
      <c r="N147">
        <v>1011</v>
      </c>
      <c r="O147" t="s">
        <v>390</v>
      </c>
      <c r="P147" t="s">
        <v>390</v>
      </c>
      <c r="Q147">
        <v>1</v>
      </c>
      <c r="X147">
        <v>2.37</v>
      </c>
      <c r="Y147">
        <v>0</v>
      </c>
      <c r="Z147">
        <v>2.27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78</v>
      </c>
      <c r="AG147">
        <v>2.8439999999999999</v>
      </c>
      <c r="AH147">
        <v>2</v>
      </c>
      <c r="AI147">
        <v>55915871</v>
      </c>
      <c r="AJ147">
        <v>125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ROW(Source!A301)</f>
        <v>301</v>
      </c>
      <c r="B148">
        <v>55915872</v>
      </c>
      <c r="C148">
        <v>55915850</v>
      </c>
      <c r="D148">
        <v>55489536</v>
      </c>
      <c r="E148">
        <v>1</v>
      </c>
      <c r="F148">
        <v>1</v>
      </c>
      <c r="G148">
        <v>1081</v>
      </c>
      <c r="H148">
        <v>2</v>
      </c>
      <c r="I148" t="s">
        <v>418</v>
      </c>
      <c r="J148" t="s">
        <v>419</v>
      </c>
      <c r="K148" t="s">
        <v>420</v>
      </c>
      <c r="L148">
        <v>1368</v>
      </c>
      <c r="N148">
        <v>1011</v>
      </c>
      <c r="O148" t="s">
        <v>390</v>
      </c>
      <c r="P148" t="s">
        <v>390</v>
      </c>
      <c r="Q148">
        <v>1</v>
      </c>
      <c r="X148">
        <v>2.37</v>
      </c>
      <c r="Y148">
        <v>0</v>
      </c>
      <c r="Z148">
        <v>0.73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78</v>
      </c>
      <c r="AG148">
        <v>2.8439999999999999</v>
      </c>
      <c r="AH148">
        <v>2</v>
      </c>
      <c r="AI148">
        <v>55915872</v>
      </c>
      <c r="AJ148">
        <v>126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ROW(Source!A301)</f>
        <v>301</v>
      </c>
      <c r="B149">
        <v>55915873</v>
      </c>
      <c r="C149">
        <v>55915850</v>
      </c>
      <c r="D149">
        <v>55461719</v>
      </c>
      <c r="E149">
        <v>1</v>
      </c>
      <c r="F149">
        <v>1</v>
      </c>
      <c r="G149">
        <v>1081</v>
      </c>
      <c r="H149">
        <v>3</v>
      </c>
      <c r="I149" t="s">
        <v>421</v>
      </c>
      <c r="J149" t="s">
        <v>422</v>
      </c>
      <c r="K149" t="s">
        <v>423</v>
      </c>
      <c r="L149">
        <v>1348</v>
      </c>
      <c r="N149">
        <v>1009</v>
      </c>
      <c r="O149" t="s">
        <v>324</v>
      </c>
      <c r="P149" t="s">
        <v>324</v>
      </c>
      <c r="Q149">
        <v>1000</v>
      </c>
      <c r="X149">
        <v>1.1E-4</v>
      </c>
      <c r="Y149">
        <v>10643.18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 t="s">
        <v>77</v>
      </c>
      <c r="AG149">
        <v>1.1E-4</v>
      </c>
      <c r="AH149">
        <v>2</v>
      </c>
      <c r="AI149">
        <v>55915873</v>
      </c>
      <c r="AJ149">
        <v>127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ROW(Source!A301)</f>
        <v>301</v>
      </c>
      <c r="B150">
        <v>55915874</v>
      </c>
      <c r="C150">
        <v>55915850</v>
      </c>
      <c r="D150">
        <v>55459514</v>
      </c>
      <c r="E150">
        <v>1</v>
      </c>
      <c r="F150">
        <v>1</v>
      </c>
      <c r="G150">
        <v>1081</v>
      </c>
      <c r="H150">
        <v>3</v>
      </c>
      <c r="I150" t="s">
        <v>424</v>
      </c>
      <c r="J150" t="s">
        <v>425</v>
      </c>
      <c r="K150" t="s">
        <v>426</v>
      </c>
      <c r="L150">
        <v>1348</v>
      </c>
      <c r="N150">
        <v>1009</v>
      </c>
      <c r="O150" t="s">
        <v>324</v>
      </c>
      <c r="P150" t="s">
        <v>324</v>
      </c>
      <c r="Q150">
        <v>1000</v>
      </c>
      <c r="X150">
        <v>7.2000000000000005E-4</v>
      </c>
      <c r="Y150">
        <v>11233.62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77</v>
      </c>
      <c r="AG150">
        <v>7.2000000000000005E-4</v>
      </c>
      <c r="AH150">
        <v>2</v>
      </c>
      <c r="AI150">
        <v>55915874</v>
      </c>
      <c r="AJ150">
        <v>128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ROW(Source!A301)</f>
        <v>301</v>
      </c>
      <c r="B151">
        <v>55915875</v>
      </c>
      <c r="C151">
        <v>55915850</v>
      </c>
      <c r="D151">
        <v>55466023</v>
      </c>
      <c r="E151">
        <v>1</v>
      </c>
      <c r="F151">
        <v>1</v>
      </c>
      <c r="G151">
        <v>1081</v>
      </c>
      <c r="H151">
        <v>3</v>
      </c>
      <c r="I151" t="s">
        <v>427</v>
      </c>
      <c r="J151" t="s">
        <v>428</v>
      </c>
      <c r="K151" t="s">
        <v>429</v>
      </c>
      <c r="L151">
        <v>1346</v>
      </c>
      <c r="N151">
        <v>1009</v>
      </c>
      <c r="O151" t="s">
        <v>339</v>
      </c>
      <c r="P151" t="s">
        <v>339</v>
      </c>
      <c r="Q151">
        <v>1</v>
      </c>
      <c r="X151">
        <v>0.62</v>
      </c>
      <c r="Y151">
        <v>25.8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 t="s">
        <v>77</v>
      </c>
      <c r="AG151">
        <v>0.62</v>
      </c>
      <c r="AH151">
        <v>2</v>
      </c>
      <c r="AI151">
        <v>55915875</v>
      </c>
      <c r="AJ151">
        <v>129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ROW(Source!A301)</f>
        <v>301</v>
      </c>
      <c r="B152">
        <v>55915876</v>
      </c>
      <c r="C152">
        <v>55915850</v>
      </c>
      <c r="D152">
        <v>55459792</v>
      </c>
      <c r="E152">
        <v>1</v>
      </c>
      <c r="F152">
        <v>1</v>
      </c>
      <c r="G152">
        <v>1081</v>
      </c>
      <c r="H152">
        <v>3</v>
      </c>
      <c r="I152" t="s">
        <v>430</v>
      </c>
      <c r="J152" t="s">
        <v>431</v>
      </c>
      <c r="K152" t="s">
        <v>432</v>
      </c>
      <c r="L152">
        <v>1348</v>
      </c>
      <c r="N152">
        <v>1009</v>
      </c>
      <c r="O152" t="s">
        <v>324</v>
      </c>
      <c r="P152" t="s">
        <v>324</v>
      </c>
      <c r="Q152">
        <v>1000</v>
      </c>
      <c r="X152">
        <v>2.5999999999999998E-4</v>
      </c>
      <c r="Y152">
        <v>60960.43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77</v>
      </c>
      <c r="AG152">
        <v>2.5999999999999998E-4</v>
      </c>
      <c r="AH152">
        <v>2</v>
      </c>
      <c r="AI152">
        <v>55915876</v>
      </c>
      <c r="AJ152">
        <v>130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ROW(Source!A301)</f>
        <v>301</v>
      </c>
      <c r="B153">
        <v>55915877</v>
      </c>
      <c r="C153">
        <v>55915850</v>
      </c>
      <c r="D153">
        <v>55459815</v>
      </c>
      <c r="E153">
        <v>1</v>
      </c>
      <c r="F153">
        <v>1</v>
      </c>
      <c r="G153">
        <v>1081</v>
      </c>
      <c r="H153">
        <v>3</v>
      </c>
      <c r="I153" t="s">
        <v>433</v>
      </c>
      <c r="J153" t="s">
        <v>434</v>
      </c>
      <c r="K153" t="s">
        <v>435</v>
      </c>
      <c r="L153">
        <v>1348</v>
      </c>
      <c r="N153">
        <v>1009</v>
      </c>
      <c r="O153" t="s">
        <v>324</v>
      </c>
      <c r="P153" t="s">
        <v>324</v>
      </c>
      <c r="Q153">
        <v>1000</v>
      </c>
      <c r="X153">
        <v>1E-4</v>
      </c>
      <c r="Y153">
        <v>7973.67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77</v>
      </c>
      <c r="AG153">
        <v>1E-4</v>
      </c>
      <c r="AH153">
        <v>2</v>
      </c>
      <c r="AI153">
        <v>55915877</v>
      </c>
      <c r="AJ153">
        <v>131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ROW(Source!A301)</f>
        <v>301</v>
      </c>
      <c r="B154">
        <v>55915878</v>
      </c>
      <c r="C154">
        <v>55915850</v>
      </c>
      <c r="D154">
        <v>55482203</v>
      </c>
      <c r="E154">
        <v>1</v>
      </c>
      <c r="F154">
        <v>1</v>
      </c>
      <c r="G154">
        <v>1081</v>
      </c>
      <c r="H154">
        <v>3</v>
      </c>
      <c r="I154" t="s">
        <v>400</v>
      </c>
      <c r="J154" t="s">
        <v>401</v>
      </c>
      <c r="K154" t="s">
        <v>402</v>
      </c>
      <c r="L154">
        <v>1356</v>
      </c>
      <c r="N154">
        <v>1010</v>
      </c>
      <c r="O154" t="s">
        <v>403</v>
      </c>
      <c r="P154" t="s">
        <v>403</v>
      </c>
      <c r="Q154">
        <v>1000</v>
      </c>
      <c r="X154">
        <v>0.01</v>
      </c>
      <c r="Y154">
        <v>226.66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77</v>
      </c>
      <c r="AG154">
        <v>0.01</v>
      </c>
      <c r="AH154">
        <v>2</v>
      </c>
      <c r="AI154">
        <v>55915878</v>
      </c>
      <c r="AJ154">
        <v>132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ROW(Source!A301)</f>
        <v>301</v>
      </c>
      <c r="B155">
        <v>55915879</v>
      </c>
      <c r="C155">
        <v>55915850</v>
      </c>
      <c r="D155">
        <v>55481864</v>
      </c>
      <c r="E155">
        <v>1</v>
      </c>
      <c r="F155">
        <v>1</v>
      </c>
      <c r="G155">
        <v>1081</v>
      </c>
      <c r="H155">
        <v>3</v>
      </c>
      <c r="I155" t="s">
        <v>436</v>
      </c>
      <c r="J155" t="s">
        <v>437</v>
      </c>
      <c r="K155" t="s">
        <v>438</v>
      </c>
      <c r="L155">
        <v>1301</v>
      </c>
      <c r="N155">
        <v>1003</v>
      </c>
      <c r="O155" t="s">
        <v>261</v>
      </c>
      <c r="P155" t="s">
        <v>261</v>
      </c>
      <c r="Q155">
        <v>1</v>
      </c>
      <c r="X155">
        <v>2.4500000000000002</v>
      </c>
      <c r="Y155">
        <v>0.7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 t="s">
        <v>77</v>
      </c>
      <c r="AG155">
        <v>2.4500000000000002</v>
      </c>
      <c r="AH155">
        <v>2</v>
      </c>
      <c r="AI155">
        <v>55915879</v>
      </c>
      <c r="AJ155">
        <v>133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ROW(Source!A301)</f>
        <v>301</v>
      </c>
      <c r="B156">
        <v>55915880</v>
      </c>
      <c r="C156">
        <v>55915850</v>
      </c>
      <c r="D156">
        <v>55481866</v>
      </c>
      <c r="E156">
        <v>1</v>
      </c>
      <c r="F156">
        <v>1</v>
      </c>
      <c r="G156">
        <v>1081</v>
      </c>
      <c r="H156">
        <v>3</v>
      </c>
      <c r="I156" t="s">
        <v>439</v>
      </c>
      <c r="J156" t="s">
        <v>440</v>
      </c>
      <c r="K156" t="s">
        <v>441</v>
      </c>
      <c r="L156">
        <v>1356</v>
      </c>
      <c r="N156">
        <v>1010</v>
      </c>
      <c r="O156" t="s">
        <v>403</v>
      </c>
      <c r="P156" t="s">
        <v>403</v>
      </c>
      <c r="Q156">
        <v>1000</v>
      </c>
      <c r="X156">
        <v>2.0799999999999999E-2</v>
      </c>
      <c r="Y156">
        <v>6.44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77</v>
      </c>
      <c r="AG156">
        <v>2.0799999999999999E-2</v>
      </c>
      <c r="AH156">
        <v>2</v>
      </c>
      <c r="AI156">
        <v>55915880</v>
      </c>
      <c r="AJ156">
        <v>134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ROW(Source!A301)</f>
        <v>301</v>
      </c>
      <c r="B157">
        <v>55915881</v>
      </c>
      <c r="C157">
        <v>55915850</v>
      </c>
      <c r="D157">
        <v>55433531</v>
      </c>
      <c r="E157">
        <v>1081</v>
      </c>
      <c r="F157">
        <v>1</v>
      </c>
      <c r="G157">
        <v>1081</v>
      </c>
      <c r="H157">
        <v>3</v>
      </c>
      <c r="I157" t="s">
        <v>465</v>
      </c>
      <c r="J157" t="s">
        <v>3</v>
      </c>
      <c r="K157" t="s">
        <v>466</v>
      </c>
      <c r="L157">
        <v>1356</v>
      </c>
      <c r="N157">
        <v>1010</v>
      </c>
      <c r="O157" t="s">
        <v>403</v>
      </c>
      <c r="P157" t="s">
        <v>403</v>
      </c>
      <c r="Q157">
        <v>1000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77</v>
      </c>
      <c r="AG157">
        <v>0</v>
      </c>
      <c r="AH157">
        <v>3</v>
      </c>
      <c r="AI157">
        <v>-1</v>
      </c>
      <c r="AJ157" t="s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ROW(Source!A301)</f>
        <v>301</v>
      </c>
      <c r="B158">
        <v>55915882</v>
      </c>
      <c r="C158">
        <v>55915850</v>
      </c>
      <c r="D158">
        <v>55434503</v>
      </c>
      <c r="E158">
        <v>1081</v>
      </c>
      <c r="F158">
        <v>1</v>
      </c>
      <c r="G158">
        <v>1081</v>
      </c>
      <c r="H158">
        <v>3</v>
      </c>
      <c r="I158" t="s">
        <v>467</v>
      </c>
      <c r="J158" t="s">
        <v>3</v>
      </c>
      <c r="K158" t="s">
        <v>468</v>
      </c>
      <c r="L158">
        <v>1303</v>
      </c>
      <c r="N158">
        <v>1003</v>
      </c>
      <c r="O158" t="s">
        <v>378</v>
      </c>
      <c r="P158" t="s">
        <v>378</v>
      </c>
      <c r="Q158">
        <v>1000</v>
      </c>
      <c r="X158">
        <v>0.10199999999999999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 t="s">
        <v>77</v>
      </c>
      <c r="AG158">
        <v>0.10199999999999999</v>
      </c>
      <c r="AH158">
        <v>3</v>
      </c>
      <c r="AI158">
        <v>-1</v>
      </c>
      <c r="AJ158" t="s">
        <v>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ROW(Source!A301)</f>
        <v>301</v>
      </c>
      <c r="B159">
        <v>55915883</v>
      </c>
      <c r="C159">
        <v>55915850</v>
      </c>
      <c r="D159">
        <v>55439392</v>
      </c>
      <c r="E159">
        <v>1081</v>
      </c>
      <c r="F159">
        <v>1</v>
      </c>
      <c r="G159">
        <v>1081</v>
      </c>
      <c r="H159">
        <v>3</v>
      </c>
      <c r="I159" t="s">
        <v>469</v>
      </c>
      <c r="J159" t="s">
        <v>3</v>
      </c>
      <c r="K159" t="s">
        <v>470</v>
      </c>
      <c r="L159">
        <v>1354</v>
      </c>
      <c r="N159">
        <v>1010</v>
      </c>
      <c r="O159" t="s">
        <v>191</v>
      </c>
      <c r="P159" t="s">
        <v>191</v>
      </c>
      <c r="Q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 t="s">
        <v>77</v>
      </c>
      <c r="AG159">
        <v>0</v>
      </c>
      <c r="AH159">
        <v>3</v>
      </c>
      <c r="AI159">
        <v>-1</v>
      </c>
      <c r="AJ159" t="s">
        <v>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ROW(Source!A302)</f>
        <v>302</v>
      </c>
      <c r="B160">
        <v>55915869</v>
      </c>
      <c r="C160">
        <v>55915850</v>
      </c>
      <c r="D160">
        <v>55424304</v>
      </c>
      <c r="E160">
        <v>1081</v>
      </c>
      <c r="F160">
        <v>1</v>
      </c>
      <c r="G160">
        <v>1081</v>
      </c>
      <c r="H160">
        <v>1</v>
      </c>
      <c r="I160" t="s">
        <v>363</v>
      </c>
      <c r="J160" t="s">
        <v>3</v>
      </c>
      <c r="K160" t="s">
        <v>364</v>
      </c>
      <c r="L160">
        <v>1191</v>
      </c>
      <c r="N160">
        <v>1013</v>
      </c>
      <c r="O160" t="s">
        <v>365</v>
      </c>
      <c r="P160" t="s">
        <v>365</v>
      </c>
      <c r="Q160">
        <v>1</v>
      </c>
      <c r="X160">
        <v>10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1</v>
      </c>
      <c r="AF160" t="s">
        <v>78</v>
      </c>
      <c r="AG160">
        <v>12</v>
      </c>
      <c r="AH160">
        <v>2</v>
      </c>
      <c r="AI160">
        <v>55915869</v>
      </c>
      <c r="AJ160">
        <v>135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ROW(Source!A302)</f>
        <v>302</v>
      </c>
      <c r="B161">
        <v>55915870</v>
      </c>
      <c r="C161">
        <v>55915850</v>
      </c>
      <c r="D161">
        <v>55490209</v>
      </c>
      <c r="E161">
        <v>1</v>
      </c>
      <c r="F161">
        <v>1</v>
      </c>
      <c r="G161">
        <v>1081</v>
      </c>
      <c r="H161">
        <v>2</v>
      </c>
      <c r="I161" t="s">
        <v>411</v>
      </c>
      <c r="J161" t="s">
        <v>412</v>
      </c>
      <c r="K161" t="s">
        <v>413</v>
      </c>
      <c r="L161">
        <v>1368</v>
      </c>
      <c r="N161">
        <v>1011</v>
      </c>
      <c r="O161" t="s">
        <v>390</v>
      </c>
      <c r="P161" t="s">
        <v>390</v>
      </c>
      <c r="Q161">
        <v>1</v>
      </c>
      <c r="X161">
        <v>0.19</v>
      </c>
      <c r="Y161">
        <v>0</v>
      </c>
      <c r="Z161">
        <v>83.1</v>
      </c>
      <c r="AA161">
        <v>12.62</v>
      </c>
      <c r="AB161">
        <v>0</v>
      </c>
      <c r="AC161">
        <v>0</v>
      </c>
      <c r="AD161">
        <v>1</v>
      </c>
      <c r="AE161">
        <v>0</v>
      </c>
      <c r="AF161" t="s">
        <v>78</v>
      </c>
      <c r="AG161">
        <v>0.22799999999999998</v>
      </c>
      <c r="AH161">
        <v>2</v>
      </c>
      <c r="AI161">
        <v>55915870</v>
      </c>
      <c r="AJ161">
        <v>136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ROW(Source!A302)</f>
        <v>302</v>
      </c>
      <c r="B162">
        <v>55915871</v>
      </c>
      <c r="C162">
        <v>55915850</v>
      </c>
      <c r="D162">
        <v>55489526</v>
      </c>
      <c r="E162">
        <v>1</v>
      </c>
      <c r="F162">
        <v>1</v>
      </c>
      <c r="G162">
        <v>1081</v>
      </c>
      <c r="H162">
        <v>2</v>
      </c>
      <c r="I162" t="s">
        <v>415</v>
      </c>
      <c r="J162" t="s">
        <v>416</v>
      </c>
      <c r="K162" t="s">
        <v>417</v>
      </c>
      <c r="L162">
        <v>1368</v>
      </c>
      <c r="N162">
        <v>1011</v>
      </c>
      <c r="O162" t="s">
        <v>390</v>
      </c>
      <c r="P162" t="s">
        <v>390</v>
      </c>
      <c r="Q162">
        <v>1</v>
      </c>
      <c r="X162">
        <v>2.37</v>
      </c>
      <c r="Y162">
        <v>0</v>
      </c>
      <c r="Z162">
        <v>2.27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78</v>
      </c>
      <c r="AG162">
        <v>2.8439999999999999</v>
      </c>
      <c r="AH162">
        <v>2</v>
      </c>
      <c r="AI162">
        <v>55915871</v>
      </c>
      <c r="AJ162">
        <v>137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ROW(Source!A302)</f>
        <v>302</v>
      </c>
      <c r="B163">
        <v>55915872</v>
      </c>
      <c r="C163">
        <v>55915850</v>
      </c>
      <c r="D163">
        <v>55489536</v>
      </c>
      <c r="E163">
        <v>1</v>
      </c>
      <c r="F163">
        <v>1</v>
      </c>
      <c r="G163">
        <v>1081</v>
      </c>
      <c r="H163">
        <v>2</v>
      </c>
      <c r="I163" t="s">
        <v>418</v>
      </c>
      <c r="J163" t="s">
        <v>419</v>
      </c>
      <c r="K163" t="s">
        <v>420</v>
      </c>
      <c r="L163">
        <v>1368</v>
      </c>
      <c r="N163">
        <v>1011</v>
      </c>
      <c r="O163" t="s">
        <v>390</v>
      </c>
      <c r="P163" t="s">
        <v>390</v>
      </c>
      <c r="Q163">
        <v>1</v>
      </c>
      <c r="X163">
        <v>2.37</v>
      </c>
      <c r="Y163">
        <v>0</v>
      </c>
      <c r="Z163">
        <v>0.73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78</v>
      </c>
      <c r="AG163">
        <v>2.8439999999999999</v>
      </c>
      <c r="AH163">
        <v>2</v>
      </c>
      <c r="AI163">
        <v>55915872</v>
      </c>
      <c r="AJ163">
        <v>138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ROW(Source!A302)</f>
        <v>302</v>
      </c>
      <c r="B164">
        <v>55915873</v>
      </c>
      <c r="C164">
        <v>55915850</v>
      </c>
      <c r="D164">
        <v>55461719</v>
      </c>
      <c r="E164">
        <v>1</v>
      </c>
      <c r="F164">
        <v>1</v>
      </c>
      <c r="G164">
        <v>1081</v>
      </c>
      <c r="H164">
        <v>3</v>
      </c>
      <c r="I164" t="s">
        <v>421</v>
      </c>
      <c r="J164" t="s">
        <v>422</v>
      </c>
      <c r="K164" t="s">
        <v>423</v>
      </c>
      <c r="L164">
        <v>1348</v>
      </c>
      <c r="N164">
        <v>1009</v>
      </c>
      <c r="O164" t="s">
        <v>324</v>
      </c>
      <c r="P164" t="s">
        <v>324</v>
      </c>
      <c r="Q164">
        <v>1000</v>
      </c>
      <c r="X164">
        <v>1.1E-4</v>
      </c>
      <c r="Y164">
        <v>10643.18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77</v>
      </c>
      <c r="AG164">
        <v>1.1E-4</v>
      </c>
      <c r="AH164">
        <v>2</v>
      </c>
      <c r="AI164">
        <v>55915873</v>
      </c>
      <c r="AJ164">
        <v>139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ROW(Source!A302)</f>
        <v>302</v>
      </c>
      <c r="B165">
        <v>55915874</v>
      </c>
      <c r="C165">
        <v>55915850</v>
      </c>
      <c r="D165">
        <v>55459514</v>
      </c>
      <c r="E165">
        <v>1</v>
      </c>
      <c r="F165">
        <v>1</v>
      </c>
      <c r="G165">
        <v>1081</v>
      </c>
      <c r="H165">
        <v>3</v>
      </c>
      <c r="I165" t="s">
        <v>424</v>
      </c>
      <c r="J165" t="s">
        <v>425</v>
      </c>
      <c r="K165" t="s">
        <v>426</v>
      </c>
      <c r="L165">
        <v>1348</v>
      </c>
      <c r="N165">
        <v>1009</v>
      </c>
      <c r="O165" t="s">
        <v>324</v>
      </c>
      <c r="P165" t="s">
        <v>324</v>
      </c>
      <c r="Q165">
        <v>1000</v>
      </c>
      <c r="X165">
        <v>7.2000000000000005E-4</v>
      </c>
      <c r="Y165">
        <v>11233.62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77</v>
      </c>
      <c r="AG165">
        <v>7.2000000000000005E-4</v>
      </c>
      <c r="AH165">
        <v>2</v>
      </c>
      <c r="AI165">
        <v>55915874</v>
      </c>
      <c r="AJ165">
        <v>140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ROW(Source!A302)</f>
        <v>302</v>
      </c>
      <c r="B166">
        <v>55915875</v>
      </c>
      <c r="C166">
        <v>55915850</v>
      </c>
      <c r="D166">
        <v>55466023</v>
      </c>
      <c r="E166">
        <v>1</v>
      </c>
      <c r="F166">
        <v>1</v>
      </c>
      <c r="G166">
        <v>1081</v>
      </c>
      <c r="H166">
        <v>3</v>
      </c>
      <c r="I166" t="s">
        <v>427</v>
      </c>
      <c r="J166" t="s">
        <v>428</v>
      </c>
      <c r="K166" t="s">
        <v>429</v>
      </c>
      <c r="L166">
        <v>1346</v>
      </c>
      <c r="N166">
        <v>1009</v>
      </c>
      <c r="O166" t="s">
        <v>339</v>
      </c>
      <c r="P166" t="s">
        <v>339</v>
      </c>
      <c r="Q166">
        <v>1</v>
      </c>
      <c r="X166">
        <v>0.62</v>
      </c>
      <c r="Y166">
        <v>25.8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77</v>
      </c>
      <c r="AG166">
        <v>0.62</v>
      </c>
      <c r="AH166">
        <v>2</v>
      </c>
      <c r="AI166">
        <v>55915875</v>
      </c>
      <c r="AJ166">
        <v>141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ROW(Source!A302)</f>
        <v>302</v>
      </c>
      <c r="B167">
        <v>55915876</v>
      </c>
      <c r="C167">
        <v>55915850</v>
      </c>
      <c r="D167">
        <v>55459792</v>
      </c>
      <c r="E167">
        <v>1</v>
      </c>
      <c r="F167">
        <v>1</v>
      </c>
      <c r="G167">
        <v>1081</v>
      </c>
      <c r="H167">
        <v>3</v>
      </c>
      <c r="I167" t="s">
        <v>430</v>
      </c>
      <c r="J167" t="s">
        <v>431</v>
      </c>
      <c r="K167" t="s">
        <v>432</v>
      </c>
      <c r="L167">
        <v>1348</v>
      </c>
      <c r="N167">
        <v>1009</v>
      </c>
      <c r="O167" t="s">
        <v>324</v>
      </c>
      <c r="P167" t="s">
        <v>324</v>
      </c>
      <c r="Q167">
        <v>1000</v>
      </c>
      <c r="X167">
        <v>2.5999999999999998E-4</v>
      </c>
      <c r="Y167">
        <v>60960.43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77</v>
      </c>
      <c r="AG167">
        <v>2.5999999999999998E-4</v>
      </c>
      <c r="AH167">
        <v>2</v>
      </c>
      <c r="AI167">
        <v>55915876</v>
      </c>
      <c r="AJ167">
        <v>142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ROW(Source!A302)</f>
        <v>302</v>
      </c>
      <c r="B168">
        <v>55915877</v>
      </c>
      <c r="C168">
        <v>55915850</v>
      </c>
      <c r="D168">
        <v>55459815</v>
      </c>
      <c r="E168">
        <v>1</v>
      </c>
      <c r="F168">
        <v>1</v>
      </c>
      <c r="G168">
        <v>1081</v>
      </c>
      <c r="H168">
        <v>3</v>
      </c>
      <c r="I168" t="s">
        <v>433</v>
      </c>
      <c r="J168" t="s">
        <v>434</v>
      </c>
      <c r="K168" t="s">
        <v>435</v>
      </c>
      <c r="L168">
        <v>1348</v>
      </c>
      <c r="N168">
        <v>1009</v>
      </c>
      <c r="O168" t="s">
        <v>324</v>
      </c>
      <c r="P168" t="s">
        <v>324</v>
      </c>
      <c r="Q168">
        <v>1000</v>
      </c>
      <c r="X168">
        <v>1E-4</v>
      </c>
      <c r="Y168">
        <v>7973.67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77</v>
      </c>
      <c r="AG168">
        <v>1E-4</v>
      </c>
      <c r="AH168">
        <v>2</v>
      </c>
      <c r="AI168">
        <v>55915877</v>
      </c>
      <c r="AJ168">
        <v>143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ROW(Source!A302)</f>
        <v>302</v>
      </c>
      <c r="B169">
        <v>55915878</v>
      </c>
      <c r="C169">
        <v>55915850</v>
      </c>
      <c r="D169">
        <v>55482203</v>
      </c>
      <c r="E169">
        <v>1</v>
      </c>
      <c r="F169">
        <v>1</v>
      </c>
      <c r="G169">
        <v>1081</v>
      </c>
      <c r="H169">
        <v>3</v>
      </c>
      <c r="I169" t="s">
        <v>400</v>
      </c>
      <c r="J169" t="s">
        <v>401</v>
      </c>
      <c r="K169" t="s">
        <v>402</v>
      </c>
      <c r="L169">
        <v>1356</v>
      </c>
      <c r="N169">
        <v>1010</v>
      </c>
      <c r="O169" t="s">
        <v>403</v>
      </c>
      <c r="P169" t="s">
        <v>403</v>
      </c>
      <c r="Q169">
        <v>1000</v>
      </c>
      <c r="X169">
        <v>0.01</v>
      </c>
      <c r="Y169">
        <v>226.66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77</v>
      </c>
      <c r="AG169">
        <v>0.01</v>
      </c>
      <c r="AH169">
        <v>2</v>
      </c>
      <c r="AI169">
        <v>55915878</v>
      </c>
      <c r="AJ169">
        <v>144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ROW(Source!A302)</f>
        <v>302</v>
      </c>
      <c r="B170">
        <v>55915879</v>
      </c>
      <c r="C170">
        <v>55915850</v>
      </c>
      <c r="D170">
        <v>55481864</v>
      </c>
      <c r="E170">
        <v>1</v>
      </c>
      <c r="F170">
        <v>1</v>
      </c>
      <c r="G170">
        <v>1081</v>
      </c>
      <c r="H170">
        <v>3</v>
      </c>
      <c r="I170" t="s">
        <v>436</v>
      </c>
      <c r="J170" t="s">
        <v>437</v>
      </c>
      <c r="K170" t="s">
        <v>438</v>
      </c>
      <c r="L170">
        <v>1301</v>
      </c>
      <c r="N170">
        <v>1003</v>
      </c>
      <c r="O170" t="s">
        <v>261</v>
      </c>
      <c r="P170" t="s">
        <v>261</v>
      </c>
      <c r="Q170">
        <v>1</v>
      </c>
      <c r="X170">
        <v>2.4500000000000002</v>
      </c>
      <c r="Y170">
        <v>0.7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77</v>
      </c>
      <c r="AG170">
        <v>2.4500000000000002</v>
      </c>
      <c r="AH170">
        <v>2</v>
      </c>
      <c r="AI170">
        <v>55915879</v>
      </c>
      <c r="AJ170">
        <v>145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ROW(Source!A302)</f>
        <v>302</v>
      </c>
      <c r="B171">
        <v>55915880</v>
      </c>
      <c r="C171">
        <v>55915850</v>
      </c>
      <c r="D171">
        <v>55481866</v>
      </c>
      <c r="E171">
        <v>1</v>
      </c>
      <c r="F171">
        <v>1</v>
      </c>
      <c r="G171">
        <v>1081</v>
      </c>
      <c r="H171">
        <v>3</v>
      </c>
      <c r="I171" t="s">
        <v>439</v>
      </c>
      <c r="J171" t="s">
        <v>440</v>
      </c>
      <c r="K171" t="s">
        <v>441</v>
      </c>
      <c r="L171">
        <v>1356</v>
      </c>
      <c r="N171">
        <v>1010</v>
      </c>
      <c r="O171" t="s">
        <v>403</v>
      </c>
      <c r="P171" t="s">
        <v>403</v>
      </c>
      <c r="Q171">
        <v>1000</v>
      </c>
      <c r="X171">
        <v>2.0799999999999999E-2</v>
      </c>
      <c r="Y171">
        <v>6.44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77</v>
      </c>
      <c r="AG171">
        <v>2.0799999999999999E-2</v>
      </c>
      <c r="AH171">
        <v>2</v>
      </c>
      <c r="AI171">
        <v>55915880</v>
      </c>
      <c r="AJ171">
        <v>146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ROW(Source!A302)</f>
        <v>302</v>
      </c>
      <c r="B172">
        <v>55915881</v>
      </c>
      <c r="C172">
        <v>55915850</v>
      </c>
      <c r="D172">
        <v>55433531</v>
      </c>
      <c r="E172">
        <v>1081</v>
      </c>
      <c r="F172">
        <v>1</v>
      </c>
      <c r="G172">
        <v>1081</v>
      </c>
      <c r="H172">
        <v>3</v>
      </c>
      <c r="I172" t="s">
        <v>465</v>
      </c>
      <c r="J172" t="s">
        <v>3</v>
      </c>
      <c r="K172" t="s">
        <v>466</v>
      </c>
      <c r="L172">
        <v>1356</v>
      </c>
      <c r="N172">
        <v>1010</v>
      </c>
      <c r="O172" t="s">
        <v>403</v>
      </c>
      <c r="P172" t="s">
        <v>403</v>
      </c>
      <c r="Q172">
        <v>1000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77</v>
      </c>
      <c r="AG172">
        <v>0</v>
      </c>
      <c r="AH172">
        <v>3</v>
      </c>
      <c r="AI172">
        <v>-1</v>
      </c>
      <c r="AJ172" t="s">
        <v>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ROW(Source!A302)</f>
        <v>302</v>
      </c>
      <c r="B173">
        <v>55915882</v>
      </c>
      <c r="C173">
        <v>55915850</v>
      </c>
      <c r="D173">
        <v>55434503</v>
      </c>
      <c r="E173">
        <v>1081</v>
      </c>
      <c r="F173">
        <v>1</v>
      </c>
      <c r="G173">
        <v>1081</v>
      </c>
      <c r="H173">
        <v>3</v>
      </c>
      <c r="I173" t="s">
        <v>467</v>
      </c>
      <c r="J173" t="s">
        <v>3</v>
      </c>
      <c r="K173" t="s">
        <v>468</v>
      </c>
      <c r="L173">
        <v>1303</v>
      </c>
      <c r="N173">
        <v>1003</v>
      </c>
      <c r="O173" t="s">
        <v>378</v>
      </c>
      <c r="P173" t="s">
        <v>378</v>
      </c>
      <c r="Q173">
        <v>1000</v>
      </c>
      <c r="X173">
        <v>0.10199999999999999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77</v>
      </c>
      <c r="AG173">
        <v>0.10199999999999999</v>
      </c>
      <c r="AH173">
        <v>3</v>
      </c>
      <c r="AI173">
        <v>-1</v>
      </c>
      <c r="AJ173" t="s">
        <v>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ROW(Source!A302)</f>
        <v>302</v>
      </c>
      <c r="B174">
        <v>55915883</v>
      </c>
      <c r="C174">
        <v>55915850</v>
      </c>
      <c r="D174">
        <v>55439392</v>
      </c>
      <c r="E174">
        <v>1081</v>
      </c>
      <c r="F174">
        <v>1</v>
      </c>
      <c r="G174">
        <v>1081</v>
      </c>
      <c r="H174">
        <v>3</v>
      </c>
      <c r="I174" t="s">
        <v>469</v>
      </c>
      <c r="J174" t="s">
        <v>3</v>
      </c>
      <c r="K174" t="s">
        <v>470</v>
      </c>
      <c r="L174">
        <v>1354</v>
      </c>
      <c r="N174">
        <v>1010</v>
      </c>
      <c r="O174" t="s">
        <v>191</v>
      </c>
      <c r="P174" t="s">
        <v>191</v>
      </c>
      <c r="Q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77</v>
      </c>
      <c r="AG174">
        <v>0</v>
      </c>
      <c r="AH174">
        <v>3</v>
      </c>
      <c r="AI174">
        <v>-1</v>
      </c>
      <c r="AJ174" t="s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ROW(Source!A342)</f>
        <v>342</v>
      </c>
      <c r="B175">
        <v>55915953</v>
      </c>
      <c r="C175">
        <v>55915952</v>
      </c>
      <c r="D175">
        <v>55424304</v>
      </c>
      <c r="E175">
        <v>1081</v>
      </c>
      <c r="F175">
        <v>1</v>
      </c>
      <c r="G175">
        <v>1081</v>
      </c>
      <c r="H175">
        <v>1</v>
      </c>
      <c r="I175" t="s">
        <v>363</v>
      </c>
      <c r="J175" t="s">
        <v>3</v>
      </c>
      <c r="K175" t="s">
        <v>364</v>
      </c>
      <c r="L175">
        <v>1191</v>
      </c>
      <c r="N175">
        <v>1013</v>
      </c>
      <c r="O175" t="s">
        <v>365</v>
      </c>
      <c r="P175" t="s">
        <v>365</v>
      </c>
      <c r="Q175">
        <v>1</v>
      </c>
      <c r="X175">
        <v>7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1</v>
      </c>
      <c r="AF175" t="s">
        <v>78</v>
      </c>
      <c r="AG175">
        <v>8.4</v>
      </c>
      <c r="AH175">
        <v>2</v>
      </c>
      <c r="AI175">
        <v>55915953</v>
      </c>
      <c r="AJ175">
        <v>147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ROW(Source!A342)</f>
        <v>342</v>
      </c>
      <c r="B176">
        <v>55915954</v>
      </c>
      <c r="C176">
        <v>55915952</v>
      </c>
      <c r="D176">
        <v>55459793</v>
      </c>
      <c r="E176">
        <v>1</v>
      </c>
      <c r="F176">
        <v>1</v>
      </c>
      <c r="G176">
        <v>1081</v>
      </c>
      <c r="H176">
        <v>3</v>
      </c>
      <c r="I176" t="s">
        <v>369</v>
      </c>
      <c r="J176" t="s">
        <v>370</v>
      </c>
      <c r="K176" t="s">
        <v>371</v>
      </c>
      <c r="L176">
        <v>1348</v>
      </c>
      <c r="N176">
        <v>1009</v>
      </c>
      <c r="O176" t="s">
        <v>324</v>
      </c>
      <c r="P176" t="s">
        <v>324</v>
      </c>
      <c r="Q176">
        <v>1000</v>
      </c>
      <c r="X176">
        <v>1.2E-5</v>
      </c>
      <c r="Y176">
        <v>64123.05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77</v>
      </c>
      <c r="AG176">
        <v>1.2E-5</v>
      </c>
      <c r="AH176">
        <v>2</v>
      </c>
      <c r="AI176">
        <v>55915954</v>
      </c>
      <c r="AJ176">
        <v>148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ROW(Source!A342)</f>
        <v>342</v>
      </c>
      <c r="B177">
        <v>55915955</v>
      </c>
      <c r="C177">
        <v>55915952</v>
      </c>
      <c r="D177">
        <v>55466338</v>
      </c>
      <c r="E177">
        <v>1</v>
      </c>
      <c r="F177">
        <v>1</v>
      </c>
      <c r="G177">
        <v>1081</v>
      </c>
      <c r="H177">
        <v>3</v>
      </c>
      <c r="I177" t="s">
        <v>442</v>
      </c>
      <c r="J177" t="s">
        <v>443</v>
      </c>
      <c r="K177" t="s">
        <v>444</v>
      </c>
      <c r="L177">
        <v>1349</v>
      </c>
      <c r="N177">
        <v>1009</v>
      </c>
      <c r="O177" t="s">
        <v>445</v>
      </c>
      <c r="P177" t="s">
        <v>445</v>
      </c>
      <c r="Q177">
        <v>1E-3</v>
      </c>
      <c r="X177">
        <v>2</v>
      </c>
      <c r="Y177">
        <v>7.0000000000000007E-2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77</v>
      </c>
      <c r="AG177">
        <v>2</v>
      </c>
      <c r="AH177">
        <v>2</v>
      </c>
      <c r="AI177">
        <v>55915955</v>
      </c>
      <c r="AJ177">
        <v>149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ROW(Source!A342)</f>
        <v>342</v>
      </c>
      <c r="B178">
        <v>55915956</v>
      </c>
      <c r="C178">
        <v>55915952</v>
      </c>
      <c r="D178">
        <v>55482233</v>
      </c>
      <c r="E178">
        <v>1</v>
      </c>
      <c r="F178">
        <v>1</v>
      </c>
      <c r="G178">
        <v>1081</v>
      </c>
      <c r="H178">
        <v>3</v>
      </c>
      <c r="I178" t="s">
        <v>446</v>
      </c>
      <c r="J178" t="s">
        <v>447</v>
      </c>
      <c r="K178" t="s">
        <v>448</v>
      </c>
      <c r="L178">
        <v>1346</v>
      </c>
      <c r="N178">
        <v>1009</v>
      </c>
      <c r="O178" t="s">
        <v>339</v>
      </c>
      <c r="P178" t="s">
        <v>339</v>
      </c>
      <c r="Q178">
        <v>1</v>
      </c>
      <c r="X178">
        <v>6.0000000000000001E-3</v>
      </c>
      <c r="Y178">
        <v>493.08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77</v>
      </c>
      <c r="AG178">
        <v>6.0000000000000001E-3</v>
      </c>
      <c r="AH178">
        <v>2</v>
      </c>
      <c r="AI178">
        <v>55915956</v>
      </c>
      <c r="AJ178">
        <v>150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ROW(Source!A342)</f>
        <v>342</v>
      </c>
      <c r="B179">
        <v>55915957</v>
      </c>
      <c r="C179">
        <v>55915952</v>
      </c>
      <c r="D179">
        <v>55487942</v>
      </c>
      <c r="E179">
        <v>1</v>
      </c>
      <c r="F179">
        <v>1</v>
      </c>
      <c r="G179">
        <v>1081</v>
      </c>
      <c r="H179">
        <v>3</v>
      </c>
      <c r="I179" t="s">
        <v>375</v>
      </c>
      <c r="J179" t="s">
        <v>376</v>
      </c>
      <c r="K179" t="s">
        <v>377</v>
      </c>
      <c r="L179">
        <v>1303</v>
      </c>
      <c r="N179">
        <v>1003</v>
      </c>
      <c r="O179" t="s">
        <v>378</v>
      </c>
      <c r="P179" t="s">
        <v>378</v>
      </c>
      <c r="Q179">
        <v>1000</v>
      </c>
      <c r="X179">
        <v>0.06</v>
      </c>
      <c r="Y179">
        <v>516.63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77</v>
      </c>
      <c r="AG179">
        <v>0.06</v>
      </c>
      <c r="AH179">
        <v>2</v>
      </c>
      <c r="AI179">
        <v>55915957</v>
      </c>
      <c r="AJ179">
        <v>151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ROW(Source!A342)</f>
        <v>342</v>
      </c>
      <c r="B180">
        <v>55915958</v>
      </c>
      <c r="C180">
        <v>55915952</v>
      </c>
      <c r="D180">
        <v>55448093</v>
      </c>
      <c r="E180">
        <v>1081</v>
      </c>
      <c r="F180">
        <v>1</v>
      </c>
      <c r="G180">
        <v>1081</v>
      </c>
      <c r="H180">
        <v>3</v>
      </c>
      <c r="I180" t="s">
        <v>471</v>
      </c>
      <c r="J180" t="s">
        <v>3</v>
      </c>
      <c r="K180" t="s">
        <v>472</v>
      </c>
      <c r="L180">
        <v>1346</v>
      </c>
      <c r="N180">
        <v>1009</v>
      </c>
      <c r="O180" t="s">
        <v>339</v>
      </c>
      <c r="P180" t="s">
        <v>339</v>
      </c>
      <c r="Q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77</v>
      </c>
      <c r="AG180">
        <v>0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ROW(Source!A342)</f>
        <v>342</v>
      </c>
      <c r="B181">
        <v>55915959</v>
      </c>
      <c r="C181">
        <v>55915952</v>
      </c>
      <c r="D181">
        <v>55448150</v>
      </c>
      <c r="E181">
        <v>1081</v>
      </c>
      <c r="F181">
        <v>1</v>
      </c>
      <c r="G181">
        <v>1081</v>
      </c>
      <c r="H181">
        <v>3</v>
      </c>
      <c r="I181" t="s">
        <v>473</v>
      </c>
      <c r="J181" t="s">
        <v>3</v>
      </c>
      <c r="K181" t="s">
        <v>474</v>
      </c>
      <c r="L181">
        <v>1354</v>
      </c>
      <c r="N181">
        <v>1010</v>
      </c>
      <c r="O181" t="s">
        <v>191</v>
      </c>
      <c r="P181" t="s">
        <v>191</v>
      </c>
      <c r="Q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77</v>
      </c>
      <c r="AG181">
        <v>1</v>
      </c>
      <c r="AH181">
        <v>3</v>
      </c>
      <c r="AI181">
        <v>-1</v>
      </c>
      <c r="AJ181" t="s">
        <v>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ROW(Source!A343)</f>
        <v>343</v>
      </c>
      <c r="B182">
        <v>55915953</v>
      </c>
      <c r="C182">
        <v>55915952</v>
      </c>
      <c r="D182">
        <v>55424304</v>
      </c>
      <c r="E182">
        <v>1081</v>
      </c>
      <c r="F182">
        <v>1</v>
      </c>
      <c r="G182">
        <v>1081</v>
      </c>
      <c r="H182">
        <v>1</v>
      </c>
      <c r="I182" t="s">
        <v>363</v>
      </c>
      <c r="J182" t="s">
        <v>3</v>
      </c>
      <c r="K182" t="s">
        <v>364</v>
      </c>
      <c r="L182">
        <v>1191</v>
      </c>
      <c r="N182">
        <v>1013</v>
      </c>
      <c r="O182" t="s">
        <v>365</v>
      </c>
      <c r="P182" t="s">
        <v>365</v>
      </c>
      <c r="Q182">
        <v>1</v>
      </c>
      <c r="X182">
        <v>7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1</v>
      </c>
      <c r="AF182" t="s">
        <v>78</v>
      </c>
      <c r="AG182">
        <v>8.4</v>
      </c>
      <c r="AH182">
        <v>2</v>
      </c>
      <c r="AI182">
        <v>55915953</v>
      </c>
      <c r="AJ182">
        <v>154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ROW(Source!A343)</f>
        <v>343</v>
      </c>
      <c r="B183">
        <v>55915954</v>
      </c>
      <c r="C183">
        <v>55915952</v>
      </c>
      <c r="D183">
        <v>55459793</v>
      </c>
      <c r="E183">
        <v>1</v>
      </c>
      <c r="F183">
        <v>1</v>
      </c>
      <c r="G183">
        <v>1081</v>
      </c>
      <c r="H183">
        <v>3</v>
      </c>
      <c r="I183" t="s">
        <v>369</v>
      </c>
      <c r="J183" t="s">
        <v>370</v>
      </c>
      <c r="K183" t="s">
        <v>371</v>
      </c>
      <c r="L183">
        <v>1348</v>
      </c>
      <c r="N183">
        <v>1009</v>
      </c>
      <c r="O183" t="s">
        <v>324</v>
      </c>
      <c r="P183" t="s">
        <v>324</v>
      </c>
      <c r="Q183">
        <v>1000</v>
      </c>
      <c r="X183">
        <v>1.2E-5</v>
      </c>
      <c r="Y183">
        <v>64123.05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77</v>
      </c>
      <c r="AG183">
        <v>1.2E-5</v>
      </c>
      <c r="AH183">
        <v>2</v>
      </c>
      <c r="AI183">
        <v>55915954</v>
      </c>
      <c r="AJ183">
        <v>155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ROW(Source!A343)</f>
        <v>343</v>
      </c>
      <c r="B184">
        <v>55915955</v>
      </c>
      <c r="C184">
        <v>55915952</v>
      </c>
      <c r="D184">
        <v>55466338</v>
      </c>
      <c r="E184">
        <v>1</v>
      </c>
      <c r="F184">
        <v>1</v>
      </c>
      <c r="G184">
        <v>1081</v>
      </c>
      <c r="H184">
        <v>3</v>
      </c>
      <c r="I184" t="s">
        <v>442</v>
      </c>
      <c r="J184" t="s">
        <v>443</v>
      </c>
      <c r="K184" t="s">
        <v>444</v>
      </c>
      <c r="L184">
        <v>1349</v>
      </c>
      <c r="N184">
        <v>1009</v>
      </c>
      <c r="O184" t="s">
        <v>445</v>
      </c>
      <c r="P184" t="s">
        <v>445</v>
      </c>
      <c r="Q184">
        <v>1E-3</v>
      </c>
      <c r="X184">
        <v>2</v>
      </c>
      <c r="Y184">
        <v>7.0000000000000007E-2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77</v>
      </c>
      <c r="AG184">
        <v>2</v>
      </c>
      <c r="AH184">
        <v>2</v>
      </c>
      <c r="AI184">
        <v>55915955</v>
      </c>
      <c r="AJ184">
        <v>156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ROW(Source!A343)</f>
        <v>343</v>
      </c>
      <c r="B185">
        <v>55915956</v>
      </c>
      <c r="C185">
        <v>55915952</v>
      </c>
      <c r="D185">
        <v>55482233</v>
      </c>
      <c r="E185">
        <v>1</v>
      </c>
      <c r="F185">
        <v>1</v>
      </c>
      <c r="G185">
        <v>1081</v>
      </c>
      <c r="H185">
        <v>3</v>
      </c>
      <c r="I185" t="s">
        <v>446</v>
      </c>
      <c r="J185" t="s">
        <v>447</v>
      </c>
      <c r="K185" t="s">
        <v>448</v>
      </c>
      <c r="L185">
        <v>1346</v>
      </c>
      <c r="N185">
        <v>1009</v>
      </c>
      <c r="O185" t="s">
        <v>339</v>
      </c>
      <c r="P185" t="s">
        <v>339</v>
      </c>
      <c r="Q185">
        <v>1</v>
      </c>
      <c r="X185">
        <v>6.0000000000000001E-3</v>
      </c>
      <c r="Y185">
        <v>493.08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77</v>
      </c>
      <c r="AG185">
        <v>6.0000000000000001E-3</v>
      </c>
      <c r="AH185">
        <v>2</v>
      </c>
      <c r="AI185">
        <v>55915956</v>
      </c>
      <c r="AJ185">
        <v>157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ROW(Source!A343)</f>
        <v>343</v>
      </c>
      <c r="B186">
        <v>55915957</v>
      </c>
      <c r="C186">
        <v>55915952</v>
      </c>
      <c r="D186">
        <v>55487942</v>
      </c>
      <c r="E186">
        <v>1</v>
      </c>
      <c r="F186">
        <v>1</v>
      </c>
      <c r="G186">
        <v>1081</v>
      </c>
      <c r="H186">
        <v>3</v>
      </c>
      <c r="I186" t="s">
        <v>375</v>
      </c>
      <c r="J186" t="s">
        <v>376</v>
      </c>
      <c r="K186" t="s">
        <v>377</v>
      </c>
      <c r="L186">
        <v>1303</v>
      </c>
      <c r="N186">
        <v>1003</v>
      </c>
      <c r="O186" t="s">
        <v>378</v>
      </c>
      <c r="P186" t="s">
        <v>378</v>
      </c>
      <c r="Q186">
        <v>1000</v>
      </c>
      <c r="X186">
        <v>0.06</v>
      </c>
      <c r="Y186">
        <v>516.63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77</v>
      </c>
      <c r="AG186">
        <v>0.06</v>
      </c>
      <c r="AH186">
        <v>2</v>
      </c>
      <c r="AI186">
        <v>55915957</v>
      </c>
      <c r="AJ186">
        <v>158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ROW(Source!A343)</f>
        <v>343</v>
      </c>
      <c r="B187">
        <v>55915958</v>
      </c>
      <c r="C187">
        <v>55915952</v>
      </c>
      <c r="D187">
        <v>55448093</v>
      </c>
      <c r="E187">
        <v>1081</v>
      </c>
      <c r="F187">
        <v>1</v>
      </c>
      <c r="G187">
        <v>1081</v>
      </c>
      <c r="H187">
        <v>3</v>
      </c>
      <c r="I187" t="s">
        <v>471</v>
      </c>
      <c r="J187" t="s">
        <v>3</v>
      </c>
      <c r="K187" t="s">
        <v>472</v>
      </c>
      <c r="L187">
        <v>1346</v>
      </c>
      <c r="N187">
        <v>1009</v>
      </c>
      <c r="O187" t="s">
        <v>339</v>
      </c>
      <c r="P187" t="s">
        <v>339</v>
      </c>
      <c r="Q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 t="s">
        <v>77</v>
      </c>
      <c r="AG187">
        <v>0</v>
      </c>
      <c r="AH187">
        <v>3</v>
      </c>
      <c r="AI187">
        <v>-1</v>
      </c>
      <c r="AJ187" t="s">
        <v>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ROW(Source!A343)</f>
        <v>343</v>
      </c>
      <c r="B188">
        <v>55915959</v>
      </c>
      <c r="C188">
        <v>55915952</v>
      </c>
      <c r="D188">
        <v>55448150</v>
      </c>
      <c r="E188">
        <v>1081</v>
      </c>
      <c r="F188">
        <v>1</v>
      </c>
      <c r="G188">
        <v>1081</v>
      </c>
      <c r="H188">
        <v>3</v>
      </c>
      <c r="I188" t="s">
        <v>473</v>
      </c>
      <c r="J188" t="s">
        <v>3</v>
      </c>
      <c r="K188" t="s">
        <v>474</v>
      </c>
      <c r="L188">
        <v>1354</v>
      </c>
      <c r="N188">
        <v>1010</v>
      </c>
      <c r="O188" t="s">
        <v>191</v>
      </c>
      <c r="P188" t="s">
        <v>191</v>
      </c>
      <c r="Q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 t="s">
        <v>77</v>
      </c>
      <c r="AG188">
        <v>1</v>
      </c>
      <c r="AH188">
        <v>3</v>
      </c>
      <c r="AI188">
        <v>-1</v>
      </c>
      <c r="AJ188" t="s">
        <v>3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ROW(Source!A389)</f>
        <v>389</v>
      </c>
      <c r="B189">
        <v>55916045</v>
      </c>
      <c r="C189">
        <v>55916044</v>
      </c>
      <c r="D189">
        <v>55424304</v>
      </c>
      <c r="E189">
        <v>1081</v>
      </c>
      <c r="F189">
        <v>1</v>
      </c>
      <c r="G189">
        <v>1081</v>
      </c>
      <c r="H189">
        <v>1</v>
      </c>
      <c r="I189" t="s">
        <v>363</v>
      </c>
      <c r="J189" t="s">
        <v>3</v>
      </c>
      <c r="K189" t="s">
        <v>364</v>
      </c>
      <c r="L189">
        <v>1191</v>
      </c>
      <c r="N189">
        <v>1013</v>
      </c>
      <c r="O189" t="s">
        <v>365</v>
      </c>
      <c r="P189" t="s">
        <v>365</v>
      </c>
      <c r="Q189">
        <v>1</v>
      </c>
      <c r="X189">
        <v>0.35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1</v>
      </c>
      <c r="AF189" t="s">
        <v>78</v>
      </c>
      <c r="AG189">
        <v>0.42</v>
      </c>
      <c r="AH189">
        <v>2</v>
      </c>
      <c r="AI189">
        <v>55916045</v>
      </c>
      <c r="AJ189">
        <v>161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ROW(Source!A390)</f>
        <v>390</v>
      </c>
      <c r="B190">
        <v>55916045</v>
      </c>
      <c r="C190">
        <v>55916044</v>
      </c>
      <c r="D190">
        <v>55424304</v>
      </c>
      <c r="E190">
        <v>1081</v>
      </c>
      <c r="F190">
        <v>1</v>
      </c>
      <c r="G190">
        <v>1081</v>
      </c>
      <c r="H190">
        <v>1</v>
      </c>
      <c r="I190" t="s">
        <v>363</v>
      </c>
      <c r="J190" t="s">
        <v>3</v>
      </c>
      <c r="K190" t="s">
        <v>364</v>
      </c>
      <c r="L190">
        <v>1191</v>
      </c>
      <c r="N190">
        <v>1013</v>
      </c>
      <c r="O190" t="s">
        <v>365</v>
      </c>
      <c r="P190" t="s">
        <v>365</v>
      </c>
      <c r="Q190">
        <v>1</v>
      </c>
      <c r="X190">
        <v>0.35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1</v>
      </c>
      <c r="AF190" t="s">
        <v>78</v>
      </c>
      <c r="AG190">
        <v>0.42</v>
      </c>
      <c r="AH190">
        <v>2</v>
      </c>
      <c r="AI190">
        <v>55916045</v>
      </c>
      <c r="AJ190">
        <v>162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ROW(Source!A393)</f>
        <v>393</v>
      </c>
      <c r="B191">
        <v>55916053</v>
      </c>
      <c r="C191">
        <v>55916052</v>
      </c>
      <c r="D191">
        <v>55424304</v>
      </c>
      <c r="E191">
        <v>1081</v>
      </c>
      <c r="F191">
        <v>1</v>
      </c>
      <c r="G191">
        <v>1081</v>
      </c>
      <c r="H191">
        <v>1</v>
      </c>
      <c r="I191" t="s">
        <v>363</v>
      </c>
      <c r="J191" t="s">
        <v>3</v>
      </c>
      <c r="K191" t="s">
        <v>364</v>
      </c>
      <c r="L191">
        <v>1191</v>
      </c>
      <c r="N191">
        <v>1013</v>
      </c>
      <c r="O191" t="s">
        <v>365</v>
      </c>
      <c r="P191" t="s">
        <v>365</v>
      </c>
      <c r="Q191">
        <v>1</v>
      </c>
      <c r="X191">
        <v>1.26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1</v>
      </c>
      <c r="AF191" t="s">
        <v>78</v>
      </c>
      <c r="AG191">
        <v>1.512</v>
      </c>
      <c r="AH191">
        <v>2</v>
      </c>
      <c r="AI191">
        <v>55916053</v>
      </c>
      <c r="AJ191">
        <v>163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ROW(Source!A393)</f>
        <v>393</v>
      </c>
      <c r="B192">
        <v>55916054</v>
      </c>
      <c r="C192">
        <v>55916052</v>
      </c>
      <c r="D192">
        <v>55465987</v>
      </c>
      <c r="E192">
        <v>1</v>
      </c>
      <c r="F192">
        <v>1</v>
      </c>
      <c r="G192">
        <v>1081</v>
      </c>
      <c r="H192">
        <v>3</v>
      </c>
      <c r="I192" t="s">
        <v>322</v>
      </c>
      <c r="J192" t="s">
        <v>325</v>
      </c>
      <c r="K192" t="s">
        <v>323</v>
      </c>
      <c r="L192">
        <v>1348</v>
      </c>
      <c r="N192">
        <v>1009</v>
      </c>
      <c r="O192" t="s">
        <v>324</v>
      </c>
      <c r="P192" t="s">
        <v>324</v>
      </c>
      <c r="Q192">
        <v>1000</v>
      </c>
      <c r="X192">
        <v>3.0000000000000001E-5</v>
      </c>
      <c r="Y192">
        <v>18995.22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77</v>
      </c>
      <c r="AG192">
        <v>3.0000000000000001E-5</v>
      </c>
      <c r="AH192">
        <v>3</v>
      </c>
      <c r="AI192">
        <v>-1</v>
      </c>
      <c r="AJ192" t="s">
        <v>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ROW(Source!A394)</f>
        <v>394</v>
      </c>
      <c r="B193">
        <v>55916053</v>
      </c>
      <c r="C193">
        <v>55916052</v>
      </c>
      <c r="D193">
        <v>55424304</v>
      </c>
      <c r="E193">
        <v>1081</v>
      </c>
      <c r="F193">
        <v>1</v>
      </c>
      <c r="G193">
        <v>1081</v>
      </c>
      <c r="H193">
        <v>1</v>
      </c>
      <c r="I193" t="s">
        <v>363</v>
      </c>
      <c r="J193" t="s">
        <v>3</v>
      </c>
      <c r="K193" t="s">
        <v>364</v>
      </c>
      <c r="L193">
        <v>1191</v>
      </c>
      <c r="N193">
        <v>1013</v>
      </c>
      <c r="O193" t="s">
        <v>365</v>
      </c>
      <c r="P193" t="s">
        <v>365</v>
      </c>
      <c r="Q193">
        <v>1</v>
      </c>
      <c r="X193">
        <v>1.26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 t="s">
        <v>78</v>
      </c>
      <c r="AG193">
        <v>1.512</v>
      </c>
      <c r="AH193">
        <v>2</v>
      </c>
      <c r="AI193">
        <v>55916053</v>
      </c>
      <c r="AJ193">
        <v>164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ROW(Source!A394)</f>
        <v>394</v>
      </c>
      <c r="B194">
        <v>55916054</v>
      </c>
      <c r="C194">
        <v>55916052</v>
      </c>
      <c r="D194">
        <v>55465987</v>
      </c>
      <c r="E194">
        <v>1</v>
      </c>
      <c r="F194">
        <v>1</v>
      </c>
      <c r="G194">
        <v>1081</v>
      </c>
      <c r="H194">
        <v>3</v>
      </c>
      <c r="I194" t="s">
        <v>322</v>
      </c>
      <c r="J194" t="s">
        <v>325</v>
      </c>
      <c r="K194" t="s">
        <v>323</v>
      </c>
      <c r="L194">
        <v>1348</v>
      </c>
      <c r="N194">
        <v>1009</v>
      </c>
      <c r="O194" t="s">
        <v>324</v>
      </c>
      <c r="P194" t="s">
        <v>324</v>
      </c>
      <c r="Q194">
        <v>1000</v>
      </c>
      <c r="X194">
        <v>3.0000000000000001E-5</v>
      </c>
      <c r="Y194">
        <v>18995.22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77</v>
      </c>
      <c r="AG194">
        <v>3.0000000000000001E-5</v>
      </c>
      <c r="AH194">
        <v>3</v>
      </c>
      <c r="AI194">
        <v>-1</v>
      </c>
      <c r="AJ194" t="s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ROW(Source!A434)</f>
        <v>434</v>
      </c>
      <c r="B195">
        <v>55916123</v>
      </c>
      <c r="C195">
        <v>55916122</v>
      </c>
      <c r="D195">
        <v>55424304</v>
      </c>
      <c r="E195">
        <v>1081</v>
      </c>
      <c r="F195">
        <v>1</v>
      </c>
      <c r="G195">
        <v>1081</v>
      </c>
      <c r="H195">
        <v>1</v>
      </c>
      <c r="I195" t="s">
        <v>363</v>
      </c>
      <c r="J195" t="s">
        <v>3</v>
      </c>
      <c r="K195" t="s">
        <v>364</v>
      </c>
      <c r="L195">
        <v>1191</v>
      </c>
      <c r="N195">
        <v>1013</v>
      </c>
      <c r="O195" t="s">
        <v>365</v>
      </c>
      <c r="P195" t="s">
        <v>365</v>
      </c>
      <c r="Q195">
        <v>1</v>
      </c>
      <c r="X195">
        <v>2.06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  <c r="AF195" t="s">
        <v>78</v>
      </c>
      <c r="AG195">
        <v>2.472</v>
      </c>
      <c r="AH195">
        <v>2</v>
      </c>
      <c r="AI195">
        <v>55916123</v>
      </c>
      <c r="AJ195">
        <v>165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ROW(Source!A434)</f>
        <v>434</v>
      </c>
      <c r="B196">
        <v>55916124</v>
      </c>
      <c r="C196">
        <v>55916122</v>
      </c>
      <c r="D196">
        <v>55461079</v>
      </c>
      <c r="E196">
        <v>1</v>
      </c>
      <c r="F196">
        <v>1</v>
      </c>
      <c r="G196">
        <v>1081</v>
      </c>
      <c r="H196">
        <v>3</v>
      </c>
      <c r="I196" t="s">
        <v>381</v>
      </c>
      <c r="J196" t="s">
        <v>382</v>
      </c>
      <c r="K196" t="s">
        <v>383</v>
      </c>
      <c r="L196">
        <v>1346</v>
      </c>
      <c r="N196">
        <v>1009</v>
      </c>
      <c r="O196" t="s">
        <v>339</v>
      </c>
      <c r="P196" t="s">
        <v>339</v>
      </c>
      <c r="Q196">
        <v>1</v>
      </c>
      <c r="X196">
        <v>0.4</v>
      </c>
      <c r="Y196">
        <v>45.62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77</v>
      </c>
      <c r="AG196">
        <v>0.4</v>
      </c>
      <c r="AH196">
        <v>2</v>
      </c>
      <c r="AI196">
        <v>55916124</v>
      </c>
      <c r="AJ196">
        <v>166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ROW(Source!A434)</f>
        <v>434</v>
      </c>
      <c r="B197">
        <v>55916125</v>
      </c>
      <c r="C197">
        <v>55916122</v>
      </c>
      <c r="D197">
        <v>55467056</v>
      </c>
      <c r="E197">
        <v>1</v>
      </c>
      <c r="F197">
        <v>1</v>
      </c>
      <c r="G197">
        <v>1081</v>
      </c>
      <c r="H197">
        <v>3</v>
      </c>
      <c r="I197" t="s">
        <v>384</v>
      </c>
      <c r="J197" t="s">
        <v>385</v>
      </c>
      <c r="K197" t="s">
        <v>386</v>
      </c>
      <c r="L197">
        <v>1348</v>
      </c>
      <c r="N197">
        <v>1009</v>
      </c>
      <c r="O197" t="s">
        <v>324</v>
      </c>
      <c r="P197" t="s">
        <v>324</v>
      </c>
      <c r="Q197">
        <v>1000</v>
      </c>
      <c r="X197">
        <v>2E-3</v>
      </c>
      <c r="Y197">
        <v>5102.09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77</v>
      </c>
      <c r="AG197">
        <v>2E-3</v>
      </c>
      <c r="AH197">
        <v>2</v>
      </c>
      <c r="AI197">
        <v>55916125</v>
      </c>
      <c r="AJ197">
        <v>168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ROW(Source!A434)</f>
        <v>434</v>
      </c>
      <c r="B198">
        <v>55916126</v>
      </c>
      <c r="C198">
        <v>55916122</v>
      </c>
      <c r="D198">
        <v>55417010</v>
      </c>
      <c r="E198">
        <v>1081</v>
      </c>
      <c r="F198">
        <v>1</v>
      </c>
      <c r="G198">
        <v>1081</v>
      </c>
      <c r="H198">
        <v>3</v>
      </c>
      <c r="I198" t="s">
        <v>455</v>
      </c>
      <c r="J198" t="s">
        <v>3</v>
      </c>
      <c r="K198" t="s">
        <v>456</v>
      </c>
      <c r="L198">
        <v>1346</v>
      </c>
      <c r="N198">
        <v>1009</v>
      </c>
      <c r="O198" t="s">
        <v>339</v>
      </c>
      <c r="P198" t="s">
        <v>339</v>
      </c>
      <c r="Q198">
        <v>1</v>
      </c>
      <c r="X198">
        <v>0.11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 t="s">
        <v>77</v>
      </c>
      <c r="AG198">
        <v>0.11</v>
      </c>
      <c r="AH198">
        <v>3</v>
      </c>
      <c r="AI198">
        <v>-1</v>
      </c>
      <c r="AJ198" t="s">
        <v>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ROW(Source!A434)</f>
        <v>434</v>
      </c>
      <c r="B199">
        <v>55916127</v>
      </c>
      <c r="C199">
        <v>55916122</v>
      </c>
      <c r="D199">
        <v>55431409</v>
      </c>
      <c r="E199">
        <v>1081</v>
      </c>
      <c r="F199">
        <v>1</v>
      </c>
      <c r="G199">
        <v>1081</v>
      </c>
      <c r="H199">
        <v>3</v>
      </c>
      <c r="I199" t="s">
        <v>457</v>
      </c>
      <c r="J199" t="s">
        <v>3</v>
      </c>
      <c r="K199" t="s">
        <v>458</v>
      </c>
      <c r="L199">
        <v>1354</v>
      </c>
      <c r="N199">
        <v>1010</v>
      </c>
      <c r="O199" t="s">
        <v>191</v>
      </c>
      <c r="P199" t="s">
        <v>191</v>
      </c>
      <c r="Q199">
        <v>1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77</v>
      </c>
      <c r="AG199">
        <v>1</v>
      </c>
      <c r="AH199">
        <v>3</v>
      </c>
      <c r="AI199">
        <v>-1</v>
      </c>
      <c r="AJ199" t="s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ROW(Source!A435)</f>
        <v>435</v>
      </c>
      <c r="B200">
        <v>55916123</v>
      </c>
      <c r="C200">
        <v>55916122</v>
      </c>
      <c r="D200">
        <v>55424304</v>
      </c>
      <c r="E200">
        <v>1081</v>
      </c>
      <c r="F200">
        <v>1</v>
      </c>
      <c r="G200">
        <v>1081</v>
      </c>
      <c r="H200">
        <v>1</v>
      </c>
      <c r="I200" t="s">
        <v>363</v>
      </c>
      <c r="J200" t="s">
        <v>3</v>
      </c>
      <c r="K200" t="s">
        <v>364</v>
      </c>
      <c r="L200">
        <v>1191</v>
      </c>
      <c r="N200">
        <v>1013</v>
      </c>
      <c r="O200" t="s">
        <v>365</v>
      </c>
      <c r="P200" t="s">
        <v>365</v>
      </c>
      <c r="Q200">
        <v>1</v>
      </c>
      <c r="X200">
        <v>2.06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1</v>
      </c>
      <c r="AF200" t="s">
        <v>78</v>
      </c>
      <c r="AG200">
        <v>2.472</v>
      </c>
      <c r="AH200">
        <v>2</v>
      </c>
      <c r="AI200">
        <v>55916123</v>
      </c>
      <c r="AJ200">
        <v>169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ROW(Source!A435)</f>
        <v>435</v>
      </c>
      <c r="B201">
        <v>55916124</v>
      </c>
      <c r="C201">
        <v>55916122</v>
      </c>
      <c r="D201">
        <v>55461079</v>
      </c>
      <c r="E201">
        <v>1</v>
      </c>
      <c r="F201">
        <v>1</v>
      </c>
      <c r="G201">
        <v>1081</v>
      </c>
      <c r="H201">
        <v>3</v>
      </c>
      <c r="I201" t="s">
        <v>381</v>
      </c>
      <c r="J201" t="s">
        <v>382</v>
      </c>
      <c r="K201" t="s">
        <v>383</v>
      </c>
      <c r="L201">
        <v>1346</v>
      </c>
      <c r="N201">
        <v>1009</v>
      </c>
      <c r="O201" t="s">
        <v>339</v>
      </c>
      <c r="P201" t="s">
        <v>339</v>
      </c>
      <c r="Q201">
        <v>1</v>
      </c>
      <c r="X201">
        <v>0.4</v>
      </c>
      <c r="Y201">
        <v>45.62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77</v>
      </c>
      <c r="AG201">
        <v>0.4</v>
      </c>
      <c r="AH201">
        <v>2</v>
      </c>
      <c r="AI201">
        <v>55916124</v>
      </c>
      <c r="AJ201">
        <v>170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ROW(Source!A435)</f>
        <v>435</v>
      </c>
      <c r="B202">
        <v>55916125</v>
      </c>
      <c r="C202">
        <v>55916122</v>
      </c>
      <c r="D202">
        <v>55467056</v>
      </c>
      <c r="E202">
        <v>1</v>
      </c>
      <c r="F202">
        <v>1</v>
      </c>
      <c r="G202">
        <v>1081</v>
      </c>
      <c r="H202">
        <v>3</v>
      </c>
      <c r="I202" t="s">
        <v>384</v>
      </c>
      <c r="J202" t="s">
        <v>385</v>
      </c>
      <c r="K202" t="s">
        <v>386</v>
      </c>
      <c r="L202">
        <v>1348</v>
      </c>
      <c r="N202">
        <v>1009</v>
      </c>
      <c r="O202" t="s">
        <v>324</v>
      </c>
      <c r="P202" t="s">
        <v>324</v>
      </c>
      <c r="Q202">
        <v>1000</v>
      </c>
      <c r="X202">
        <v>2E-3</v>
      </c>
      <c r="Y202">
        <v>5102.09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 t="s">
        <v>77</v>
      </c>
      <c r="AG202">
        <v>2E-3</v>
      </c>
      <c r="AH202">
        <v>2</v>
      </c>
      <c r="AI202">
        <v>55916125</v>
      </c>
      <c r="AJ202">
        <v>172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ROW(Source!A435)</f>
        <v>435</v>
      </c>
      <c r="B203">
        <v>55916126</v>
      </c>
      <c r="C203">
        <v>55916122</v>
      </c>
      <c r="D203">
        <v>55417010</v>
      </c>
      <c r="E203">
        <v>1081</v>
      </c>
      <c r="F203">
        <v>1</v>
      </c>
      <c r="G203">
        <v>1081</v>
      </c>
      <c r="H203">
        <v>3</v>
      </c>
      <c r="I203" t="s">
        <v>455</v>
      </c>
      <c r="J203" t="s">
        <v>3</v>
      </c>
      <c r="K203" t="s">
        <v>456</v>
      </c>
      <c r="L203">
        <v>1346</v>
      </c>
      <c r="N203">
        <v>1009</v>
      </c>
      <c r="O203" t="s">
        <v>339</v>
      </c>
      <c r="P203" t="s">
        <v>339</v>
      </c>
      <c r="Q203">
        <v>1</v>
      </c>
      <c r="X203">
        <v>0.11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 t="s">
        <v>77</v>
      </c>
      <c r="AG203">
        <v>0.11</v>
      </c>
      <c r="AH203">
        <v>3</v>
      </c>
      <c r="AI203">
        <v>-1</v>
      </c>
      <c r="AJ203" t="s">
        <v>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ROW(Source!A435)</f>
        <v>435</v>
      </c>
      <c r="B204">
        <v>55916127</v>
      </c>
      <c r="C204">
        <v>55916122</v>
      </c>
      <c r="D204">
        <v>55431409</v>
      </c>
      <c r="E204">
        <v>1081</v>
      </c>
      <c r="F204">
        <v>1</v>
      </c>
      <c r="G204">
        <v>1081</v>
      </c>
      <c r="H204">
        <v>3</v>
      </c>
      <c r="I204" t="s">
        <v>457</v>
      </c>
      <c r="J204" t="s">
        <v>3</v>
      </c>
      <c r="K204" t="s">
        <v>458</v>
      </c>
      <c r="L204">
        <v>1354</v>
      </c>
      <c r="N204">
        <v>1010</v>
      </c>
      <c r="O204" t="s">
        <v>191</v>
      </c>
      <c r="P204" t="s">
        <v>191</v>
      </c>
      <c r="Q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 t="s">
        <v>77</v>
      </c>
      <c r="AG204">
        <v>1</v>
      </c>
      <c r="AH204">
        <v>3</v>
      </c>
      <c r="AI204">
        <v>-1</v>
      </c>
      <c r="AJ204" t="s">
        <v>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77</v>
      </c>
      <c r="E1" t="s">
        <v>78</v>
      </c>
      <c r="F1" t="s">
        <v>78</v>
      </c>
      <c r="G1" t="s">
        <v>78</v>
      </c>
      <c r="H1" t="s">
        <v>3</v>
      </c>
      <c r="I1" t="s">
        <v>78</v>
      </c>
      <c r="J1" t="s">
        <v>78</v>
      </c>
      <c r="K1" t="s">
        <v>3</v>
      </c>
      <c r="L1" t="s">
        <v>3</v>
      </c>
      <c r="M1" t="s">
        <v>3</v>
      </c>
      <c r="N1" t="s">
        <v>77</v>
      </c>
      <c r="O1" t="s">
        <v>78</v>
      </c>
      <c r="P1" t="s">
        <v>3</v>
      </c>
      <c r="Q1" t="s">
        <v>3</v>
      </c>
      <c r="R1" t="s">
        <v>3</v>
      </c>
      <c r="S1" t="s">
        <v>475</v>
      </c>
      <c r="T1" t="s">
        <v>476</v>
      </c>
      <c r="U1" t="s">
        <v>477</v>
      </c>
    </row>
    <row r="2" spans="1:21" x14ac:dyDescent="0.2">
      <c r="A2">
        <v>28</v>
      </c>
      <c r="B2">
        <v>1</v>
      </c>
      <c r="C2" t="s">
        <v>3</v>
      </c>
      <c r="D2" t="s">
        <v>478</v>
      </c>
      <c r="E2" t="s">
        <v>479</v>
      </c>
      <c r="F2" t="s">
        <v>479</v>
      </c>
      <c r="G2" t="s">
        <v>479</v>
      </c>
      <c r="H2" t="s">
        <v>3</v>
      </c>
      <c r="I2" t="s">
        <v>479</v>
      </c>
      <c r="J2" t="s">
        <v>479</v>
      </c>
      <c r="K2" t="s">
        <v>3</v>
      </c>
      <c r="L2" t="s">
        <v>3</v>
      </c>
      <c r="M2" t="s">
        <v>3</v>
      </c>
      <c r="N2" t="s">
        <v>478</v>
      </c>
      <c r="O2" t="s">
        <v>479</v>
      </c>
      <c r="P2" t="s">
        <v>3</v>
      </c>
      <c r="Q2" t="s">
        <v>3</v>
      </c>
      <c r="R2" t="s">
        <v>3</v>
      </c>
      <c r="S2" t="s">
        <v>480</v>
      </c>
      <c r="T2" t="s">
        <v>481</v>
      </c>
      <c r="U2" t="s">
        <v>482</v>
      </c>
    </row>
    <row r="3" spans="1:21" x14ac:dyDescent="0.2">
      <c r="A3">
        <v>29</v>
      </c>
      <c r="B3">
        <v>1</v>
      </c>
      <c r="C3" t="s">
        <v>3</v>
      </c>
      <c r="D3" t="s">
        <v>77</v>
      </c>
      <c r="E3" t="s">
        <v>78</v>
      </c>
      <c r="F3" t="s">
        <v>78</v>
      </c>
      <c r="G3" t="s">
        <v>78</v>
      </c>
      <c r="H3" t="s">
        <v>3</v>
      </c>
      <c r="I3" t="s">
        <v>78</v>
      </c>
      <c r="J3" t="s">
        <v>78</v>
      </c>
      <c r="K3" t="s">
        <v>3</v>
      </c>
      <c r="L3" t="s">
        <v>3</v>
      </c>
      <c r="M3" t="s">
        <v>3</v>
      </c>
      <c r="N3" t="s">
        <v>77</v>
      </c>
      <c r="O3" t="s">
        <v>78</v>
      </c>
      <c r="P3" t="s">
        <v>3</v>
      </c>
      <c r="Q3" t="s">
        <v>3</v>
      </c>
      <c r="R3" t="s">
        <v>3</v>
      </c>
      <c r="S3" t="s">
        <v>475</v>
      </c>
      <c r="T3" t="s">
        <v>476</v>
      </c>
      <c r="U3" t="s">
        <v>477</v>
      </c>
    </row>
    <row r="4" spans="1:21" x14ac:dyDescent="0.2">
      <c r="A4">
        <v>29</v>
      </c>
      <c r="B4">
        <v>1</v>
      </c>
      <c r="C4" t="s">
        <v>3</v>
      </c>
      <c r="D4" t="s">
        <v>478</v>
      </c>
      <c r="E4" t="s">
        <v>479</v>
      </c>
      <c r="F4" t="s">
        <v>479</v>
      </c>
      <c r="G4" t="s">
        <v>479</v>
      </c>
      <c r="H4" t="s">
        <v>3</v>
      </c>
      <c r="I4" t="s">
        <v>479</v>
      </c>
      <c r="J4" t="s">
        <v>479</v>
      </c>
      <c r="K4" t="s">
        <v>3</v>
      </c>
      <c r="L4" t="s">
        <v>3</v>
      </c>
      <c r="M4" t="s">
        <v>3</v>
      </c>
      <c r="N4" t="s">
        <v>478</v>
      </c>
      <c r="O4" t="s">
        <v>479</v>
      </c>
      <c r="P4" t="s">
        <v>3</v>
      </c>
      <c r="Q4" t="s">
        <v>3</v>
      </c>
      <c r="R4" t="s">
        <v>3</v>
      </c>
      <c r="S4" t="s">
        <v>480</v>
      </c>
      <c r="T4" t="s">
        <v>481</v>
      </c>
      <c r="U4" t="s">
        <v>482</v>
      </c>
    </row>
    <row r="5" spans="1:21" x14ac:dyDescent="0.2">
      <c r="A5">
        <v>30</v>
      </c>
      <c r="B5">
        <v>1</v>
      </c>
      <c r="C5" t="s">
        <v>3</v>
      </c>
      <c r="D5" t="s">
        <v>77</v>
      </c>
      <c r="E5" t="s">
        <v>78</v>
      </c>
      <c r="F5" t="s">
        <v>78</v>
      </c>
      <c r="G5" t="s">
        <v>78</v>
      </c>
      <c r="H5" t="s">
        <v>3</v>
      </c>
      <c r="I5" t="s">
        <v>78</v>
      </c>
      <c r="J5" t="s">
        <v>78</v>
      </c>
      <c r="K5" t="s">
        <v>3</v>
      </c>
      <c r="L5" t="s">
        <v>3</v>
      </c>
      <c r="M5" t="s">
        <v>3</v>
      </c>
      <c r="N5" t="s">
        <v>77</v>
      </c>
      <c r="O5" t="s">
        <v>78</v>
      </c>
      <c r="P5" t="s">
        <v>3</v>
      </c>
      <c r="Q5" t="s">
        <v>3</v>
      </c>
      <c r="R5" t="s">
        <v>3</v>
      </c>
      <c r="S5" t="s">
        <v>475</v>
      </c>
      <c r="T5" t="s">
        <v>476</v>
      </c>
      <c r="U5" t="s">
        <v>477</v>
      </c>
    </row>
    <row r="6" spans="1:21" x14ac:dyDescent="0.2">
      <c r="A6">
        <v>30</v>
      </c>
      <c r="B6">
        <v>1</v>
      </c>
      <c r="C6" t="s">
        <v>3</v>
      </c>
      <c r="D6" t="s">
        <v>478</v>
      </c>
      <c r="E6" t="s">
        <v>479</v>
      </c>
      <c r="F6" t="s">
        <v>479</v>
      </c>
      <c r="G6" t="s">
        <v>479</v>
      </c>
      <c r="H6" t="s">
        <v>3</v>
      </c>
      <c r="I6" t="s">
        <v>479</v>
      </c>
      <c r="J6" t="s">
        <v>479</v>
      </c>
      <c r="K6" t="s">
        <v>3</v>
      </c>
      <c r="L6" t="s">
        <v>3</v>
      </c>
      <c r="M6" t="s">
        <v>3</v>
      </c>
      <c r="N6" t="s">
        <v>478</v>
      </c>
      <c r="O6" t="s">
        <v>479</v>
      </c>
      <c r="P6" t="s">
        <v>3</v>
      </c>
      <c r="Q6" t="s">
        <v>3</v>
      </c>
      <c r="R6" t="s">
        <v>3</v>
      </c>
      <c r="S6" t="s">
        <v>480</v>
      </c>
      <c r="T6" t="s">
        <v>481</v>
      </c>
      <c r="U6" t="s">
        <v>482</v>
      </c>
    </row>
    <row r="7" spans="1:21" x14ac:dyDescent="0.2">
      <c r="A7">
        <v>31</v>
      </c>
      <c r="B7">
        <v>1</v>
      </c>
      <c r="C7" t="s">
        <v>3</v>
      </c>
      <c r="D7" t="s">
        <v>77</v>
      </c>
      <c r="E7" t="s">
        <v>78</v>
      </c>
      <c r="F7" t="s">
        <v>78</v>
      </c>
      <c r="G7" t="s">
        <v>78</v>
      </c>
      <c r="H7" t="s">
        <v>3</v>
      </c>
      <c r="I7" t="s">
        <v>78</v>
      </c>
      <c r="J7" t="s">
        <v>78</v>
      </c>
      <c r="K7" t="s">
        <v>3</v>
      </c>
      <c r="L7" t="s">
        <v>3</v>
      </c>
      <c r="M7" t="s">
        <v>3</v>
      </c>
      <c r="N7" t="s">
        <v>77</v>
      </c>
      <c r="O7" t="s">
        <v>78</v>
      </c>
      <c r="P7" t="s">
        <v>3</v>
      </c>
      <c r="Q7" t="s">
        <v>3</v>
      </c>
      <c r="R7" t="s">
        <v>3</v>
      </c>
      <c r="S7" t="s">
        <v>475</v>
      </c>
      <c r="T7" t="s">
        <v>476</v>
      </c>
      <c r="U7" t="s">
        <v>477</v>
      </c>
    </row>
    <row r="8" spans="1:21" x14ac:dyDescent="0.2">
      <c r="A8">
        <v>31</v>
      </c>
      <c r="B8">
        <v>1</v>
      </c>
      <c r="C8" t="s">
        <v>3</v>
      </c>
      <c r="D8" t="s">
        <v>478</v>
      </c>
      <c r="E8" t="s">
        <v>479</v>
      </c>
      <c r="F8" t="s">
        <v>479</v>
      </c>
      <c r="G8" t="s">
        <v>479</v>
      </c>
      <c r="H8" t="s">
        <v>3</v>
      </c>
      <c r="I8" t="s">
        <v>479</v>
      </c>
      <c r="J8" t="s">
        <v>479</v>
      </c>
      <c r="K8" t="s">
        <v>3</v>
      </c>
      <c r="L8" t="s">
        <v>3</v>
      </c>
      <c r="M8" t="s">
        <v>3</v>
      </c>
      <c r="N8" t="s">
        <v>478</v>
      </c>
      <c r="O8" t="s">
        <v>479</v>
      </c>
      <c r="P8" t="s">
        <v>3</v>
      </c>
      <c r="Q8" t="s">
        <v>3</v>
      </c>
      <c r="R8" t="s">
        <v>3</v>
      </c>
      <c r="S8" t="s">
        <v>480</v>
      </c>
      <c r="T8" t="s">
        <v>481</v>
      </c>
      <c r="U8" t="s">
        <v>482</v>
      </c>
    </row>
    <row r="9" spans="1:21" x14ac:dyDescent="0.2">
      <c r="A9">
        <v>32</v>
      </c>
      <c r="B9">
        <v>1</v>
      </c>
      <c r="C9" t="s">
        <v>3</v>
      </c>
      <c r="D9" t="s">
        <v>77</v>
      </c>
      <c r="E9" t="s">
        <v>78</v>
      </c>
      <c r="F9" t="s">
        <v>78</v>
      </c>
      <c r="G9" t="s">
        <v>78</v>
      </c>
      <c r="H9" t="s">
        <v>3</v>
      </c>
      <c r="I9" t="s">
        <v>78</v>
      </c>
      <c r="J9" t="s">
        <v>78</v>
      </c>
      <c r="K9" t="s">
        <v>3</v>
      </c>
      <c r="L9" t="s">
        <v>3</v>
      </c>
      <c r="M9" t="s">
        <v>3</v>
      </c>
      <c r="N9" t="s">
        <v>77</v>
      </c>
      <c r="O9" t="s">
        <v>78</v>
      </c>
      <c r="P9" t="s">
        <v>3</v>
      </c>
      <c r="Q9" t="s">
        <v>3</v>
      </c>
      <c r="R9" t="s">
        <v>3</v>
      </c>
      <c r="S9" t="s">
        <v>475</v>
      </c>
      <c r="T9" t="s">
        <v>476</v>
      </c>
      <c r="U9" t="s">
        <v>477</v>
      </c>
    </row>
    <row r="10" spans="1:21" x14ac:dyDescent="0.2">
      <c r="A10">
        <v>32</v>
      </c>
      <c r="B10">
        <v>1</v>
      </c>
      <c r="C10" t="s">
        <v>3</v>
      </c>
      <c r="D10" t="s">
        <v>478</v>
      </c>
      <c r="E10" t="s">
        <v>479</v>
      </c>
      <c r="F10" t="s">
        <v>479</v>
      </c>
      <c r="G10" t="s">
        <v>479</v>
      </c>
      <c r="H10" t="s">
        <v>3</v>
      </c>
      <c r="I10" t="s">
        <v>479</v>
      </c>
      <c r="J10" t="s">
        <v>479</v>
      </c>
      <c r="K10" t="s">
        <v>3</v>
      </c>
      <c r="L10" t="s">
        <v>3</v>
      </c>
      <c r="M10" t="s">
        <v>3</v>
      </c>
      <c r="N10" t="s">
        <v>478</v>
      </c>
      <c r="O10" t="s">
        <v>479</v>
      </c>
      <c r="P10" t="s">
        <v>3</v>
      </c>
      <c r="Q10" t="s">
        <v>3</v>
      </c>
      <c r="R10" t="s">
        <v>3</v>
      </c>
      <c r="S10" t="s">
        <v>480</v>
      </c>
      <c r="T10" t="s">
        <v>481</v>
      </c>
      <c r="U10" t="s">
        <v>482</v>
      </c>
    </row>
    <row r="11" spans="1:21" x14ac:dyDescent="0.2">
      <c r="A11">
        <v>33</v>
      </c>
      <c r="B11">
        <v>1</v>
      </c>
      <c r="C11" t="s">
        <v>3</v>
      </c>
      <c r="D11" t="s">
        <v>77</v>
      </c>
      <c r="E11" t="s">
        <v>78</v>
      </c>
      <c r="F11" t="s">
        <v>78</v>
      </c>
      <c r="G11" t="s">
        <v>78</v>
      </c>
      <c r="H11" t="s">
        <v>3</v>
      </c>
      <c r="I11" t="s">
        <v>78</v>
      </c>
      <c r="J11" t="s">
        <v>78</v>
      </c>
      <c r="K11" t="s">
        <v>3</v>
      </c>
      <c r="L11" t="s">
        <v>3</v>
      </c>
      <c r="M11" t="s">
        <v>3</v>
      </c>
      <c r="N11" t="s">
        <v>77</v>
      </c>
      <c r="O11" t="s">
        <v>78</v>
      </c>
      <c r="P11" t="s">
        <v>3</v>
      </c>
      <c r="Q11" t="s">
        <v>3</v>
      </c>
      <c r="R11" t="s">
        <v>3</v>
      </c>
      <c r="S11" t="s">
        <v>475</v>
      </c>
      <c r="T11" t="s">
        <v>476</v>
      </c>
      <c r="U11" t="s">
        <v>477</v>
      </c>
    </row>
    <row r="12" spans="1:21" x14ac:dyDescent="0.2">
      <c r="A12">
        <v>33</v>
      </c>
      <c r="B12">
        <v>1</v>
      </c>
      <c r="C12" t="s">
        <v>3</v>
      </c>
      <c r="D12" t="s">
        <v>478</v>
      </c>
      <c r="E12" t="s">
        <v>479</v>
      </c>
      <c r="F12" t="s">
        <v>479</v>
      </c>
      <c r="G12" t="s">
        <v>479</v>
      </c>
      <c r="H12" t="s">
        <v>3</v>
      </c>
      <c r="I12" t="s">
        <v>479</v>
      </c>
      <c r="J12" t="s">
        <v>479</v>
      </c>
      <c r="K12" t="s">
        <v>3</v>
      </c>
      <c r="L12" t="s">
        <v>3</v>
      </c>
      <c r="M12" t="s">
        <v>3</v>
      </c>
      <c r="N12" t="s">
        <v>478</v>
      </c>
      <c r="O12" t="s">
        <v>479</v>
      </c>
      <c r="P12" t="s">
        <v>3</v>
      </c>
      <c r="Q12" t="s">
        <v>3</v>
      </c>
      <c r="R12" t="s">
        <v>3</v>
      </c>
      <c r="S12" t="s">
        <v>480</v>
      </c>
      <c r="T12" t="s">
        <v>481</v>
      </c>
      <c r="U12" t="s">
        <v>482</v>
      </c>
    </row>
    <row r="13" spans="1:21" x14ac:dyDescent="0.2">
      <c r="A13">
        <v>34</v>
      </c>
      <c r="B13">
        <v>1</v>
      </c>
      <c r="C13" t="s">
        <v>3</v>
      </c>
      <c r="D13" t="s">
        <v>77</v>
      </c>
      <c r="E13" t="s">
        <v>78</v>
      </c>
      <c r="F13" t="s">
        <v>78</v>
      </c>
      <c r="G13" t="s">
        <v>78</v>
      </c>
      <c r="H13" t="s">
        <v>3</v>
      </c>
      <c r="I13" t="s">
        <v>78</v>
      </c>
      <c r="J13" t="s">
        <v>78</v>
      </c>
      <c r="K13" t="s">
        <v>3</v>
      </c>
      <c r="L13" t="s">
        <v>3</v>
      </c>
      <c r="M13" t="s">
        <v>3</v>
      </c>
      <c r="N13" t="s">
        <v>77</v>
      </c>
      <c r="O13" t="s">
        <v>78</v>
      </c>
      <c r="P13" t="s">
        <v>3</v>
      </c>
      <c r="Q13" t="s">
        <v>3</v>
      </c>
      <c r="R13" t="s">
        <v>3</v>
      </c>
      <c r="S13" t="s">
        <v>475</v>
      </c>
      <c r="T13" t="s">
        <v>476</v>
      </c>
      <c r="U13" t="s">
        <v>477</v>
      </c>
    </row>
    <row r="14" spans="1:21" x14ac:dyDescent="0.2">
      <c r="A14">
        <v>34</v>
      </c>
      <c r="B14">
        <v>1</v>
      </c>
      <c r="C14" t="s">
        <v>3</v>
      </c>
      <c r="D14" t="s">
        <v>478</v>
      </c>
      <c r="E14" t="s">
        <v>479</v>
      </c>
      <c r="F14" t="s">
        <v>479</v>
      </c>
      <c r="G14" t="s">
        <v>479</v>
      </c>
      <c r="H14" t="s">
        <v>3</v>
      </c>
      <c r="I14" t="s">
        <v>479</v>
      </c>
      <c r="J14" t="s">
        <v>479</v>
      </c>
      <c r="K14" t="s">
        <v>3</v>
      </c>
      <c r="L14" t="s">
        <v>3</v>
      </c>
      <c r="M14" t="s">
        <v>3</v>
      </c>
      <c r="N14" t="s">
        <v>478</v>
      </c>
      <c r="O14" t="s">
        <v>479</v>
      </c>
      <c r="P14" t="s">
        <v>3</v>
      </c>
      <c r="Q14" t="s">
        <v>3</v>
      </c>
      <c r="R14" t="s">
        <v>3</v>
      </c>
      <c r="S14" t="s">
        <v>480</v>
      </c>
      <c r="T14" t="s">
        <v>481</v>
      </c>
      <c r="U14" t="s">
        <v>482</v>
      </c>
    </row>
    <row r="15" spans="1:21" x14ac:dyDescent="0.2">
      <c r="A15">
        <v>35</v>
      </c>
      <c r="B15">
        <v>1</v>
      </c>
      <c r="C15" t="s">
        <v>3</v>
      </c>
      <c r="D15" t="s">
        <v>77</v>
      </c>
      <c r="E15" t="s">
        <v>78</v>
      </c>
      <c r="F15" t="s">
        <v>78</v>
      </c>
      <c r="G15" t="s">
        <v>78</v>
      </c>
      <c r="H15" t="s">
        <v>3</v>
      </c>
      <c r="I15" t="s">
        <v>78</v>
      </c>
      <c r="J15" t="s">
        <v>78</v>
      </c>
      <c r="K15" t="s">
        <v>3</v>
      </c>
      <c r="L15" t="s">
        <v>3</v>
      </c>
      <c r="M15" t="s">
        <v>3</v>
      </c>
      <c r="N15" t="s">
        <v>77</v>
      </c>
      <c r="O15" t="s">
        <v>78</v>
      </c>
      <c r="P15" t="s">
        <v>3</v>
      </c>
      <c r="Q15" t="s">
        <v>3</v>
      </c>
      <c r="R15" t="s">
        <v>3</v>
      </c>
      <c r="S15" t="s">
        <v>475</v>
      </c>
      <c r="T15" t="s">
        <v>476</v>
      </c>
      <c r="U15" t="s">
        <v>477</v>
      </c>
    </row>
    <row r="16" spans="1:21" x14ac:dyDescent="0.2">
      <c r="A16">
        <v>35</v>
      </c>
      <c r="B16">
        <v>1</v>
      </c>
      <c r="C16" t="s">
        <v>3</v>
      </c>
      <c r="D16" t="s">
        <v>478</v>
      </c>
      <c r="E16" t="s">
        <v>479</v>
      </c>
      <c r="F16" t="s">
        <v>479</v>
      </c>
      <c r="G16" t="s">
        <v>479</v>
      </c>
      <c r="H16" t="s">
        <v>3</v>
      </c>
      <c r="I16" t="s">
        <v>479</v>
      </c>
      <c r="J16" t="s">
        <v>479</v>
      </c>
      <c r="K16" t="s">
        <v>3</v>
      </c>
      <c r="L16" t="s">
        <v>3</v>
      </c>
      <c r="M16" t="s">
        <v>3</v>
      </c>
      <c r="N16" t="s">
        <v>478</v>
      </c>
      <c r="O16" t="s">
        <v>479</v>
      </c>
      <c r="P16" t="s">
        <v>3</v>
      </c>
      <c r="Q16" t="s">
        <v>3</v>
      </c>
      <c r="R16" t="s">
        <v>3</v>
      </c>
      <c r="S16" t="s">
        <v>480</v>
      </c>
      <c r="T16" t="s">
        <v>481</v>
      </c>
      <c r="U16" t="s">
        <v>482</v>
      </c>
    </row>
    <row r="17" spans="1:21" x14ac:dyDescent="0.2">
      <c r="A17">
        <v>36</v>
      </c>
      <c r="B17">
        <v>1</v>
      </c>
      <c r="C17" t="s">
        <v>3</v>
      </c>
      <c r="D17" t="s">
        <v>77</v>
      </c>
      <c r="E17" t="s">
        <v>78</v>
      </c>
      <c r="F17" t="s">
        <v>78</v>
      </c>
      <c r="G17" t="s">
        <v>78</v>
      </c>
      <c r="H17" t="s">
        <v>3</v>
      </c>
      <c r="I17" t="s">
        <v>78</v>
      </c>
      <c r="J17" t="s">
        <v>78</v>
      </c>
      <c r="K17" t="s">
        <v>3</v>
      </c>
      <c r="L17" t="s">
        <v>3</v>
      </c>
      <c r="M17" t="s">
        <v>3</v>
      </c>
      <c r="N17" t="s">
        <v>77</v>
      </c>
      <c r="O17" t="s">
        <v>78</v>
      </c>
      <c r="P17" t="s">
        <v>3</v>
      </c>
      <c r="Q17" t="s">
        <v>3</v>
      </c>
      <c r="R17" t="s">
        <v>3</v>
      </c>
      <c r="S17" t="s">
        <v>475</v>
      </c>
      <c r="T17" t="s">
        <v>476</v>
      </c>
      <c r="U17" t="s">
        <v>477</v>
      </c>
    </row>
    <row r="18" spans="1:21" x14ac:dyDescent="0.2">
      <c r="A18">
        <v>36</v>
      </c>
      <c r="B18">
        <v>1</v>
      </c>
      <c r="C18" t="s">
        <v>3</v>
      </c>
      <c r="D18" t="s">
        <v>478</v>
      </c>
      <c r="E18" t="s">
        <v>479</v>
      </c>
      <c r="F18" t="s">
        <v>479</v>
      </c>
      <c r="G18" t="s">
        <v>479</v>
      </c>
      <c r="H18" t="s">
        <v>3</v>
      </c>
      <c r="I18" t="s">
        <v>479</v>
      </c>
      <c r="J18" t="s">
        <v>479</v>
      </c>
      <c r="K18" t="s">
        <v>3</v>
      </c>
      <c r="L18" t="s">
        <v>3</v>
      </c>
      <c r="M18" t="s">
        <v>3</v>
      </c>
      <c r="N18" t="s">
        <v>478</v>
      </c>
      <c r="O18" t="s">
        <v>479</v>
      </c>
      <c r="P18" t="s">
        <v>3</v>
      </c>
      <c r="Q18" t="s">
        <v>3</v>
      </c>
      <c r="R18" t="s">
        <v>3</v>
      </c>
      <c r="S18" t="s">
        <v>480</v>
      </c>
      <c r="T18" t="s">
        <v>481</v>
      </c>
      <c r="U18" t="s">
        <v>482</v>
      </c>
    </row>
    <row r="19" spans="1:21" x14ac:dyDescent="0.2">
      <c r="A19">
        <v>37</v>
      </c>
      <c r="B19">
        <v>1</v>
      </c>
      <c r="C19" t="s">
        <v>3</v>
      </c>
      <c r="D19" t="s">
        <v>77</v>
      </c>
      <c r="E19" t="s">
        <v>78</v>
      </c>
      <c r="F19" t="s">
        <v>78</v>
      </c>
      <c r="G19" t="s">
        <v>78</v>
      </c>
      <c r="H19" t="s">
        <v>3</v>
      </c>
      <c r="I19" t="s">
        <v>78</v>
      </c>
      <c r="J19" t="s">
        <v>78</v>
      </c>
      <c r="K19" t="s">
        <v>3</v>
      </c>
      <c r="L19" t="s">
        <v>3</v>
      </c>
      <c r="M19" t="s">
        <v>3</v>
      </c>
      <c r="N19" t="s">
        <v>77</v>
      </c>
      <c r="O19" t="s">
        <v>78</v>
      </c>
      <c r="P19" t="s">
        <v>3</v>
      </c>
      <c r="Q19" t="s">
        <v>3</v>
      </c>
      <c r="R19" t="s">
        <v>3</v>
      </c>
      <c r="S19" t="s">
        <v>475</v>
      </c>
      <c r="T19" t="s">
        <v>476</v>
      </c>
      <c r="U19" t="s">
        <v>477</v>
      </c>
    </row>
    <row r="20" spans="1:21" x14ac:dyDescent="0.2">
      <c r="A20">
        <v>37</v>
      </c>
      <c r="B20">
        <v>1</v>
      </c>
      <c r="C20" t="s">
        <v>3</v>
      </c>
      <c r="D20" t="s">
        <v>478</v>
      </c>
      <c r="E20" t="s">
        <v>479</v>
      </c>
      <c r="F20" t="s">
        <v>479</v>
      </c>
      <c r="G20" t="s">
        <v>479</v>
      </c>
      <c r="H20" t="s">
        <v>3</v>
      </c>
      <c r="I20" t="s">
        <v>479</v>
      </c>
      <c r="J20" t="s">
        <v>479</v>
      </c>
      <c r="K20" t="s">
        <v>3</v>
      </c>
      <c r="L20" t="s">
        <v>3</v>
      </c>
      <c r="M20" t="s">
        <v>3</v>
      </c>
      <c r="N20" t="s">
        <v>478</v>
      </c>
      <c r="O20" t="s">
        <v>479</v>
      </c>
      <c r="P20" t="s">
        <v>3</v>
      </c>
      <c r="Q20" t="s">
        <v>3</v>
      </c>
      <c r="R20" t="s">
        <v>3</v>
      </c>
      <c r="S20" t="s">
        <v>480</v>
      </c>
      <c r="T20" t="s">
        <v>481</v>
      </c>
      <c r="U20" t="s">
        <v>482</v>
      </c>
    </row>
    <row r="21" spans="1:21" x14ac:dyDescent="0.2">
      <c r="A21">
        <v>38</v>
      </c>
      <c r="B21">
        <v>1</v>
      </c>
      <c r="C21" t="s">
        <v>3</v>
      </c>
      <c r="D21" t="s">
        <v>77</v>
      </c>
      <c r="E21" t="s">
        <v>78</v>
      </c>
      <c r="F21" t="s">
        <v>78</v>
      </c>
      <c r="G21" t="s">
        <v>78</v>
      </c>
      <c r="H21" t="s">
        <v>3</v>
      </c>
      <c r="I21" t="s">
        <v>78</v>
      </c>
      <c r="J21" t="s">
        <v>78</v>
      </c>
      <c r="K21" t="s">
        <v>3</v>
      </c>
      <c r="L21" t="s">
        <v>3</v>
      </c>
      <c r="M21" t="s">
        <v>3</v>
      </c>
      <c r="N21" t="s">
        <v>77</v>
      </c>
      <c r="O21" t="s">
        <v>78</v>
      </c>
      <c r="P21" t="s">
        <v>3</v>
      </c>
      <c r="Q21" t="s">
        <v>3</v>
      </c>
      <c r="R21" t="s">
        <v>3</v>
      </c>
      <c r="S21" t="s">
        <v>475</v>
      </c>
      <c r="T21" t="s">
        <v>476</v>
      </c>
      <c r="U21" t="s">
        <v>477</v>
      </c>
    </row>
    <row r="22" spans="1:21" x14ac:dyDescent="0.2">
      <c r="A22">
        <v>38</v>
      </c>
      <c r="B22">
        <v>1</v>
      </c>
      <c r="C22" t="s">
        <v>3</v>
      </c>
      <c r="D22" t="s">
        <v>478</v>
      </c>
      <c r="E22" t="s">
        <v>479</v>
      </c>
      <c r="F22" t="s">
        <v>479</v>
      </c>
      <c r="G22" t="s">
        <v>479</v>
      </c>
      <c r="H22" t="s">
        <v>3</v>
      </c>
      <c r="I22" t="s">
        <v>479</v>
      </c>
      <c r="J22" t="s">
        <v>479</v>
      </c>
      <c r="K22" t="s">
        <v>3</v>
      </c>
      <c r="L22" t="s">
        <v>3</v>
      </c>
      <c r="M22" t="s">
        <v>3</v>
      </c>
      <c r="N22" t="s">
        <v>478</v>
      </c>
      <c r="O22" t="s">
        <v>479</v>
      </c>
      <c r="P22" t="s">
        <v>3</v>
      </c>
      <c r="Q22" t="s">
        <v>3</v>
      </c>
      <c r="R22" t="s">
        <v>3</v>
      </c>
      <c r="S22" t="s">
        <v>480</v>
      </c>
      <c r="T22" t="s">
        <v>481</v>
      </c>
      <c r="U22" t="s">
        <v>482</v>
      </c>
    </row>
    <row r="23" spans="1:21" x14ac:dyDescent="0.2">
      <c r="A23">
        <v>39</v>
      </c>
      <c r="B23">
        <v>1</v>
      </c>
      <c r="C23" t="s">
        <v>3</v>
      </c>
      <c r="D23" t="s">
        <v>77</v>
      </c>
      <c r="E23" t="s">
        <v>78</v>
      </c>
      <c r="F23" t="s">
        <v>78</v>
      </c>
      <c r="G23" t="s">
        <v>78</v>
      </c>
      <c r="H23" t="s">
        <v>3</v>
      </c>
      <c r="I23" t="s">
        <v>78</v>
      </c>
      <c r="J23" t="s">
        <v>78</v>
      </c>
      <c r="K23" t="s">
        <v>3</v>
      </c>
      <c r="L23" t="s">
        <v>3</v>
      </c>
      <c r="M23" t="s">
        <v>3</v>
      </c>
      <c r="N23" t="s">
        <v>77</v>
      </c>
      <c r="O23" t="s">
        <v>78</v>
      </c>
      <c r="P23" t="s">
        <v>3</v>
      </c>
      <c r="Q23" t="s">
        <v>3</v>
      </c>
      <c r="R23" t="s">
        <v>3</v>
      </c>
      <c r="S23" t="s">
        <v>475</v>
      </c>
      <c r="T23" t="s">
        <v>476</v>
      </c>
      <c r="U23" t="s">
        <v>477</v>
      </c>
    </row>
    <row r="24" spans="1:21" x14ac:dyDescent="0.2">
      <c r="A24">
        <v>39</v>
      </c>
      <c r="B24">
        <v>1</v>
      </c>
      <c r="C24" t="s">
        <v>3</v>
      </c>
      <c r="D24" t="s">
        <v>478</v>
      </c>
      <c r="E24" t="s">
        <v>479</v>
      </c>
      <c r="F24" t="s">
        <v>479</v>
      </c>
      <c r="G24" t="s">
        <v>479</v>
      </c>
      <c r="H24" t="s">
        <v>3</v>
      </c>
      <c r="I24" t="s">
        <v>479</v>
      </c>
      <c r="J24" t="s">
        <v>479</v>
      </c>
      <c r="K24" t="s">
        <v>3</v>
      </c>
      <c r="L24" t="s">
        <v>3</v>
      </c>
      <c r="M24" t="s">
        <v>3</v>
      </c>
      <c r="N24" t="s">
        <v>478</v>
      </c>
      <c r="O24" t="s">
        <v>479</v>
      </c>
      <c r="P24" t="s">
        <v>3</v>
      </c>
      <c r="Q24" t="s">
        <v>3</v>
      </c>
      <c r="R24" t="s">
        <v>3</v>
      </c>
      <c r="S24" t="s">
        <v>480</v>
      </c>
      <c r="T24" t="s">
        <v>481</v>
      </c>
      <c r="U24" t="s">
        <v>482</v>
      </c>
    </row>
    <row r="25" spans="1:21" x14ac:dyDescent="0.2">
      <c r="A25">
        <v>40</v>
      </c>
      <c r="B25">
        <v>1</v>
      </c>
      <c r="C25" t="s">
        <v>3</v>
      </c>
      <c r="D25" t="s">
        <v>77</v>
      </c>
      <c r="E25" t="s">
        <v>78</v>
      </c>
      <c r="F25" t="s">
        <v>78</v>
      </c>
      <c r="G25" t="s">
        <v>78</v>
      </c>
      <c r="H25" t="s">
        <v>3</v>
      </c>
      <c r="I25" t="s">
        <v>78</v>
      </c>
      <c r="J25" t="s">
        <v>78</v>
      </c>
      <c r="K25" t="s">
        <v>3</v>
      </c>
      <c r="L25" t="s">
        <v>3</v>
      </c>
      <c r="M25" t="s">
        <v>3</v>
      </c>
      <c r="N25" t="s">
        <v>77</v>
      </c>
      <c r="O25" t="s">
        <v>78</v>
      </c>
      <c r="P25" t="s">
        <v>3</v>
      </c>
      <c r="Q25" t="s">
        <v>3</v>
      </c>
      <c r="R25" t="s">
        <v>3</v>
      </c>
      <c r="S25" t="s">
        <v>475</v>
      </c>
      <c r="T25" t="s">
        <v>476</v>
      </c>
      <c r="U25" t="s">
        <v>477</v>
      </c>
    </row>
    <row r="26" spans="1:21" x14ac:dyDescent="0.2">
      <c r="A26">
        <v>40</v>
      </c>
      <c r="B26">
        <v>1</v>
      </c>
      <c r="C26" t="s">
        <v>3</v>
      </c>
      <c r="D26" t="s">
        <v>478</v>
      </c>
      <c r="E26" t="s">
        <v>479</v>
      </c>
      <c r="F26" t="s">
        <v>479</v>
      </c>
      <c r="G26" t="s">
        <v>479</v>
      </c>
      <c r="H26" t="s">
        <v>3</v>
      </c>
      <c r="I26" t="s">
        <v>479</v>
      </c>
      <c r="J26" t="s">
        <v>479</v>
      </c>
      <c r="K26" t="s">
        <v>3</v>
      </c>
      <c r="L26" t="s">
        <v>3</v>
      </c>
      <c r="M26" t="s">
        <v>3</v>
      </c>
      <c r="N26" t="s">
        <v>478</v>
      </c>
      <c r="O26" t="s">
        <v>479</v>
      </c>
      <c r="P26" t="s">
        <v>3</v>
      </c>
      <c r="Q26" t="s">
        <v>3</v>
      </c>
      <c r="R26" t="s">
        <v>3</v>
      </c>
      <c r="S26" t="s">
        <v>480</v>
      </c>
      <c r="T26" t="s">
        <v>481</v>
      </c>
      <c r="U26" t="s">
        <v>482</v>
      </c>
    </row>
    <row r="27" spans="1:21" x14ac:dyDescent="0.2">
      <c r="A27">
        <v>41</v>
      </c>
      <c r="B27">
        <v>1</v>
      </c>
      <c r="C27" t="s">
        <v>3</v>
      </c>
      <c r="D27" t="s">
        <v>77</v>
      </c>
      <c r="E27" t="s">
        <v>78</v>
      </c>
      <c r="F27" t="s">
        <v>78</v>
      </c>
      <c r="G27" t="s">
        <v>78</v>
      </c>
      <c r="H27" t="s">
        <v>3</v>
      </c>
      <c r="I27" t="s">
        <v>78</v>
      </c>
      <c r="J27" t="s">
        <v>78</v>
      </c>
      <c r="K27" t="s">
        <v>3</v>
      </c>
      <c r="L27" t="s">
        <v>3</v>
      </c>
      <c r="M27" t="s">
        <v>3</v>
      </c>
      <c r="N27" t="s">
        <v>77</v>
      </c>
      <c r="O27" t="s">
        <v>78</v>
      </c>
      <c r="P27" t="s">
        <v>3</v>
      </c>
      <c r="Q27" t="s">
        <v>3</v>
      </c>
      <c r="R27" t="s">
        <v>3</v>
      </c>
      <c r="S27" t="s">
        <v>475</v>
      </c>
      <c r="T27" t="s">
        <v>476</v>
      </c>
      <c r="U27" t="s">
        <v>477</v>
      </c>
    </row>
    <row r="28" spans="1:21" x14ac:dyDescent="0.2">
      <c r="A28">
        <v>41</v>
      </c>
      <c r="B28">
        <v>1</v>
      </c>
      <c r="C28" t="s">
        <v>3</v>
      </c>
      <c r="D28" t="s">
        <v>478</v>
      </c>
      <c r="E28" t="s">
        <v>479</v>
      </c>
      <c r="F28" t="s">
        <v>479</v>
      </c>
      <c r="G28" t="s">
        <v>479</v>
      </c>
      <c r="H28" t="s">
        <v>3</v>
      </c>
      <c r="I28" t="s">
        <v>479</v>
      </c>
      <c r="J28" t="s">
        <v>479</v>
      </c>
      <c r="K28" t="s">
        <v>3</v>
      </c>
      <c r="L28" t="s">
        <v>3</v>
      </c>
      <c r="M28" t="s">
        <v>3</v>
      </c>
      <c r="N28" t="s">
        <v>478</v>
      </c>
      <c r="O28" t="s">
        <v>479</v>
      </c>
      <c r="P28" t="s">
        <v>3</v>
      </c>
      <c r="Q28" t="s">
        <v>3</v>
      </c>
      <c r="R28" t="s">
        <v>3</v>
      </c>
      <c r="S28" t="s">
        <v>480</v>
      </c>
      <c r="T28" t="s">
        <v>481</v>
      </c>
      <c r="U28" t="s">
        <v>482</v>
      </c>
    </row>
    <row r="29" spans="1:21" x14ac:dyDescent="0.2">
      <c r="A29">
        <v>42</v>
      </c>
      <c r="B29">
        <v>1</v>
      </c>
      <c r="C29" t="s">
        <v>3</v>
      </c>
      <c r="D29" t="s">
        <v>77</v>
      </c>
      <c r="E29" t="s">
        <v>78</v>
      </c>
      <c r="F29" t="s">
        <v>78</v>
      </c>
      <c r="G29" t="s">
        <v>78</v>
      </c>
      <c r="H29" t="s">
        <v>3</v>
      </c>
      <c r="I29" t="s">
        <v>78</v>
      </c>
      <c r="J29" t="s">
        <v>78</v>
      </c>
      <c r="K29" t="s">
        <v>3</v>
      </c>
      <c r="L29" t="s">
        <v>3</v>
      </c>
      <c r="M29" t="s">
        <v>3</v>
      </c>
      <c r="N29" t="s">
        <v>77</v>
      </c>
      <c r="O29" t="s">
        <v>78</v>
      </c>
      <c r="P29" t="s">
        <v>3</v>
      </c>
      <c r="Q29" t="s">
        <v>3</v>
      </c>
      <c r="R29" t="s">
        <v>3</v>
      </c>
      <c r="S29" t="s">
        <v>475</v>
      </c>
      <c r="T29" t="s">
        <v>476</v>
      </c>
      <c r="U29" t="s">
        <v>477</v>
      </c>
    </row>
    <row r="30" spans="1:21" x14ac:dyDescent="0.2">
      <c r="A30">
        <v>42</v>
      </c>
      <c r="B30">
        <v>1</v>
      </c>
      <c r="C30" t="s">
        <v>3</v>
      </c>
      <c r="D30" t="s">
        <v>478</v>
      </c>
      <c r="E30" t="s">
        <v>479</v>
      </c>
      <c r="F30" t="s">
        <v>479</v>
      </c>
      <c r="G30" t="s">
        <v>479</v>
      </c>
      <c r="H30" t="s">
        <v>3</v>
      </c>
      <c r="I30" t="s">
        <v>479</v>
      </c>
      <c r="J30" t="s">
        <v>479</v>
      </c>
      <c r="K30" t="s">
        <v>3</v>
      </c>
      <c r="L30" t="s">
        <v>3</v>
      </c>
      <c r="M30" t="s">
        <v>3</v>
      </c>
      <c r="N30" t="s">
        <v>478</v>
      </c>
      <c r="O30" t="s">
        <v>479</v>
      </c>
      <c r="P30" t="s">
        <v>3</v>
      </c>
      <c r="Q30" t="s">
        <v>3</v>
      </c>
      <c r="R30" t="s">
        <v>3</v>
      </c>
      <c r="S30" t="s">
        <v>480</v>
      </c>
      <c r="T30" t="s">
        <v>481</v>
      </c>
      <c r="U30" t="s">
        <v>482</v>
      </c>
    </row>
    <row r="31" spans="1:21" x14ac:dyDescent="0.2">
      <c r="A31">
        <v>43</v>
      </c>
      <c r="B31">
        <v>1</v>
      </c>
      <c r="C31" t="s">
        <v>3</v>
      </c>
      <c r="D31" t="s">
        <v>77</v>
      </c>
      <c r="E31" t="s">
        <v>78</v>
      </c>
      <c r="F31" t="s">
        <v>78</v>
      </c>
      <c r="G31" t="s">
        <v>78</v>
      </c>
      <c r="H31" t="s">
        <v>3</v>
      </c>
      <c r="I31" t="s">
        <v>78</v>
      </c>
      <c r="J31" t="s">
        <v>78</v>
      </c>
      <c r="K31" t="s">
        <v>3</v>
      </c>
      <c r="L31" t="s">
        <v>3</v>
      </c>
      <c r="M31" t="s">
        <v>3</v>
      </c>
      <c r="N31" t="s">
        <v>77</v>
      </c>
      <c r="O31" t="s">
        <v>78</v>
      </c>
      <c r="P31" t="s">
        <v>3</v>
      </c>
      <c r="Q31" t="s">
        <v>3</v>
      </c>
      <c r="R31" t="s">
        <v>3</v>
      </c>
      <c r="S31" t="s">
        <v>475</v>
      </c>
      <c r="T31" t="s">
        <v>476</v>
      </c>
      <c r="U31" t="s">
        <v>477</v>
      </c>
    </row>
    <row r="32" spans="1:21" x14ac:dyDescent="0.2">
      <c r="A32">
        <v>43</v>
      </c>
      <c r="B32">
        <v>1</v>
      </c>
      <c r="C32" t="s">
        <v>3</v>
      </c>
      <c r="D32" t="s">
        <v>478</v>
      </c>
      <c r="E32" t="s">
        <v>479</v>
      </c>
      <c r="F32" t="s">
        <v>479</v>
      </c>
      <c r="G32" t="s">
        <v>479</v>
      </c>
      <c r="H32" t="s">
        <v>3</v>
      </c>
      <c r="I32" t="s">
        <v>479</v>
      </c>
      <c r="J32" t="s">
        <v>479</v>
      </c>
      <c r="K32" t="s">
        <v>3</v>
      </c>
      <c r="L32" t="s">
        <v>3</v>
      </c>
      <c r="M32" t="s">
        <v>3</v>
      </c>
      <c r="N32" t="s">
        <v>478</v>
      </c>
      <c r="O32" t="s">
        <v>479</v>
      </c>
      <c r="P32" t="s">
        <v>3</v>
      </c>
      <c r="Q32" t="s">
        <v>3</v>
      </c>
      <c r="R32" t="s">
        <v>3</v>
      </c>
      <c r="S32" t="s">
        <v>480</v>
      </c>
      <c r="T32" t="s">
        <v>481</v>
      </c>
      <c r="U32" t="s">
        <v>482</v>
      </c>
    </row>
    <row r="33" spans="1:21" x14ac:dyDescent="0.2">
      <c r="A33">
        <v>44</v>
      </c>
      <c r="B33">
        <v>1</v>
      </c>
      <c r="C33" t="s">
        <v>3</v>
      </c>
      <c r="D33" t="s">
        <v>77</v>
      </c>
      <c r="E33" t="s">
        <v>78</v>
      </c>
      <c r="F33" t="s">
        <v>78</v>
      </c>
      <c r="G33" t="s">
        <v>78</v>
      </c>
      <c r="H33" t="s">
        <v>3</v>
      </c>
      <c r="I33" t="s">
        <v>78</v>
      </c>
      <c r="J33" t="s">
        <v>78</v>
      </c>
      <c r="K33" t="s">
        <v>3</v>
      </c>
      <c r="L33" t="s">
        <v>3</v>
      </c>
      <c r="M33" t="s">
        <v>3</v>
      </c>
      <c r="N33" t="s">
        <v>77</v>
      </c>
      <c r="O33" t="s">
        <v>78</v>
      </c>
      <c r="P33" t="s">
        <v>3</v>
      </c>
      <c r="Q33" t="s">
        <v>3</v>
      </c>
      <c r="R33" t="s">
        <v>3</v>
      </c>
      <c r="S33" t="s">
        <v>475</v>
      </c>
      <c r="T33" t="s">
        <v>476</v>
      </c>
      <c r="U33" t="s">
        <v>477</v>
      </c>
    </row>
    <row r="34" spans="1:21" x14ac:dyDescent="0.2">
      <c r="A34">
        <v>44</v>
      </c>
      <c r="B34">
        <v>1</v>
      </c>
      <c r="C34" t="s">
        <v>3</v>
      </c>
      <c r="D34" t="s">
        <v>478</v>
      </c>
      <c r="E34" t="s">
        <v>479</v>
      </c>
      <c r="F34" t="s">
        <v>479</v>
      </c>
      <c r="G34" t="s">
        <v>479</v>
      </c>
      <c r="H34" t="s">
        <v>3</v>
      </c>
      <c r="I34" t="s">
        <v>479</v>
      </c>
      <c r="J34" t="s">
        <v>479</v>
      </c>
      <c r="K34" t="s">
        <v>3</v>
      </c>
      <c r="L34" t="s">
        <v>3</v>
      </c>
      <c r="M34" t="s">
        <v>3</v>
      </c>
      <c r="N34" t="s">
        <v>478</v>
      </c>
      <c r="O34" t="s">
        <v>479</v>
      </c>
      <c r="P34" t="s">
        <v>3</v>
      </c>
      <c r="Q34" t="s">
        <v>3</v>
      </c>
      <c r="R34" t="s">
        <v>3</v>
      </c>
      <c r="S34" t="s">
        <v>480</v>
      </c>
      <c r="T34" t="s">
        <v>481</v>
      </c>
      <c r="U34" t="s">
        <v>482</v>
      </c>
    </row>
    <row r="35" spans="1:21" x14ac:dyDescent="0.2">
      <c r="A35">
        <v>45</v>
      </c>
      <c r="B35">
        <v>1</v>
      </c>
      <c r="C35" t="s">
        <v>3</v>
      </c>
      <c r="D35" t="s">
        <v>77</v>
      </c>
      <c r="E35" t="s">
        <v>78</v>
      </c>
      <c r="F35" t="s">
        <v>78</v>
      </c>
      <c r="G35" t="s">
        <v>78</v>
      </c>
      <c r="H35" t="s">
        <v>3</v>
      </c>
      <c r="I35" t="s">
        <v>78</v>
      </c>
      <c r="J35" t="s">
        <v>78</v>
      </c>
      <c r="K35" t="s">
        <v>3</v>
      </c>
      <c r="L35" t="s">
        <v>3</v>
      </c>
      <c r="M35" t="s">
        <v>3</v>
      </c>
      <c r="N35" t="s">
        <v>77</v>
      </c>
      <c r="O35" t="s">
        <v>78</v>
      </c>
      <c r="P35" t="s">
        <v>3</v>
      </c>
      <c r="Q35" t="s">
        <v>3</v>
      </c>
      <c r="R35" t="s">
        <v>3</v>
      </c>
      <c r="S35" t="s">
        <v>475</v>
      </c>
      <c r="T35" t="s">
        <v>476</v>
      </c>
      <c r="U35" t="s">
        <v>477</v>
      </c>
    </row>
    <row r="36" spans="1:21" x14ac:dyDescent="0.2">
      <c r="A36">
        <v>45</v>
      </c>
      <c r="B36">
        <v>1</v>
      </c>
      <c r="C36" t="s">
        <v>3</v>
      </c>
      <c r="D36" t="s">
        <v>478</v>
      </c>
      <c r="E36" t="s">
        <v>479</v>
      </c>
      <c r="F36" t="s">
        <v>479</v>
      </c>
      <c r="G36" t="s">
        <v>479</v>
      </c>
      <c r="H36" t="s">
        <v>3</v>
      </c>
      <c r="I36" t="s">
        <v>479</v>
      </c>
      <c r="J36" t="s">
        <v>479</v>
      </c>
      <c r="K36" t="s">
        <v>3</v>
      </c>
      <c r="L36" t="s">
        <v>3</v>
      </c>
      <c r="M36" t="s">
        <v>3</v>
      </c>
      <c r="N36" t="s">
        <v>478</v>
      </c>
      <c r="O36" t="s">
        <v>479</v>
      </c>
      <c r="P36" t="s">
        <v>3</v>
      </c>
      <c r="Q36" t="s">
        <v>3</v>
      </c>
      <c r="R36" t="s">
        <v>3</v>
      </c>
      <c r="S36" t="s">
        <v>480</v>
      </c>
      <c r="T36" t="s">
        <v>481</v>
      </c>
      <c r="U36" t="s">
        <v>482</v>
      </c>
    </row>
    <row r="37" spans="1:21" x14ac:dyDescent="0.2">
      <c r="A37">
        <v>46</v>
      </c>
      <c r="B37">
        <v>1</v>
      </c>
      <c r="C37" t="s">
        <v>3</v>
      </c>
      <c r="D37" t="s">
        <v>77</v>
      </c>
      <c r="E37" t="s">
        <v>78</v>
      </c>
      <c r="F37" t="s">
        <v>78</v>
      </c>
      <c r="G37" t="s">
        <v>78</v>
      </c>
      <c r="H37" t="s">
        <v>3</v>
      </c>
      <c r="I37" t="s">
        <v>78</v>
      </c>
      <c r="J37" t="s">
        <v>78</v>
      </c>
      <c r="K37" t="s">
        <v>3</v>
      </c>
      <c r="L37" t="s">
        <v>3</v>
      </c>
      <c r="M37" t="s">
        <v>3</v>
      </c>
      <c r="N37" t="s">
        <v>77</v>
      </c>
      <c r="O37" t="s">
        <v>78</v>
      </c>
      <c r="P37" t="s">
        <v>3</v>
      </c>
      <c r="Q37" t="s">
        <v>3</v>
      </c>
      <c r="R37" t="s">
        <v>3</v>
      </c>
      <c r="S37" t="s">
        <v>475</v>
      </c>
      <c r="T37" t="s">
        <v>476</v>
      </c>
      <c r="U37" t="s">
        <v>477</v>
      </c>
    </row>
    <row r="38" spans="1:21" x14ac:dyDescent="0.2">
      <c r="A38">
        <v>46</v>
      </c>
      <c r="B38">
        <v>1</v>
      </c>
      <c r="C38" t="s">
        <v>3</v>
      </c>
      <c r="D38" t="s">
        <v>478</v>
      </c>
      <c r="E38" t="s">
        <v>479</v>
      </c>
      <c r="F38" t="s">
        <v>479</v>
      </c>
      <c r="G38" t="s">
        <v>479</v>
      </c>
      <c r="H38" t="s">
        <v>3</v>
      </c>
      <c r="I38" t="s">
        <v>479</v>
      </c>
      <c r="J38" t="s">
        <v>479</v>
      </c>
      <c r="K38" t="s">
        <v>3</v>
      </c>
      <c r="L38" t="s">
        <v>3</v>
      </c>
      <c r="M38" t="s">
        <v>3</v>
      </c>
      <c r="N38" t="s">
        <v>478</v>
      </c>
      <c r="O38" t="s">
        <v>479</v>
      </c>
      <c r="P38" t="s">
        <v>3</v>
      </c>
      <c r="Q38" t="s">
        <v>3</v>
      </c>
      <c r="R38" t="s">
        <v>3</v>
      </c>
      <c r="S38" t="s">
        <v>480</v>
      </c>
      <c r="T38" t="s">
        <v>481</v>
      </c>
      <c r="U38" t="s">
        <v>482</v>
      </c>
    </row>
    <row r="39" spans="1:21" x14ac:dyDescent="0.2">
      <c r="A39">
        <v>47</v>
      </c>
      <c r="B39">
        <v>1</v>
      </c>
      <c r="C39" t="s">
        <v>3</v>
      </c>
      <c r="D39" t="s">
        <v>77</v>
      </c>
      <c r="E39" t="s">
        <v>78</v>
      </c>
      <c r="F39" t="s">
        <v>78</v>
      </c>
      <c r="G39" t="s">
        <v>78</v>
      </c>
      <c r="H39" t="s">
        <v>3</v>
      </c>
      <c r="I39" t="s">
        <v>78</v>
      </c>
      <c r="J39" t="s">
        <v>78</v>
      </c>
      <c r="K39" t="s">
        <v>3</v>
      </c>
      <c r="L39" t="s">
        <v>3</v>
      </c>
      <c r="M39" t="s">
        <v>3</v>
      </c>
      <c r="N39" t="s">
        <v>77</v>
      </c>
      <c r="O39" t="s">
        <v>78</v>
      </c>
      <c r="P39" t="s">
        <v>3</v>
      </c>
      <c r="Q39" t="s">
        <v>3</v>
      </c>
      <c r="R39" t="s">
        <v>3</v>
      </c>
      <c r="S39" t="s">
        <v>475</v>
      </c>
      <c r="T39" t="s">
        <v>476</v>
      </c>
      <c r="U39" t="s">
        <v>477</v>
      </c>
    </row>
    <row r="40" spans="1:21" x14ac:dyDescent="0.2">
      <c r="A40">
        <v>47</v>
      </c>
      <c r="B40">
        <v>1</v>
      </c>
      <c r="C40" t="s">
        <v>3</v>
      </c>
      <c r="D40" t="s">
        <v>478</v>
      </c>
      <c r="E40" t="s">
        <v>479</v>
      </c>
      <c r="F40" t="s">
        <v>479</v>
      </c>
      <c r="G40" t="s">
        <v>479</v>
      </c>
      <c r="H40" t="s">
        <v>3</v>
      </c>
      <c r="I40" t="s">
        <v>479</v>
      </c>
      <c r="J40" t="s">
        <v>479</v>
      </c>
      <c r="K40" t="s">
        <v>3</v>
      </c>
      <c r="L40" t="s">
        <v>3</v>
      </c>
      <c r="M40" t="s">
        <v>3</v>
      </c>
      <c r="N40" t="s">
        <v>478</v>
      </c>
      <c r="O40" t="s">
        <v>479</v>
      </c>
      <c r="P40" t="s">
        <v>3</v>
      </c>
      <c r="Q40" t="s">
        <v>3</v>
      </c>
      <c r="R40" t="s">
        <v>3</v>
      </c>
      <c r="S40" t="s">
        <v>480</v>
      </c>
      <c r="T40" t="s">
        <v>481</v>
      </c>
      <c r="U40" t="s">
        <v>482</v>
      </c>
    </row>
    <row r="41" spans="1:21" x14ac:dyDescent="0.2">
      <c r="A41">
        <v>48</v>
      </c>
      <c r="B41">
        <v>1</v>
      </c>
      <c r="C41" t="s">
        <v>3</v>
      </c>
      <c r="D41" t="s">
        <v>77</v>
      </c>
      <c r="E41" t="s">
        <v>78</v>
      </c>
      <c r="F41" t="s">
        <v>78</v>
      </c>
      <c r="G41" t="s">
        <v>78</v>
      </c>
      <c r="H41" t="s">
        <v>3</v>
      </c>
      <c r="I41" t="s">
        <v>78</v>
      </c>
      <c r="J41" t="s">
        <v>78</v>
      </c>
      <c r="K41" t="s">
        <v>3</v>
      </c>
      <c r="L41" t="s">
        <v>3</v>
      </c>
      <c r="M41" t="s">
        <v>3</v>
      </c>
      <c r="N41" t="s">
        <v>77</v>
      </c>
      <c r="O41" t="s">
        <v>78</v>
      </c>
      <c r="P41" t="s">
        <v>3</v>
      </c>
      <c r="Q41" t="s">
        <v>3</v>
      </c>
      <c r="R41" t="s">
        <v>3</v>
      </c>
      <c r="S41" t="s">
        <v>475</v>
      </c>
      <c r="T41" t="s">
        <v>476</v>
      </c>
      <c r="U41" t="s">
        <v>477</v>
      </c>
    </row>
    <row r="42" spans="1:21" x14ac:dyDescent="0.2">
      <c r="A42">
        <v>48</v>
      </c>
      <c r="B42">
        <v>1</v>
      </c>
      <c r="C42" t="s">
        <v>3</v>
      </c>
      <c r="D42" t="s">
        <v>478</v>
      </c>
      <c r="E42" t="s">
        <v>479</v>
      </c>
      <c r="F42" t="s">
        <v>479</v>
      </c>
      <c r="G42" t="s">
        <v>479</v>
      </c>
      <c r="H42" t="s">
        <v>3</v>
      </c>
      <c r="I42" t="s">
        <v>479</v>
      </c>
      <c r="J42" t="s">
        <v>479</v>
      </c>
      <c r="K42" t="s">
        <v>3</v>
      </c>
      <c r="L42" t="s">
        <v>3</v>
      </c>
      <c r="M42" t="s">
        <v>3</v>
      </c>
      <c r="N42" t="s">
        <v>478</v>
      </c>
      <c r="O42" t="s">
        <v>479</v>
      </c>
      <c r="P42" t="s">
        <v>3</v>
      </c>
      <c r="Q42" t="s">
        <v>3</v>
      </c>
      <c r="R42" t="s">
        <v>3</v>
      </c>
      <c r="S42" t="s">
        <v>480</v>
      </c>
      <c r="T42" t="s">
        <v>481</v>
      </c>
      <c r="U42" t="s">
        <v>482</v>
      </c>
    </row>
    <row r="43" spans="1:21" x14ac:dyDescent="0.2">
      <c r="A43">
        <v>49</v>
      </c>
      <c r="B43">
        <v>1</v>
      </c>
      <c r="C43" t="s">
        <v>3</v>
      </c>
      <c r="D43" t="s">
        <v>77</v>
      </c>
      <c r="E43" t="s">
        <v>78</v>
      </c>
      <c r="F43" t="s">
        <v>78</v>
      </c>
      <c r="G43" t="s">
        <v>78</v>
      </c>
      <c r="H43" t="s">
        <v>3</v>
      </c>
      <c r="I43" t="s">
        <v>78</v>
      </c>
      <c r="J43" t="s">
        <v>78</v>
      </c>
      <c r="K43" t="s">
        <v>3</v>
      </c>
      <c r="L43" t="s">
        <v>3</v>
      </c>
      <c r="M43" t="s">
        <v>3</v>
      </c>
      <c r="N43" t="s">
        <v>77</v>
      </c>
      <c r="O43" t="s">
        <v>78</v>
      </c>
      <c r="P43" t="s">
        <v>3</v>
      </c>
      <c r="Q43" t="s">
        <v>3</v>
      </c>
      <c r="R43" t="s">
        <v>3</v>
      </c>
      <c r="S43" t="s">
        <v>475</v>
      </c>
      <c r="T43" t="s">
        <v>476</v>
      </c>
      <c r="U43" t="s">
        <v>477</v>
      </c>
    </row>
    <row r="44" spans="1:21" x14ac:dyDescent="0.2">
      <c r="A44">
        <v>49</v>
      </c>
      <c r="B44">
        <v>1</v>
      </c>
      <c r="C44" t="s">
        <v>3</v>
      </c>
      <c r="D44" t="s">
        <v>478</v>
      </c>
      <c r="E44" t="s">
        <v>479</v>
      </c>
      <c r="F44" t="s">
        <v>479</v>
      </c>
      <c r="G44" t="s">
        <v>479</v>
      </c>
      <c r="H44" t="s">
        <v>3</v>
      </c>
      <c r="I44" t="s">
        <v>479</v>
      </c>
      <c r="J44" t="s">
        <v>479</v>
      </c>
      <c r="K44" t="s">
        <v>3</v>
      </c>
      <c r="L44" t="s">
        <v>3</v>
      </c>
      <c r="M44" t="s">
        <v>3</v>
      </c>
      <c r="N44" t="s">
        <v>478</v>
      </c>
      <c r="O44" t="s">
        <v>479</v>
      </c>
      <c r="P44" t="s">
        <v>3</v>
      </c>
      <c r="Q44" t="s">
        <v>3</v>
      </c>
      <c r="R44" t="s">
        <v>3</v>
      </c>
      <c r="S44" t="s">
        <v>480</v>
      </c>
      <c r="T44" t="s">
        <v>481</v>
      </c>
      <c r="U44" t="s">
        <v>482</v>
      </c>
    </row>
    <row r="45" spans="1:21" x14ac:dyDescent="0.2">
      <c r="A45">
        <v>50</v>
      </c>
      <c r="B45">
        <v>1</v>
      </c>
      <c r="C45" t="s">
        <v>3</v>
      </c>
      <c r="D45" t="s">
        <v>77</v>
      </c>
      <c r="E45" t="s">
        <v>78</v>
      </c>
      <c r="F45" t="s">
        <v>78</v>
      </c>
      <c r="G45" t="s">
        <v>78</v>
      </c>
      <c r="H45" t="s">
        <v>3</v>
      </c>
      <c r="I45" t="s">
        <v>78</v>
      </c>
      <c r="J45" t="s">
        <v>78</v>
      </c>
      <c r="K45" t="s">
        <v>3</v>
      </c>
      <c r="L45" t="s">
        <v>3</v>
      </c>
      <c r="M45" t="s">
        <v>3</v>
      </c>
      <c r="N45" t="s">
        <v>77</v>
      </c>
      <c r="O45" t="s">
        <v>78</v>
      </c>
      <c r="P45" t="s">
        <v>3</v>
      </c>
      <c r="Q45" t="s">
        <v>3</v>
      </c>
      <c r="R45" t="s">
        <v>3</v>
      </c>
      <c r="S45" t="s">
        <v>475</v>
      </c>
      <c r="T45" t="s">
        <v>476</v>
      </c>
      <c r="U45" t="s">
        <v>477</v>
      </c>
    </row>
    <row r="46" spans="1:21" x14ac:dyDescent="0.2">
      <c r="A46">
        <v>50</v>
      </c>
      <c r="B46">
        <v>1</v>
      </c>
      <c r="C46" t="s">
        <v>3</v>
      </c>
      <c r="D46" t="s">
        <v>478</v>
      </c>
      <c r="E46" t="s">
        <v>479</v>
      </c>
      <c r="F46" t="s">
        <v>479</v>
      </c>
      <c r="G46" t="s">
        <v>479</v>
      </c>
      <c r="H46" t="s">
        <v>3</v>
      </c>
      <c r="I46" t="s">
        <v>479</v>
      </c>
      <c r="J46" t="s">
        <v>479</v>
      </c>
      <c r="K46" t="s">
        <v>3</v>
      </c>
      <c r="L46" t="s">
        <v>3</v>
      </c>
      <c r="M46" t="s">
        <v>3</v>
      </c>
      <c r="N46" t="s">
        <v>478</v>
      </c>
      <c r="O46" t="s">
        <v>479</v>
      </c>
      <c r="P46" t="s">
        <v>3</v>
      </c>
      <c r="Q46" t="s">
        <v>3</v>
      </c>
      <c r="R46" t="s">
        <v>3</v>
      </c>
      <c r="S46" t="s">
        <v>480</v>
      </c>
      <c r="T46" t="s">
        <v>481</v>
      </c>
      <c r="U46" t="s">
        <v>482</v>
      </c>
    </row>
    <row r="47" spans="1:21" x14ac:dyDescent="0.2">
      <c r="A47">
        <v>51</v>
      </c>
      <c r="B47">
        <v>1</v>
      </c>
      <c r="C47" t="s">
        <v>3</v>
      </c>
      <c r="D47" t="s">
        <v>77</v>
      </c>
      <c r="E47" t="s">
        <v>78</v>
      </c>
      <c r="F47" t="s">
        <v>78</v>
      </c>
      <c r="G47" t="s">
        <v>78</v>
      </c>
      <c r="H47" t="s">
        <v>3</v>
      </c>
      <c r="I47" t="s">
        <v>78</v>
      </c>
      <c r="J47" t="s">
        <v>78</v>
      </c>
      <c r="K47" t="s">
        <v>3</v>
      </c>
      <c r="L47" t="s">
        <v>3</v>
      </c>
      <c r="M47" t="s">
        <v>3</v>
      </c>
      <c r="N47" t="s">
        <v>77</v>
      </c>
      <c r="O47" t="s">
        <v>78</v>
      </c>
      <c r="P47" t="s">
        <v>3</v>
      </c>
      <c r="Q47" t="s">
        <v>3</v>
      </c>
      <c r="R47" t="s">
        <v>3</v>
      </c>
      <c r="S47" t="s">
        <v>475</v>
      </c>
      <c r="T47" t="s">
        <v>476</v>
      </c>
      <c r="U47" t="s">
        <v>477</v>
      </c>
    </row>
    <row r="48" spans="1:21" x14ac:dyDescent="0.2">
      <c r="A48">
        <v>51</v>
      </c>
      <c r="B48">
        <v>1</v>
      </c>
      <c r="C48" t="s">
        <v>3</v>
      </c>
      <c r="D48" t="s">
        <v>478</v>
      </c>
      <c r="E48" t="s">
        <v>479</v>
      </c>
      <c r="F48" t="s">
        <v>479</v>
      </c>
      <c r="G48" t="s">
        <v>479</v>
      </c>
      <c r="H48" t="s">
        <v>3</v>
      </c>
      <c r="I48" t="s">
        <v>479</v>
      </c>
      <c r="J48" t="s">
        <v>479</v>
      </c>
      <c r="K48" t="s">
        <v>3</v>
      </c>
      <c r="L48" t="s">
        <v>3</v>
      </c>
      <c r="M48" t="s">
        <v>3</v>
      </c>
      <c r="N48" t="s">
        <v>478</v>
      </c>
      <c r="O48" t="s">
        <v>479</v>
      </c>
      <c r="P48" t="s">
        <v>3</v>
      </c>
      <c r="Q48" t="s">
        <v>3</v>
      </c>
      <c r="R48" t="s">
        <v>3</v>
      </c>
      <c r="S48" t="s">
        <v>480</v>
      </c>
      <c r="T48" t="s">
        <v>481</v>
      </c>
      <c r="U48" t="s">
        <v>482</v>
      </c>
    </row>
    <row r="49" spans="1:21" x14ac:dyDescent="0.2">
      <c r="A49">
        <v>52</v>
      </c>
      <c r="B49">
        <v>1</v>
      </c>
      <c r="C49" t="s">
        <v>3</v>
      </c>
      <c r="D49" t="s">
        <v>77</v>
      </c>
      <c r="E49" t="s">
        <v>78</v>
      </c>
      <c r="F49" t="s">
        <v>78</v>
      </c>
      <c r="G49" t="s">
        <v>78</v>
      </c>
      <c r="H49" t="s">
        <v>3</v>
      </c>
      <c r="I49" t="s">
        <v>78</v>
      </c>
      <c r="J49" t="s">
        <v>78</v>
      </c>
      <c r="K49" t="s">
        <v>3</v>
      </c>
      <c r="L49" t="s">
        <v>3</v>
      </c>
      <c r="M49" t="s">
        <v>3</v>
      </c>
      <c r="N49" t="s">
        <v>77</v>
      </c>
      <c r="O49" t="s">
        <v>78</v>
      </c>
      <c r="P49" t="s">
        <v>3</v>
      </c>
      <c r="Q49" t="s">
        <v>3</v>
      </c>
      <c r="R49" t="s">
        <v>3</v>
      </c>
      <c r="S49" t="s">
        <v>475</v>
      </c>
      <c r="T49" t="s">
        <v>476</v>
      </c>
      <c r="U49" t="s">
        <v>477</v>
      </c>
    </row>
    <row r="50" spans="1:21" x14ac:dyDescent="0.2">
      <c r="A50">
        <v>53</v>
      </c>
      <c r="B50">
        <v>1</v>
      </c>
      <c r="C50" t="s">
        <v>3</v>
      </c>
      <c r="D50" t="s">
        <v>77</v>
      </c>
      <c r="E50" t="s">
        <v>78</v>
      </c>
      <c r="F50" t="s">
        <v>78</v>
      </c>
      <c r="G50" t="s">
        <v>78</v>
      </c>
      <c r="H50" t="s">
        <v>3</v>
      </c>
      <c r="I50" t="s">
        <v>78</v>
      </c>
      <c r="J50" t="s">
        <v>78</v>
      </c>
      <c r="K50" t="s">
        <v>3</v>
      </c>
      <c r="L50" t="s">
        <v>3</v>
      </c>
      <c r="M50" t="s">
        <v>3</v>
      </c>
      <c r="N50" t="s">
        <v>77</v>
      </c>
      <c r="O50" t="s">
        <v>78</v>
      </c>
      <c r="P50" t="s">
        <v>3</v>
      </c>
      <c r="Q50" t="s">
        <v>3</v>
      </c>
      <c r="R50" t="s">
        <v>3</v>
      </c>
      <c r="S50" t="s">
        <v>475</v>
      </c>
      <c r="T50" t="s">
        <v>476</v>
      </c>
      <c r="U50" t="s">
        <v>477</v>
      </c>
    </row>
    <row r="51" spans="1:21" x14ac:dyDescent="0.2">
      <c r="A51">
        <v>54</v>
      </c>
      <c r="B51">
        <v>1</v>
      </c>
      <c r="C51" t="s">
        <v>3</v>
      </c>
      <c r="D51" t="s">
        <v>77</v>
      </c>
      <c r="E51" t="s">
        <v>78</v>
      </c>
      <c r="F51" t="s">
        <v>78</v>
      </c>
      <c r="G51" t="s">
        <v>78</v>
      </c>
      <c r="H51" t="s">
        <v>3</v>
      </c>
      <c r="I51" t="s">
        <v>78</v>
      </c>
      <c r="J51" t="s">
        <v>78</v>
      </c>
      <c r="K51" t="s">
        <v>3</v>
      </c>
      <c r="L51" t="s">
        <v>3</v>
      </c>
      <c r="M51" t="s">
        <v>3</v>
      </c>
      <c r="N51" t="s">
        <v>77</v>
      </c>
      <c r="O51" t="s">
        <v>78</v>
      </c>
      <c r="P51" t="s">
        <v>3</v>
      </c>
      <c r="Q51" t="s">
        <v>3</v>
      </c>
      <c r="R51" t="s">
        <v>3</v>
      </c>
      <c r="S51" t="s">
        <v>475</v>
      </c>
      <c r="T51" t="s">
        <v>476</v>
      </c>
      <c r="U51" t="s">
        <v>477</v>
      </c>
    </row>
    <row r="52" spans="1:21" x14ac:dyDescent="0.2">
      <c r="A52">
        <v>55</v>
      </c>
      <c r="B52">
        <v>1</v>
      </c>
      <c r="C52" t="s">
        <v>3</v>
      </c>
      <c r="D52" t="s">
        <v>77</v>
      </c>
      <c r="E52" t="s">
        <v>78</v>
      </c>
      <c r="F52" t="s">
        <v>78</v>
      </c>
      <c r="G52" t="s">
        <v>78</v>
      </c>
      <c r="H52" t="s">
        <v>3</v>
      </c>
      <c r="I52" t="s">
        <v>78</v>
      </c>
      <c r="J52" t="s">
        <v>78</v>
      </c>
      <c r="K52" t="s">
        <v>3</v>
      </c>
      <c r="L52" t="s">
        <v>3</v>
      </c>
      <c r="M52" t="s">
        <v>3</v>
      </c>
      <c r="N52" t="s">
        <v>77</v>
      </c>
      <c r="O52" t="s">
        <v>78</v>
      </c>
      <c r="P52" t="s">
        <v>3</v>
      </c>
      <c r="Q52" t="s">
        <v>3</v>
      </c>
      <c r="R52" t="s">
        <v>3</v>
      </c>
      <c r="S52" t="s">
        <v>475</v>
      </c>
      <c r="T52" t="s">
        <v>476</v>
      </c>
      <c r="U52" t="s">
        <v>477</v>
      </c>
    </row>
    <row r="53" spans="1:21" x14ac:dyDescent="0.2">
      <c r="A53">
        <v>56</v>
      </c>
      <c r="B53">
        <v>1</v>
      </c>
      <c r="C53" t="s">
        <v>3</v>
      </c>
      <c r="D53" t="s">
        <v>77</v>
      </c>
      <c r="E53" t="s">
        <v>78</v>
      </c>
      <c r="F53" t="s">
        <v>78</v>
      </c>
      <c r="G53" t="s">
        <v>78</v>
      </c>
      <c r="H53" t="s">
        <v>3</v>
      </c>
      <c r="I53" t="s">
        <v>78</v>
      </c>
      <c r="J53" t="s">
        <v>78</v>
      </c>
      <c r="K53" t="s">
        <v>3</v>
      </c>
      <c r="L53" t="s">
        <v>3</v>
      </c>
      <c r="M53" t="s">
        <v>3</v>
      </c>
      <c r="N53" t="s">
        <v>77</v>
      </c>
      <c r="O53" t="s">
        <v>78</v>
      </c>
      <c r="P53" t="s">
        <v>3</v>
      </c>
      <c r="Q53" t="s">
        <v>3</v>
      </c>
      <c r="R53" t="s">
        <v>3</v>
      </c>
      <c r="S53" t="s">
        <v>475</v>
      </c>
      <c r="T53" t="s">
        <v>476</v>
      </c>
      <c r="U53" t="s">
        <v>477</v>
      </c>
    </row>
    <row r="54" spans="1:21" x14ac:dyDescent="0.2">
      <c r="A54">
        <v>56</v>
      </c>
      <c r="B54">
        <v>1</v>
      </c>
      <c r="C54" t="s">
        <v>3</v>
      </c>
      <c r="D54" t="s">
        <v>478</v>
      </c>
      <c r="E54" t="s">
        <v>479</v>
      </c>
      <c r="F54" t="s">
        <v>479</v>
      </c>
      <c r="G54" t="s">
        <v>479</v>
      </c>
      <c r="H54" t="s">
        <v>3</v>
      </c>
      <c r="I54" t="s">
        <v>479</v>
      </c>
      <c r="J54" t="s">
        <v>479</v>
      </c>
      <c r="K54" t="s">
        <v>3</v>
      </c>
      <c r="L54" t="s">
        <v>3</v>
      </c>
      <c r="M54" t="s">
        <v>3</v>
      </c>
      <c r="N54" t="s">
        <v>478</v>
      </c>
      <c r="O54" t="s">
        <v>479</v>
      </c>
      <c r="P54" t="s">
        <v>3</v>
      </c>
      <c r="Q54" t="s">
        <v>3</v>
      </c>
      <c r="R54" t="s">
        <v>3</v>
      </c>
      <c r="S54" t="s">
        <v>480</v>
      </c>
      <c r="T54" t="s">
        <v>481</v>
      </c>
      <c r="U54" t="s">
        <v>482</v>
      </c>
    </row>
    <row r="55" spans="1:21" x14ac:dyDescent="0.2">
      <c r="A55">
        <v>57</v>
      </c>
      <c r="B55">
        <v>1</v>
      </c>
      <c r="C55" t="s">
        <v>3</v>
      </c>
      <c r="D55" t="s">
        <v>77</v>
      </c>
      <c r="E55" t="s">
        <v>78</v>
      </c>
      <c r="F55" t="s">
        <v>78</v>
      </c>
      <c r="G55" t="s">
        <v>78</v>
      </c>
      <c r="H55" t="s">
        <v>3</v>
      </c>
      <c r="I55" t="s">
        <v>78</v>
      </c>
      <c r="J55" t="s">
        <v>78</v>
      </c>
      <c r="K55" t="s">
        <v>3</v>
      </c>
      <c r="L55" t="s">
        <v>3</v>
      </c>
      <c r="M55" t="s">
        <v>3</v>
      </c>
      <c r="N55" t="s">
        <v>77</v>
      </c>
      <c r="O55" t="s">
        <v>78</v>
      </c>
      <c r="P55" t="s">
        <v>3</v>
      </c>
      <c r="Q55" t="s">
        <v>3</v>
      </c>
      <c r="R55" t="s">
        <v>3</v>
      </c>
      <c r="S55" t="s">
        <v>475</v>
      </c>
      <c r="T55" t="s">
        <v>476</v>
      </c>
      <c r="U55" t="s">
        <v>477</v>
      </c>
    </row>
    <row r="56" spans="1:21" x14ac:dyDescent="0.2">
      <c r="A56">
        <v>57</v>
      </c>
      <c r="B56">
        <v>1</v>
      </c>
      <c r="C56" t="s">
        <v>3</v>
      </c>
      <c r="D56" t="s">
        <v>478</v>
      </c>
      <c r="E56" t="s">
        <v>479</v>
      </c>
      <c r="F56" t="s">
        <v>479</v>
      </c>
      <c r="G56" t="s">
        <v>479</v>
      </c>
      <c r="H56" t="s">
        <v>3</v>
      </c>
      <c r="I56" t="s">
        <v>479</v>
      </c>
      <c r="J56" t="s">
        <v>479</v>
      </c>
      <c r="K56" t="s">
        <v>3</v>
      </c>
      <c r="L56" t="s">
        <v>3</v>
      </c>
      <c r="M56" t="s">
        <v>3</v>
      </c>
      <c r="N56" t="s">
        <v>478</v>
      </c>
      <c r="O56" t="s">
        <v>479</v>
      </c>
      <c r="P56" t="s">
        <v>3</v>
      </c>
      <c r="Q56" t="s">
        <v>3</v>
      </c>
      <c r="R56" t="s">
        <v>3</v>
      </c>
      <c r="S56" t="s">
        <v>480</v>
      </c>
      <c r="T56" t="s">
        <v>481</v>
      </c>
      <c r="U56" t="s">
        <v>482</v>
      </c>
    </row>
    <row r="57" spans="1:21" x14ac:dyDescent="0.2">
      <c r="A57">
        <v>93</v>
      </c>
      <c r="B57">
        <v>1</v>
      </c>
      <c r="C57" t="s">
        <v>3</v>
      </c>
      <c r="D57" t="s">
        <v>77</v>
      </c>
      <c r="E57" t="s">
        <v>78</v>
      </c>
      <c r="F57" t="s">
        <v>78</v>
      </c>
      <c r="G57" t="s">
        <v>78</v>
      </c>
      <c r="H57" t="s">
        <v>3</v>
      </c>
      <c r="I57" t="s">
        <v>78</v>
      </c>
      <c r="J57" t="s">
        <v>78</v>
      </c>
      <c r="K57" t="s">
        <v>3</v>
      </c>
      <c r="L57" t="s">
        <v>3</v>
      </c>
      <c r="M57" t="s">
        <v>3</v>
      </c>
      <c r="N57" t="s">
        <v>77</v>
      </c>
      <c r="O57" t="s">
        <v>78</v>
      </c>
      <c r="P57" t="s">
        <v>3</v>
      </c>
      <c r="Q57" t="s">
        <v>3</v>
      </c>
      <c r="R57" t="s">
        <v>3</v>
      </c>
      <c r="S57" t="s">
        <v>475</v>
      </c>
      <c r="T57" t="s">
        <v>476</v>
      </c>
      <c r="U57" t="s">
        <v>477</v>
      </c>
    </row>
    <row r="58" spans="1:21" x14ac:dyDescent="0.2">
      <c r="A58">
        <v>94</v>
      </c>
      <c r="B58">
        <v>1</v>
      </c>
      <c r="C58" t="s">
        <v>3</v>
      </c>
      <c r="D58" t="s">
        <v>77</v>
      </c>
      <c r="E58" t="s">
        <v>78</v>
      </c>
      <c r="F58" t="s">
        <v>78</v>
      </c>
      <c r="G58" t="s">
        <v>78</v>
      </c>
      <c r="H58" t="s">
        <v>3</v>
      </c>
      <c r="I58" t="s">
        <v>78</v>
      </c>
      <c r="J58" t="s">
        <v>78</v>
      </c>
      <c r="K58" t="s">
        <v>3</v>
      </c>
      <c r="L58" t="s">
        <v>3</v>
      </c>
      <c r="M58" t="s">
        <v>3</v>
      </c>
      <c r="N58" t="s">
        <v>77</v>
      </c>
      <c r="O58" t="s">
        <v>78</v>
      </c>
      <c r="P58" t="s">
        <v>3</v>
      </c>
      <c r="Q58" t="s">
        <v>3</v>
      </c>
      <c r="R58" t="s">
        <v>3</v>
      </c>
      <c r="S58" t="s">
        <v>475</v>
      </c>
      <c r="T58" t="s">
        <v>476</v>
      </c>
      <c r="U58" t="s">
        <v>477</v>
      </c>
    </row>
    <row r="59" spans="1:21" x14ac:dyDescent="0.2">
      <c r="A59">
        <v>97</v>
      </c>
      <c r="B59">
        <v>1</v>
      </c>
      <c r="C59" t="s">
        <v>3</v>
      </c>
      <c r="D59" t="s">
        <v>77</v>
      </c>
      <c r="E59" t="s">
        <v>78</v>
      </c>
      <c r="F59" t="s">
        <v>78</v>
      </c>
      <c r="G59" t="s">
        <v>78</v>
      </c>
      <c r="H59" t="s">
        <v>3</v>
      </c>
      <c r="I59" t="s">
        <v>78</v>
      </c>
      <c r="J59" t="s">
        <v>78</v>
      </c>
      <c r="K59" t="s">
        <v>3</v>
      </c>
      <c r="L59" t="s">
        <v>3</v>
      </c>
      <c r="M59" t="s">
        <v>3</v>
      </c>
      <c r="N59" t="s">
        <v>77</v>
      </c>
      <c r="O59" t="s">
        <v>78</v>
      </c>
      <c r="P59" t="s">
        <v>3</v>
      </c>
      <c r="Q59" t="s">
        <v>3</v>
      </c>
      <c r="R59" t="s">
        <v>3</v>
      </c>
      <c r="S59" t="s">
        <v>475</v>
      </c>
      <c r="T59" t="s">
        <v>476</v>
      </c>
      <c r="U59" t="s">
        <v>477</v>
      </c>
    </row>
    <row r="60" spans="1:21" x14ac:dyDescent="0.2">
      <c r="A60">
        <v>98</v>
      </c>
      <c r="B60">
        <v>1</v>
      </c>
      <c r="C60" t="s">
        <v>3</v>
      </c>
      <c r="D60" t="s">
        <v>77</v>
      </c>
      <c r="E60" t="s">
        <v>78</v>
      </c>
      <c r="F60" t="s">
        <v>78</v>
      </c>
      <c r="G60" t="s">
        <v>78</v>
      </c>
      <c r="H60" t="s">
        <v>3</v>
      </c>
      <c r="I60" t="s">
        <v>78</v>
      </c>
      <c r="J60" t="s">
        <v>78</v>
      </c>
      <c r="K60" t="s">
        <v>3</v>
      </c>
      <c r="L60" t="s">
        <v>3</v>
      </c>
      <c r="M60" t="s">
        <v>3</v>
      </c>
      <c r="N60" t="s">
        <v>77</v>
      </c>
      <c r="O60" t="s">
        <v>78</v>
      </c>
      <c r="P60" t="s">
        <v>3</v>
      </c>
      <c r="Q60" t="s">
        <v>3</v>
      </c>
      <c r="R60" t="s">
        <v>3</v>
      </c>
      <c r="S60" t="s">
        <v>475</v>
      </c>
      <c r="T60" t="s">
        <v>476</v>
      </c>
      <c r="U60" t="s">
        <v>477</v>
      </c>
    </row>
    <row r="61" spans="1:21" x14ac:dyDescent="0.2">
      <c r="A61">
        <v>101</v>
      </c>
      <c r="B61">
        <v>1</v>
      </c>
      <c r="C61" t="s">
        <v>3</v>
      </c>
      <c r="D61" t="s">
        <v>77</v>
      </c>
      <c r="E61" t="s">
        <v>78</v>
      </c>
      <c r="F61" t="s">
        <v>78</v>
      </c>
      <c r="G61" t="s">
        <v>78</v>
      </c>
      <c r="H61" t="s">
        <v>3</v>
      </c>
      <c r="I61" t="s">
        <v>78</v>
      </c>
      <c r="J61" t="s">
        <v>78</v>
      </c>
      <c r="K61" t="s">
        <v>3</v>
      </c>
      <c r="L61" t="s">
        <v>3</v>
      </c>
      <c r="M61" t="s">
        <v>3</v>
      </c>
      <c r="N61" t="s">
        <v>77</v>
      </c>
      <c r="O61" t="s">
        <v>78</v>
      </c>
      <c r="P61" t="s">
        <v>3</v>
      </c>
      <c r="Q61" t="s">
        <v>3</v>
      </c>
      <c r="R61" t="s">
        <v>3</v>
      </c>
      <c r="S61" t="s">
        <v>475</v>
      </c>
      <c r="T61" t="s">
        <v>476</v>
      </c>
      <c r="U61" t="s">
        <v>477</v>
      </c>
    </row>
    <row r="62" spans="1:21" x14ac:dyDescent="0.2">
      <c r="A62">
        <v>102</v>
      </c>
      <c r="B62">
        <v>1</v>
      </c>
      <c r="C62" t="s">
        <v>3</v>
      </c>
      <c r="D62" t="s">
        <v>77</v>
      </c>
      <c r="E62" t="s">
        <v>78</v>
      </c>
      <c r="F62" t="s">
        <v>78</v>
      </c>
      <c r="G62" t="s">
        <v>78</v>
      </c>
      <c r="H62" t="s">
        <v>3</v>
      </c>
      <c r="I62" t="s">
        <v>78</v>
      </c>
      <c r="J62" t="s">
        <v>78</v>
      </c>
      <c r="K62" t="s">
        <v>3</v>
      </c>
      <c r="L62" t="s">
        <v>3</v>
      </c>
      <c r="M62" t="s">
        <v>3</v>
      </c>
      <c r="N62" t="s">
        <v>77</v>
      </c>
      <c r="O62" t="s">
        <v>78</v>
      </c>
      <c r="P62" t="s">
        <v>3</v>
      </c>
      <c r="Q62" t="s">
        <v>3</v>
      </c>
      <c r="R62" t="s">
        <v>3</v>
      </c>
      <c r="S62" t="s">
        <v>475</v>
      </c>
      <c r="T62" t="s">
        <v>476</v>
      </c>
      <c r="U62" t="s">
        <v>477</v>
      </c>
    </row>
    <row r="63" spans="1:21" x14ac:dyDescent="0.2">
      <c r="A63">
        <v>105</v>
      </c>
      <c r="B63">
        <v>1</v>
      </c>
      <c r="C63" t="s">
        <v>3</v>
      </c>
      <c r="D63" t="s">
        <v>77</v>
      </c>
      <c r="E63" t="s">
        <v>78</v>
      </c>
      <c r="F63" t="s">
        <v>78</v>
      </c>
      <c r="G63" t="s">
        <v>78</v>
      </c>
      <c r="H63" t="s">
        <v>3</v>
      </c>
      <c r="I63" t="s">
        <v>78</v>
      </c>
      <c r="J63" t="s">
        <v>78</v>
      </c>
      <c r="K63" t="s">
        <v>3</v>
      </c>
      <c r="L63" t="s">
        <v>3</v>
      </c>
      <c r="M63" t="s">
        <v>3</v>
      </c>
      <c r="N63" t="s">
        <v>77</v>
      </c>
      <c r="O63" t="s">
        <v>78</v>
      </c>
      <c r="P63" t="s">
        <v>3</v>
      </c>
      <c r="Q63" t="s">
        <v>3</v>
      </c>
      <c r="R63" t="s">
        <v>3</v>
      </c>
      <c r="S63" t="s">
        <v>475</v>
      </c>
      <c r="T63" t="s">
        <v>476</v>
      </c>
      <c r="U63" t="s">
        <v>477</v>
      </c>
    </row>
    <row r="64" spans="1:21" x14ac:dyDescent="0.2">
      <c r="A64">
        <v>106</v>
      </c>
      <c r="B64">
        <v>1</v>
      </c>
      <c r="C64" t="s">
        <v>3</v>
      </c>
      <c r="D64" t="s">
        <v>77</v>
      </c>
      <c r="E64" t="s">
        <v>78</v>
      </c>
      <c r="F64" t="s">
        <v>78</v>
      </c>
      <c r="G64" t="s">
        <v>78</v>
      </c>
      <c r="H64" t="s">
        <v>3</v>
      </c>
      <c r="I64" t="s">
        <v>78</v>
      </c>
      <c r="J64" t="s">
        <v>78</v>
      </c>
      <c r="K64" t="s">
        <v>3</v>
      </c>
      <c r="L64" t="s">
        <v>3</v>
      </c>
      <c r="M64" t="s">
        <v>3</v>
      </c>
      <c r="N64" t="s">
        <v>77</v>
      </c>
      <c r="O64" t="s">
        <v>78</v>
      </c>
      <c r="P64" t="s">
        <v>3</v>
      </c>
      <c r="Q64" t="s">
        <v>3</v>
      </c>
      <c r="R64" t="s">
        <v>3</v>
      </c>
      <c r="S64" t="s">
        <v>475</v>
      </c>
      <c r="T64" t="s">
        <v>476</v>
      </c>
      <c r="U64" t="s">
        <v>477</v>
      </c>
    </row>
    <row r="65" spans="1:21" x14ac:dyDescent="0.2">
      <c r="A65">
        <v>109</v>
      </c>
      <c r="B65">
        <v>1</v>
      </c>
      <c r="C65" t="s">
        <v>3</v>
      </c>
      <c r="D65" t="s">
        <v>77</v>
      </c>
      <c r="E65" t="s">
        <v>78</v>
      </c>
      <c r="F65" t="s">
        <v>78</v>
      </c>
      <c r="G65" t="s">
        <v>78</v>
      </c>
      <c r="H65" t="s">
        <v>3</v>
      </c>
      <c r="I65" t="s">
        <v>78</v>
      </c>
      <c r="J65" t="s">
        <v>78</v>
      </c>
      <c r="K65" t="s">
        <v>3</v>
      </c>
      <c r="L65" t="s">
        <v>3</v>
      </c>
      <c r="M65" t="s">
        <v>3</v>
      </c>
      <c r="N65" t="s">
        <v>77</v>
      </c>
      <c r="O65" t="s">
        <v>78</v>
      </c>
      <c r="P65" t="s">
        <v>3</v>
      </c>
      <c r="Q65" t="s">
        <v>3</v>
      </c>
      <c r="R65" t="s">
        <v>3</v>
      </c>
      <c r="S65" t="s">
        <v>475</v>
      </c>
      <c r="T65" t="s">
        <v>476</v>
      </c>
      <c r="U65" t="s">
        <v>477</v>
      </c>
    </row>
    <row r="66" spans="1:21" x14ac:dyDescent="0.2">
      <c r="A66">
        <v>110</v>
      </c>
      <c r="B66">
        <v>1</v>
      </c>
      <c r="C66" t="s">
        <v>3</v>
      </c>
      <c r="D66" t="s">
        <v>77</v>
      </c>
      <c r="E66" t="s">
        <v>78</v>
      </c>
      <c r="F66" t="s">
        <v>78</v>
      </c>
      <c r="G66" t="s">
        <v>78</v>
      </c>
      <c r="H66" t="s">
        <v>3</v>
      </c>
      <c r="I66" t="s">
        <v>78</v>
      </c>
      <c r="J66" t="s">
        <v>78</v>
      </c>
      <c r="K66" t="s">
        <v>3</v>
      </c>
      <c r="L66" t="s">
        <v>3</v>
      </c>
      <c r="M66" t="s">
        <v>3</v>
      </c>
      <c r="N66" t="s">
        <v>77</v>
      </c>
      <c r="O66" t="s">
        <v>78</v>
      </c>
      <c r="P66" t="s">
        <v>3</v>
      </c>
      <c r="Q66" t="s">
        <v>3</v>
      </c>
      <c r="R66" t="s">
        <v>3</v>
      </c>
      <c r="S66" t="s">
        <v>475</v>
      </c>
      <c r="T66" t="s">
        <v>476</v>
      </c>
      <c r="U66" t="s">
        <v>477</v>
      </c>
    </row>
    <row r="67" spans="1:21" x14ac:dyDescent="0.2">
      <c r="A67">
        <v>113</v>
      </c>
      <c r="B67">
        <v>1</v>
      </c>
      <c r="C67" t="s">
        <v>3</v>
      </c>
      <c r="D67" t="s">
        <v>77</v>
      </c>
      <c r="E67" t="s">
        <v>78</v>
      </c>
      <c r="F67" t="s">
        <v>78</v>
      </c>
      <c r="G67" t="s">
        <v>78</v>
      </c>
      <c r="H67" t="s">
        <v>3</v>
      </c>
      <c r="I67" t="s">
        <v>78</v>
      </c>
      <c r="J67" t="s">
        <v>78</v>
      </c>
      <c r="K67" t="s">
        <v>3</v>
      </c>
      <c r="L67" t="s">
        <v>3</v>
      </c>
      <c r="M67" t="s">
        <v>3</v>
      </c>
      <c r="N67" t="s">
        <v>77</v>
      </c>
      <c r="O67" t="s">
        <v>78</v>
      </c>
      <c r="P67" t="s">
        <v>3</v>
      </c>
      <c r="Q67" t="s">
        <v>3</v>
      </c>
      <c r="R67" t="s">
        <v>3</v>
      </c>
      <c r="S67" t="s">
        <v>475</v>
      </c>
      <c r="T67" t="s">
        <v>476</v>
      </c>
      <c r="U67" t="s">
        <v>477</v>
      </c>
    </row>
    <row r="68" spans="1:21" x14ac:dyDescent="0.2">
      <c r="A68">
        <v>114</v>
      </c>
      <c r="B68">
        <v>1</v>
      </c>
      <c r="C68" t="s">
        <v>3</v>
      </c>
      <c r="D68" t="s">
        <v>77</v>
      </c>
      <c r="E68" t="s">
        <v>78</v>
      </c>
      <c r="F68" t="s">
        <v>78</v>
      </c>
      <c r="G68" t="s">
        <v>78</v>
      </c>
      <c r="H68" t="s">
        <v>3</v>
      </c>
      <c r="I68" t="s">
        <v>78</v>
      </c>
      <c r="J68" t="s">
        <v>78</v>
      </c>
      <c r="K68" t="s">
        <v>3</v>
      </c>
      <c r="L68" t="s">
        <v>3</v>
      </c>
      <c r="M68" t="s">
        <v>3</v>
      </c>
      <c r="N68" t="s">
        <v>77</v>
      </c>
      <c r="O68" t="s">
        <v>78</v>
      </c>
      <c r="P68" t="s">
        <v>3</v>
      </c>
      <c r="Q68" t="s">
        <v>3</v>
      </c>
      <c r="R68" t="s">
        <v>3</v>
      </c>
      <c r="S68" t="s">
        <v>475</v>
      </c>
      <c r="T68" t="s">
        <v>476</v>
      </c>
      <c r="U68" t="s">
        <v>477</v>
      </c>
    </row>
    <row r="69" spans="1:21" x14ac:dyDescent="0.2">
      <c r="A69">
        <v>152</v>
      </c>
      <c r="B69">
        <v>1</v>
      </c>
      <c r="C69" t="s">
        <v>3</v>
      </c>
      <c r="D69" t="s">
        <v>77</v>
      </c>
      <c r="E69" t="s">
        <v>78</v>
      </c>
      <c r="F69" t="s">
        <v>78</v>
      </c>
      <c r="G69" t="s">
        <v>78</v>
      </c>
      <c r="H69" t="s">
        <v>3</v>
      </c>
      <c r="I69" t="s">
        <v>78</v>
      </c>
      <c r="J69" t="s">
        <v>78</v>
      </c>
      <c r="K69" t="s">
        <v>3</v>
      </c>
      <c r="L69" t="s">
        <v>3</v>
      </c>
      <c r="M69" t="s">
        <v>3</v>
      </c>
      <c r="N69" t="s">
        <v>77</v>
      </c>
      <c r="O69" t="s">
        <v>78</v>
      </c>
      <c r="P69" t="s">
        <v>3</v>
      </c>
      <c r="Q69" t="s">
        <v>3</v>
      </c>
      <c r="R69" t="s">
        <v>3</v>
      </c>
      <c r="S69" t="s">
        <v>475</v>
      </c>
      <c r="T69" t="s">
        <v>476</v>
      </c>
      <c r="U69" t="s">
        <v>477</v>
      </c>
    </row>
    <row r="70" spans="1:21" x14ac:dyDescent="0.2">
      <c r="A70">
        <v>153</v>
      </c>
      <c r="B70">
        <v>1</v>
      </c>
      <c r="C70" t="s">
        <v>3</v>
      </c>
      <c r="D70" t="s">
        <v>77</v>
      </c>
      <c r="E70" t="s">
        <v>78</v>
      </c>
      <c r="F70" t="s">
        <v>78</v>
      </c>
      <c r="G70" t="s">
        <v>78</v>
      </c>
      <c r="H70" t="s">
        <v>3</v>
      </c>
      <c r="I70" t="s">
        <v>78</v>
      </c>
      <c r="J70" t="s">
        <v>78</v>
      </c>
      <c r="K70" t="s">
        <v>3</v>
      </c>
      <c r="L70" t="s">
        <v>3</v>
      </c>
      <c r="M70" t="s">
        <v>3</v>
      </c>
      <c r="N70" t="s">
        <v>77</v>
      </c>
      <c r="O70" t="s">
        <v>78</v>
      </c>
      <c r="P70" t="s">
        <v>3</v>
      </c>
      <c r="Q70" t="s">
        <v>3</v>
      </c>
      <c r="R70" t="s">
        <v>3</v>
      </c>
      <c r="S70" t="s">
        <v>475</v>
      </c>
      <c r="T70" t="s">
        <v>476</v>
      </c>
      <c r="U70" t="s">
        <v>477</v>
      </c>
    </row>
    <row r="71" spans="1:21" x14ac:dyDescent="0.2">
      <c r="A71">
        <v>158</v>
      </c>
      <c r="B71">
        <v>1</v>
      </c>
      <c r="C71" t="s">
        <v>3</v>
      </c>
      <c r="D71" t="s">
        <v>77</v>
      </c>
      <c r="E71" t="s">
        <v>78</v>
      </c>
      <c r="F71" t="s">
        <v>78</v>
      </c>
      <c r="G71" t="s">
        <v>78</v>
      </c>
      <c r="H71" t="s">
        <v>3</v>
      </c>
      <c r="I71" t="s">
        <v>78</v>
      </c>
      <c r="J71" t="s">
        <v>78</v>
      </c>
      <c r="K71" t="s">
        <v>3</v>
      </c>
      <c r="L71" t="s">
        <v>3</v>
      </c>
      <c r="M71" t="s">
        <v>3</v>
      </c>
      <c r="N71" t="s">
        <v>77</v>
      </c>
      <c r="O71" t="s">
        <v>78</v>
      </c>
      <c r="P71" t="s">
        <v>3</v>
      </c>
      <c r="Q71" t="s">
        <v>3</v>
      </c>
      <c r="R71" t="s">
        <v>3</v>
      </c>
      <c r="S71" t="s">
        <v>475</v>
      </c>
      <c r="T71" t="s">
        <v>476</v>
      </c>
      <c r="U71" t="s">
        <v>477</v>
      </c>
    </row>
    <row r="72" spans="1:21" x14ac:dyDescent="0.2">
      <c r="A72">
        <v>159</v>
      </c>
      <c r="B72">
        <v>1</v>
      </c>
      <c r="C72" t="s">
        <v>3</v>
      </c>
      <c r="D72" t="s">
        <v>77</v>
      </c>
      <c r="E72" t="s">
        <v>78</v>
      </c>
      <c r="F72" t="s">
        <v>78</v>
      </c>
      <c r="G72" t="s">
        <v>78</v>
      </c>
      <c r="H72" t="s">
        <v>3</v>
      </c>
      <c r="I72" t="s">
        <v>78</v>
      </c>
      <c r="J72" t="s">
        <v>78</v>
      </c>
      <c r="K72" t="s">
        <v>3</v>
      </c>
      <c r="L72" t="s">
        <v>3</v>
      </c>
      <c r="M72" t="s">
        <v>3</v>
      </c>
      <c r="N72" t="s">
        <v>77</v>
      </c>
      <c r="O72" t="s">
        <v>78</v>
      </c>
      <c r="P72" t="s">
        <v>3</v>
      </c>
      <c r="Q72" t="s">
        <v>3</v>
      </c>
      <c r="R72" t="s">
        <v>3</v>
      </c>
      <c r="S72" t="s">
        <v>475</v>
      </c>
      <c r="T72" t="s">
        <v>476</v>
      </c>
      <c r="U72" t="s">
        <v>477</v>
      </c>
    </row>
    <row r="73" spans="1:21" x14ac:dyDescent="0.2">
      <c r="A73">
        <v>166</v>
      </c>
      <c r="B73">
        <v>1</v>
      </c>
      <c r="C73" t="s">
        <v>3</v>
      </c>
      <c r="D73" t="s">
        <v>77</v>
      </c>
      <c r="E73" t="s">
        <v>78</v>
      </c>
      <c r="F73" t="s">
        <v>78</v>
      </c>
      <c r="G73" t="s">
        <v>78</v>
      </c>
      <c r="H73" t="s">
        <v>3</v>
      </c>
      <c r="I73" t="s">
        <v>78</v>
      </c>
      <c r="J73" t="s">
        <v>78</v>
      </c>
      <c r="K73" t="s">
        <v>3</v>
      </c>
      <c r="L73" t="s">
        <v>3</v>
      </c>
      <c r="M73" t="s">
        <v>3</v>
      </c>
      <c r="N73" t="s">
        <v>77</v>
      </c>
      <c r="O73" t="s">
        <v>78</v>
      </c>
      <c r="P73" t="s">
        <v>3</v>
      </c>
      <c r="Q73" t="s">
        <v>3</v>
      </c>
      <c r="R73" t="s">
        <v>3</v>
      </c>
      <c r="S73" t="s">
        <v>475</v>
      </c>
      <c r="T73" t="s">
        <v>476</v>
      </c>
      <c r="U73" t="s">
        <v>477</v>
      </c>
    </row>
    <row r="74" spans="1:21" x14ac:dyDescent="0.2">
      <c r="A74">
        <v>167</v>
      </c>
      <c r="B74">
        <v>1</v>
      </c>
      <c r="C74" t="s">
        <v>3</v>
      </c>
      <c r="D74" t="s">
        <v>77</v>
      </c>
      <c r="E74" t="s">
        <v>78</v>
      </c>
      <c r="F74" t="s">
        <v>78</v>
      </c>
      <c r="G74" t="s">
        <v>78</v>
      </c>
      <c r="H74" t="s">
        <v>3</v>
      </c>
      <c r="I74" t="s">
        <v>78</v>
      </c>
      <c r="J74" t="s">
        <v>78</v>
      </c>
      <c r="K74" t="s">
        <v>3</v>
      </c>
      <c r="L74" t="s">
        <v>3</v>
      </c>
      <c r="M74" t="s">
        <v>3</v>
      </c>
      <c r="N74" t="s">
        <v>77</v>
      </c>
      <c r="O74" t="s">
        <v>78</v>
      </c>
      <c r="P74" t="s">
        <v>3</v>
      </c>
      <c r="Q74" t="s">
        <v>3</v>
      </c>
      <c r="R74" t="s">
        <v>3</v>
      </c>
      <c r="S74" t="s">
        <v>475</v>
      </c>
      <c r="T74" t="s">
        <v>476</v>
      </c>
      <c r="U74" t="s">
        <v>477</v>
      </c>
    </row>
    <row r="75" spans="1:21" x14ac:dyDescent="0.2">
      <c r="A75">
        <v>207</v>
      </c>
      <c r="B75">
        <v>1</v>
      </c>
      <c r="C75" t="s">
        <v>3</v>
      </c>
      <c r="D75" t="s">
        <v>77</v>
      </c>
      <c r="E75" t="s">
        <v>78</v>
      </c>
      <c r="F75" t="s">
        <v>78</v>
      </c>
      <c r="G75" t="s">
        <v>78</v>
      </c>
      <c r="H75" t="s">
        <v>3</v>
      </c>
      <c r="I75" t="s">
        <v>78</v>
      </c>
      <c r="J75" t="s">
        <v>78</v>
      </c>
      <c r="K75" t="s">
        <v>3</v>
      </c>
      <c r="L75" t="s">
        <v>3</v>
      </c>
      <c r="M75" t="s">
        <v>3</v>
      </c>
      <c r="N75" t="s">
        <v>77</v>
      </c>
      <c r="O75" t="s">
        <v>78</v>
      </c>
      <c r="P75" t="s">
        <v>3</v>
      </c>
      <c r="Q75" t="s">
        <v>3</v>
      </c>
      <c r="R75" t="s">
        <v>3</v>
      </c>
      <c r="S75" t="s">
        <v>475</v>
      </c>
      <c r="T75" t="s">
        <v>476</v>
      </c>
      <c r="U75" t="s">
        <v>477</v>
      </c>
    </row>
    <row r="76" spans="1:21" x14ac:dyDescent="0.2">
      <c r="A76">
        <v>208</v>
      </c>
      <c r="B76">
        <v>1</v>
      </c>
      <c r="C76" t="s">
        <v>3</v>
      </c>
      <c r="D76" t="s">
        <v>77</v>
      </c>
      <c r="E76" t="s">
        <v>78</v>
      </c>
      <c r="F76" t="s">
        <v>78</v>
      </c>
      <c r="G76" t="s">
        <v>78</v>
      </c>
      <c r="H76" t="s">
        <v>3</v>
      </c>
      <c r="I76" t="s">
        <v>78</v>
      </c>
      <c r="J76" t="s">
        <v>78</v>
      </c>
      <c r="K76" t="s">
        <v>3</v>
      </c>
      <c r="L76" t="s">
        <v>3</v>
      </c>
      <c r="M76" t="s">
        <v>3</v>
      </c>
      <c r="N76" t="s">
        <v>77</v>
      </c>
      <c r="O76" t="s">
        <v>78</v>
      </c>
      <c r="P76" t="s">
        <v>3</v>
      </c>
      <c r="Q76" t="s">
        <v>3</v>
      </c>
      <c r="R76" t="s">
        <v>3</v>
      </c>
      <c r="S76" t="s">
        <v>475</v>
      </c>
      <c r="T76" t="s">
        <v>476</v>
      </c>
      <c r="U76" t="s">
        <v>477</v>
      </c>
    </row>
    <row r="77" spans="1:21" x14ac:dyDescent="0.2">
      <c r="A77">
        <v>252</v>
      </c>
      <c r="B77">
        <v>1</v>
      </c>
      <c r="C77" t="s">
        <v>3</v>
      </c>
      <c r="D77" t="s">
        <v>77</v>
      </c>
      <c r="E77" t="s">
        <v>78</v>
      </c>
      <c r="F77" t="s">
        <v>78</v>
      </c>
      <c r="G77" t="s">
        <v>78</v>
      </c>
      <c r="H77" t="s">
        <v>3</v>
      </c>
      <c r="I77" t="s">
        <v>78</v>
      </c>
      <c r="J77" t="s">
        <v>78</v>
      </c>
      <c r="K77" t="s">
        <v>3</v>
      </c>
      <c r="L77" t="s">
        <v>3</v>
      </c>
      <c r="M77" t="s">
        <v>3</v>
      </c>
      <c r="N77" t="s">
        <v>77</v>
      </c>
      <c r="O77" t="s">
        <v>78</v>
      </c>
      <c r="P77" t="s">
        <v>3</v>
      </c>
      <c r="Q77" t="s">
        <v>3</v>
      </c>
      <c r="R77" t="s">
        <v>3</v>
      </c>
      <c r="S77" t="s">
        <v>475</v>
      </c>
      <c r="T77" t="s">
        <v>476</v>
      </c>
      <c r="U77" t="s">
        <v>477</v>
      </c>
    </row>
    <row r="78" spans="1:21" x14ac:dyDescent="0.2">
      <c r="A78">
        <v>253</v>
      </c>
      <c r="B78">
        <v>1</v>
      </c>
      <c r="C78" t="s">
        <v>3</v>
      </c>
      <c r="D78" t="s">
        <v>77</v>
      </c>
      <c r="E78" t="s">
        <v>78</v>
      </c>
      <c r="F78" t="s">
        <v>78</v>
      </c>
      <c r="G78" t="s">
        <v>78</v>
      </c>
      <c r="H78" t="s">
        <v>3</v>
      </c>
      <c r="I78" t="s">
        <v>78</v>
      </c>
      <c r="J78" t="s">
        <v>78</v>
      </c>
      <c r="K78" t="s">
        <v>3</v>
      </c>
      <c r="L78" t="s">
        <v>3</v>
      </c>
      <c r="M78" t="s">
        <v>3</v>
      </c>
      <c r="N78" t="s">
        <v>77</v>
      </c>
      <c r="O78" t="s">
        <v>78</v>
      </c>
      <c r="P78" t="s">
        <v>3</v>
      </c>
      <c r="Q78" t="s">
        <v>3</v>
      </c>
      <c r="R78" t="s">
        <v>3</v>
      </c>
      <c r="S78" t="s">
        <v>475</v>
      </c>
      <c r="T78" t="s">
        <v>476</v>
      </c>
      <c r="U78" t="s">
        <v>477</v>
      </c>
    </row>
    <row r="79" spans="1:21" x14ac:dyDescent="0.2">
      <c r="A79">
        <v>293</v>
      </c>
      <c r="B79">
        <v>1</v>
      </c>
      <c r="C79" t="s">
        <v>3</v>
      </c>
      <c r="D79" t="s">
        <v>77</v>
      </c>
      <c r="E79" t="s">
        <v>78</v>
      </c>
      <c r="F79" t="s">
        <v>78</v>
      </c>
      <c r="G79" t="s">
        <v>78</v>
      </c>
      <c r="H79" t="s">
        <v>3</v>
      </c>
      <c r="I79" t="s">
        <v>78</v>
      </c>
      <c r="J79" t="s">
        <v>78</v>
      </c>
      <c r="K79" t="s">
        <v>3</v>
      </c>
      <c r="L79" t="s">
        <v>3</v>
      </c>
      <c r="M79" t="s">
        <v>3</v>
      </c>
      <c r="N79" t="s">
        <v>77</v>
      </c>
      <c r="O79" t="s">
        <v>78</v>
      </c>
      <c r="P79" t="s">
        <v>3</v>
      </c>
      <c r="Q79" t="s">
        <v>3</v>
      </c>
      <c r="R79" t="s">
        <v>3</v>
      </c>
      <c r="S79" t="s">
        <v>475</v>
      </c>
      <c r="T79" t="s">
        <v>476</v>
      </c>
      <c r="U79" t="s">
        <v>477</v>
      </c>
    </row>
    <row r="80" spans="1:21" x14ac:dyDescent="0.2">
      <c r="A80">
        <v>294</v>
      </c>
      <c r="B80">
        <v>1</v>
      </c>
      <c r="C80" t="s">
        <v>3</v>
      </c>
      <c r="D80" t="s">
        <v>77</v>
      </c>
      <c r="E80" t="s">
        <v>78</v>
      </c>
      <c r="F80" t="s">
        <v>78</v>
      </c>
      <c r="G80" t="s">
        <v>78</v>
      </c>
      <c r="H80" t="s">
        <v>3</v>
      </c>
      <c r="I80" t="s">
        <v>78</v>
      </c>
      <c r="J80" t="s">
        <v>78</v>
      </c>
      <c r="K80" t="s">
        <v>3</v>
      </c>
      <c r="L80" t="s">
        <v>3</v>
      </c>
      <c r="M80" t="s">
        <v>3</v>
      </c>
      <c r="N80" t="s">
        <v>77</v>
      </c>
      <c r="O80" t="s">
        <v>78</v>
      </c>
      <c r="P80" t="s">
        <v>3</v>
      </c>
      <c r="Q80" t="s">
        <v>3</v>
      </c>
      <c r="R80" t="s">
        <v>3</v>
      </c>
      <c r="S80" t="s">
        <v>475</v>
      </c>
      <c r="T80" t="s">
        <v>476</v>
      </c>
      <c r="U80" t="s">
        <v>477</v>
      </c>
    </row>
    <row r="81" spans="1:21" x14ac:dyDescent="0.2">
      <c r="A81">
        <v>301</v>
      </c>
      <c r="B81">
        <v>1</v>
      </c>
      <c r="C81" t="s">
        <v>3</v>
      </c>
      <c r="D81" t="s">
        <v>77</v>
      </c>
      <c r="E81" t="s">
        <v>78</v>
      </c>
      <c r="F81" t="s">
        <v>78</v>
      </c>
      <c r="G81" t="s">
        <v>78</v>
      </c>
      <c r="H81" t="s">
        <v>3</v>
      </c>
      <c r="I81" t="s">
        <v>78</v>
      </c>
      <c r="J81" t="s">
        <v>78</v>
      </c>
      <c r="K81" t="s">
        <v>3</v>
      </c>
      <c r="L81" t="s">
        <v>3</v>
      </c>
      <c r="M81" t="s">
        <v>3</v>
      </c>
      <c r="N81" t="s">
        <v>77</v>
      </c>
      <c r="O81" t="s">
        <v>78</v>
      </c>
      <c r="P81" t="s">
        <v>3</v>
      </c>
      <c r="Q81" t="s">
        <v>3</v>
      </c>
      <c r="R81" t="s">
        <v>3</v>
      </c>
      <c r="S81" t="s">
        <v>475</v>
      </c>
      <c r="T81" t="s">
        <v>476</v>
      </c>
      <c r="U81" t="s">
        <v>477</v>
      </c>
    </row>
    <row r="82" spans="1:21" x14ac:dyDescent="0.2">
      <c r="A82">
        <v>302</v>
      </c>
      <c r="B82">
        <v>1</v>
      </c>
      <c r="C82" t="s">
        <v>3</v>
      </c>
      <c r="D82" t="s">
        <v>77</v>
      </c>
      <c r="E82" t="s">
        <v>78</v>
      </c>
      <c r="F82" t="s">
        <v>78</v>
      </c>
      <c r="G82" t="s">
        <v>78</v>
      </c>
      <c r="H82" t="s">
        <v>3</v>
      </c>
      <c r="I82" t="s">
        <v>78</v>
      </c>
      <c r="J82" t="s">
        <v>78</v>
      </c>
      <c r="K82" t="s">
        <v>3</v>
      </c>
      <c r="L82" t="s">
        <v>3</v>
      </c>
      <c r="M82" t="s">
        <v>3</v>
      </c>
      <c r="N82" t="s">
        <v>77</v>
      </c>
      <c r="O82" t="s">
        <v>78</v>
      </c>
      <c r="P82" t="s">
        <v>3</v>
      </c>
      <c r="Q82" t="s">
        <v>3</v>
      </c>
      <c r="R82" t="s">
        <v>3</v>
      </c>
      <c r="S82" t="s">
        <v>475</v>
      </c>
      <c r="T82" t="s">
        <v>476</v>
      </c>
      <c r="U82" t="s">
        <v>477</v>
      </c>
    </row>
    <row r="83" spans="1:21" x14ac:dyDescent="0.2">
      <c r="A83">
        <v>342</v>
      </c>
      <c r="B83">
        <v>1</v>
      </c>
      <c r="C83" t="s">
        <v>3</v>
      </c>
      <c r="D83" t="s">
        <v>77</v>
      </c>
      <c r="E83" t="s">
        <v>78</v>
      </c>
      <c r="F83" t="s">
        <v>78</v>
      </c>
      <c r="G83" t="s">
        <v>78</v>
      </c>
      <c r="H83" t="s">
        <v>3</v>
      </c>
      <c r="I83" t="s">
        <v>78</v>
      </c>
      <c r="J83" t="s">
        <v>78</v>
      </c>
      <c r="K83" t="s">
        <v>3</v>
      </c>
      <c r="L83" t="s">
        <v>3</v>
      </c>
      <c r="M83" t="s">
        <v>3</v>
      </c>
      <c r="N83" t="s">
        <v>77</v>
      </c>
      <c r="O83" t="s">
        <v>78</v>
      </c>
      <c r="P83" t="s">
        <v>3</v>
      </c>
      <c r="Q83" t="s">
        <v>3</v>
      </c>
      <c r="R83" t="s">
        <v>3</v>
      </c>
      <c r="S83" t="s">
        <v>475</v>
      </c>
      <c r="T83" t="s">
        <v>476</v>
      </c>
      <c r="U83" t="s">
        <v>477</v>
      </c>
    </row>
    <row r="84" spans="1:21" x14ac:dyDescent="0.2">
      <c r="A84">
        <v>343</v>
      </c>
      <c r="B84">
        <v>1</v>
      </c>
      <c r="C84" t="s">
        <v>3</v>
      </c>
      <c r="D84" t="s">
        <v>77</v>
      </c>
      <c r="E84" t="s">
        <v>78</v>
      </c>
      <c r="F84" t="s">
        <v>78</v>
      </c>
      <c r="G84" t="s">
        <v>78</v>
      </c>
      <c r="H84" t="s">
        <v>3</v>
      </c>
      <c r="I84" t="s">
        <v>78</v>
      </c>
      <c r="J84" t="s">
        <v>78</v>
      </c>
      <c r="K84" t="s">
        <v>3</v>
      </c>
      <c r="L84" t="s">
        <v>3</v>
      </c>
      <c r="M84" t="s">
        <v>3</v>
      </c>
      <c r="N84" t="s">
        <v>77</v>
      </c>
      <c r="O84" t="s">
        <v>78</v>
      </c>
      <c r="P84" t="s">
        <v>3</v>
      </c>
      <c r="Q84" t="s">
        <v>3</v>
      </c>
      <c r="R84" t="s">
        <v>3</v>
      </c>
      <c r="S84" t="s">
        <v>475</v>
      </c>
      <c r="T84" t="s">
        <v>476</v>
      </c>
      <c r="U84" t="s">
        <v>477</v>
      </c>
    </row>
    <row r="85" spans="1:21" x14ac:dyDescent="0.2">
      <c r="A85">
        <v>389</v>
      </c>
      <c r="B85">
        <v>1</v>
      </c>
      <c r="C85" t="s">
        <v>3</v>
      </c>
      <c r="D85" t="s">
        <v>77</v>
      </c>
      <c r="E85" t="s">
        <v>78</v>
      </c>
      <c r="F85" t="s">
        <v>78</v>
      </c>
      <c r="G85" t="s">
        <v>78</v>
      </c>
      <c r="H85" t="s">
        <v>3</v>
      </c>
      <c r="I85" t="s">
        <v>78</v>
      </c>
      <c r="J85" t="s">
        <v>78</v>
      </c>
      <c r="K85" t="s">
        <v>3</v>
      </c>
      <c r="L85" t="s">
        <v>3</v>
      </c>
      <c r="M85" t="s">
        <v>3</v>
      </c>
      <c r="N85" t="s">
        <v>77</v>
      </c>
      <c r="O85" t="s">
        <v>78</v>
      </c>
      <c r="P85" t="s">
        <v>3</v>
      </c>
      <c r="Q85" t="s">
        <v>3</v>
      </c>
      <c r="R85" t="s">
        <v>3</v>
      </c>
      <c r="S85" t="s">
        <v>475</v>
      </c>
      <c r="T85" t="s">
        <v>476</v>
      </c>
      <c r="U85" t="s">
        <v>477</v>
      </c>
    </row>
    <row r="86" spans="1:21" x14ac:dyDescent="0.2">
      <c r="A86">
        <v>390</v>
      </c>
      <c r="B86">
        <v>1</v>
      </c>
      <c r="C86" t="s">
        <v>3</v>
      </c>
      <c r="D86" t="s">
        <v>77</v>
      </c>
      <c r="E86" t="s">
        <v>78</v>
      </c>
      <c r="F86" t="s">
        <v>78</v>
      </c>
      <c r="G86" t="s">
        <v>78</v>
      </c>
      <c r="H86" t="s">
        <v>3</v>
      </c>
      <c r="I86" t="s">
        <v>78</v>
      </c>
      <c r="J86" t="s">
        <v>78</v>
      </c>
      <c r="K86" t="s">
        <v>3</v>
      </c>
      <c r="L86" t="s">
        <v>3</v>
      </c>
      <c r="M86" t="s">
        <v>3</v>
      </c>
      <c r="N86" t="s">
        <v>77</v>
      </c>
      <c r="O86" t="s">
        <v>78</v>
      </c>
      <c r="P86" t="s">
        <v>3</v>
      </c>
      <c r="Q86" t="s">
        <v>3</v>
      </c>
      <c r="R86" t="s">
        <v>3</v>
      </c>
      <c r="S86" t="s">
        <v>475</v>
      </c>
      <c r="T86" t="s">
        <v>476</v>
      </c>
      <c r="U86" t="s">
        <v>477</v>
      </c>
    </row>
    <row r="87" spans="1:21" x14ac:dyDescent="0.2">
      <c r="A87">
        <v>393</v>
      </c>
      <c r="B87">
        <v>1</v>
      </c>
      <c r="C87" t="s">
        <v>3</v>
      </c>
      <c r="D87" t="s">
        <v>77</v>
      </c>
      <c r="E87" t="s">
        <v>78</v>
      </c>
      <c r="F87" t="s">
        <v>78</v>
      </c>
      <c r="G87" t="s">
        <v>78</v>
      </c>
      <c r="H87" t="s">
        <v>3</v>
      </c>
      <c r="I87" t="s">
        <v>78</v>
      </c>
      <c r="J87" t="s">
        <v>78</v>
      </c>
      <c r="K87" t="s">
        <v>3</v>
      </c>
      <c r="L87" t="s">
        <v>3</v>
      </c>
      <c r="M87" t="s">
        <v>3</v>
      </c>
      <c r="N87" t="s">
        <v>77</v>
      </c>
      <c r="O87" t="s">
        <v>78</v>
      </c>
      <c r="P87" t="s">
        <v>3</v>
      </c>
      <c r="Q87" t="s">
        <v>3</v>
      </c>
      <c r="R87" t="s">
        <v>3</v>
      </c>
      <c r="S87" t="s">
        <v>475</v>
      </c>
      <c r="T87" t="s">
        <v>476</v>
      </c>
      <c r="U87" t="s">
        <v>477</v>
      </c>
    </row>
    <row r="88" spans="1:21" x14ac:dyDescent="0.2">
      <c r="A88">
        <v>394</v>
      </c>
      <c r="B88">
        <v>1</v>
      </c>
      <c r="C88" t="s">
        <v>3</v>
      </c>
      <c r="D88" t="s">
        <v>77</v>
      </c>
      <c r="E88" t="s">
        <v>78</v>
      </c>
      <c r="F88" t="s">
        <v>78</v>
      </c>
      <c r="G88" t="s">
        <v>78</v>
      </c>
      <c r="H88" t="s">
        <v>3</v>
      </c>
      <c r="I88" t="s">
        <v>78</v>
      </c>
      <c r="J88" t="s">
        <v>78</v>
      </c>
      <c r="K88" t="s">
        <v>3</v>
      </c>
      <c r="L88" t="s">
        <v>3</v>
      </c>
      <c r="M88" t="s">
        <v>3</v>
      </c>
      <c r="N88" t="s">
        <v>77</v>
      </c>
      <c r="O88" t="s">
        <v>78</v>
      </c>
      <c r="P88" t="s">
        <v>3</v>
      </c>
      <c r="Q88" t="s">
        <v>3</v>
      </c>
      <c r="R88" t="s">
        <v>3</v>
      </c>
      <c r="S88" t="s">
        <v>475</v>
      </c>
      <c r="T88" t="s">
        <v>476</v>
      </c>
      <c r="U88" t="s">
        <v>477</v>
      </c>
    </row>
    <row r="89" spans="1:21" x14ac:dyDescent="0.2">
      <c r="A89">
        <v>434</v>
      </c>
      <c r="B89">
        <v>1</v>
      </c>
      <c r="C89" t="s">
        <v>3</v>
      </c>
      <c r="D89" t="s">
        <v>77</v>
      </c>
      <c r="E89" t="s">
        <v>78</v>
      </c>
      <c r="F89" t="s">
        <v>78</v>
      </c>
      <c r="G89" t="s">
        <v>78</v>
      </c>
      <c r="H89" t="s">
        <v>3</v>
      </c>
      <c r="I89" t="s">
        <v>78</v>
      </c>
      <c r="J89" t="s">
        <v>78</v>
      </c>
      <c r="K89" t="s">
        <v>3</v>
      </c>
      <c r="L89" t="s">
        <v>3</v>
      </c>
      <c r="M89" t="s">
        <v>3</v>
      </c>
      <c r="N89" t="s">
        <v>77</v>
      </c>
      <c r="O89" t="s">
        <v>78</v>
      </c>
      <c r="P89" t="s">
        <v>3</v>
      </c>
      <c r="Q89" t="s">
        <v>3</v>
      </c>
      <c r="R89" t="s">
        <v>3</v>
      </c>
      <c r="S89" t="s">
        <v>475</v>
      </c>
      <c r="T89" t="s">
        <v>476</v>
      </c>
      <c r="U89" t="s">
        <v>477</v>
      </c>
    </row>
    <row r="90" spans="1:21" x14ac:dyDescent="0.2">
      <c r="A90">
        <v>435</v>
      </c>
      <c r="B90">
        <v>1</v>
      </c>
      <c r="C90" t="s">
        <v>3</v>
      </c>
      <c r="D90" t="s">
        <v>77</v>
      </c>
      <c r="E90" t="s">
        <v>78</v>
      </c>
      <c r="F90" t="s">
        <v>78</v>
      </c>
      <c r="G90" t="s">
        <v>78</v>
      </c>
      <c r="H90" t="s">
        <v>3</v>
      </c>
      <c r="I90" t="s">
        <v>78</v>
      </c>
      <c r="J90" t="s">
        <v>78</v>
      </c>
      <c r="K90" t="s">
        <v>3</v>
      </c>
      <c r="L90" t="s">
        <v>3</v>
      </c>
      <c r="M90" t="s">
        <v>3</v>
      </c>
      <c r="N90" t="s">
        <v>77</v>
      </c>
      <c r="O90" t="s">
        <v>78</v>
      </c>
      <c r="P90" t="s">
        <v>3</v>
      </c>
      <c r="Q90" t="s">
        <v>3</v>
      </c>
      <c r="R90" t="s">
        <v>3</v>
      </c>
      <c r="S90" t="s">
        <v>475</v>
      </c>
      <c r="T90" t="s">
        <v>476</v>
      </c>
      <c r="U90" t="s">
        <v>477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89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1</v>
      </c>
    </row>
    <row r="12" spans="1:103" x14ac:dyDescent="0.2">
      <c r="F12" t="str">
        <f>Source!F12</f>
        <v>02-01-10</v>
      </c>
      <c r="G12" t="str">
        <f>Source!G12</f>
        <v>02-01-10 СОТС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  <row r="14" spans="1:103" x14ac:dyDescent="0.2">
      <c r="D14" t="s">
        <v>5</v>
      </c>
      <c r="E14" t="s">
        <v>16</v>
      </c>
      <c r="AD14">
        <v>3</v>
      </c>
    </row>
    <row r="15" spans="1:103" x14ac:dyDescent="0.2">
      <c r="B15" t="s">
        <v>483</v>
      </c>
      <c r="C15">
        <v>1</v>
      </c>
      <c r="D15" t="s">
        <v>151</v>
      </c>
      <c r="E15" t="s">
        <v>3</v>
      </c>
      <c r="F15" t="s">
        <v>484</v>
      </c>
      <c r="G15" t="s">
        <v>3</v>
      </c>
      <c r="H15">
        <v>30837</v>
      </c>
      <c r="I15">
        <v>30837</v>
      </c>
      <c r="J15">
        <v>0</v>
      </c>
      <c r="K15">
        <v>30837</v>
      </c>
      <c r="L15">
        <v>0</v>
      </c>
      <c r="M15">
        <v>0</v>
      </c>
      <c r="N15">
        <v>0</v>
      </c>
      <c r="O15" t="s">
        <v>485</v>
      </c>
      <c r="P15" t="s">
        <v>3</v>
      </c>
      <c r="Q15" t="s">
        <v>486</v>
      </c>
      <c r="R15" t="s">
        <v>3</v>
      </c>
      <c r="S15" t="s">
        <v>3</v>
      </c>
      <c r="T15" t="s">
        <v>3</v>
      </c>
      <c r="U15">
        <v>0</v>
      </c>
      <c r="V15">
        <v>0</v>
      </c>
      <c r="W15">
        <v>0</v>
      </c>
      <c r="X15">
        <v>0</v>
      </c>
      <c r="Y15" t="s">
        <v>3</v>
      </c>
      <c r="Z15" t="s">
        <v>3</v>
      </c>
      <c r="AA15">
        <v>0</v>
      </c>
      <c r="AB15" t="s">
        <v>3</v>
      </c>
      <c r="AC15">
        <v>30837</v>
      </c>
      <c r="AD15">
        <v>1</v>
      </c>
      <c r="AE15">
        <v>0</v>
      </c>
      <c r="AF15">
        <v>3</v>
      </c>
      <c r="AG15">
        <v>3</v>
      </c>
      <c r="AH15" t="s">
        <v>153</v>
      </c>
      <c r="AI15" t="s">
        <v>152</v>
      </c>
      <c r="AJ15">
        <v>46121.669062499997</v>
      </c>
      <c r="AK15">
        <v>55915440</v>
      </c>
      <c r="AL15">
        <v>0</v>
      </c>
      <c r="AM15">
        <v>0</v>
      </c>
      <c r="AN15">
        <v>0</v>
      </c>
      <c r="AO15">
        <v>46101</v>
      </c>
      <c r="AP15">
        <v>0</v>
      </c>
      <c r="AQ15">
        <v>1</v>
      </c>
      <c r="AR15">
        <v>0</v>
      </c>
      <c r="AS15" t="s">
        <v>487</v>
      </c>
      <c r="AT15">
        <v>1</v>
      </c>
      <c r="AU15">
        <v>1</v>
      </c>
    </row>
    <row r="16" spans="1:103" x14ac:dyDescent="0.2">
      <c r="B16" t="s">
        <v>488</v>
      </c>
      <c r="C16">
        <v>0</v>
      </c>
      <c r="D16" t="s">
        <v>151</v>
      </c>
      <c r="E16" t="s">
        <v>3</v>
      </c>
      <c r="F16" t="s">
        <v>484</v>
      </c>
      <c r="G16" t="s">
        <v>3</v>
      </c>
      <c r="H16">
        <v>33519</v>
      </c>
      <c r="I16">
        <v>33519</v>
      </c>
      <c r="J16">
        <v>0</v>
      </c>
      <c r="K16">
        <v>33519</v>
      </c>
      <c r="L16">
        <v>0</v>
      </c>
      <c r="M16">
        <v>0</v>
      </c>
      <c r="N16">
        <v>0</v>
      </c>
      <c r="O16" t="s">
        <v>489</v>
      </c>
      <c r="P16" t="s">
        <v>3</v>
      </c>
      <c r="Q16" t="s">
        <v>490</v>
      </c>
      <c r="R16" t="s">
        <v>3</v>
      </c>
      <c r="S16" t="s">
        <v>3</v>
      </c>
      <c r="T16" t="s">
        <v>3</v>
      </c>
      <c r="U16">
        <v>0</v>
      </c>
      <c r="V16">
        <v>0</v>
      </c>
      <c r="W16">
        <v>0</v>
      </c>
      <c r="X16">
        <v>0</v>
      </c>
      <c r="Y16" t="s">
        <v>3</v>
      </c>
      <c r="Z16" t="s">
        <v>3</v>
      </c>
      <c r="AA16">
        <v>0</v>
      </c>
      <c r="AB16" t="s">
        <v>3</v>
      </c>
      <c r="AC16">
        <v>33519</v>
      </c>
      <c r="AD16">
        <v>1</v>
      </c>
      <c r="AE16">
        <v>0</v>
      </c>
      <c r="AF16">
        <v>3</v>
      </c>
      <c r="AG16">
        <v>3</v>
      </c>
      <c r="AH16" t="s">
        <v>153</v>
      </c>
      <c r="AI16" t="s">
        <v>152</v>
      </c>
      <c r="AJ16">
        <v>46121.669062499997</v>
      </c>
      <c r="AK16">
        <v>55915440</v>
      </c>
      <c r="AL16">
        <v>0</v>
      </c>
      <c r="AM16">
        <v>0</v>
      </c>
      <c r="AN16">
        <v>0</v>
      </c>
      <c r="AO16">
        <v>46101</v>
      </c>
      <c r="AP16">
        <v>0</v>
      </c>
      <c r="AQ16">
        <v>1</v>
      </c>
      <c r="AR16">
        <v>0</v>
      </c>
      <c r="AS16" t="s">
        <v>3</v>
      </c>
      <c r="AT16">
        <v>1</v>
      </c>
      <c r="AU16">
        <v>1</v>
      </c>
    </row>
    <row r="17" spans="2:47" x14ac:dyDescent="0.2">
      <c r="B17" t="s">
        <v>491</v>
      </c>
      <c r="C17">
        <v>0</v>
      </c>
      <c r="D17" t="s">
        <v>151</v>
      </c>
      <c r="E17" t="s">
        <v>3</v>
      </c>
      <c r="F17" t="s">
        <v>484</v>
      </c>
      <c r="G17" t="s">
        <v>3</v>
      </c>
      <c r="H17">
        <v>33519</v>
      </c>
      <c r="I17">
        <v>33519</v>
      </c>
      <c r="J17">
        <v>0</v>
      </c>
      <c r="K17">
        <v>33519</v>
      </c>
      <c r="L17">
        <v>0</v>
      </c>
      <c r="M17">
        <v>0</v>
      </c>
      <c r="N17">
        <v>0</v>
      </c>
      <c r="O17" t="s">
        <v>492</v>
      </c>
      <c r="P17" t="s">
        <v>3</v>
      </c>
      <c r="Q17" t="s">
        <v>493</v>
      </c>
      <c r="R17" t="s">
        <v>3</v>
      </c>
      <c r="S17" t="s">
        <v>3</v>
      </c>
      <c r="T17" t="s">
        <v>3</v>
      </c>
      <c r="U17">
        <v>0</v>
      </c>
      <c r="V17">
        <v>0</v>
      </c>
      <c r="W17">
        <v>0</v>
      </c>
      <c r="X17">
        <v>0</v>
      </c>
      <c r="Y17" t="s">
        <v>3</v>
      </c>
      <c r="Z17" t="s">
        <v>3</v>
      </c>
      <c r="AA17">
        <v>0</v>
      </c>
      <c r="AB17" t="s">
        <v>3</v>
      </c>
      <c r="AC17">
        <v>33519</v>
      </c>
      <c r="AD17">
        <v>1</v>
      </c>
      <c r="AE17">
        <v>0</v>
      </c>
      <c r="AF17">
        <v>3</v>
      </c>
      <c r="AG17">
        <v>3</v>
      </c>
      <c r="AH17" t="s">
        <v>153</v>
      </c>
      <c r="AI17" t="s">
        <v>152</v>
      </c>
      <c r="AJ17">
        <v>46121.669062499997</v>
      </c>
      <c r="AK17">
        <v>55915440</v>
      </c>
      <c r="AL17">
        <v>0</v>
      </c>
      <c r="AM17">
        <v>0</v>
      </c>
      <c r="AN17">
        <v>0</v>
      </c>
      <c r="AO17">
        <v>46101</v>
      </c>
      <c r="AP17">
        <v>0</v>
      </c>
      <c r="AQ17">
        <v>1</v>
      </c>
      <c r="AR17">
        <v>0</v>
      </c>
      <c r="AS17" t="s">
        <v>3</v>
      </c>
      <c r="AT17">
        <v>1</v>
      </c>
      <c r="AU17">
        <v>1</v>
      </c>
    </row>
    <row r="18" spans="2:47" x14ac:dyDescent="0.2">
      <c r="B18" t="s">
        <v>494</v>
      </c>
      <c r="C18">
        <v>0</v>
      </c>
      <c r="D18" t="s">
        <v>161</v>
      </c>
      <c r="E18" t="s">
        <v>3</v>
      </c>
      <c r="F18" t="s">
        <v>484</v>
      </c>
      <c r="G18" t="s">
        <v>3</v>
      </c>
      <c r="H18">
        <v>21132</v>
      </c>
      <c r="I18">
        <v>21132</v>
      </c>
      <c r="J18">
        <v>0</v>
      </c>
      <c r="K18">
        <v>21132</v>
      </c>
      <c r="L18">
        <v>0</v>
      </c>
      <c r="M18">
        <v>0</v>
      </c>
      <c r="N18">
        <v>0</v>
      </c>
      <c r="O18" t="s">
        <v>489</v>
      </c>
      <c r="P18" t="s">
        <v>3</v>
      </c>
      <c r="Q18" t="s">
        <v>490</v>
      </c>
      <c r="R18" t="s">
        <v>3</v>
      </c>
      <c r="S18" t="s">
        <v>3</v>
      </c>
      <c r="T18" t="s">
        <v>3</v>
      </c>
      <c r="U18">
        <v>0</v>
      </c>
      <c r="V18">
        <v>0</v>
      </c>
      <c r="W18">
        <v>0</v>
      </c>
      <c r="X18">
        <v>0</v>
      </c>
      <c r="Y18" t="s">
        <v>3</v>
      </c>
      <c r="Z18" t="s">
        <v>3</v>
      </c>
      <c r="AA18">
        <v>0</v>
      </c>
      <c r="AB18" t="s">
        <v>3</v>
      </c>
      <c r="AC18">
        <v>21132</v>
      </c>
      <c r="AD18">
        <v>1</v>
      </c>
      <c r="AE18">
        <v>0</v>
      </c>
      <c r="AF18">
        <v>3</v>
      </c>
      <c r="AG18">
        <v>3</v>
      </c>
      <c r="AH18" t="s">
        <v>153</v>
      </c>
      <c r="AI18" t="s">
        <v>162</v>
      </c>
      <c r="AJ18">
        <v>46121.669085648151</v>
      </c>
      <c r="AK18">
        <v>55915454</v>
      </c>
      <c r="AL18">
        <v>0</v>
      </c>
      <c r="AM18">
        <v>0</v>
      </c>
      <c r="AN18">
        <v>0</v>
      </c>
      <c r="AO18">
        <v>46101</v>
      </c>
      <c r="AP18">
        <v>0</v>
      </c>
      <c r="AQ18">
        <v>1</v>
      </c>
      <c r="AR18">
        <v>0</v>
      </c>
      <c r="AS18" t="s">
        <v>487</v>
      </c>
      <c r="AT18">
        <v>1</v>
      </c>
      <c r="AU18">
        <v>1</v>
      </c>
    </row>
    <row r="19" spans="2:47" x14ac:dyDescent="0.2">
      <c r="B19" t="s">
        <v>495</v>
      </c>
      <c r="C19">
        <v>0</v>
      </c>
      <c r="D19" t="s">
        <v>161</v>
      </c>
      <c r="E19" t="s">
        <v>3</v>
      </c>
      <c r="F19" t="s">
        <v>484</v>
      </c>
      <c r="G19" t="s">
        <v>3</v>
      </c>
      <c r="H19">
        <v>21132</v>
      </c>
      <c r="I19">
        <v>21132</v>
      </c>
      <c r="J19">
        <v>0</v>
      </c>
      <c r="K19">
        <v>21132</v>
      </c>
      <c r="L19">
        <v>0</v>
      </c>
      <c r="M19">
        <v>0</v>
      </c>
      <c r="N19">
        <v>0</v>
      </c>
      <c r="O19" t="s">
        <v>492</v>
      </c>
      <c r="P19" t="s">
        <v>3</v>
      </c>
      <c r="Q19" t="s">
        <v>493</v>
      </c>
      <c r="R19" t="s">
        <v>3</v>
      </c>
      <c r="S19" t="s">
        <v>3</v>
      </c>
      <c r="T19" t="s">
        <v>3</v>
      </c>
      <c r="U19">
        <v>0</v>
      </c>
      <c r="V19">
        <v>0</v>
      </c>
      <c r="W19">
        <v>0</v>
      </c>
      <c r="X19">
        <v>0</v>
      </c>
      <c r="Y19" t="s">
        <v>3</v>
      </c>
      <c r="Z19" t="s">
        <v>3</v>
      </c>
      <c r="AA19">
        <v>0</v>
      </c>
      <c r="AB19" t="s">
        <v>3</v>
      </c>
      <c r="AC19">
        <v>21132</v>
      </c>
      <c r="AD19">
        <v>1</v>
      </c>
      <c r="AE19">
        <v>0</v>
      </c>
      <c r="AF19">
        <v>3</v>
      </c>
      <c r="AG19">
        <v>3</v>
      </c>
      <c r="AH19" t="s">
        <v>153</v>
      </c>
      <c r="AI19" t="s">
        <v>162</v>
      </c>
      <c r="AJ19">
        <v>46121.669085648151</v>
      </c>
      <c r="AK19">
        <v>55915454</v>
      </c>
      <c r="AL19">
        <v>0</v>
      </c>
      <c r="AM19">
        <v>0</v>
      </c>
      <c r="AN19">
        <v>0</v>
      </c>
      <c r="AO19">
        <v>46101</v>
      </c>
      <c r="AP19">
        <v>0</v>
      </c>
      <c r="AQ19">
        <v>1</v>
      </c>
      <c r="AR19">
        <v>0</v>
      </c>
      <c r="AS19" t="s">
        <v>3</v>
      </c>
      <c r="AT19">
        <v>1</v>
      </c>
      <c r="AU19">
        <v>1</v>
      </c>
    </row>
    <row r="20" spans="2:47" x14ac:dyDescent="0.2">
      <c r="B20" t="s">
        <v>496</v>
      </c>
      <c r="C20">
        <v>1</v>
      </c>
      <c r="D20" t="s">
        <v>161</v>
      </c>
      <c r="E20" t="s">
        <v>3</v>
      </c>
      <c r="F20" t="s">
        <v>484</v>
      </c>
      <c r="G20" t="s">
        <v>3</v>
      </c>
      <c r="H20">
        <v>20075</v>
      </c>
      <c r="I20">
        <v>20075</v>
      </c>
      <c r="J20">
        <v>0</v>
      </c>
      <c r="K20">
        <v>20075</v>
      </c>
      <c r="L20">
        <v>0</v>
      </c>
      <c r="M20">
        <v>0</v>
      </c>
      <c r="N20">
        <v>0</v>
      </c>
      <c r="O20" t="s">
        <v>497</v>
      </c>
      <c r="P20" t="s">
        <v>3</v>
      </c>
      <c r="Q20" t="s">
        <v>493</v>
      </c>
      <c r="R20" t="s">
        <v>3</v>
      </c>
      <c r="S20" t="s">
        <v>3</v>
      </c>
      <c r="T20" t="s">
        <v>3</v>
      </c>
      <c r="U20">
        <v>0</v>
      </c>
      <c r="V20">
        <v>0</v>
      </c>
      <c r="W20">
        <v>0</v>
      </c>
      <c r="X20">
        <v>0</v>
      </c>
      <c r="Y20" t="s">
        <v>3</v>
      </c>
      <c r="Z20" t="s">
        <v>3</v>
      </c>
      <c r="AA20">
        <v>0</v>
      </c>
      <c r="AB20" t="s">
        <v>3</v>
      </c>
      <c r="AC20">
        <v>20075</v>
      </c>
      <c r="AD20">
        <v>1</v>
      </c>
      <c r="AE20">
        <v>0</v>
      </c>
      <c r="AF20">
        <v>3</v>
      </c>
      <c r="AG20">
        <v>3</v>
      </c>
      <c r="AH20" t="s">
        <v>153</v>
      </c>
      <c r="AI20" t="s">
        <v>162</v>
      </c>
      <c r="AJ20">
        <v>46121.669085648151</v>
      </c>
      <c r="AK20">
        <v>55915454</v>
      </c>
      <c r="AL20">
        <v>0</v>
      </c>
      <c r="AM20">
        <v>0</v>
      </c>
      <c r="AN20">
        <v>0</v>
      </c>
      <c r="AO20">
        <v>46101</v>
      </c>
      <c r="AP20">
        <v>0</v>
      </c>
      <c r="AQ20">
        <v>1</v>
      </c>
      <c r="AR20">
        <v>0</v>
      </c>
      <c r="AS20" t="s">
        <v>3</v>
      </c>
      <c r="AT20">
        <v>1</v>
      </c>
      <c r="AU20">
        <v>1</v>
      </c>
    </row>
    <row r="21" spans="2:47" x14ac:dyDescent="0.2">
      <c r="B21" t="s">
        <v>498</v>
      </c>
      <c r="C21">
        <v>0</v>
      </c>
      <c r="D21" t="s">
        <v>167</v>
      </c>
      <c r="E21" t="s">
        <v>3</v>
      </c>
      <c r="F21" t="s">
        <v>484</v>
      </c>
      <c r="G21" t="s">
        <v>3</v>
      </c>
      <c r="H21">
        <v>25340</v>
      </c>
      <c r="I21">
        <v>25340</v>
      </c>
      <c r="J21">
        <v>0</v>
      </c>
      <c r="K21">
        <v>25340</v>
      </c>
      <c r="L21">
        <v>0</v>
      </c>
      <c r="M21">
        <v>0</v>
      </c>
      <c r="N21">
        <v>0</v>
      </c>
      <c r="O21" t="s">
        <v>485</v>
      </c>
      <c r="P21" t="s">
        <v>3</v>
      </c>
      <c r="Q21" t="s">
        <v>486</v>
      </c>
      <c r="R21" t="s">
        <v>3</v>
      </c>
      <c r="S21" t="s">
        <v>3</v>
      </c>
      <c r="T21" t="s">
        <v>3</v>
      </c>
      <c r="U21">
        <v>0</v>
      </c>
      <c r="V21">
        <v>0</v>
      </c>
      <c r="W21">
        <v>0</v>
      </c>
      <c r="X21">
        <v>0</v>
      </c>
      <c r="Y21" t="s">
        <v>3</v>
      </c>
      <c r="Z21" t="s">
        <v>3</v>
      </c>
      <c r="AA21">
        <v>0</v>
      </c>
      <c r="AB21" t="s">
        <v>3</v>
      </c>
      <c r="AC21">
        <v>25340</v>
      </c>
      <c r="AD21">
        <v>1</v>
      </c>
      <c r="AE21">
        <v>0</v>
      </c>
      <c r="AF21">
        <v>3</v>
      </c>
      <c r="AG21">
        <v>3</v>
      </c>
      <c r="AH21" t="s">
        <v>153</v>
      </c>
      <c r="AI21" t="s">
        <v>168</v>
      </c>
      <c r="AJ21">
        <v>46121.672951388886</v>
      </c>
      <c r="AK21">
        <v>55915466</v>
      </c>
      <c r="AL21">
        <v>0</v>
      </c>
      <c r="AM21">
        <v>0</v>
      </c>
      <c r="AN21">
        <v>0</v>
      </c>
      <c r="AO21">
        <v>46101</v>
      </c>
      <c r="AP21">
        <v>0</v>
      </c>
      <c r="AQ21">
        <v>1</v>
      </c>
      <c r="AR21">
        <v>0</v>
      </c>
      <c r="AS21" t="s">
        <v>487</v>
      </c>
      <c r="AT21">
        <v>1</v>
      </c>
      <c r="AU21">
        <v>1</v>
      </c>
    </row>
    <row r="22" spans="2:47" x14ac:dyDescent="0.2">
      <c r="B22" t="s">
        <v>499</v>
      </c>
      <c r="C22">
        <v>0</v>
      </c>
      <c r="D22" t="s">
        <v>167</v>
      </c>
      <c r="E22" t="s">
        <v>3</v>
      </c>
      <c r="F22" t="s">
        <v>484</v>
      </c>
      <c r="G22" t="s">
        <v>3</v>
      </c>
      <c r="H22">
        <v>25621</v>
      </c>
      <c r="I22">
        <v>25621</v>
      </c>
      <c r="J22">
        <v>0</v>
      </c>
      <c r="K22">
        <v>25621</v>
      </c>
      <c r="L22">
        <v>0</v>
      </c>
      <c r="M22">
        <v>0</v>
      </c>
      <c r="N22">
        <v>0</v>
      </c>
      <c r="O22" t="s">
        <v>489</v>
      </c>
      <c r="P22" t="s">
        <v>3</v>
      </c>
      <c r="Q22" t="s">
        <v>490</v>
      </c>
      <c r="R22" t="s">
        <v>3</v>
      </c>
      <c r="S22" t="s">
        <v>3</v>
      </c>
      <c r="T22" t="s">
        <v>3</v>
      </c>
      <c r="U22">
        <v>0</v>
      </c>
      <c r="V22">
        <v>0</v>
      </c>
      <c r="W22">
        <v>0</v>
      </c>
      <c r="X22">
        <v>0</v>
      </c>
      <c r="Y22" t="s">
        <v>3</v>
      </c>
      <c r="Z22" t="s">
        <v>3</v>
      </c>
      <c r="AA22">
        <v>0</v>
      </c>
      <c r="AB22" t="s">
        <v>3</v>
      </c>
      <c r="AC22">
        <v>25621</v>
      </c>
      <c r="AD22">
        <v>1</v>
      </c>
      <c r="AE22">
        <v>0</v>
      </c>
      <c r="AF22">
        <v>3</v>
      </c>
      <c r="AG22">
        <v>3</v>
      </c>
      <c r="AH22" t="s">
        <v>153</v>
      </c>
      <c r="AI22" t="s">
        <v>168</v>
      </c>
      <c r="AJ22">
        <v>46121.672951388886</v>
      </c>
      <c r="AK22">
        <v>55915466</v>
      </c>
      <c r="AL22">
        <v>0</v>
      </c>
      <c r="AM22">
        <v>0</v>
      </c>
      <c r="AN22">
        <v>0</v>
      </c>
      <c r="AO22">
        <v>46101</v>
      </c>
      <c r="AP22">
        <v>0</v>
      </c>
      <c r="AQ22">
        <v>1</v>
      </c>
      <c r="AR22">
        <v>0</v>
      </c>
      <c r="AS22" t="s">
        <v>3</v>
      </c>
      <c r="AT22">
        <v>1</v>
      </c>
      <c r="AU22">
        <v>1</v>
      </c>
    </row>
    <row r="23" spans="2:47" x14ac:dyDescent="0.2">
      <c r="B23" t="s">
        <v>500</v>
      </c>
      <c r="C23">
        <v>1</v>
      </c>
      <c r="D23" t="s">
        <v>167</v>
      </c>
      <c r="E23" t="s">
        <v>3</v>
      </c>
      <c r="F23" t="s">
        <v>484</v>
      </c>
      <c r="G23" t="s">
        <v>3</v>
      </c>
      <c r="H23">
        <v>24340</v>
      </c>
      <c r="I23">
        <v>24340</v>
      </c>
      <c r="J23">
        <v>0</v>
      </c>
      <c r="K23">
        <v>24340</v>
      </c>
      <c r="L23">
        <v>0</v>
      </c>
      <c r="M23">
        <v>0</v>
      </c>
      <c r="N23">
        <v>0</v>
      </c>
      <c r="O23" t="s">
        <v>497</v>
      </c>
      <c r="P23" t="s">
        <v>3</v>
      </c>
      <c r="Q23" t="s">
        <v>493</v>
      </c>
      <c r="R23" t="s">
        <v>3</v>
      </c>
      <c r="S23" t="s">
        <v>3</v>
      </c>
      <c r="T23" t="s">
        <v>3</v>
      </c>
      <c r="U23">
        <v>0</v>
      </c>
      <c r="V23">
        <v>0</v>
      </c>
      <c r="W23">
        <v>0</v>
      </c>
      <c r="X23">
        <v>0</v>
      </c>
      <c r="Y23" t="s">
        <v>3</v>
      </c>
      <c r="Z23" t="s">
        <v>3</v>
      </c>
      <c r="AA23">
        <v>0</v>
      </c>
      <c r="AB23" t="s">
        <v>3</v>
      </c>
      <c r="AC23">
        <v>24340</v>
      </c>
      <c r="AD23">
        <v>1</v>
      </c>
      <c r="AE23">
        <v>0</v>
      </c>
      <c r="AF23">
        <v>3</v>
      </c>
      <c r="AG23">
        <v>3</v>
      </c>
      <c r="AH23" t="s">
        <v>153</v>
      </c>
      <c r="AI23" t="s">
        <v>168</v>
      </c>
      <c r="AJ23">
        <v>46121.672951388886</v>
      </c>
      <c r="AK23">
        <v>55915466</v>
      </c>
      <c r="AL23">
        <v>0</v>
      </c>
      <c r="AM23">
        <v>0</v>
      </c>
      <c r="AN23">
        <v>0</v>
      </c>
      <c r="AO23">
        <v>46101</v>
      </c>
      <c r="AP23">
        <v>0</v>
      </c>
      <c r="AQ23">
        <v>1</v>
      </c>
      <c r="AR23">
        <v>0</v>
      </c>
      <c r="AS23" t="s">
        <v>3</v>
      </c>
      <c r="AT23">
        <v>1</v>
      </c>
      <c r="AU23">
        <v>1</v>
      </c>
    </row>
    <row r="24" spans="2:47" x14ac:dyDescent="0.2">
      <c r="B24" t="s">
        <v>501</v>
      </c>
      <c r="C24">
        <v>0</v>
      </c>
      <c r="D24" t="s">
        <v>173</v>
      </c>
      <c r="E24" t="s">
        <v>3</v>
      </c>
      <c r="F24" t="s">
        <v>484</v>
      </c>
      <c r="G24" t="s">
        <v>3</v>
      </c>
      <c r="H24">
        <v>1200</v>
      </c>
      <c r="I24">
        <v>1200</v>
      </c>
      <c r="J24">
        <v>0</v>
      </c>
      <c r="K24">
        <v>1200</v>
      </c>
      <c r="L24">
        <v>0</v>
      </c>
      <c r="M24">
        <v>0</v>
      </c>
      <c r="N24">
        <v>0</v>
      </c>
      <c r="O24" t="s">
        <v>502</v>
      </c>
      <c r="P24" t="s">
        <v>3</v>
      </c>
      <c r="Q24" t="s">
        <v>503</v>
      </c>
      <c r="R24" t="s">
        <v>3</v>
      </c>
      <c r="S24" t="s">
        <v>3</v>
      </c>
      <c r="T24" t="s">
        <v>3</v>
      </c>
      <c r="U24">
        <v>0</v>
      </c>
      <c r="V24">
        <v>0</v>
      </c>
      <c r="W24">
        <v>0</v>
      </c>
      <c r="X24">
        <v>0</v>
      </c>
      <c r="Y24" t="s">
        <v>3</v>
      </c>
      <c r="Z24" t="s">
        <v>3</v>
      </c>
      <c r="AA24">
        <v>0</v>
      </c>
      <c r="AB24" t="s">
        <v>3</v>
      </c>
      <c r="AC24">
        <v>1200</v>
      </c>
      <c r="AD24">
        <v>1</v>
      </c>
      <c r="AE24">
        <v>0</v>
      </c>
      <c r="AF24">
        <v>3</v>
      </c>
      <c r="AG24">
        <v>3</v>
      </c>
      <c r="AH24" t="s">
        <v>153</v>
      </c>
      <c r="AI24" t="s">
        <v>174</v>
      </c>
      <c r="AJ24">
        <v>46121.669131944444</v>
      </c>
      <c r="AK24">
        <v>55915474</v>
      </c>
      <c r="AL24">
        <v>0</v>
      </c>
      <c r="AM24">
        <v>0</v>
      </c>
      <c r="AN24">
        <v>0</v>
      </c>
      <c r="AO24">
        <v>46101</v>
      </c>
      <c r="AP24">
        <v>0</v>
      </c>
      <c r="AQ24">
        <v>1</v>
      </c>
      <c r="AR24">
        <v>0</v>
      </c>
      <c r="AS24" t="s">
        <v>487</v>
      </c>
      <c r="AT24">
        <v>1</v>
      </c>
      <c r="AU24">
        <v>31</v>
      </c>
    </row>
    <row r="25" spans="2:47" x14ac:dyDescent="0.2">
      <c r="B25" t="s">
        <v>504</v>
      </c>
      <c r="C25">
        <v>1</v>
      </c>
      <c r="D25" t="s">
        <v>173</v>
      </c>
      <c r="E25" t="s">
        <v>3</v>
      </c>
      <c r="F25" t="s">
        <v>484</v>
      </c>
      <c r="G25" t="s">
        <v>3</v>
      </c>
      <c r="H25">
        <v>942</v>
      </c>
      <c r="I25">
        <v>942</v>
      </c>
      <c r="J25">
        <v>0</v>
      </c>
      <c r="K25">
        <v>942</v>
      </c>
      <c r="L25">
        <v>0</v>
      </c>
      <c r="M25">
        <v>0</v>
      </c>
      <c r="N25">
        <v>0</v>
      </c>
      <c r="O25" t="s">
        <v>505</v>
      </c>
      <c r="P25" t="s">
        <v>3</v>
      </c>
      <c r="Q25" t="s">
        <v>506</v>
      </c>
      <c r="R25" t="s">
        <v>3</v>
      </c>
      <c r="S25" t="s">
        <v>3</v>
      </c>
      <c r="T25" t="s">
        <v>3</v>
      </c>
      <c r="U25">
        <v>0</v>
      </c>
      <c r="V25">
        <v>0</v>
      </c>
      <c r="W25">
        <v>0</v>
      </c>
      <c r="X25">
        <v>0</v>
      </c>
      <c r="Y25" t="s">
        <v>3</v>
      </c>
      <c r="Z25" t="s">
        <v>3</v>
      </c>
      <c r="AA25">
        <v>0</v>
      </c>
      <c r="AB25" t="s">
        <v>3</v>
      </c>
      <c r="AC25">
        <v>942</v>
      </c>
      <c r="AD25">
        <v>1</v>
      </c>
      <c r="AE25">
        <v>0</v>
      </c>
      <c r="AF25">
        <v>3</v>
      </c>
      <c r="AG25">
        <v>3</v>
      </c>
      <c r="AH25" t="s">
        <v>153</v>
      </c>
      <c r="AI25" t="s">
        <v>174</v>
      </c>
      <c r="AJ25">
        <v>46121.669131944444</v>
      </c>
      <c r="AK25">
        <v>55915474</v>
      </c>
      <c r="AL25">
        <v>0</v>
      </c>
      <c r="AM25">
        <v>0</v>
      </c>
      <c r="AN25">
        <v>0</v>
      </c>
      <c r="AO25">
        <v>46101</v>
      </c>
      <c r="AP25">
        <v>0</v>
      </c>
      <c r="AQ25">
        <v>1</v>
      </c>
      <c r="AR25">
        <v>0</v>
      </c>
      <c r="AS25" t="s">
        <v>3</v>
      </c>
      <c r="AT25">
        <v>1</v>
      </c>
      <c r="AU25">
        <v>31</v>
      </c>
    </row>
    <row r="26" spans="2:47" x14ac:dyDescent="0.2">
      <c r="B26" t="s">
        <v>507</v>
      </c>
      <c r="C26">
        <v>0</v>
      </c>
      <c r="D26" t="s">
        <v>173</v>
      </c>
      <c r="E26" t="s">
        <v>3</v>
      </c>
      <c r="F26" t="s">
        <v>484</v>
      </c>
      <c r="G26" t="s">
        <v>3</v>
      </c>
      <c r="H26">
        <v>942.52</v>
      </c>
      <c r="I26">
        <v>942.52</v>
      </c>
      <c r="J26">
        <v>0</v>
      </c>
      <c r="K26">
        <v>942.52</v>
      </c>
      <c r="L26">
        <v>0</v>
      </c>
      <c r="M26">
        <v>0</v>
      </c>
      <c r="N26">
        <v>0</v>
      </c>
      <c r="O26" t="s">
        <v>508</v>
      </c>
      <c r="P26" t="s">
        <v>3</v>
      </c>
      <c r="Q26" t="s">
        <v>509</v>
      </c>
      <c r="R26" t="s">
        <v>3</v>
      </c>
      <c r="S26" t="s">
        <v>3</v>
      </c>
      <c r="T26" t="s">
        <v>3</v>
      </c>
      <c r="U26">
        <v>0</v>
      </c>
      <c r="V26">
        <v>0</v>
      </c>
      <c r="W26">
        <v>0</v>
      </c>
      <c r="X26">
        <v>0</v>
      </c>
      <c r="Y26" t="s">
        <v>3</v>
      </c>
      <c r="Z26" t="s">
        <v>3</v>
      </c>
      <c r="AA26">
        <v>0</v>
      </c>
      <c r="AB26" t="s">
        <v>3</v>
      </c>
      <c r="AC26">
        <v>942.52</v>
      </c>
      <c r="AD26">
        <v>1</v>
      </c>
      <c r="AE26">
        <v>0</v>
      </c>
      <c r="AF26">
        <v>3</v>
      </c>
      <c r="AG26">
        <v>3</v>
      </c>
      <c r="AH26" t="s">
        <v>153</v>
      </c>
      <c r="AI26" t="s">
        <v>174</v>
      </c>
      <c r="AJ26">
        <v>46121.669131944444</v>
      </c>
      <c r="AK26">
        <v>55915474</v>
      </c>
      <c r="AL26">
        <v>0</v>
      </c>
      <c r="AM26">
        <v>0</v>
      </c>
      <c r="AN26">
        <v>0</v>
      </c>
      <c r="AO26">
        <v>46101</v>
      </c>
      <c r="AP26">
        <v>0</v>
      </c>
      <c r="AQ26">
        <v>1</v>
      </c>
      <c r="AR26">
        <v>0</v>
      </c>
      <c r="AS26" t="s">
        <v>3</v>
      </c>
      <c r="AT26">
        <v>1</v>
      </c>
      <c r="AU26">
        <v>31</v>
      </c>
    </row>
    <row r="27" spans="2:47" x14ac:dyDescent="0.2">
      <c r="B27" t="s">
        <v>510</v>
      </c>
      <c r="C27">
        <v>0</v>
      </c>
      <c r="D27" t="s">
        <v>178</v>
      </c>
      <c r="E27" t="s">
        <v>3</v>
      </c>
      <c r="F27" t="s">
        <v>484</v>
      </c>
      <c r="G27" t="s">
        <v>3</v>
      </c>
      <c r="H27">
        <v>19473</v>
      </c>
      <c r="I27">
        <v>19473</v>
      </c>
      <c r="J27">
        <v>0</v>
      </c>
      <c r="K27">
        <v>19473</v>
      </c>
      <c r="L27">
        <v>0</v>
      </c>
      <c r="M27">
        <v>0</v>
      </c>
      <c r="N27">
        <v>0</v>
      </c>
      <c r="O27" t="s">
        <v>485</v>
      </c>
      <c r="P27" t="s">
        <v>3</v>
      </c>
      <c r="Q27" t="s">
        <v>486</v>
      </c>
      <c r="R27" t="s">
        <v>3</v>
      </c>
      <c r="S27" t="s">
        <v>3</v>
      </c>
      <c r="T27" t="s">
        <v>3</v>
      </c>
      <c r="U27">
        <v>0</v>
      </c>
      <c r="V27">
        <v>0</v>
      </c>
      <c r="W27">
        <v>0</v>
      </c>
      <c r="X27">
        <v>0</v>
      </c>
      <c r="Y27" t="s">
        <v>3</v>
      </c>
      <c r="Z27" t="s">
        <v>3</v>
      </c>
      <c r="AA27">
        <v>0</v>
      </c>
      <c r="AB27" t="s">
        <v>3</v>
      </c>
      <c r="AC27">
        <v>19473</v>
      </c>
      <c r="AD27">
        <v>1</v>
      </c>
      <c r="AE27">
        <v>0</v>
      </c>
      <c r="AF27">
        <v>3</v>
      </c>
      <c r="AG27">
        <v>3</v>
      </c>
      <c r="AH27" t="s">
        <v>153</v>
      </c>
      <c r="AI27" t="s">
        <v>179</v>
      </c>
      <c r="AJ27">
        <v>46121.66915509259</v>
      </c>
      <c r="AK27">
        <v>55915482</v>
      </c>
      <c r="AL27">
        <v>0</v>
      </c>
      <c r="AM27">
        <v>0</v>
      </c>
      <c r="AN27">
        <v>0</v>
      </c>
      <c r="AO27">
        <v>46101</v>
      </c>
      <c r="AP27">
        <v>0</v>
      </c>
      <c r="AQ27">
        <v>1</v>
      </c>
      <c r="AR27">
        <v>0</v>
      </c>
      <c r="AS27" t="s">
        <v>487</v>
      </c>
      <c r="AT27">
        <v>1</v>
      </c>
      <c r="AU27">
        <v>1</v>
      </c>
    </row>
    <row r="28" spans="2:47" x14ac:dyDescent="0.2">
      <c r="B28" t="s">
        <v>511</v>
      </c>
      <c r="C28">
        <v>0</v>
      </c>
      <c r="D28" t="s">
        <v>178</v>
      </c>
      <c r="E28" t="s">
        <v>3</v>
      </c>
      <c r="F28" t="s">
        <v>484</v>
      </c>
      <c r="G28" t="s">
        <v>3</v>
      </c>
      <c r="H28">
        <v>18359.5</v>
      </c>
      <c r="I28">
        <v>18359.5</v>
      </c>
      <c r="J28">
        <v>0</v>
      </c>
      <c r="K28">
        <v>18359.5</v>
      </c>
      <c r="L28">
        <v>0</v>
      </c>
      <c r="M28">
        <v>0</v>
      </c>
      <c r="N28">
        <v>0</v>
      </c>
      <c r="O28" t="s">
        <v>512</v>
      </c>
      <c r="P28" t="s">
        <v>3</v>
      </c>
      <c r="Q28" t="s">
        <v>513</v>
      </c>
      <c r="R28" t="s">
        <v>3</v>
      </c>
      <c r="S28" t="s">
        <v>3</v>
      </c>
      <c r="T28" t="s">
        <v>3</v>
      </c>
      <c r="U28">
        <v>0</v>
      </c>
      <c r="V28">
        <v>0</v>
      </c>
      <c r="W28">
        <v>0</v>
      </c>
      <c r="X28">
        <v>0</v>
      </c>
      <c r="Y28" t="s">
        <v>3</v>
      </c>
      <c r="Z28" t="s">
        <v>3</v>
      </c>
      <c r="AA28">
        <v>0</v>
      </c>
      <c r="AB28" t="s">
        <v>3</v>
      </c>
      <c r="AC28">
        <v>18359.5</v>
      </c>
      <c r="AD28">
        <v>1</v>
      </c>
      <c r="AE28">
        <v>0</v>
      </c>
      <c r="AF28">
        <v>3</v>
      </c>
      <c r="AG28">
        <v>3</v>
      </c>
      <c r="AH28" t="s">
        <v>153</v>
      </c>
      <c r="AI28" t="s">
        <v>179</v>
      </c>
      <c r="AJ28">
        <v>46121.66915509259</v>
      </c>
      <c r="AK28">
        <v>55915482</v>
      </c>
      <c r="AL28">
        <v>0</v>
      </c>
      <c r="AM28">
        <v>0</v>
      </c>
      <c r="AN28">
        <v>0</v>
      </c>
      <c r="AO28">
        <v>46101</v>
      </c>
      <c r="AP28">
        <v>0</v>
      </c>
      <c r="AQ28">
        <v>1</v>
      </c>
      <c r="AR28">
        <v>0</v>
      </c>
      <c r="AS28" t="s">
        <v>3</v>
      </c>
      <c r="AT28">
        <v>1</v>
      </c>
      <c r="AU28">
        <v>1</v>
      </c>
    </row>
    <row r="29" spans="2:47" x14ac:dyDescent="0.2">
      <c r="B29" t="s">
        <v>514</v>
      </c>
      <c r="C29">
        <v>1</v>
      </c>
      <c r="D29" t="s">
        <v>178</v>
      </c>
      <c r="E29" t="s">
        <v>3</v>
      </c>
      <c r="F29" t="s">
        <v>484</v>
      </c>
      <c r="G29" t="s">
        <v>3</v>
      </c>
      <c r="H29">
        <v>17350.2</v>
      </c>
      <c r="I29">
        <v>17350.2</v>
      </c>
      <c r="J29">
        <v>0</v>
      </c>
      <c r="K29">
        <v>17350.2</v>
      </c>
      <c r="L29">
        <v>0</v>
      </c>
      <c r="M29">
        <v>0</v>
      </c>
      <c r="N29">
        <v>0</v>
      </c>
      <c r="O29" t="s">
        <v>492</v>
      </c>
      <c r="P29" t="s">
        <v>3</v>
      </c>
      <c r="Q29" t="s">
        <v>493</v>
      </c>
      <c r="R29" t="s">
        <v>3</v>
      </c>
      <c r="S29" t="s">
        <v>3</v>
      </c>
      <c r="T29" t="s">
        <v>3</v>
      </c>
      <c r="U29">
        <v>0</v>
      </c>
      <c r="V29">
        <v>0</v>
      </c>
      <c r="W29">
        <v>0</v>
      </c>
      <c r="X29">
        <v>0</v>
      </c>
      <c r="Y29" t="s">
        <v>3</v>
      </c>
      <c r="Z29" t="s">
        <v>3</v>
      </c>
      <c r="AA29">
        <v>0</v>
      </c>
      <c r="AB29" t="s">
        <v>3</v>
      </c>
      <c r="AC29">
        <v>17350.2</v>
      </c>
      <c r="AD29">
        <v>1</v>
      </c>
      <c r="AE29">
        <v>0</v>
      </c>
      <c r="AF29">
        <v>3</v>
      </c>
      <c r="AG29">
        <v>3</v>
      </c>
      <c r="AH29" t="s">
        <v>153</v>
      </c>
      <c r="AI29" t="s">
        <v>179</v>
      </c>
      <c r="AJ29">
        <v>46121.66915509259</v>
      </c>
      <c r="AK29">
        <v>55915482</v>
      </c>
      <c r="AL29">
        <v>0</v>
      </c>
      <c r="AM29">
        <v>0</v>
      </c>
      <c r="AN29">
        <v>0</v>
      </c>
      <c r="AO29">
        <v>46101</v>
      </c>
      <c r="AP29">
        <v>0</v>
      </c>
      <c r="AQ29">
        <v>1</v>
      </c>
      <c r="AR29">
        <v>0</v>
      </c>
      <c r="AS29" t="s">
        <v>3</v>
      </c>
      <c r="AT29">
        <v>1</v>
      </c>
      <c r="AU29">
        <v>1</v>
      </c>
    </row>
    <row r="30" spans="2:47" x14ac:dyDescent="0.2">
      <c r="B30" t="s">
        <v>515</v>
      </c>
      <c r="C30">
        <v>1</v>
      </c>
      <c r="D30" t="s">
        <v>184</v>
      </c>
      <c r="E30" t="s">
        <v>3</v>
      </c>
      <c r="F30" t="s">
        <v>484</v>
      </c>
      <c r="G30" t="s">
        <v>3</v>
      </c>
      <c r="H30">
        <v>3508</v>
      </c>
      <c r="I30">
        <v>3508</v>
      </c>
      <c r="J30">
        <v>0</v>
      </c>
      <c r="K30">
        <v>3508</v>
      </c>
      <c r="L30">
        <v>0</v>
      </c>
      <c r="M30">
        <v>0</v>
      </c>
      <c r="N30">
        <v>0</v>
      </c>
      <c r="O30" t="s">
        <v>505</v>
      </c>
      <c r="P30" t="s">
        <v>3</v>
      </c>
      <c r="Q30" t="s">
        <v>506</v>
      </c>
      <c r="R30" t="s">
        <v>3</v>
      </c>
      <c r="S30" t="s">
        <v>3</v>
      </c>
      <c r="T30" t="s">
        <v>3</v>
      </c>
      <c r="U30">
        <v>0</v>
      </c>
      <c r="V30">
        <v>0</v>
      </c>
      <c r="W30">
        <v>0</v>
      </c>
      <c r="X30">
        <v>0</v>
      </c>
      <c r="Y30" t="s">
        <v>3</v>
      </c>
      <c r="Z30" t="s">
        <v>3</v>
      </c>
      <c r="AA30">
        <v>0</v>
      </c>
      <c r="AB30" t="s">
        <v>3</v>
      </c>
      <c r="AC30">
        <v>3508</v>
      </c>
      <c r="AD30">
        <v>1</v>
      </c>
      <c r="AE30">
        <v>0</v>
      </c>
      <c r="AF30">
        <v>3</v>
      </c>
      <c r="AG30">
        <v>3</v>
      </c>
      <c r="AH30" t="s">
        <v>153</v>
      </c>
      <c r="AI30" t="s">
        <v>185</v>
      </c>
      <c r="AJ30">
        <v>46121.669189814813</v>
      </c>
      <c r="AK30">
        <v>55915490</v>
      </c>
      <c r="AL30">
        <v>0</v>
      </c>
      <c r="AM30">
        <v>0</v>
      </c>
      <c r="AN30">
        <v>0</v>
      </c>
      <c r="AO30">
        <v>46101</v>
      </c>
      <c r="AP30">
        <v>0</v>
      </c>
      <c r="AQ30">
        <v>1</v>
      </c>
      <c r="AR30">
        <v>0</v>
      </c>
      <c r="AS30" t="s">
        <v>487</v>
      </c>
      <c r="AT30">
        <v>1</v>
      </c>
      <c r="AU30">
        <v>1</v>
      </c>
    </row>
    <row r="31" spans="2:47" x14ac:dyDescent="0.2">
      <c r="B31" t="s">
        <v>516</v>
      </c>
      <c r="C31">
        <v>0</v>
      </c>
      <c r="D31" t="s">
        <v>184</v>
      </c>
      <c r="E31" t="s">
        <v>3</v>
      </c>
      <c r="F31" t="s">
        <v>484</v>
      </c>
      <c r="G31" t="s">
        <v>3</v>
      </c>
      <c r="H31">
        <v>3508</v>
      </c>
      <c r="I31">
        <v>3508</v>
      </c>
      <c r="J31">
        <v>0</v>
      </c>
      <c r="K31">
        <v>3508</v>
      </c>
      <c r="L31">
        <v>0</v>
      </c>
      <c r="M31">
        <v>0</v>
      </c>
      <c r="N31">
        <v>0</v>
      </c>
      <c r="O31" t="s">
        <v>517</v>
      </c>
      <c r="P31" t="s">
        <v>3</v>
      </c>
      <c r="Q31" t="s">
        <v>518</v>
      </c>
      <c r="R31" t="s">
        <v>3</v>
      </c>
      <c r="S31" t="s">
        <v>3</v>
      </c>
      <c r="T31" t="s">
        <v>3</v>
      </c>
      <c r="U31">
        <v>0</v>
      </c>
      <c r="V31">
        <v>0</v>
      </c>
      <c r="W31">
        <v>0</v>
      </c>
      <c r="X31">
        <v>0</v>
      </c>
      <c r="Y31" t="s">
        <v>3</v>
      </c>
      <c r="Z31" t="s">
        <v>3</v>
      </c>
      <c r="AA31">
        <v>0</v>
      </c>
      <c r="AB31" t="s">
        <v>3</v>
      </c>
      <c r="AC31">
        <v>3508</v>
      </c>
      <c r="AD31">
        <v>1</v>
      </c>
      <c r="AE31">
        <v>0</v>
      </c>
      <c r="AF31">
        <v>3</v>
      </c>
      <c r="AG31">
        <v>3</v>
      </c>
      <c r="AH31" t="s">
        <v>153</v>
      </c>
      <c r="AI31" t="s">
        <v>185</v>
      </c>
      <c r="AJ31">
        <v>46121.669189814813</v>
      </c>
      <c r="AK31">
        <v>55915490</v>
      </c>
      <c r="AL31">
        <v>0</v>
      </c>
      <c r="AM31">
        <v>0</v>
      </c>
      <c r="AN31">
        <v>0</v>
      </c>
      <c r="AO31">
        <v>46101</v>
      </c>
      <c r="AP31">
        <v>0</v>
      </c>
      <c r="AQ31">
        <v>1</v>
      </c>
      <c r="AR31">
        <v>0</v>
      </c>
      <c r="AS31" t="s">
        <v>3</v>
      </c>
      <c r="AT31">
        <v>1</v>
      </c>
      <c r="AU31">
        <v>1</v>
      </c>
    </row>
    <row r="32" spans="2:47" x14ac:dyDescent="0.2">
      <c r="B32" t="s">
        <v>519</v>
      </c>
      <c r="C32">
        <v>0</v>
      </c>
      <c r="D32" t="s">
        <v>184</v>
      </c>
      <c r="E32" t="s">
        <v>3</v>
      </c>
      <c r="F32" t="s">
        <v>484</v>
      </c>
      <c r="G32" t="s">
        <v>3</v>
      </c>
      <c r="H32">
        <v>3508</v>
      </c>
      <c r="I32">
        <v>3508</v>
      </c>
      <c r="J32">
        <v>0</v>
      </c>
      <c r="K32">
        <v>3508</v>
      </c>
      <c r="L32">
        <v>0</v>
      </c>
      <c r="M32">
        <v>0</v>
      </c>
      <c r="N32">
        <v>0</v>
      </c>
      <c r="O32" t="s">
        <v>489</v>
      </c>
      <c r="P32" t="s">
        <v>3</v>
      </c>
      <c r="Q32" t="s">
        <v>490</v>
      </c>
      <c r="R32" t="s">
        <v>3</v>
      </c>
      <c r="S32" t="s">
        <v>3</v>
      </c>
      <c r="T32" t="s">
        <v>3</v>
      </c>
      <c r="U32">
        <v>0</v>
      </c>
      <c r="V32">
        <v>0</v>
      </c>
      <c r="W32">
        <v>0</v>
      </c>
      <c r="X32">
        <v>0</v>
      </c>
      <c r="Y32" t="s">
        <v>3</v>
      </c>
      <c r="Z32" t="s">
        <v>3</v>
      </c>
      <c r="AA32">
        <v>0</v>
      </c>
      <c r="AB32" t="s">
        <v>3</v>
      </c>
      <c r="AC32">
        <v>3508</v>
      </c>
      <c r="AD32">
        <v>1</v>
      </c>
      <c r="AE32">
        <v>0</v>
      </c>
      <c r="AF32">
        <v>3</v>
      </c>
      <c r="AG32">
        <v>3</v>
      </c>
      <c r="AH32" t="s">
        <v>153</v>
      </c>
      <c r="AI32" t="s">
        <v>185</v>
      </c>
      <c r="AJ32">
        <v>46121.669189814813</v>
      </c>
      <c r="AK32">
        <v>55915490</v>
      </c>
      <c r="AL32">
        <v>0</v>
      </c>
      <c r="AM32">
        <v>0</v>
      </c>
      <c r="AN32">
        <v>0</v>
      </c>
      <c r="AO32">
        <v>46101</v>
      </c>
      <c r="AP32">
        <v>0</v>
      </c>
      <c r="AQ32">
        <v>1</v>
      </c>
      <c r="AR32">
        <v>0</v>
      </c>
      <c r="AS32" t="s">
        <v>3</v>
      </c>
      <c r="AT32">
        <v>1</v>
      </c>
      <c r="AU32">
        <v>1</v>
      </c>
    </row>
    <row r="33" spans="2:47" x14ac:dyDescent="0.2">
      <c r="B33" t="s">
        <v>520</v>
      </c>
      <c r="C33">
        <v>1</v>
      </c>
      <c r="D33" t="s">
        <v>197</v>
      </c>
      <c r="E33" t="s">
        <v>3</v>
      </c>
      <c r="F33" t="s">
        <v>484</v>
      </c>
      <c r="G33" t="s">
        <v>3</v>
      </c>
      <c r="H33">
        <v>629</v>
      </c>
      <c r="I33">
        <v>629</v>
      </c>
      <c r="J33">
        <v>0</v>
      </c>
      <c r="K33">
        <v>629</v>
      </c>
      <c r="L33">
        <v>0</v>
      </c>
      <c r="M33">
        <v>0</v>
      </c>
      <c r="N33">
        <v>0</v>
      </c>
      <c r="O33" t="s">
        <v>492</v>
      </c>
      <c r="P33" t="s">
        <v>3</v>
      </c>
      <c r="Q33" t="s">
        <v>493</v>
      </c>
      <c r="R33" t="s">
        <v>3</v>
      </c>
      <c r="S33" t="s">
        <v>3</v>
      </c>
      <c r="T33" t="s">
        <v>3</v>
      </c>
      <c r="U33">
        <v>0</v>
      </c>
      <c r="V33">
        <v>0</v>
      </c>
      <c r="W33">
        <v>0</v>
      </c>
      <c r="X33">
        <v>0</v>
      </c>
      <c r="Y33" t="s">
        <v>3</v>
      </c>
      <c r="Z33" t="s">
        <v>3</v>
      </c>
      <c r="AA33">
        <v>0</v>
      </c>
      <c r="AB33" t="s">
        <v>3</v>
      </c>
      <c r="AC33">
        <v>629</v>
      </c>
      <c r="AD33">
        <v>1</v>
      </c>
      <c r="AE33">
        <v>0</v>
      </c>
      <c r="AF33">
        <v>3</v>
      </c>
      <c r="AG33">
        <v>3</v>
      </c>
      <c r="AH33" t="s">
        <v>153</v>
      </c>
      <c r="AI33" t="s">
        <v>198</v>
      </c>
      <c r="AJ33">
        <v>46121.66920138889</v>
      </c>
      <c r="AK33">
        <v>55915559</v>
      </c>
      <c r="AL33">
        <v>0</v>
      </c>
      <c r="AM33">
        <v>0</v>
      </c>
      <c r="AN33">
        <v>0</v>
      </c>
      <c r="AO33">
        <v>46101</v>
      </c>
      <c r="AP33">
        <v>0</v>
      </c>
      <c r="AQ33">
        <v>1</v>
      </c>
      <c r="AR33">
        <v>0</v>
      </c>
      <c r="AS33" t="s">
        <v>487</v>
      </c>
      <c r="AT33">
        <v>1</v>
      </c>
      <c r="AU33">
        <v>98</v>
      </c>
    </row>
    <row r="34" spans="2:47" x14ac:dyDescent="0.2">
      <c r="B34" t="s">
        <v>521</v>
      </c>
      <c r="C34">
        <v>0</v>
      </c>
      <c r="D34" t="s">
        <v>197</v>
      </c>
      <c r="E34" t="s">
        <v>3</v>
      </c>
      <c r="F34" t="s">
        <v>484</v>
      </c>
      <c r="G34" t="s">
        <v>3</v>
      </c>
      <c r="H34">
        <v>629</v>
      </c>
      <c r="I34">
        <v>629</v>
      </c>
      <c r="J34">
        <v>0</v>
      </c>
      <c r="K34">
        <v>629</v>
      </c>
      <c r="L34">
        <v>0</v>
      </c>
      <c r="M34">
        <v>0</v>
      </c>
      <c r="N34">
        <v>0</v>
      </c>
      <c r="O34" t="s">
        <v>489</v>
      </c>
      <c r="P34" t="s">
        <v>3</v>
      </c>
      <c r="Q34" t="s">
        <v>490</v>
      </c>
      <c r="R34" t="s">
        <v>3</v>
      </c>
      <c r="S34" t="s">
        <v>3</v>
      </c>
      <c r="T34" t="s">
        <v>3</v>
      </c>
      <c r="U34">
        <v>0</v>
      </c>
      <c r="V34">
        <v>0</v>
      </c>
      <c r="W34">
        <v>0</v>
      </c>
      <c r="X34">
        <v>0</v>
      </c>
      <c r="Y34" t="s">
        <v>3</v>
      </c>
      <c r="Z34" t="s">
        <v>3</v>
      </c>
      <c r="AA34">
        <v>0</v>
      </c>
      <c r="AB34" t="s">
        <v>3</v>
      </c>
      <c r="AC34">
        <v>629</v>
      </c>
      <c r="AD34">
        <v>1</v>
      </c>
      <c r="AE34">
        <v>0</v>
      </c>
      <c r="AF34">
        <v>3</v>
      </c>
      <c r="AG34">
        <v>3</v>
      </c>
      <c r="AH34" t="s">
        <v>153</v>
      </c>
      <c r="AI34" t="s">
        <v>198</v>
      </c>
      <c r="AJ34">
        <v>46121.66920138889</v>
      </c>
      <c r="AK34">
        <v>55915559</v>
      </c>
      <c r="AL34">
        <v>0</v>
      </c>
      <c r="AM34">
        <v>0</v>
      </c>
      <c r="AN34">
        <v>0</v>
      </c>
      <c r="AO34">
        <v>46101</v>
      </c>
      <c r="AP34">
        <v>0</v>
      </c>
      <c r="AQ34">
        <v>1</v>
      </c>
      <c r="AR34">
        <v>0</v>
      </c>
      <c r="AS34" t="s">
        <v>3</v>
      </c>
      <c r="AT34">
        <v>1</v>
      </c>
      <c r="AU34">
        <v>98</v>
      </c>
    </row>
    <row r="35" spans="2:47" x14ac:dyDescent="0.2">
      <c r="B35" t="s">
        <v>522</v>
      </c>
      <c r="C35">
        <v>0</v>
      </c>
      <c r="D35" t="s">
        <v>197</v>
      </c>
      <c r="E35" t="s">
        <v>3</v>
      </c>
      <c r="F35" t="s">
        <v>484</v>
      </c>
      <c r="G35" t="s">
        <v>3</v>
      </c>
      <c r="H35">
        <v>629</v>
      </c>
      <c r="I35">
        <v>629</v>
      </c>
      <c r="J35">
        <v>0</v>
      </c>
      <c r="K35">
        <v>629</v>
      </c>
      <c r="L35">
        <v>0</v>
      </c>
      <c r="M35">
        <v>0</v>
      </c>
      <c r="N35">
        <v>0</v>
      </c>
      <c r="O35" t="s">
        <v>505</v>
      </c>
      <c r="P35" t="s">
        <v>3</v>
      </c>
      <c r="Q35" t="s">
        <v>506</v>
      </c>
      <c r="R35" t="s">
        <v>3</v>
      </c>
      <c r="S35" t="s">
        <v>3</v>
      </c>
      <c r="T35" t="s">
        <v>3</v>
      </c>
      <c r="U35">
        <v>0</v>
      </c>
      <c r="V35">
        <v>0</v>
      </c>
      <c r="W35">
        <v>0</v>
      </c>
      <c r="X35">
        <v>0</v>
      </c>
      <c r="Y35" t="s">
        <v>3</v>
      </c>
      <c r="Z35" t="s">
        <v>3</v>
      </c>
      <c r="AA35">
        <v>0</v>
      </c>
      <c r="AB35" t="s">
        <v>3</v>
      </c>
      <c r="AC35">
        <v>629</v>
      </c>
      <c r="AD35">
        <v>1</v>
      </c>
      <c r="AE35">
        <v>0</v>
      </c>
      <c r="AF35">
        <v>3</v>
      </c>
      <c r="AG35">
        <v>3</v>
      </c>
      <c r="AH35" t="s">
        <v>153</v>
      </c>
      <c r="AI35" t="s">
        <v>198</v>
      </c>
      <c r="AJ35">
        <v>46121.66920138889</v>
      </c>
      <c r="AK35">
        <v>55915559</v>
      </c>
      <c r="AL35">
        <v>0</v>
      </c>
      <c r="AM35">
        <v>0</v>
      </c>
      <c r="AN35">
        <v>0</v>
      </c>
      <c r="AO35">
        <v>46101</v>
      </c>
      <c r="AP35">
        <v>0</v>
      </c>
      <c r="AQ35">
        <v>1</v>
      </c>
      <c r="AR35">
        <v>0</v>
      </c>
      <c r="AS35" t="s">
        <v>3</v>
      </c>
      <c r="AT35">
        <v>1</v>
      </c>
      <c r="AU35">
        <v>98</v>
      </c>
    </row>
    <row r="36" spans="2:47" x14ac:dyDescent="0.2">
      <c r="B36" t="s">
        <v>523</v>
      </c>
      <c r="C36">
        <v>1</v>
      </c>
      <c r="D36" t="s">
        <v>203</v>
      </c>
      <c r="E36" t="s">
        <v>3</v>
      </c>
      <c r="F36" t="s">
        <v>484</v>
      </c>
      <c r="G36" t="s">
        <v>3</v>
      </c>
      <c r="H36">
        <v>2208</v>
      </c>
      <c r="I36">
        <v>2208</v>
      </c>
      <c r="J36">
        <v>0</v>
      </c>
      <c r="K36">
        <v>2208</v>
      </c>
      <c r="L36">
        <v>0</v>
      </c>
      <c r="M36">
        <v>0</v>
      </c>
      <c r="N36">
        <v>0</v>
      </c>
      <c r="O36" t="s">
        <v>492</v>
      </c>
      <c r="P36" t="s">
        <v>3</v>
      </c>
      <c r="Q36" t="s">
        <v>493</v>
      </c>
      <c r="R36" t="s">
        <v>3</v>
      </c>
      <c r="S36" t="s">
        <v>3</v>
      </c>
      <c r="T36" t="s">
        <v>3</v>
      </c>
      <c r="U36">
        <v>0</v>
      </c>
      <c r="V36">
        <v>0</v>
      </c>
      <c r="W36">
        <v>0</v>
      </c>
      <c r="X36">
        <v>0</v>
      </c>
      <c r="Y36" t="s">
        <v>3</v>
      </c>
      <c r="Z36" t="s">
        <v>3</v>
      </c>
      <c r="AA36">
        <v>0</v>
      </c>
      <c r="AB36" t="s">
        <v>3</v>
      </c>
      <c r="AC36">
        <v>2208</v>
      </c>
      <c r="AD36">
        <v>1</v>
      </c>
      <c r="AE36">
        <v>0</v>
      </c>
      <c r="AF36">
        <v>3</v>
      </c>
      <c r="AG36">
        <v>3</v>
      </c>
      <c r="AH36" t="s">
        <v>153</v>
      </c>
      <c r="AI36" t="s">
        <v>204</v>
      </c>
      <c r="AJ36">
        <v>46121.669282407405</v>
      </c>
      <c r="AK36">
        <v>55915567</v>
      </c>
      <c r="AL36">
        <v>0</v>
      </c>
      <c r="AM36">
        <v>0</v>
      </c>
      <c r="AN36">
        <v>0</v>
      </c>
      <c r="AO36">
        <v>46101</v>
      </c>
      <c r="AP36">
        <v>0</v>
      </c>
      <c r="AQ36">
        <v>1</v>
      </c>
      <c r="AR36">
        <v>0</v>
      </c>
      <c r="AS36" t="s">
        <v>487</v>
      </c>
      <c r="AT36">
        <v>1</v>
      </c>
      <c r="AU36">
        <v>79</v>
      </c>
    </row>
    <row r="37" spans="2:47" x14ac:dyDescent="0.2">
      <c r="B37" t="s">
        <v>524</v>
      </c>
      <c r="C37">
        <v>0</v>
      </c>
      <c r="D37" t="s">
        <v>203</v>
      </c>
      <c r="E37" t="s">
        <v>3</v>
      </c>
      <c r="F37" t="s">
        <v>484</v>
      </c>
      <c r="G37" t="s">
        <v>3</v>
      </c>
      <c r="H37">
        <v>2208</v>
      </c>
      <c r="I37">
        <v>2208</v>
      </c>
      <c r="J37">
        <v>0</v>
      </c>
      <c r="K37">
        <v>2208</v>
      </c>
      <c r="L37">
        <v>0</v>
      </c>
      <c r="M37">
        <v>0</v>
      </c>
      <c r="N37">
        <v>0</v>
      </c>
      <c r="O37" t="s">
        <v>489</v>
      </c>
      <c r="P37" t="s">
        <v>3</v>
      </c>
      <c r="Q37" t="s">
        <v>490</v>
      </c>
      <c r="R37" t="s">
        <v>3</v>
      </c>
      <c r="S37" t="s">
        <v>3</v>
      </c>
      <c r="T37" t="s">
        <v>3</v>
      </c>
      <c r="U37">
        <v>0</v>
      </c>
      <c r="V37">
        <v>0</v>
      </c>
      <c r="W37">
        <v>0</v>
      </c>
      <c r="X37">
        <v>0</v>
      </c>
      <c r="Y37" t="s">
        <v>3</v>
      </c>
      <c r="Z37" t="s">
        <v>3</v>
      </c>
      <c r="AA37">
        <v>0</v>
      </c>
      <c r="AB37" t="s">
        <v>3</v>
      </c>
      <c r="AC37">
        <v>2208</v>
      </c>
      <c r="AD37">
        <v>1</v>
      </c>
      <c r="AE37">
        <v>0</v>
      </c>
      <c r="AF37">
        <v>3</v>
      </c>
      <c r="AG37">
        <v>3</v>
      </c>
      <c r="AH37" t="s">
        <v>153</v>
      </c>
      <c r="AI37" t="s">
        <v>204</v>
      </c>
      <c r="AJ37">
        <v>46121.669282407405</v>
      </c>
      <c r="AK37">
        <v>55915567</v>
      </c>
      <c r="AL37">
        <v>0</v>
      </c>
      <c r="AM37">
        <v>0</v>
      </c>
      <c r="AN37">
        <v>0</v>
      </c>
      <c r="AO37">
        <v>46101</v>
      </c>
      <c r="AP37">
        <v>0</v>
      </c>
      <c r="AQ37">
        <v>1</v>
      </c>
      <c r="AR37">
        <v>0</v>
      </c>
      <c r="AS37" t="s">
        <v>3</v>
      </c>
      <c r="AT37">
        <v>1</v>
      </c>
      <c r="AU37">
        <v>79</v>
      </c>
    </row>
    <row r="38" spans="2:47" x14ac:dyDescent="0.2">
      <c r="B38" t="s">
        <v>525</v>
      </c>
      <c r="C38">
        <v>0</v>
      </c>
      <c r="D38" t="s">
        <v>203</v>
      </c>
      <c r="E38" t="s">
        <v>3</v>
      </c>
      <c r="F38" t="s">
        <v>484</v>
      </c>
      <c r="G38" t="s">
        <v>3</v>
      </c>
      <c r="H38">
        <v>2208</v>
      </c>
      <c r="I38">
        <v>2208</v>
      </c>
      <c r="J38">
        <v>0</v>
      </c>
      <c r="K38">
        <v>2208</v>
      </c>
      <c r="L38">
        <v>0</v>
      </c>
      <c r="M38">
        <v>0</v>
      </c>
      <c r="N38">
        <v>0</v>
      </c>
      <c r="O38" t="s">
        <v>505</v>
      </c>
      <c r="P38" t="s">
        <v>3</v>
      </c>
      <c r="Q38" t="s">
        <v>506</v>
      </c>
      <c r="R38" t="s">
        <v>3</v>
      </c>
      <c r="S38" t="s">
        <v>3</v>
      </c>
      <c r="T38" t="s">
        <v>3</v>
      </c>
      <c r="U38">
        <v>0</v>
      </c>
      <c r="V38">
        <v>0</v>
      </c>
      <c r="W38">
        <v>0</v>
      </c>
      <c r="X38">
        <v>0</v>
      </c>
      <c r="Y38" t="s">
        <v>3</v>
      </c>
      <c r="Z38" t="s">
        <v>3</v>
      </c>
      <c r="AA38">
        <v>0</v>
      </c>
      <c r="AB38" t="s">
        <v>3</v>
      </c>
      <c r="AC38">
        <v>2208</v>
      </c>
      <c r="AD38">
        <v>1</v>
      </c>
      <c r="AE38">
        <v>0</v>
      </c>
      <c r="AF38">
        <v>3</v>
      </c>
      <c r="AG38">
        <v>3</v>
      </c>
      <c r="AH38" t="s">
        <v>153</v>
      </c>
      <c r="AI38" t="s">
        <v>204</v>
      </c>
      <c r="AJ38">
        <v>46121.669282407405</v>
      </c>
      <c r="AK38">
        <v>55915567</v>
      </c>
      <c r="AL38">
        <v>0</v>
      </c>
      <c r="AM38">
        <v>0</v>
      </c>
      <c r="AN38">
        <v>0</v>
      </c>
      <c r="AO38">
        <v>46101</v>
      </c>
      <c r="AP38">
        <v>0</v>
      </c>
      <c r="AQ38">
        <v>1</v>
      </c>
      <c r="AR38">
        <v>0</v>
      </c>
      <c r="AS38" t="s">
        <v>3</v>
      </c>
      <c r="AT38">
        <v>1</v>
      </c>
      <c r="AU38">
        <v>79</v>
      </c>
    </row>
    <row r="39" spans="2:47" x14ac:dyDescent="0.2">
      <c r="B39" t="s">
        <v>526</v>
      </c>
      <c r="C39">
        <v>1</v>
      </c>
      <c r="D39" t="s">
        <v>207</v>
      </c>
      <c r="E39" t="s">
        <v>3</v>
      </c>
      <c r="F39" t="s">
        <v>484</v>
      </c>
      <c r="G39" t="s">
        <v>3</v>
      </c>
      <c r="H39">
        <v>2228</v>
      </c>
      <c r="I39">
        <v>2228</v>
      </c>
      <c r="J39">
        <v>0</v>
      </c>
      <c r="K39">
        <v>2228</v>
      </c>
      <c r="L39">
        <v>0</v>
      </c>
      <c r="M39">
        <v>0</v>
      </c>
      <c r="N39">
        <v>0</v>
      </c>
      <c r="O39" t="s">
        <v>492</v>
      </c>
      <c r="P39" t="s">
        <v>3</v>
      </c>
      <c r="Q39" t="s">
        <v>493</v>
      </c>
      <c r="R39" t="s">
        <v>3</v>
      </c>
      <c r="S39" t="s">
        <v>3</v>
      </c>
      <c r="T39" t="s">
        <v>3</v>
      </c>
      <c r="U39">
        <v>0</v>
      </c>
      <c r="V39">
        <v>0</v>
      </c>
      <c r="W39">
        <v>0</v>
      </c>
      <c r="X39">
        <v>0</v>
      </c>
      <c r="Y39" t="s">
        <v>3</v>
      </c>
      <c r="Z39" t="s">
        <v>3</v>
      </c>
      <c r="AA39">
        <v>0</v>
      </c>
      <c r="AB39" t="s">
        <v>3</v>
      </c>
      <c r="AC39">
        <v>2228</v>
      </c>
      <c r="AD39">
        <v>1</v>
      </c>
      <c r="AE39">
        <v>0</v>
      </c>
      <c r="AF39">
        <v>3</v>
      </c>
      <c r="AG39">
        <v>3</v>
      </c>
      <c r="AH39" t="s">
        <v>153</v>
      </c>
      <c r="AI39" t="s">
        <v>208</v>
      </c>
      <c r="AJ39">
        <v>46121.669305555559</v>
      </c>
      <c r="AK39">
        <v>55915573</v>
      </c>
      <c r="AL39">
        <v>0</v>
      </c>
      <c r="AM39">
        <v>0</v>
      </c>
      <c r="AN39">
        <v>0</v>
      </c>
      <c r="AO39">
        <v>46101</v>
      </c>
      <c r="AP39">
        <v>0</v>
      </c>
      <c r="AQ39">
        <v>1</v>
      </c>
      <c r="AR39">
        <v>0</v>
      </c>
      <c r="AS39" t="s">
        <v>487</v>
      </c>
      <c r="AT39">
        <v>1</v>
      </c>
      <c r="AU39">
        <v>15</v>
      </c>
    </row>
    <row r="40" spans="2:47" x14ac:dyDescent="0.2">
      <c r="B40" t="s">
        <v>527</v>
      </c>
      <c r="C40">
        <v>0</v>
      </c>
      <c r="D40" t="s">
        <v>207</v>
      </c>
      <c r="E40" t="s">
        <v>3</v>
      </c>
      <c r="F40" t="s">
        <v>484</v>
      </c>
      <c r="G40" t="s">
        <v>3</v>
      </c>
      <c r="H40">
        <v>2228</v>
      </c>
      <c r="I40">
        <v>2228</v>
      </c>
      <c r="J40">
        <v>0</v>
      </c>
      <c r="K40">
        <v>2228</v>
      </c>
      <c r="L40">
        <v>0</v>
      </c>
      <c r="M40">
        <v>0</v>
      </c>
      <c r="N40">
        <v>0</v>
      </c>
      <c r="O40" t="s">
        <v>489</v>
      </c>
      <c r="P40" t="s">
        <v>3</v>
      </c>
      <c r="Q40" t="s">
        <v>490</v>
      </c>
      <c r="R40" t="s">
        <v>3</v>
      </c>
      <c r="S40" t="s">
        <v>3</v>
      </c>
      <c r="T40" t="s">
        <v>3</v>
      </c>
      <c r="U40">
        <v>0</v>
      </c>
      <c r="V40">
        <v>0</v>
      </c>
      <c r="W40">
        <v>0</v>
      </c>
      <c r="X40">
        <v>0</v>
      </c>
      <c r="Y40" t="s">
        <v>3</v>
      </c>
      <c r="Z40" t="s">
        <v>3</v>
      </c>
      <c r="AA40">
        <v>0</v>
      </c>
      <c r="AB40" t="s">
        <v>3</v>
      </c>
      <c r="AC40">
        <v>2228</v>
      </c>
      <c r="AD40">
        <v>1</v>
      </c>
      <c r="AE40">
        <v>0</v>
      </c>
      <c r="AF40">
        <v>3</v>
      </c>
      <c r="AG40">
        <v>3</v>
      </c>
      <c r="AH40" t="s">
        <v>153</v>
      </c>
      <c r="AI40" t="s">
        <v>208</v>
      </c>
      <c r="AJ40">
        <v>46121.669305555559</v>
      </c>
      <c r="AK40">
        <v>55915573</v>
      </c>
      <c r="AL40">
        <v>0</v>
      </c>
      <c r="AM40">
        <v>0</v>
      </c>
      <c r="AN40">
        <v>0</v>
      </c>
      <c r="AO40">
        <v>46101</v>
      </c>
      <c r="AP40">
        <v>0</v>
      </c>
      <c r="AQ40">
        <v>1</v>
      </c>
      <c r="AR40">
        <v>0</v>
      </c>
      <c r="AS40" t="s">
        <v>3</v>
      </c>
      <c r="AT40">
        <v>1</v>
      </c>
      <c r="AU40">
        <v>15</v>
      </c>
    </row>
    <row r="41" spans="2:47" x14ac:dyDescent="0.2">
      <c r="B41" t="s">
        <v>528</v>
      </c>
      <c r="C41">
        <v>0</v>
      </c>
      <c r="D41" t="s">
        <v>207</v>
      </c>
      <c r="E41" t="s">
        <v>3</v>
      </c>
      <c r="F41" t="s">
        <v>484</v>
      </c>
      <c r="G41" t="s">
        <v>3</v>
      </c>
      <c r="H41">
        <v>2228</v>
      </c>
      <c r="I41">
        <v>2228</v>
      </c>
      <c r="J41">
        <v>0</v>
      </c>
      <c r="K41">
        <v>2228</v>
      </c>
      <c r="L41">
        <v>0</v>
      </c>
      <c r="M41">
        <v>0</v>
      </c>
      <c r="N41">
        <v>0</v>
      </c>
      <c r="O41" t="s">
        <v>505</v>
      </c>
      <c r="P41" t="s">
        <v>3</v>
      </c>
      <c r="Q41" t="s">
        <v>506</v>
      </c>
      <c r="R41" t="s">
        <v>3</v>
      </c>
      <c r="S41" t="s">
        <v>3</v>
      </c>
      <c r="T41" t="s">
        <v>3</v>
      </c>
      <c r="U41">
        <v>0</v>
      </c>
      <c r="V41">
        <v>0</v>
      </c>
      <c r="W41">
        <v>0</v>
      </c>
      <c r="X41">
        <v>0</v>
      </c>
      <c r="Y41" t="s">
        <v>3</v>
      </c>
      <c r="Z41" t="s">
        <v>3</v>
      </c>
      <c r="AA41">
        <v>0</v>
      </c>
      <c r="AB41" t="s">
        <v>3</v>
      </c>
      <c r="AC41">
        <v>2228</v>
      </c>
      <c r="AD41">
        <v>1</v>
      </c>
      <c r="AE41">
        <v>0</v>
      </c>
      <c r="AF41">
        <v>3</v>
      </c>
      <c r="AG41">
        <v>3</v>
      </c>
      <c r="AH41" t="s">
        <v>153</v>
      </c>
      <c r="AI41" t="s">
        <v>208</v>
      </c>
      <c r="AJ41">
        <v>46121.669305555559</v>
      </c>
      <c r="AK41">
        <v>55915573</v>
      </c>
      <c r="AL41">
        <v>0</v>
      </c>
      <c r="AM41">
        <v>0</v>
      </c>
      <c r="AN41">
        <v>0</v>
      </c>
      <c r="AO41">
        <v>46101</v>
      </c>
      <c r="AP41">
        <v>0</v>
      </c>
      <c r="AQ41">
        <v>1</v>
      </c>
      <c r="AR41">
        <v>0</v>
      </c>
      <c r="AS41" t="s">
        <v>3</v>
      </c>
      <c r="AT41">
        <v>1</v>
      </c>
      <c r="AU41">
        <v>15</v>
      </c>
    </row>
    <row r="42" spans="2:47" x14ac:dyDescent="0.2">
      <c r="B42" t="s">
        <v>529</v>
      </c>
      <c r="C42">
        <v>1</v>
      </c>
      <c r="D42" t="s">
        <v>211</v>
      </c>
      <c r="E42" t="s">
        <v>3</v>
      </c>
      <c r="F42" t="s">
        <v>484</v>
      </c>
      <c r="G42" t="s">
        <v>3</v>
      </c>
      <c r="H42">
        <v>2182</v>
      </c>
      <c r="I42">
        <v>2182</v>
      </c>
      <c r="J42">
        <v>0</v>
      </c>
      <c r="K42">
        <v>2182</v>
      </c>
      <c r="L42">
        <v>0</v>
      </c>
      <c r="M42">
        <v>0</v>
      </c>
      <c r="N42">
        <v>0</v>
      </c>
      <c r="O42" t="s">
        <v>492</v>
      </c>
      <c r="P42" t="s">
        <v>3</v>
      </c>
      <c r="Q42" t="s">
        <v>493</v>
      </c>
      <c r="R42" t="s">
        <v>3</v>
      </c>
      <c r="S42" t="s">
        <v>3</v>
      </c>
      <c r="T42" t="s">
        <v>3</v>
      </c>
      <c r="U42">
        <v>0</v>
      </c>
      <c r="V42">
        <v>0</v>
      </c>
      <c r="W42">
        <v>0</v>
      </c>
      <c r="X42">
        <v>0</v>
      </c>
      <c r="Y42" t="s">
        <v>3</v>
      </c>
      <c r="Z42" t="s">
        <v>3</v>
      </c>
      <c r="AA42">
        <v>0</v>
      </c>
      <c r="AB42" t="s">
        <v>3</v>
      </c>
      <c r="AC42">
        <v>2182</v>
      </c>
      <c r="AD42">
        <v>1</v>
      </c>
      <c r="AE42">
        <v>0</v>
      </c>
      <c r="AF42">
        <v>3</v>
      </c>
      <c r="AG42">
        <v>3</v>
      </c>
      <c r="AH42" t="s">
        <v>153</v>
      </c>
      <c r="AI42" t="s">
        <v>212</v>
      </c>
      <c r="AJ42">
        <v>46121.669374999998</v>
      </c>
      <c r="AK42">
        <v>55915579</v>
      </c>
      <c r="AL42">
        <v>0</v>
      </c>
      <c r="AM42">
        <v>0</v>
      </c>
      <c r="AN42">
        <v>0</v>
      </c>
      <c r="AO42">
        <v>46101</v>
      </c>
      <c r="AP42">
        <v>0</v>
      </c>
      <c r="AQ42">
        <v>1</v>
      </c>
      <c r="AR42">
        <v>0</v>
      </c>
      <c r="AS42" t="s">
        <v>487</v>
      </c>
      <c r="AT42">
        <v>1</v>
      </c>
      <c r="AU42">
        <v>22</v>
      </c>
    </row>
    <row r="43" spans="2:47" x14ac:dyDescent="0.2">
      <c r="B43" t="s">
        <v>530</v>
      </c>
      <c r="C43">
        <v>0</v>
      </c>
      <c r="D43" t="s">
        <v>211</v>
      </c>
      <c r="E43" t="s">
        <v>3</v>
      </c>
      <c r="F43" t="s">
        <v>484</v>
      </c>
      <c r="G43" t="s">
        <v>3</v>
      </c>
      <c r="H43">
        <v>2182</v>
      </c>
      <c r="I43">
        <v>2182</v>
      </c>
      <c r="J43">
        <v>0</v>
      </c>
      <c r="K43">
        <v>2182</v>
      </c>
      <c r="L43">
        <v>0</v>
      </c>
      <c r="M43">
        <v>0</v>
      </c>
      <c r="N43">
        <v>0</v>
      </c>
      <c r="O43" t="s">
        <v>489</v>
      </c>
      <c r="P43" t="s">
        <v>3</v>
      </c>
      <c r="Q43" t="s">
        <v>490</v>
      </c>
      <c r="R43" t="s">
        <v>3</v>
      </c>
      <c r="S43" t="s">
        <v>3</v>
      </c>
      <c r="T43" t="s">
        <v>3</v>
      </c>
      <c r="U43">
        <v>0</v>
      </c>
      <c r="V43">
        <v>0</v>
      </c>
      <c r="W43">
        <v>0</v>
      </c>
      <c r="X43">
        <v>0</v>
      </c>
      <c r="Y43" t="s">
        <v>3</v>
      </c>
      <c r="Z43" t="s">
        <v>3</v>
      </c>
      <c r="AA43">
        <v>0</v>
      </c>
      <c r="AB43" t="s">
        <v>3</v>
      </c>
      <c r="AC43">
        <v>2182</v>
      </c>
      <c r="AD43">
        <v>1</v>
      </c>
      <c r="AE43">
        <v>0</v>
      </c>
      <c r="AF43">
        <v>3</v>
      </c>
      <c r="AG43">
        <v>3</v>
      </c>
      <c r="AH43" t="s">
        <v>153</v>
      </c>
      <c r="AI43" t="s">
        <v>212</v>
      </c>
      <c r="AJ43">
        <v>46121.669374999998</v>
      </c>
      <c r="AK43">
        <v>55915579</v>
      </c>
      <c r="AL43">
        <v>0</v>
      </c>
      <c r="AM43">
        <v>0</v>
      </c>
      <c r="AN43">
        <v>0</v>
      </c>
      <c r="AO43">
        <v>46101</v>
      </c>
      <c r="AP43">
        <v>0</v>
      </c>
      <c r="AQ43">
        <v>1</v>
      </c>
      <c r="AR43">
        <v>0</v>
      </c>
      <c r="AS43" t="s">
        <v>3</v>
      </c>
      <c r="AT43">
        <v>1</v>
      </c>
      <c r="AU43">
        <v>22</v>
      </c>
    </row>
    <row r="44" spans="2:47" x14ac:dyDescent="0.2">
      <c r="B44" t="s">
        <v>531</v>
      </c>
      <c r="C44">
        <v>0</v>
      </c>
      <c r="D44" t="s">
        <v>211</v>
      </c>
      <c r="E44" t="s">
        <v>3</v>
      </c>
      <c r="F44" t="s">
        <v>484</v>
      </c>
      <c r="G44" t="s">
        <v>3</v>
      </c>
      <c r="H44">
        <v>2182</v>
      </c>
      <c r="I44">
        <v>2182</v>
      </c>
      <c r="J44">
        <v>0</v>
      </c>
      <c r="K44">
        <v>2182</v>
      </c>
      <c r="L44">
        <v>0</v>
      </c>
      <c r="M44">
        <v>0</v>
      </c>
      <c r="N44">
        <v>0</v>
      </c>
      <c r="O44" t="s">
        <v>505</v>
      </c>
      <c r="P44" t="s">
        <v>3</v>
      </c>
      <c r="Q44" t="s">
        <v>506</v>
      </c>
      <c r="R44" t="s">
        <v>3</v>
      </c>
      <c r="S44" t="s">
        <v>3</v>
      </c>
      <c r="T44" t="s">
        <v>3</v>
      </c>
      <c r="U44">
        <v>0</v>
      </c>
      <c r="V44">
        <v>0</v>
      </c>
      <c r="W44">
        <v>0</v>
      </c>
      <c r="X44">
        <v>0</v>
      </c>
      <c r="Y44" t="s">
        <v>3</v>
      </c>
      <c r="Z44" t="s">
        <v>3</v>
      </c>
      <c r="AA44">
        <v>0</v>
      </c>
      <c r="AB44" t="s">
        <v>3</v>
      </c>
      <c r="AC44">
        <v>2182</v>
      </c>
      <c r="AD44">
        <v>1</v>
      </c>
      <c r="AE44">
        <v>0</v>
      </c>
      <c r="AF44">
        <v>3</v>
      </c>
      <c r="AG44">
        <v>3</v>
      </c>
      <c r="AH44" t="s">
        <v>153</v>
      </c>
      <c r="AI44" t="s">
        <v>212</v>
      </c>
      <c r="AJ44">
        <v>46121.669374999998</v>
      </c>
      <c r="AK44">
        <v>55915579</v>
      </c>
      <c r="AL44">
        <v>0</v>
      </c>
      <c r="AM44">
        <v>0</v>
      </c>
      <c r="AN44">
        <v>0</v>
      </c>
      <c r="AO44">
        <v>46101</v>
      </c>
      <c r="AP44">
        <v>0</v>
      </c>
      <c r="AQ44">
        <v>1</v>
      </c>
      <c r="AR44">
        <v>0</v>
      </c>
      <c r="AS44" t="s">
        <v>3</v>
      </c>
      <c r="AT44">
        <v>1</v>
      </c>
      <c r="AU44">
        <v>22</v>
      </c>
    </row>
    <row r="45" spans="2:47" x14ac:dyDescent="0.2">
      <c r="B45" t="s">
        <v>532</v>
      </c>
      <c r="C45">
        <v>1</v>
      </c>
      <c r="D45" t="s">
        <v>221</v>
      </c>
      <c r="E45" t="s">
        <v>3</v>
      </c>
      <c r="F45" t="s">
        <v>484</v>
      </c>
      <c r="G45" t="s">
        <v>3</v>
      </c>
      <c r="H45">
        <v>1632</v>
      </c>
      <c r="I45">
        <v>1632</v>
      </c>
      <c r="J45">
        <v>0</v>
      </c>
      <c r="K45">
        <v>1632</v>
      </c>
      <c r="L45">
        <v>0</v>
      </c>
      <c r="M45">
        <v>0</v>
      </c>
      <c r="N45">
        <v>0</v>
      </c>
      <c r="O45" t="s">
        <v>492</v>
      </c>
      <c r="P45" t="s">
        <v>3</v>
      </c>
      <c r="Q45" t="s">
        <v>493</v>
      </c>
      <c r="R45" t="s">
        <v>3</v>
      </c>
      <c r="S45" t="s">
        <v>3</v>
      </c>
      <c r="T45" t="s">
        <v>3</v>
      </c>
      <c r="U45">
        <v>0</v>
      </c>
      <c r="V45">
        <v>0</v>
      </c>
      <c r="W45">
        <v>0</v>
      </c>
      <c r="X45">
        <v>0</v>
      </c>
      <c r="Y45" t="s">
        <v>3</v>
      </c>
      <c r="Z45" t="s">
        <v>3</v>
      </c>
      <c r="AA45">
        <v>0</v>
      </c>
      <c r="AB45" t="s">
        <v>3</v>
      </c>
      <c r="AC45">
        <v>1632</v>
      </c>
      <c r="AD45">
        <v>1</v>
      </c>
      <c r="AE45">
        <v>0</v>
      </c>
      <c r="AF45">
        <v>3</v>
      </c>
      <c r="AG45">
        <v>3</v>
      </c>
      <c r="AH45" t="s">
        <v>153</v>
      </c>
      <c r="AI45" t="s">
        <v>222</v>
      </c>
      <c r="AJ45">
        <v>46121.669398148151</v>
      </c>
      <c r="AK45">
        <v>55915592</v>
      </c>
      <c r="AL45">
        <v>0</v>
      </c>
      <c r="AM45">
        <v>0</v>
      </c>
      <c r="AN45">
        <v>0</v>
      </c>
      <c r="AO45">
        <v>46101</v>
      </c>
      <c r="AP45">
        <v>0</v>
      </c>
      <c r="AQ45">
        <v>1</v>
      </c>
      <c r="AR45">
        <v>0</v>
      </c>
      <c r="AS45" t="s">
        <v>487</v>
      </c>
      <c r="AT45">
        <v>1</v>
      </c>
      <c r="AU45">
        <v>9</v>
      </c>
    </row>
    <row r="46" spans="2:47" x14ac:dyDescent="0.2">
      <c r="B46" t="s">
        <v>533</v>
      </c>
      <c r="C46">
        <v>0</v>
      </c>
      <c r="D46" t="s">
        <v>221</v>
      </c>
      <c r="E46" t="s">
        <v>3</v>
      </c>
      <c r="F46" t="s">
        <v>484</v>
      </c>
      <c r="G46" t="s">
        <v>3</v>
      </c>
      <c r="H46">
        <v>1632</v>
      </c>
      <c r="I46">
        <v>1632</v>
      </c>
      <c r="J46">
        <v>0</v>
      </c>
      <c r="K46">
        <v>1632</v>
      </c>
      <c r="L46">
        <v>0</v>
      </c>
      <c r="M46">
        <v>0</v>
      </c>
      <c r="N46">
        <v>0</v>
      </c>
      <c r="O46" t="s">
        <v>489</v>
      </c>
      <c r="P46" t="s">
        <v>3</v>
      </c>
      <c r="Q46" t="s">
        <v>490</v>
      </c>
      <c r="R46" t="s">
        <v>3</v>
      </c>
      <c r="S46" t="s">
        <v>3</v>
      </c>
      <c r="T46" t="s">
        <v>3</v>
      </c>
      <c r="U46">
        <v>0</v>
      </c>
      <c r="V46">
        <v>0</v>
      </c>
      <c r="W46">
        <v>0</v>
      </c>
      <c r="X46">
        <v>0</v>
      </c>
      <c r="Y46" t="s">
        <v>3</v>
      </c>
      <c r="Z46" t="s">
        <v>3</v>
      </c>
      <c r="AA46">
        <v>0</v>
      </c>
      <c r="AB46" t="s">
        <v>3</v>
      </c>
      <c r="AC46">
        <v>1632</v>
      </c>
      <c r="AD46">
        <v>1</v>
      </c>
      <c r="AE46">
        <v>0</v>
      </c>
      <c r="AF46">
        <v>3</v>
      </c>
      <c r="AG46">
        <v>3</v>
      </c>
      <c r="AH46" t="s">
        <v>153</v>
      </c>
      <c r="AI46" t="s">
        <v>222</v>
      </c>
      <c r="AJ46">
        <v>46121.669398148151</v>
      </c>
      <c r="AK46">
        <v>55915592</v>
      </c>
      <c r="AL46">
        <v>0</v>
      </c>
      <c r="AM46">
        <v>0</v>
      </c>
      <c r="AN46">
        <v>0</v>
      </c>
      <c r="AO46">
        <v>46101</v>
      </c>
      <c r="AP46">
        <v>0</v>
      </c>
      <c r="AQ46">
        <v>1</v>
      </c>
      <c r="AR46">
        <v>0</v>
      </c>
      <c r="AS46" t="s">
        <v>3</v>
      </c>
      <c r="AT46">
        <v>1</v>
      </c>
      <c r="AU46">
        <v>9</v>
      </c>
    </row>
    <row r="47" spans="2:47" x14ac:dyDescent="0.2">
      <c r="B47" t="s">
        <v>534</v>
      </c>
      <c r="C47">
        <v>0</v>
      </c>
      <c r="D47" t="s">
        <v>221</v>
      </c>
      <c r="E47" t="s">
        <v>3</v>
      </c>
      <c r="F47" t="s">
        <v>484</v>
      </c>
      <c r="G47" t="s">
        <v>3</v>
      </c>
      <c r="H47">
        <v>1633</v>
      </c>
      <c r="I47">
        <v>1633</v>
      </c>
      <c r="J47">
        <v>0</v>
      </c>
      <c r="K47">
        <v>1633</v>
      </c>
      <c r="L47">
        <v>0</v>
      </c>
      <c r="M47">
        <v>0</v>
      </c>
      <c r="N47">
        <v>0</v>
      </c>
      <c r="O47" t="s">
        <v>505</v>
      </c>
      <c r="P47" t="s">
        <v>3</v>
      </c>
      <c r="Q47" t="s">
        <v>506</v>
      </c>
      <c r="R47" t="s">
        <v>3</v>
      </c>
      <c r="S47" t="s">
        <v>3</v>
      </c>
      <c r="T47" t="s">
        <v>3</v>
      </c>
      <c r="U47">
        <v>0</v>
      </c>
      <c r="V47">
        <v>0</v>
      </c>
      <c r="W47">
        <v>0</v>
      </c>
      <c r="X47">
        <v>0</v>
      </c>
      <c r="Y47" t="s">
        <v>3</v>
      </c>
      <c r="Z47" t="s">
        <v>3</v>
      </c>
      <c r="AA47">
        <v>0</v>
      </c>
      <c r="AB47" t="s">
        <v>3</v>
      </c>
      <c r="AC47">
        <v>1633</v>
      </c>
      <c r="AD47">
        <v>1</v>
      </c>
      <c r="AE47">
        <v>0</v>
      </c>
      <c r="AF47">
        <v>3</v>
      </c>
      <c r="AG47">
        <v>3</v>
      </c>
      <c r="AH47" t="s">
        <v>153</v>
      </c>
      <c r="AI47" t="s">
        <v>222</v>
      </c>
      <c r="AJ47">
        <v>46121.669398148151</v>
      </c>
      <c r="AK47">
        <v>55915592</v>
      </c>
      <c r="AL47">
        <v>0</v>
      </c>
      <c r="AM47">
        <v>0</v>
      </c>
      <c r="AN47">
        <v>0</v>
      </c>
      <c r="AO47">
        <v>46101</v>
      </c>
      <c r="AP47">
        <v>0</v>
      </c>
      <c r="AQ47">
        <v>1</v>
      </c>
      <c r="AR47">
        <v>0</v>
      </c>
      <c r="AS47" t="s">
        <v>3</v>
      </c>
      <c r="AT47">
        <v>1</v>
      </c>
      <c r="AU47">
        <v>9</v>
      </c>
    </row>
    <row r="48" spans="2:47" x14ac:dyDescent="0.2">
      <c r="B48" t="s">
        <v>535</v>
      </c>
      <c r="C48">
        <v>1</v>
      </c>
      <c r="D48" t="s">
        <v>228</v>
      </c>
      <c r="E48" t="s">
        <v>3</v>
      </c>
      <c r="F48" t="s">
        <v>484</v>
      </c>
      <c r="G48" t="s">
        <v>3</v>
      </c>
      <c r="H48">
        <v>6716</v>
      </c>
      <c r="I48">
        <v>6716</v>
      </c>
      <c r="J48">
        <v>0</v>
      </c>
      <c r="K48">
        <v>6716</v>
      </c>
      <c r="L48">
        <v>0</v>
      </c>
      <c r="M48">
        <v>0</v>
      </c>
      <c r="N48">
        <v>0</v>
      </c>
      <c r="O48" t="s">
        <v>517</v>
      </c>
      <c r="P48" t="s">
        <v>3</v>
      </c>
      <c r="Q48" t="s">
        <v>518</v>
      </c>
      <c r="R48" t="s">
        <v>3</v>
      </c>
      <c r="S48" t="s">
        <v>3</v>
      </c>
      <c r="T48" t="s">
        <v>3</v>
      </c>
      <c r="U48">
        <v>0</v>
      </c>
      <c r="V48">
        <v>0</v>
      </c>
      <c r="W48">
        <v>0</v>
      </c>
      <c r="X48">
        <v>0</v>
      </c>
      <c r="Y48" t="s">
        <v>3</v>
      </c>
      <c r="Z48" t="s">
        <v>3</v>
      </c>
      <c r="AA48">
        <v>0</v>
      </c>
      <c r="AB48" t="s">
        <v>3</v>
      </c>
      <c r="AC48">
        <v>6716</v>
      </c>
      <c r="AD48">
        <v>1</v>
      </c>
      <c r="AE48">
        <v>0</v>
      </c>
      <c r="AF48">
        <v>3</v>
      </c>
      <c r="AG48">
        <v>3</v>
      </c>
      <c r="AH48" t="s">
        <v>153</v>
      </c>
      <c r="AI48" t="s">
        <v>229</v>
      </c>
      <c r="AJ48">
        <v>46121.669444444444</v>
      </c>
      <c r="AK48">
        <v>55915663</v>
      </c>
      <c r="AL48">
        <v>0</v>
      </c>
      <c r="AM48">
        <v>0</v>
      </c>
      <c r="AN48">
        <v>0</v>
      </c>
      <c r="AO48">
        <v>46101</v>
      </c>
      <c r="AP48">
        <v>0</v>
      </c>
      <c r="AQ48">
        <v>1</v>
      </c>
      <c r="AR48">
        <v>0</v>
      </c>
      <c r="AS48" t="s">
        <v>487</v>
      </c>
      <c r="AT48">
        <v>1</v>
      </c>
      <c r="AU48">
        <v>1</v>
      </c>
    </row>
    <row r="49" spans="2:47" x14ac:dyDescent="0.2">
      <c r="B49" t="s">
        <v>536</v>
      </c>
      <c r="C49">
        <v>0</v>
      </c>
      <c r="D49" t="s">
        <v>228</v>
      </c>
      <c r="E49" t="s">
        <v>3</v>
      </c>
      <c r="F49" t="s">
        <v>484</v>
      </c>
      <c r="G49" t="s">
        <v>3</v>
      </c>
      <c r="H49">
        <v>6716</v>
      </c>
      <c r="I49">
        <v>6716</v>
      </c>
      <c r="J49">
        <v>0</v>
      </c>
      <c r="K49">
        <v>6716</v>
      </c>
      <c r="L49">
        <v>0</v>
      </c>
      <c r="M49">
        <v>0</v>
      </c>
      <c r="N49">
        <v>0</v>
      </c>
      <c r="O49" t="s">
        <v>489</v>
      </c>
      <c r="P49" t="s">
        <v>3</v>
      </c>
      <c r="Q49" t="s">
        <v>490</v>
      </c>
      <c r="R49" t="s">
        <v>3</v>
      </c>
      <c r="S49" t="s">
        <v>3</v>
      </c>
      <c r="T49" t="s">
        <v>3</v>
      </c>
      <c r="U49">
        <v>0</v>
      </c>
      <c r="V49">
        <v>0</v>
      </c>
      <c r="W49">
        <v>0</v>
      </c>
      <c r="X49">
        <v>0</v>
      </c>
      <c r="Y49" t="s">
        <v>3</v>
      </c>
      <c r="Z49" t="s">
        <v>3</v>
      </c>
      <c r="AA49">
        <v>0</v>
      </c>
      <c r="AB49" t="s">
        <v>3</v>
      </c>
      <c r="AC49">
        <v>6716</v>
      </c>
      <c r="AD49">
        <v>1</v>
      </c>
      <c r="AE49">
        <v>0</v>
      </c>
      <c r="AF49">
        <v>3</v>
      </c>
      <c r="AG49">
        <v>3</v>
      </c>
      <c r="AH49" t="s">
        <v>153</v>
      </c>
      <c r="AI49" t="s">
        <v>229</v>
      </c>
      <c r="AJ49">
        <v>46121.669444444444</v>
      </c>
      <c r="AK49">
        <v>55915663</v>
      </c>
      <c r="AL49">
        <v>0</v>
      </c>
      <c r="AM49">
        <v>0</v>
      </c>
      <c r="AN49">
        <v>0</v>
      </c>
      <c r="AO49">
        <v>46101</v>
      </c>
      <c r="AP49">
        <v>0</v>
      </c>
      <c r="AQ49">
        <v>1</v>
      </c>
      <c r="AR49">
        <v>0</v>
      </c>
      <c r="AS49" t="s">
        <v>3</v>
      </c>
      <c r="AT49">
        <v>1</v>
      </c>
      <c r="AU49">
        <v>1</v>
      </c>
    </row>
    <row r="50" spans="2:47" x14ac:dyDescent="0.2">
      <c r="B50" t="s">
        <v>537</v>
      </c>
      <c r="C50">
        <v>0</v>
      </c>
      <c r="D50" t="s">
        <v>228</v>
      </c>
      <c r="E50" t="s">
        <v>3</v>
      </c>
      <c r="F50" t="s">
        <v>484</v>
      </c>
      <c r="G50" t="s">
        <v>3</v>
      </c>
      <c r="H50">
        <v>6716</v>
      </c>
      <c r="I50">
        <v>6716</v>
      </c>
      <c r="J50">
        <v>0</v>
      </c>
      <c r="K50">
        <v>6716</v>
      </c>
      <c r="L50">
        <v>0</v>
      </c>
      <c r="M50">
        <v>0</v>
      </c>
      <c r="N50">
        <v>0</v>
      </c>
      <c r="O50" t="s">
        <v>505</v>
      </c>
      <c r="P50" t="s">
        <v>3</v>
      </c>
      <c r="Q50" t="s">
        <v>506</v>
      </c>
      <c r="R50" t="s">
        <v>3</v>
      </c>
      <c r="S50" t="s">
        <v>3</v>
      </c>
      <c r="T50" t="s">
        <v>3</v>
      </c>
      <c r="U50">
        <v>0</v>
      </c>
      <c r="V50">
        <v>0</v>
      </c>
      <c r="W50">
        <v>0</v>
      </c>
      <c r="X50">
        <v>0</v>
      </c>
      <c r="Y50" t="s">
        <v>3</v>
      </c>
      <c r="Z50" t="s">
        <v>3</v>
      </c>
      <c r="AA50">
        <v>0</v>
      </c>
      <c r="AB50" t="s">
        <v>3</v>
      </c>
      <c r="AC50">
        <v>6716</v>
      </c>
      <c r="AD50">
        <v>1</v>
      </c>
      <c r="AE50">
        <v>0</v>
      </c>
      <c r="AF50">
        <v>3</v>
      </c>
      <c r="AG50">
        <v>3</v>
      </c>
      <c r="AH50" t="s">
        <v>153</v>
      </c>
      <c r="AI50" t="s">
        <v>229</v>
      </c>
      <c r="AJ50">
        <v>46121.669444444444</v>
      </c>
      <c r="AK50">
        <v>55915663</v>
      </c>
      <c r="AL50">
        <v>0</v>
      </c>
      <c r="AM50">
        <v>0</v>
      </c>
      <c r="AN50">
        <v>0</v>
      </c>
      <c r="AO50">
        <v>46101</v>
      </c>
      <c r="AP50">
        <v>0</v>
      </c>
      <c r="AQ50">
        <v>1</v>
      </c>
      <c r="AR50">
        <v>0</v>
      </c>
      <c r="AS50" t="s">
        <v>3</v>
      </c>
      <c r="AT50">
        <v>1</v>
      </c>
      <c r="AU50">
        <v>1</v>
      </c>
    </row>
    <row r="51" spans="2:47" x14ac:dyDescent="0.2">
      <c r="B51" t="s">
        <v>538</v>
      </c>
      <c r="C51">
        <v>1</v>
      </c>
      <c r="D51" t="s">
        <v>232</v>
      </c>
      <c r="E51" t="s">
        <v>3</v>
      </c>
      <c r="F51" t="s">
        <v>484</v>
      </c>
      <c r="G51" t="s">
        <v>3</v>
      </c>
      <c r="H51">
        <v>4575</v>
      </c>
      <c r="I51">
        <v>4575</v>
      </c>
      <c r="J51">
        <v>0</v>
      </c>
      <c r="K51">
        <v>4575</v>
      </c>
      <c r="L51">
        <v>0</v>
      </c>
      <c r="M51">
        <v>0</v>
      </c>
      <c r="N51">
        <v>0</v>
      </c>
      <c r="O51" t="s">
        <v>517</v>
      </c>
      <c r="P51" t="s">
        <v>3</v>
      </c>
      <c r="Q51" t="s">
        <v>518</v>
      </c>
      <c r="R51" t="s">
        <v>3</v>
      </c>
      <c r="S51" t="s">
        <v>3</v>
      </c>
      <c r="T51" t="s">
        <v>3</v>
      </c>
      <c r="U51">
        <v>0</v>
      </c>
      <c r="V51">
        <v>0</v>
      </c>
      <c r="W51">
        <v>0</v>
      </c>
      <c r="X51">
        <v>0</v>
      </c>
      <c r="Y51" t="s">
        <v>3</v>
      </c>
      <c r="Z51" t="s">
        <v>3</v>
      </c>
      <c r="AA51">
        <v>0</v>
      </c>
      <c r="AB51" t="s">
        <v>3</v>
      </c>
      <c r="AC51">
        <v>4575</v>
      </c>
      <c r="AD51">
        <v>1</v>
      </c>
      <c r="AE51">
        <v>0</v>
      </c>
      <c r="AF51">
        <v>3</v>
      </c>
      <c r="AG51">
        <v>3</v>
      </c>
      <c r="AH51" t="s">
        <v>153</v>
      </c>
      <c r="AI51" t="s">
        <v>233</v>
      </c>
      <c r="AJ51">
        <v>46121.669479166667</v>
      </c>
      <c r="AK51">
        <v>55915669</v>
      </c>
      <c r="AL51">
        <v>0</v>
      </c>
      <c r="AM51">
        <v>0</v>
      </c>
      <c r="AN51">
        <v>0</v>
      </c>
      <c r="AO51">
        <v>46101</v>
      </c>
      <c r="AP51">
        <v>0</v>
      </c>
      <c r="AQ51">
        <v>1</v>
      </c>
      <c r="AR51">
        <v>0</v>
      </c>
      <c r="AS51" t="s">
        <v>487</v>
      </c>
      <c r="AT51">
        <v>1</v>
      </c>
      <c r="AU51">
        <v>1</v>
      </c>
    </row>
    <row r="52" spans="2:47" x14ac:dyDescent="0.2">
      <c r="B52" t="s">
        <v>539</v>
      </c>
      <c r="C52">
        <v>0</v>
      </c>
      <c r="D52" t="s">
        <v>232</v>
      </c>
      <c r="E52" t="s">
        <v>3</v>
      </c>
      <c r="F52" t="s">
        <v>484</v>
      </c>
      <c r="G52" t="s">
        <v>3</v>
      </c>
      <c r="H52">
        <v>4575</v>
      </c>
      <c r="I52">
        <v>4575</v>
      </c>
      <c r="J52">
        <v>0</v>
      </c>
      <c r="K52">
        <v>4575</v>
      </c>
      <c r="L52">
        <v>0</v>
      </c>
      <c r="M52">
        <v>0</v>
      </c>
      <c r="N52">
        <v>0</v>
      </c>
      <c r="O52" t="s">
        <v>489</v>
      </c>
      <c r="P52" t="s">
        <v>3</v>
      </c>
      <c r="Q52" t="s">
        <v>490</v>
      </c>
      <c r="R52" t="s">
        <v>3</v>
      </c>
      <c r="S52" t="s">
        <v>3</v>
      </c>
      <c r="T52" t="s">
        <v>3</v>
      </c>
      <c r="U52">
        <v>0</v>
      </c>
      <c r="V52">
        <v>0</v>
      </c>
      <c r="W52">
        <v>0</v>
      </c>
      <c r="X52">
        <v>0</v>
      </c>
      <c r="Y52" t="s">
        <v>3</v>
      </c>
      <c r="Z52" t="s">
        <v>3</v>
      </c>
      <c r="AA52">
        <v>0</v>
      </c>
      <c r="AB52" t="s">
        <v>3</v>
      </c>
      <c r="AC52">
        <v>4575</v>
      </c>
      <c r="AD52">
        <v>1</v>
      </c>
      <c r="AE52">
        <v>0</v>
      </c>
      <c r="AF52">
        <v>3</v>
      </c>
      <c r="AG52">
        <v>3</v>
      </c>
      <c r="AH52" t="s">
        <v>153</v>
      </c>
      <c r="AI52" t="s">
        <v>233</v>
      </c>
      <c r="AJ52">
        <v>46121.669479166667</v>
      </c>
      <c r="AK52">
        <v>55915669</v>
      </c>
      <c r="AL52">
        <v>0</v>
      </c>
      <c r="AM52">
        <v>0</v>
      </c>
      <c r="AN52">
        <v>0</v>
      </c>
      <c r="AO52">
        <v>46101</v>
      </c>
      <c r="AP52">
        <v>0</v>
      </c>
      <c r="AQ52">
        <v>1</v>
      </c>
      <c r="AR52">
        <v>0</v>
      </c>
      <c r="AS52" t="s">
        <v>3</v>
      </c>
      <c r="AT52">
        <v>1</v>
      </c>
      <c r="AU52">
        <v>1</v>
      </c>
    </row>
    <row r="53" spans="2:47" x14ac:dyDescent="0.2">
      <c r="B53" t="s">
        <v>540</v>
      </c>
      <c r="C53">
        <v>0</v>
      </c>
      <c r="D53" t="s">
        <v>232</v>
      </c>
      <c r="E53" t="s">
        <v>3</v>
      </c>
      <c r="F53" t="s">
        <v>484</v>
      </c>
      <c r="G53" t="s">
        <v>3</v>
      </c>
      <c r="H53">
        <v>4575</v>
      </c>
      <c r="I53">
        <v>4575</v>
      </c>
      <c r="J53">
        <v>0</v>
      </c>
      <c r="K53">
        <v>4575</v>
      </c>
      <c r="L53">
        <v>0</v>
      </c>
      <c r="M53">
        <v>0</v>
      </c>
      <c r="N53">
        <v>0</v>
      </c>
      <c r="O53" t="s">
        <v>505</v>
      </c>
      <c r="P53" t="s">
        <v>3</v>
      </c>
      <c r="Q53" t="s">
        <v>506</v>
      </c>
      <c r="R53" t="s">
        <v>3</v>
      </c>
      <c r="S53" t="s">
        <v>3</v>
      </c>
      <c r="T53" t="s">
        <v>3</v>
      </c>
      <c r="U53">
        <v>0</v>
      </c>
      <c r="V53">
        <v>0</v>
      </c>
      <c r="W53">
        <v>0</v>
      </c>
      <c r="X53">
        <v>0</v>
      </c>
      <c r="Y53" t="s">
        <v>3</v>
      </c>
      <c r="Z53" t="s">
        <v>3</v>
      </c>
      <c r="AA53">
        <v>0</v>
      </c>
      <c r="AB53" t="s">
        <v>3</v>
      </c>
      <c r="AC53">
        <v>4575</v>
      </c>
      <c r="AD53">
        <v>1</v>
      </c>
      <c r="AE53">
        <v>0</v>
      </c>
      <c r="AF53">
        <v>3</v>
      </c>
      <c r="AG53">
        <v>3</v>
      </c>
      <c r="AH53" t="s">
        <v>153</v>
      </c>
      <c r="AI53" t="s">
        <v>233</v>
      </c>
      <c r="AJ53">
        <v>46121.669479166667</v>
      </c>
      <c r="AK53">
        <v>55915669</v>
      </c>
      <c r="AL53">
        <v>0</v>
      </c>
      <c r="AM53">
        <v>0</v>
      </c>
      <c r="AN53">
        <v>0</v>
      </c>
      <c r="AO53">
        <v>46101</v>
      </c>
      <c r="AP53">
        <v>0</v>
      </c>
      <c r="AQ53">
        <v>1</v>
      </c>
      <c r="AR53">
        <v>0</v>
      </c>
      <c r="AS53" t="s">
        <v>3</v>
      </c>
      <c r="AT53">
        <v>1</v>
      </c>
      <c r="AU53">
        <v>1</v>
      </c>
    </row>
    <row r="54" spans="2:47" x14ac:dyDescent="0.2">
      <c r="B54" t="s">
        <v>541</v>
      </c>
      <c r="C54">
        <v>1</v>
      </c>
      <c r="D54" t="s">
        <v>236</v>
      </c>
      <c r="E54" t="s">
        <v>3</v>
      </c>
      <c r="F54" t="s">
        <v>484</v>
      </c>
      <c r="G54" t="s">
        <v>3</v>
      </c>
      <c r="H54">
        <v>28700</v>
      </c>
      <c r="I54">
        <v>28700</v>
      </c>
      <c r="J54">
        <v>0</v>
      </c>
      <c r="K54">
        <v>28700</v>
      </c>
      <c r="L54">
        <v>0</v>
      </c>
      <c r="M54">
        <v>0</v>
      </c>
      <c r="N54">
        <v>0</v>
      </c>
      <c r="O54" t="s">
        <v>517</v>
      </c>
      <c r="P54" t="s">
        <v>3</v>
      </c>
      <c r="Q54" t="s">
        <v>518</v>
      </c>
      <c r="R54" t="s">
        <v>3</v>
      </c>
      <c r="S54" t="s">
        <v>3</v>
      </c>
      <c r="T54" t="s">
        <v>3</v>
      </c>
      <c r="U54">
        <v>0</v>
      </c>
      <c r="V54">
        <v>0</v>
      </c>
      <c r="W54">
        <v>0</v>
      </c>
      <c r="X54">
        <v>0</v>
      </c>
      <c r="Y54" t="s">
        <v>3</v>
      </c>
      <c r="Z54" t="s">
        <v>3</v>
      </c>
      <c r="AA54">
        <v>0</v>
      </c>
      <c r="AB54" t="s">
        <v>3</v>
      </c>
      <c r="AC54">
        <v>28700</v>
      </c>
      <c r="AD54">
        <v>1</v>
      </c>
      <c r="AE54">
        <v>0</v>
      </c>
      <c r="AF54">
        <v>3</v>
      </c>
      <c r="AG54">
        <v>3</v>
      </c>
      <c r="AH54" t="s">
        <v>153</v>
      </c>
      <c r="AI54" t="s">
        <v>237</v>
      </c>
      <c r="AJ54">
        <v>46121.66951388889</v>
      </c>
      <c r="AK54">
        <v>55915675</v>
      </c>
      <c r="AL54">
        <v>0</v>
      </c>
      <c r="AM54">
        <v>0</v>
      </c>
      <c r="AN54">
        <v>0</v>
      </c>
      <c r="AO54">
        <v>46101</v>
      </c>
      <c r="AP54">
        <v>0</v>
      </c>
      <c r="AQ54">
        <v>1</v>
      </c>
      <c r="AR54">
        <v>0</v>
      </c>
      <c r="AS54" t="s">
        <v>487</v>
      </c>
      <c r="AT54">
        <v>1</v>
      </c>
      <c r="AU54">
        <v>1</v>
      </c>
    </row>
    <row r="55" spans="2:47" x14ac:dyDescent="0.2">
      <c r="B55" t="s">
        <v>542</v>
      </c>
      <c r="C55">
        <v>0</v>
      </c>
      <c r="D55" t="s">
        <v>236</v>
      </c>
      <c r="E55" t="s">
        <v>3</v>
      </c>
      <c r="F55" t="s">
        <v>484</v>
      </c>
      <c r="G55" t="s">
        <v>3</v>
      </c>
      <c r="H55">
        <v>28700</v>
      </c>
      <c r="I55">
        <v>28700</v>
      </c>
      <c r="J55">
        <v>0</v>
      </c>
      <c r="K55">
        <v>28700</v>
      </c>
      <c r="L55">
        <v>0</v>
      </c>
      <c r="M55">
        <v>0</v>
      </c>
      <c r="N55">
        <v>0</v>
      </c>
      <c r="O55" t="s">
        <v>502</v>
      </c>
      <c r="P55" t="s">
        <v>3</v>
      </c>
      <c r="Q55" t="s">
        <v>503</v>
      </c>
      <c r="R55" t="s">
        <v>3</v>
      </c>
      <c r="S55" t="s">
        <v>3</v>
      </c>
      <c r="T55" t="s">
        <v>3</v>
      </c>
      <c r="U55">
        <v>0</v>
      </c>
      <c r="V55">
        <v>0</v>
      </c>
      <c r="W55">
        <v>0</v>
      </c>
      <c r="X55">
        <v>0</v>
      </c>
      <c r="Y55" t="s">
        <v>3</v>
      </c>
      <c r="Z55" t="s">
        <v>3</v>
      </c>
      <c r="AA55">
        <v>0</v>
      </c>
      <c r="AB55" t="s">
        <v>3</v>
      </c>
      <c r="AC55">
        <v>28700</v>
      </c>
      <c r="AD55">
        <v>1</v>
      </c>
      <c r="AE55">
        <v>0</v>
      </c>
      <c r="AF55">
        <v>3</v>
      </c>
      <c r="AG55">
        <v>3</v>
      </c>
      <c r="AH55" t="s">
        <v>153</v>
      </c>
      <c r="AI55" t="s">
        <v>237</v>
      </c>
      <c r="AJ55">
        <v>46121.66951388889</v>
      </c>
      <c r="AK55">
        <v>55915675</v>
      </c>
      <c r="AL55">
        <v>0</v>
      </c>
      <c r="AM55">
        <v>0</v>
      </c>
      <c r="AN55">
        <v>0</v>
      </c>
      <c r="AO55">
        <v>46101</v>
      </c>
      <c r="AP55">
        <v>0</v>
      </c>
      <c r="AQ55">
        <v>1</v>
      </c>
      <c r="AR55">
        <v>0</v>
      </c>
      <c r="AS55" t="s">
        <v>3</v>
      </c>
      <c r="AT55">
        <v>1</v>
      </c>
      <c r="AU55">
        <v>1</v>
      </c>
    </row>
    <row r="56" spans="2:47" x14ac:dyDescent="0.2">
      <c r="B56" t="s">
        <v>543</v>
      </c>
      <c r="C56">
        <v>0</v>
      </c>
      <c r="D56" t="s">
        <v>236</v>
      </c>
      <c r="E56" t="s">
        <v>3</v>
      </c>
      <c r="F56" t="s">
        <v>484</v>
      </c>
      <c r="G56" t="s">
        <v>3</v>
      </c>
      <c r="H56">
        <v>28700</v>
      </c>
      <c r="I56">
        <v>28700</v>
      </c>
      <c r="J56">
        <v>0</v>
      </c>
      <c r="K56">
        <v>28700</v>
      </c>
      <c r="L56">
        <v>0</v>
      </c>
      <c r="M56">
        <v>0</v>
      </c>
      <c r="N56">
        <v>0</v>
      </c>
      <c r="O56" t="s">
        <v>505</v>
      </c>
      <c r="P56" t="s">
        <v>3</v>
      </c>
      <c r="Q56" t="s">
        <v>506</v>
      </c>
      <c r="R56" t="s">
        <v>3</v>
      </c>
      <c r="S56" t="s">
        <v>3</v>
      </c>
      <c r="T56" t="s">
        <v>3</v>
      </c>
      <c r="U56">
        <v>0</v>
      </c>
      <c r="V56">
        <v>0</v>
      </c>
      <c r="W56">
        <v>0</v>
      </c>
      <c r="X56">
        <v>0</v>
      </c>
      <c r="Y56" t="s">
        <v>3</v>
      </c>
      <c r="Z56" t="s">
        <v>3</v>
      </c>
      <c r="AA56">
        <v>0</v>
      </c>
      <c r="AB56" t="s">
        <v>3</v>
      </c>
      <c r="AC56">
        <v>28700</v>
      </c>
      <c r="AD56">
        <v>1</v>
      </c>
      <c r="AE56">
        <v>0</v>
      </c>
      <c r="AF56">
        <v>3</v>
      </c>
      <c r="AG56">
        <v>3</v>
      </c>
      <c r="AH56" t="s">
        <v>153</v>
      </c>
      <c r="AI56" t="s">
        <v>237</v>
      </c>
      <c r="AJ56">
        <v>46121.66951388889</v>
      </c>
      <c r="AK56">
        <v>55915675</v>
      </c>
      <c r="AL56">
        <v>0</v>
      </c>
      <c r="AM56">
        <v>0</v>
      </c>
      <c r="AN56">
        <v>0</v>
      </c>
      <c r="AO56">
        <v>46101</v>
      </c>
      <c r="AP56">
        <v>0</v>
      </c>
      <c r="AQ56">
        <v>1</v>
      </c>
      <c r="AR56">
        <v>0</v>
      </c>
      <c r="AS56" t="s">
        <v>3</v>
      </c>
      <c r="AT56">
        <v>1</v>
      </c>
      <c r="AU56">
        <v>1</v>
      </c>
    </row>
    <row r="57" spans="2:47" x14ac:dyDescent="0.2">
      <c r="B57" t="s">
        <v>544</v>
      </c>
      <c r="C57">
        <v>1</v>
      </c>
      <c r="D57" t="s">
        <v>240</v>
      </c>
      <c r="E57" t="s">
        <v>3</v>
      </c>
      <c r="F57" t="s">
        <v>484</v>
      </c>
      <c r="G57" t="s">
        <v>3</v>
      </c>
      <c r="H57">
        <v>5521</v>
      </c>
      <c r="I57">
        <v>5521</v>
      </c>
      <c r="J57">
        <v>0</v>
      </c>
      <c r="K57">
        <v>5521</v>
      </c>
      <c r="L57">
        <v>0</v>
      </c>
      <c r="M57">
        <v>0</v>
      </c>
      <c r="N57">
        <v>0</v>
      </c>
      <c r="O57" t="s">
        <v>517</v>
      </c>
      <c r="P57" t="s">
        <v>3</v>
      </c>
      <c r="Q57" t="s">
        <v>518</v>
      </c>
      <c r="R57" t="s">
        <v>3</v>
      </c>
      <c r="S57" t="s">
        <v>3</v>
      </c>
      <c r="T57" t="s">
        <v>3</v>
      </c>
      <c r="U57">
        <v>0</v>
      </c>
      <c r="V57">
        <v>0</v>
      </c>
      <c r="W57">
        <v>0</v>
      </c>
      <c r="X57">
        <v>0</v>
      </c>
      <c r="Y57" t="s">
        <v>3</v>
      </c>
      <c r="Z57" t="s">
        <v>3</v>
      </c>
      <c r="AA57">
        <v>0</v>
      </c>
      <c r="AB57" t="s">
        <v>3</v>
      </c>
      <c r="AC57">
        <v>5521</v>
      </c>
      <c r="AD57">
        <v>1</v>
      </c>
      <c r="AE57">
        <v>0</v>
      </c>
      <c r="AF57">
        <v>3</v>
      </c>
      <c r="AG57">
        <v>3</v>
      </c>
      <c r="AH57" t="s">
        <v>153</v>
      </c>
      <c r="AI57" t="s">
        <v>241</v>
      </c>
      <c r="AJ57">
        <v>46121.669537037036</v>
      </c>
      <c r="AK57">
        <v>55915681</v>
      </c>
      <c r="AL57">
        <v>0</v>
      </c>
      <c r="AM57">
        <v>0</v>
      </c>
      <c r="AN57">
        <v>0</v>
      </c>
      <c r="AO57">
        <v>46101</v>
      </c>
      <c r="AP57">
        <v>0</v>
      </c>
      <c r="AQ57">
        <v>1</v>
      </c>
      <c r="AR57">
        <v>0</v>
      </c>
      <c r="AS57" t="s">
        <v>487</v>
      </c>
      <c r="AT57">
        <v>1</v>
      </c>
      <c r="AU57">
        <v>1</v>
      </c>
    </row>
    <row r="58" spans="2:47" x14ac:dyDescent="0.2">
      <c r="B58" t="s">
        <v>545</v>
      </c>
      <c r="C58">
        <v>0</v>
      </c>
      <c r="D58" t="s">
        <v>240</v>
      </c>
      <c r="E58" t="s">
        <v>3</v>
      </c>
      <c r="F58" t="s">
        <v>484</v>
      </c>
      <c r="G58" t="s">
        <v>3</v>
      </c>
      <c r="H58">
        <v>5521</v>
      </c>
      <c r="I58">
        <v>5521</v>
      </c>
      <c r="J58">
        <v>0</v>
      </c>
      <c r="K58">
        <v>5521</v>
      </c>
      <c r="L58">
        <v>0</v>
      </c>
      <c r="M58">
        <v>0</v>
      </c>
      <c r="N58">
        <v>0</v>
      </c>
      <c r="O58" t="s">
        <v>502</v>
      </c>
      <c r="P58" t="s">
        <v>3</v>
      </c>
      <c r="Q58" t="s">
        <v>503</v>
      </c>
      <c r="R58" t="s">
        <v>3</v>
      </c>
      <c r="S58" t="s">
        <v>3</v>
      </c>
      <c r="T58" t="s">
        <v>3</v>
      </c>
      <c r="U58">
        <v>0</v>
      </c>
      <c r="V58">
        <v>0</v>
      </c>
      <c r="W58">
        <v>0</v>
      </c>
      <c r="X58">
        <v>0</v>
      </c>
      <c r="Y58" t="s">
        <v>3</v>
      </c>
      <c r="Z58" t="s">
        <v>3</v>
      </c>
      <c r="AA58">
        <v>0</v>
      </c>
      <c r="AB58" t="s">
        <v>3</v>
      </c>
      <c r="AC58">
        <v>5521</v>
      </c>
      <c r="AD58">
        <v>1</v>
      </c>
      <c r="AE58">
        <v>0</v>
      </c>
      <c r="AF58">
        <v>3</v>
      </c>
      <c r="AG58">
        <v>3</v>
      </c>
      <c r="AH58" t="s">
        <v>153</v>
      </c>
      <c r="AI58" t="s">
        <v>241</v>
      </c>
      <c r="AJ58">
        <v>46121.669537037036</v>
      </c>
      <c r="AK58">
        <v>55915681</v>
      </c>
      <c r="AL58">
        <v>0</v>
      </c>
      <c r="AM58">
        <v>0</v>
      </c>
      <c r="AN58">
        <v>0</v>
      </c>
      <c r="AO58">
        <v>46101</v>
      </c>
      <c r="AP58">
        <v>0</v>
      </c>
      <c r="AQ58">
        <v>1</v>
      </c>
      <c r="AR58">
        <v>0</v>
      </c>
      <c r="AS58" t="s">
        <v>3</v>
      </c>
      <c r="AT58">
        <v>1</v>
      </c>
      <c r="AU58">
        <v>1</v>
      </c>
    </row>
    <row r="59" spans="2:47" x14ac:dyDescent="0.2">
      <c r="B59" t="s">
        <v>546</v>
      </c>
      <c r="C59">
        <v>0</v>
      </c>
      <c r="D59" t="s">
        <v>240</v>
      </c>
      <c r="E59" t="s">
        <v>3</v>
      </c>
      <c r="F59" t="s">
        <v>484</v>
      </c>
      <c r="G59" t="s">
        <v>3</v>
      </c>
      <c r="H59">
        <v>5521</v>
      </c>
      <c r="I59">
        <v>5521</v>
      </c>
      <c r="J59">
        <v>0</v>
      </c>
      <c r="K59">
        <v>5521</v>
      </c>
      <c r="L59">
        <v>0</v>
      </c>
      <c r="M59">
        <v>0</v>
      </c>
      <c r="N59">
        <v>0</v>
      </c>
      <c r="O59" t="s">
        <v>505</v>
      </c>
      <c r="P59" t="s">
        <v>3</v>
      </c>
      <c r="Q59" t="s">
        <v>506</v>
      </c>
      <c r="R59" t="s">
        <v>3</v>
      </c>
      <c r="S59" t="s">
        <v>3</v>
      </c>
      <c r="T59" t="s">
        <v>3</v>
      </c>
      <c r="U59">
        <v>0</v>
      </c>
      <c r="V59">
        <v>0</v>
      </c>
      <c r="W59">
        <v>0</v>
      </c>
      <c r="X59">
        <v>0</v>
      </c>
      <c r="Y59" t="s">
        <v>3</v>
      </c>
      <c r="Z59" t="s">
        <v>3</v>
      </c>
      <c r="AA59">
        <v>0</v>
      </c>
      <c r="AB59" t="s">
        <v>3</v>
      </c>
      <c r="AC59">
        <v>5521</v>
      </c>
      <c r="AD59">
        <v>1</v>
      </c>
      <c r="AE59">
        <v>0</v>
      </c>
      <c r="AF59">
        <v>3</v>
      </c>
      <c r="AG59">
        <v>3</v>
      </c>
      <c r="AH59" t="s">
        <v>153</v>
      </c>
      <c r="AI59" t="s">
        <v>241</v>
      </c>
      <c r="AJ59">
        <v>46121.669537037036</v>
      </c>
      <c r="AK59">
        <v>55915681</v>
      </c>
      <c r="AL59">
        <v>0</v>
      </c>
      <c r="AM59">
        <v>0</v>
      </c>
      <c r="AN59">
        <v>0</v>
      </c>
      <c r="AO59">
        <v>46101</v>
      </c>
      <c r="AP59">
        <v>0</v>
      </c>
      <c r="AQ59">
        <v>1</v>
      </c>
      <c r="AR59">
        <v>0</v>
      </c>
      <c r="AS59" t="s">
        <v>3</v>
      </c>
      <c r="AT59">
        <v>1</v>
      </c>
      <c r="AU59">
        <v>1</v>
      </c>
    </row>
    <row r="60" spans="2:47" x14ac:dyDescent="0.2">
      <c r="B60" t="s">
        <v>547</v>
      </c>
      <c r="C60">
        <v>1</v>
      </c>
      <c r="D60" t="s">
        <v>246</v>
      </c>
      <c r="E60" t="s">
        <v>3</v>
      </c>
      <c r="F60" t="s">
        <v>484</v>
      </c>
      <c r="G60" t="s">
        <v>3</v>
      </c>
      <c r="H60">
        <v>4693.43</v>
      </c>
      <c r="I60">
        <v>4693.43</v>
      </c>
      <c r="J60">
        <v>0</v>
      </c>
      <c r="K60">
        <v>4693.43</v>
      </c>
      <c r="L60">
        <v>0</v>
      </c>
      <c r="M60">
        <v>0</v>
      </c>
      <c r="N60">
        <v>0</v>
      </c>
      <c r="O60" t="s">
        <v>517</v>
      </c>
      <c r="P60" t="s">
        <v>3</v>
      </c>
      <c r="Q60" t="s">
        <v>518</v>
      </c>
      <c r="R60" t="s">
        <v>3</v>
      </c>
      <c r="S60" t="s">
        <v>3</v>
      </c>
      <c r="T60" t="s">
        <v>3</v>
      </c>
      <c r="U60">
        <v>0</v>
      </c>
      <c r="V60">
        <v>0</v>
      </c>
      <c r="W60">
        <v>0</v>
      </c>
      <c r="X60">
        <v>0</v>
      </c>
      <c r="Y60" t="s">
        <v>3</v>
      </c>
      <c r="Z60" t="s">
        <v>3</v>
      </c>
      <c r="AA60">
        <v>0</v>
      </c>
      <c r="AB60" t="s">
        <v>3</v>
      </c>
      <c r="AC60">
        <v>4693.43</v>
      </c>
      <c r="AD60">
        <v>1</v>
      </c>
      <c r="AE60">
        <v>0</v>
      </c>
      <c r="AF60">
        <v>3</v>
      </c>
      <c r="AG60">
        <v>3</v>
      </c>
      <c r="AH60" t="s">
        <v>153</v>
      </c>
      <c r="AI60" t="s">
        <v>247</v>
      </c>
      <c r="AJ60">
        <v>46121.669583333336</v>
      </c>
      <c r="AK60">
        <v>55915756</v>
      </c>
      <c r="AL60">
        <v>0</v>
      </c>
      <c r="AM60">
        <v>0</v>
      </c>
      <c r="AN60">
        <v>0</v>
      </c>
      <c r="AO60">
        <v>46101</v>
      </c>
      <c r="AP60">
        <v>0</v>
      </c>
      <c r="AQ60">
        <v>1</v>
      </c>
      <c r="AR60">
        <v>0</v>
      </c>
      <c r="AS60" t="s">
        <v>487</v>
      </c>
      <c r="AT60">
        <v>1</v>
      </c>
      <c r="AU60">
        <v>3</v>
      </c>
    </row>
    <row r="61" spans="2:47" x14ac:dyDescent="0.2">
      <c r="B61" t="s">
        <v>548</v>
      </c>
      <c r="C61">
        <v>0</v>
      </c>
      <c r="D61" t="s">
        <v>246</v>
      </c>
      <c r="E61" t="s">
        <v>3</v>
      </c>
      <c r="F61" t="s">
        <v>484</v>
      </c>
      <c r="G61" t="s">
        <v>3</v>
      </c>
      <c r="H61">
        <v>4693.43</v>
      </c>
      <c r="I61">
        <v>4693.43</v>
      </c>
      <c r="J61">
        <v>0</v>
      </c>
      <c r="K61">
        <v>4693.43</v>
      </c>
      <c r="L61">
        <v>0</v>
      </c>
      <c r="M61">
        <v>0</v>
      </c>
      <c r="N61">
        <v>0</v>
      </c>
      <c r="O61" t="s">
        <v>549</v>
      </c>
      <c r="P61" t="s">
        <v>3</v>
      </c>
      <c r="Q61" t="s">
        <v>550</v>
      </c>
      <c r="R61" t="s">
        <v>3</v>
      </c>
      <c r="S61" t="s">
        <v>3</v>
      </c>
      <c r="T61" t="s">
        <v>3</v>
      </c>
      <c r="U61">
        <v>0</v>
      </c>
      <c r="V61">
        <v>0</v>
      </c>
      <c r="W61">
        <v>0</v>
      </c>
      <c r="X61">
        <v>0</v>
      </c>
      <c r="Y61" t="s">
        <v>3</v>
      </c>
      <c r="Z61" t="s">
        <v>3</v>
      </c>
      <c r="AA61">
        <v>0</v>
      </c>
      <c r="AB61" t="s">
        <v>3</v>
      </c>
      <c r="AC61">
        <v>4693.43</v>
      </c>
      <c r="AD61">
        <v>1</v>
      </c>
      <c r="AE61">
        <v>0</v>
      </c>
      <c r="AF61">
        <v>3</v>
      </c>
      <c r="AG61">
        <v>3</v>
      </c>
      <c r="AH61" t="s">
        <v>153</v>
      </c>
      <c r="AI61" t="s">
        <v>247</v>
      </c>
      <c r="AJ61">
        <v>46121.669583333336</v>
      </c>
      <c r="AK61">
        <v>55915756</v>
      </c>
      <c r="AL61">
        <v>0</v>
      </c>
      <c r="AM61">
        <v>0</v>
      </c>
      <c r="AN61">
        <v>0</v>
      </c>
      <c r="AO61">
        <v>46101</v>
      </c>
      <c r="AP61">
        <v>0</v>
      </c>
      <c r="AQ61">
        <v>1</v>
      </c>
      <c r="AR61">
        <v>0</v>
      </c>
      <c r="AS61" t="s">
        <v>3</v>
      </c>
      <c r="AT61">
        <v>1</v>
      </c>
      <c r="AU61">
        <v>3</v>
      </c>
    </row>
    <row r="62" spans="2:47" x14ac:dyDescent="0.2">
      <c r="B62" t="s">
        <v>551</v>
      </c>
      <c r="C62">
        <v>0</v>
      </c>
      <c r="D62" t="s">
        <v>246</v>
      </c>
      <c r="E62" t="s">
        <v>3</v>
      </c>
      <c r="F62" t="s">
        <v>484</v>
      </c>
      <c r="G62" t="s">
        <v>3</v>
      </c>
      <c r="H62">
        <v>4693.43</v>
      </c>
      <c r="I62">
        <v>4693.43</v>
      </c>
      <c r="J62">
        <v>0</v>
      </c>
      <c r="K62">
        <v>4693.43</v>
      </c>
      <c r="L62">
        <v>0</v>
      </c>
      <c r="M62">
        <v>0</v>
      </c>
      <c r="N62">
        <v>0</v>
      </c>
      <c r="O62" t="s">
        <v>552</v>
      </c>
      <c r="P62" t="s">
        <v>3</v>
      </c>
      <c r="Q62" t="s">
        <v>553</v>
      </c>
      <c r="R62" t="s">
        <v>3</v>
      </c>
      <c r="S62" t="s">
        <v>3</v>
      </c>
      <c r="T62" t="s">
        <v>3</v>
      </c>
      <c r="U62">
        <v>0</v>
      </c>
      <c r="V62">
        <v>0</v>
      </c>
      <c r="W62">
        <v>0</v>
      </c>
      <c r="X62">
        <v>0</v>
      </c>
      <c r="Y62" t="s">
        <v>3</v>
      </c>
      <c r="Z62" t="s">
        <v>3</v>
      </c>
      <c r="AA62">
        <v>0</v>
      </c>
      <c r="AB62" t="s">
        <v>3</v>
      </c>
      <c r="AC62">
        <v>4693.43</v>
      </c>
      <c r="AD62">
        <v>1</v>
      </c>
      <c r="AE62">
        <v>0</v>
      </c>
      <c r="AF62">
        <v>3</v>
      </c>
      <c r="AG62">
        <v>3</v>
      </c>
      <c r="AH62" t="s">
        <v>153</v>
      </c>
      <c r="AI62" t="s">
        <v>247</v>
      </c>
      <c r="AJ62">
        <v>46121.669583333336</v>
      </c>
      <c r="AK62">
        <v>55915756</v>
      </c>
      <c r="AL62">
        <v>0</v>
      </c>
      <c r="AM62">
        <v>0</v>
      </c>
      <c r="AN62">
        <v>0</v>
      </c>
      <c r="AO62">
        <v>46101</v>
      </c>
      <c r="AP62">
        <v>0</v>
      </c>
      <c r="AQ62">
        <v>1</v>
      </c>
      <c r="AR62">
        <v>0</v>
      </c>
      <c r="AS62" t="s">
        <v>3</v>
      </c>
      <c r="AT62">
        <v>1</v>
      </c>
      <c r="AU62">
        <v>3</v>
      </c>
    </row>
    <row r="63" spans="2:47" x14ac:dyDescent="0.2">
      <c r="B63" t="s">
        <v>554</v>
      </c>
      <c r="C63">
        <v>0</v>
      </c>
      <c r="D63" t="s">
        <v>259</v>
      </c>
      <c r="E63" t="s">
        <v>3</v>
      </c>
      <c r="F63" t="s">
        <v>484</v>
      </c>
      <c r="G63" t="s">
        <v>3</v>
      </c>
      <c r="H63">
        <v>133.33000000000001</v>
      </c>
      <c r="I63">
        <v>133.33000000000001</v>
      </c>
      <c r="J63">
        <v>0</v>
      </c>
      <c r="K63">
        <v>133.33000000000001</v>
      </c>
      <c r="L63">
        <v>0</v>
      </c>
      <c r="M63">
        <v>0</v>
      </c>
      <c r="N63">
        <v>0</v>
      </c>
      <c r="O63" t="s">
        <v>517</v>
      </c>
      <c r="P63" t="s">
        <v>3</v>
      </c>
      <c r="Q63" t="s">
        <v>518</v>
      </c>
      <c r="R63" t="s">
        <v>3</v>
      </c>
      <c r="S63" t="s">
        <v>3</v>
      </c>
      <c r="T63" t="s">
        <v>3</v>
      </c>
      <c r="U63">
        <v>0</v>
      </c>
      <c r="V63">
        <v>0</v>
      </c>
      <c r="W63">
        <v>0</v>
      </c>
      <c r="X63">
        <v>0</v>
      </c>
      <c r="Y63" t="s">
        <v>3</v>
      </c>
      <c r="Z63" t="s">
        <v>3</v>
      </c>
      <c r="AA63">
        <v>0</v>
      </c>
      <c r="AB63" t="s">
        <v>3</v>
      </c>
      <c r="AC63">
        <v>133.33000000000001</v>
      </c>
      <c r="AD63">
        <v>1</v>
      </c>
      <c r="AE63">
        <v>0</v>
      </c>
      <c r="AF63">
        <v>1</v>
      </c>
      <c r="AG63">
        <v>3</v>
      </c>
      <c r="AH63" t="s">
        <v>261</v>
      </c>
      <c r="AI63" t="s">
        <v>260</v>
      </c>
      <c r="AJ63">
        <v>46121.669606481482</v>
      </c>
      <c r="AK63">
        <v>55915837</v>
      </c>
      <c r="AL63">
        <v>0</v>
      </c>
      <c r="AM63">
        <v>0</v>
      </c>
      <c r="AN63">
        <v>0</v>
      </c>
      <c r="AO63">
        <v>46101</v>
      </c>
      <c r="AP63">
        <v>0</v>
      </c>
      <c r="AQ63">
        <v>1</v>
      </c>
      <c r="AR63">
        <v>0</v>
      </c>
      <c r="AS63" t="s">
        <v>487</v>
      </c>
      <c r="AT63">
        <v>1</v>
      </c>
      <c r="AU63">
        <v>2232.7800000000002</v>
      </c>
    </row>
    <row r="64" spans="2:47" x14ac:dyDescent="0.2">
      <c r="B64" t="s">
        <v>555</v>
      </c>
      <c r="C64">
        <v>0</v>
      </c>
      <c r="D64" t="s">
        <v>259</v>
      </c>
      <c r="E64" t="s">
        <v>3</v>
      </c>
      <c r="F64" t="s">
        <v>484</v>
      </c>
      <c r="G64" t="s">
        <v>3</v>
      </c>
      <c r="H64">
        <v>133.35</v>
      </c>
      <c r="I64">
        <v>133.35</v>
      </c>
      <c r="J64">
        <v>0</v>
      </c>
      <c r="K64">
        <v>133.35</v>
      </c>
      <c r="L64">
        <v>0</v>
      </c>
      <c r="M64">
        <v>0</v>
      </c>
      <c r="N64">
        <v>0</v>
      </c>
      <c r="O64" t="s">
        <v>556</v>
      </c>
      <c r="P64" t="s">
        <v>3</v>
      </c>
      <c r="Q64" t="s">
        <v>509</v>
      </c>
      <c r="R64" t="s">
        <v>3</v>
      </c>
      <c r="S64" t="s">
        <v>3</v>
      </c>
      <c r="T64" t="s">
        <v>3</v>
      </c>
      <c r="U64">
        <v>0</v>
      </c>
      <c r="V64">
        <v>0</v>
      </c>
      <c r="W64">
        <v>0</v>
      </c>
      <c r="X64">
        <v>0</v>
      </c>
      <c r="Y64" t="s">
        <v>3</v>
      </c>
      <c r="Z64" t="s">
        <v>3</v>
      </c>
      <c r="AA64">
        <v>0</v>
      </c>
      <c r="AB64" t="s">
        <v>3</v>
      </c>
      <c r="AC64">
        <v>133.35</v>
      </c>
      <c r="AD64">
        <v>1</v>
      </c>
      <c r="AE64">
        <v>0</v>
      </c>
      <c r="AF64">
        <v>1</v>
      </c>
      <c r="AG64">
        <v>3</v>
      </c>
      <c r="AH64" t="s">
        <v>261</v>
      </c>
      <c r="AI64" t="s">
        <v>260</v>
      </c>
      <c r="AJ64">
        <v>46121.669606481482</v>
      </c>
      <c r="AK64">
        <v>55915837</v>
      </c>
      <c r="AL64">
        <v>0</v>
      </c>
      <c r="AM64">
        <v>0</v>
      </c>
      <c r="AN64">
        <v>0</v>
      </c>
      <c r="AO64">
        <v>46101</v>
      </c>
      <c r="AP64">
        <v>0</v>
      </c>
      <c r="AQ64">
        <v>1</v>
      </c>
      <c r="AR64">
        <v>0</v>
      </c>
      <c r="AS64" t="s">
        <v>3</v>
      </c>
      <c r="AT64">
        <v>1</v>
      </c>
      <c r="AU64">
        <v>2232.7800000000002</v>
      </c>
    </row>
    <row r="65" spans="2:47" x14ac:dyDescent="0.2">
      <c r="B65" t="s">
        <v>557</v>
      </c>
      <c r="C65">
        <v>1</v>
      </c>
      <c r="D65" t="s">
        <v>259</v>
      </c>
      <c r="E65" t="s">
        <v>3</v>
      </c>
      <c r="F65" t="s">
        <v>484</v>
      </c>
      <c r="G65" t="s">
        <v>3</v>
      </c>
      <c r="H65">
        <v>133</v>
      </c>
      <c r="I65">
        <v>133</v>
      </c>
      <c r="J65">
        <v>0</v>
      </c>
      <c r="K65">
        <v>133</v>
      </c>
      <c r="L65">
        <v>0</v>
      </c>
      <c r="M65">
        <v>0</v>
      </c>
      <c r="N65">
        <v>0</v>
      </c>
      <c r="O65" t="s">
        <v>485</v>
      </c>
      <c r="P65" t="s">
        <v>3</v>
      </c>
      <c r="Q65" t="s">
        <v>486</v>
      </c>
      <c r="R65" t="s">
        <v>3</v>
      </c>
      <c r="S65" t="s">
        <v>3</v>
      </c>
      <c r="T65" t="s">
        <v>3</v>
      </c>
      <c r="U65">
        <v>0</v>
      </c>
      <c r="V65">
        <v>0</v>
      </c>
      <c r="W65">
        <v>0</v>
      </c>
      <c r="X65">
        <v>0</v>
      </c>
      <c r="Y65" t="s">
        <v>3</v>
      </c>
      <c r="Z65" t="s">
        <v>3</v>
      </c>
      <c r="AA65">
        <v>0</v>
      </c>
      <c r="AB65" t="s">
        <v>3</v>
      </c>
      <c r="AC65">
        <v>133</v>
      </c>
      <c r="AD65">
        <v>1</v>
      </c>
      <c r="AE65">
        <v>0</v>
      </c>
      <c r="AF65">
        <v>1</v>
      </c>
      <c r="AG65">
        <v>3</v>
      </c>
      <c r="AH65" t="s">
        <v>261</v>
      </c>
      <c r="AI65" t="s">
        <v>260</v>
      </c>
      <c r="AJ65">
        <v>46121.669606481482</v>
      </c>
      <c r="AK65">
        <v>55915837</v>
      </c>
      <c r="AL65">
        <v>0</v>
      </c>
      <c r="AM65">
        <v>0</v>
      </c>
      <c r="AN65">
        <v>0</v>
      </c>
      <c r="AO65">
        <v>46101</v>
      </c>
      <c r="AP65">
        <v>0</v>
      </c>
      <c r="AQ65">
        <v>1</v>
      </c>
      <c r="AR65">
        <v>0</v>
      </c>
      <c r="AS65" t="s">
        <v>3</v>
      </c>
      <c r="AT65">
        <v>1</v>
      </c>
      <c r="AU65">
        <v>2232.7800000000002</v>
      </c>
    </row>
    <row r="66" spans="2:47" x14ac:dyDescent="0.2">
      <c r="B66" t="s">
        <v>558</v>
      </c>
      <c r="C66">
        <v>0</v>
      </c>
      <c r="D66" t="s">
        <v>272</v>
      </c>
      <c r="E66" t="s">
        <v>3</v>
      </c>
      <c r="F66" t="s">
        <v>484</v>
      </c>
      <c r="G66" t="s">
        <v>3</v>
      </c>
      <c r="H66">
        <v>51.6</v>
      </c>
      <c r="I66">
        <v>51.6</v>
      </c>
      <c r="J66">
        <v>0</v>
      </c>
      <c r="K66">
        <v>51.6</v>
      </c>
      <c r="L66">
        <v>0</v>
      </c>
      <c r="M66">
        <v>0</v>
      </c>
      <c r="N66">
        <v>0</v>
      </c>
      <c r="O66" t="s">
        <v>517</v>
      </c>
      <c r="P66" t="s">
        <v>3</v>
      </c>
      <c r="Q66" t="s">
        <v>518</v>
      </c>
      <c r="R66" t="s">
        <v>3</v>
      </c>
      <c r="S66" t="s">
        <v>3</v>
      </c>
      <c r="T66" t="s">
        <v>3</v>
      </c>
      <c r="U66">
        <v>0</v>
      </c>
      <c r="V66">
        <v>0</v>
      </c>
      <c r="W66">
        <v>0</v>
      </c>
      <c r="X66">
        <v>0</v>
      </c>
      <c r="Y66" t="s">
        <v>3</v>
      </c>
      <c r="Z66" t="s">
        <v>3</v>
      </c>
      <c r="AA66">
        <v>0</v>
      </c>
      <c r="AB66" t="s">
        <v>3</v>
      </c>
      <c r="AC66">
        <v>51.6</v>
      </c>
      <c r="AD66">
        <v>1</v>
      </c>
      <c r="AE66">
        <v>0</v>
      </c>
      <c r="AF66">
        <v>1</v>
      </c>
      <c r="AG66">
        <v>3</v>
      </c>
      <c r="AH66" t="s">
        <v>261</v>
      </c>
      <c r="AI66" t="s">
        <v>273</v>
      </c>
      <c r="AJ66">
        <v>46121.669629629629</v>
      </c>
      <c r="AK66">
        <v>55915844</v>
      </c>
      <c r="AL66">
        <v>0</v>
      </c>
      <c r="AM66">
        <v>0</v>
      </c>
      <c r="AN66">
        <v>0</v>
      </c>
      <c r="AO66">
        <v>46101</v>
      </c>
      <c r="AP66">
        <v>0</v>
      </c>
      <c r="AQ66">
        <v>1</v>
      </c>
      <c r="AR66">
        <v>0</v>
      </c>
      <c r="AS66" t="s">
        <v>487</v>
      </c>
      <c r="AT66">
        <v>2</v>
      </c>
      <c r="AU66">
        <v>3244.6200000000003</v>
      </c>
    </row>
    <row r="67" spans="2:47" x14ac:dyDescent="0.2">
      <c r="B67" t="s">
        <v>559</v>
      </c>
      <c r="C67">
        <v>1</v>
      </c>
      <c r="D67" t="s">
        <v>272</v>
      </c>
      <c r="E67" t="s">
        <v>3</v>
      </c>
      <c r="F67" t="s">
        <v>484</v>
      </c>
      <c r="G67" t="s">
        <v>3</v>
      </c>
      <c r="H67">
        <v>49.43</v>
      </c>
      <c r="I67">
        <v>49.43</v>
      </c>
      <c r="J67">
        <v>0</v>
      </c>
      <c r="K67">
        <v>49.43</v>
      </c>
      <c r="L67">
        <v>0</v>
      </c>
      <c r="M67">
        <v>0</v>
      </c>
      <c r="N67">
        <v>0</v>
      </c>
      <c r="O67" t="s">
        <v>505</v>
      </c>
      <c r="P67" t="s">
        <v>3</v>
      </c>
      <c r="Q67" t="s">
        <v>506</v>
      </c>
      <c r="R67" t="s">
        <v>3</v>
      </c>
      <c r="S67" t="s">
        <v>3</v>
      </c>
      <c r="T67" t="s">
        <v>3</v>
      </c>
      <c r="U67">
        <v>0</v>
      </c>
      <c r="V67">
        <v>0</v>
      </c>
      <c r="W67">
        <v>0</v>
      </c>
      <c r="X67">
        <v>0</v>
      </c>
      <c r="Y67" t="s">
        <v>3</v>
      </c>
      <c r="Z67" t="s">
        <v>3</v>
      </c>
      <c r="AA67">
        <v>0</v>
      </c>
      <c r="AB67" t="s">
        <v>3</v>
      </c>
      <c r="AC67">
        <v>49.43</v>
      </c>
      <c r="AD67">
        <v>1</v>
      </c>
      <c r="AE67">
        <v>0</v>
      </c>
      <c r="AF67">
        <v>1</v>
      </c>
      <c r="AG67">
        <v>3</v>
      </c>
      <c r="AH67" t="s">
        <v>261</v>
      </c>
      <c r="AI67" t="s">
        <v>273</v>
      </c>
      <c r="AJ67">
        <v>46121.669629629629</v>
      </c>
      <c r="AK67">
        <v>55915844</v>
      </c>
      <c r="AL67">
        <v>0</v>
      </c>
      <c r="AM67">
        <v>0</v>
      </c>
      <c r="AN67">
        <v>0</v>
      </c>
      <c r="AO67">
        <v>46101</v>
      </c>
      <c r="AP67">
        <v>0</v>
      </c>
      <c r="AQ67">
        <v>1</v>
      </c>
      <c r="AR67">
        <v>0</v>
      </c>
      <c r="AS67" t="s">
        <v>3</v>
      </c>
      <c r="AT67">
        <v>2</v>
      </c>
      <c r="AU67">
        <v>3244.6200000000003</v>
      </c>
    </row>
    <row r="68" spans="2:47" x14ac:dyDescent="0.2">
      <c r="B68" t="s">
        <v>560</v>
      </c>
      <c r="C68">
        <v>0</v>
      </c>
      <c r="D68" t="s">
        <v>272</v>
      </c>
      <c r="E68" t="s">
        <v>3</v>
      </c>
      <c r="F68" t="s">
        <v>484</v>
      </c>
      <c r="G68" t="s">
        <v>3</v>
      </c>
      <c r="H68">
        <v>59</v>
      </c>
      <c r="I68">
        <v>59</v>
      </c>
      <c r="J68">
        <v>0</v>
      </c>
      <c r="K68">
        <v>59</v>
      </c>
      <c r="L68">
        <v>0</v>
      </c>
      <c r="M68">
        <v>0</v>
      </c>
      <c r="N68">
        <v>0</v>
      </c>
      <c r="O68" t="s">
        <v>502</v>
      </c>
      <c r="P68" t="s">
        <v>3</v>
      </c>
      <c r="Q68" t="s">
        <v>503</v>
      </c>
      <c r="R68" t="s">
        <v>3</v>
      </c>
      <c r="S68" t="s">
        <v>3</v>
      </c>
      <c r="T68" t="s">
        <v>3</v>
      </c>
      <c r="U68">
        <v>0</v>
      </c>
      <c r="V68">
        <v>0</v>
      </c>
      <c r="W68">
        <v>0</v>
      </c>
      <c r="X68">
        <v>0</v>
      </c>
      <c r="Y68" t="s">
        <v>3</v>
      </c>
      <c r="Z68" t="s">
        <v>3</v>
      </c>
      <c r="AA68">
        <v>0</v>
      </c>
      <c r="AB68" t="s">
        <v>3</v>
      </c>
      <c r="AC68">
        <v>59</v>
      </c>
      <c r="AD68">
        <v>1</v>
      </c>
      <c r="AE68">
        <v>0</v>
      </c>
      <c r="AF68">
        <v>1</v>
      </c>
      <c r="AG68">
        <v>3</v>
      </c>
      <c r="AH68" t="s">
        <v>261</v>
      </c>
      <c r="AI68" t="s">
        <v>273</v>
      </c>
      <c r="AJ68">
        <v>46121.669629629629</v>
      </c>
      <c r="AK68">
        <v>55915844</v>
      </c>
      <c r="AL68">
        <v>0</v>
      </c>
      <c r="AM68">
        <v>0</v>
      </c>
      <c r="AN68">
        <v>0</v>
      </c>
      <c r="AO68">
        <v>46101</v>
      </c>
      <c r="AP68">
        <v>0</v>
      </c>
      <c r="AQ68">
        <v>1</v>
      </c>
      <c r="AR68">
        <v>0</v>
      </c>
      <c r="AS68" t="s">
        <v>3</v>
      </c>
      <c r="AT68">
        <v>2</v>
      </c>
      <c r="AU68">
        <v>3244.6200000000003</v>
      </c>
    </row>
    <row r="69" spans="2:47" x14ac:dyDescent="0.2">
      <c r="B69" t="s">
        <v>561</v>
      </c>
      <c r="C69">
        <v>0</v>
      </c>
      <c r="D69" t="s">
        <v>282</v>
      </c>
      <c r="E69" t="s">
        <v>3</v>
      </c>
      <c r="F69" t="s">
        <v>484</v>
      </c>
      <c r="G69" t="s">
        <v>3</v>
      </c>
      <c r="H69">
        <v>200</v>
      </c>
      <c r="I69">
        <v>200</v>
      </c>
      <c r="J69">
        <v>0</v>
      </c>
      <c r="K69">
        <v>200</v>
      </c>
      <c r="L69">
        <v>0</v>
      </c>
      <c r="M69">
        <v>0</v>
      </c>
      <c r="N69">
        <v>0</v>
      </c>
      <c r="O69" t="s">
        <v>502</v>
      </c>
      <c r="P69" t="s">
        <v>3</v>
      </c>
      <c r="Q69" t="s">
        <v>503</v>
      </c>
      <c r="R69" t="s">
        <v>3</v>
      </c>
      <c r="S69" t="s">
        <v>3</v>
      </c>
      <c r="T69" t="s">
        <v>3</v>
      </c>
      <c r="U69">
        <v>0</v>
      </c>
      <c r="V69">
        <v>0</v>
      </c>
      <c r="W69">
        <v>0</v>
      </c>
      <c r="X69">
        <v>0</v>
      </c>
      <c r="Y69" t="s">
        <v>3</v>
      </c>
      <c r="Z69" t="s">
        <v>3</v>
      </c>
      <c r="AA69">
        <v>0</v>
      </c>
      <c r="AB69" t="s">
        <v>3</v>
      </c>
      <c r="AC69">
        <v>200</v>
      </c>
      <c r="AD69">
        <v>1</v>
      </c>
      <c r="AE69">
        <v>0</v>
      </c>
      <c r="AF69">
        <v>1</v>
      </c>
      <c r="AG69">
        <v>3</v>
      </c>
      <c r="AH69" t="s">
        <v>261</v>
      </c>
      <c r="AI69" t="s">
        <v>283</v>
      </c>
      <c r="AJ69">
        <v>46121.669652777775</v>
      </c>
      <c r="AK69">
        <v>55915888</v>
      </c>
      <c r="AL69">
        <v>0</v>
      </c>
      <c r="AM69">
        <v>0</v>
      </c>
      <c r="AN69">
        <v>0</v>
      </c>
      <c r="AO69">
        <v>46101</v>
      </c>
      <c r="AP69">
        <v>0</v>
      </c>
      <c r="AQ69">
        <v>1</v>
      </c>
      <c r="AR69">
        <v>0</v>
      </c>
      <c r="AS69" t="s">
        <v>487</v>
      </c>
      <c r="AT69">
        <v>1</v>
      </c>
      <c r="AU69">
        <v>56.1</v>
      </c>
    </row>
    <row r="70" spans="2:47" x14ac:dyDescent="0.2">
      <c r="B70" t="s">
        <v>562</v>
      </c>
      <c r="C70">
        <v>0</v>
      </c>
      <c r="D70" t="s">
        <v>282</v>
      </c>
      <c r="E70" t="s">
        <v>3</v>
      </c>
      <c r="F70" t="s">
        <v>484</v>
      </c>
      <c r="G70" t="s">
        <v>3</v>
      </c>
      <c r="H70">
        <v>140.38999999999999</v>
      </c>
      <c r="I70">
        <v>140.38999999999999</v>
      </c>
      <c r="J70">
        <v>0</v>
      </c>
      <c r="K70">
        <v>140.38999999999999</v>
      </c>
      <c r="L70">
        <v>0</v>
      </c>
      <c r="M70">
        <v>0</v>
      </c>
      <c r="N70">
        <v>0</v>
      </c>
      <c r="O70" t="s">
        <v>563</v>
      </c>
      <c r="P70" t="s">
        <v>3</v>
      </c>
      <c r="Q70" t="s">
        <v>564</v>
      </c>
      <c r="R70" t="s">
        <v>3</v>
      </c>
      <c r="S70" t="s">
        <v>3</v>
      </c>
      <c r="T70" t="s">
        <v>3</v>
      </c>
      <c r="U70">
        <v>0</v>
      </c>
      <c r="V70">
        <v>0</v>
      </c>
      <c r="W70">
        <v>0</v>
      </c>
      <c r="X70">
        <v>0</v>
      </c>
      <c r="Y70" t="s">
        <v>3</v>
      </c>
      <c r="Z70" t="s">
        <v>3</v>
      </c>
      <c r="AA70">
        <v>0</v>
      </c>
      <c r="AB70" t="s">
        <v>3</v>
      </c>
      <c r="AC70">
        <v>140.38999999999999</v>
      </c>
      <c r="AD70">
        <v>1</v>
      </c>
      <c r="AE70">
        <v>0</v>
      </c>
      <c r="AF70">
        <v>1</v>
      </c>
      <c r="AG70">
        <v>3</v>
      </c>
      <c r="AH70" t="s">
        <v>261</v>
      </c>
      <c r="AI70" t="s">
        <v>283</v>
      </c>
      <c r="AJ70">
        <v>46121.669652777775</v>
      </c>
      <c r="AK70">
        <v>55915888</v>
      </c>
      <c r="AL70">
        <v>0</v>
      </c>
      <c r="AM70">
        <v>0</v>
      </c>
      <c r="AN70">
        <v>0</v>
      </c>
      <c r="AO70">
        <v>46101</v>
      </c>
      <c r="AP70">
        <v>0</v>
      </c>
      <c r="AQ70">
        <v>1</v>
      </c>
      <c r="AR70">
        <v>0</v>
      </c>
      <c r="AS70" t="s">
        <v>3</v>
      </c>
      <c r="AT70">
        <v>1</v>
      </c>
      <c r="AU70">
        <v>56.1</v>
      </c>
    </row>
    <row r="71" spans="2:47" x14ac:dyDescent="0.2">
      <c r="B71" t="s">
        <v>565</v>
      </c>
      <c r="C71">
        <v>1</v>
      </c>
      <c r="D71" t="s">
        <v>282</v>
      </c>
      <c r="E71" t="s">
        <v>3</v>
      </c>
      <c r="F71" t="s">
        <v>484</v>
      </c>
      <c r="G71" t="s">
        <v>3</v>
      </c>
      <c r="H71">
        <v>128</v>
      </c>
      <c r="I71">
        <v>128</v>
      </c>
      <c r="J71">
        <v>0</v>
      </c>
      <c r="K71">
        <v>128</v>
      </c>
      <c r="L71">
        <v>0</v>
      </c>
      <c r="M71">
        <v>0</v>
      </c>
      <c r="N71">
        <v>0</v>
      </c>
      <c r="O71" t="s">
        <v>566</v>
      </c>
      <c r="P71" t="s">
        <v>3</v>
      </c>
      <c r="Q71" t="s">
        <v>567</v>
      </c>
      <c r="R71" t="s">
        <v>3</v>
      </c>
      <c r="S71" t="s">
        <v>3</v>
      </c>
      <c r="T71" t="s">
        <v>3</v>
      </c>
      <c r="U71">
        <v>0</v>
      </c>
      <c r="V71">
        <v>0</v>
      </c>
      <c r="W71">
        <v>0</v>
      </c>
      <c r="X71">
        <v>0</v>
      </c>
      <c r="Y71" t="s">
        <v>3</v>
      </c>
      <c r="Z71" t="s">
        <v>3</v>
      </c>
      <c r="AA71">
        <v>0</v>
      </c>
      <c r="AB71" t="s">
        <v>3</v>
      </c>
      <c r="AC71">
        <v>128</v>
      </c>
      <c r="AD71">
        <v>1</v>
      </c>
      <c r="AE71">
        <v>0</v>
      </c>
      <c r="AF71">
        <v>1</v>
      </c>
      <c r="AG71">
        <v>3</v>
      </c>
      <c r="AH71" t="s">
        <v>261</v>
      </c>
      <c r="AI71" t="s">
        <v>283</v>
      </c>
      <c r="AJ71">
        <v>46121.669652777775</v>
      </c>
      <c r="AK71">
        <v>55915888</v>
      </c>
      <c r="AL71">
        <v>0</v>
      </c>
      <c r="AM71">
        <v>0</v>
      </c>
      <c r="AN71">
        <v>0</v>
      </c>
      <c r="AO71">
        <v>46101</v>
      </c>
      <c r="AP71">
        <v>0</v>
      </c>
      <c r="AQ71">
        <v>1</v>
      </c>
      <c r="AR71">
        <v>0</v>
      </c>
      <c r="AS71" t="s">
        <v>3</v>
      </c>
      <c r="AT71">
        <v>1</v>
      </c>
      <c r="AU71">
        <v>56.1</v>
      </c>
    </row>
    <row r="72" spans="2:47" x14ac:dyDescent="0.2">
      <c r="B72" t="s">
        <v>568</v>
      </c>
      <c r="C72">
        <v>0</v>
      </c>
      <c r="D72" t="s">
        <v>299</v>
      </c>
      <c r="E72" t="s">
        <v>3</v>
      </c>
      <c r="F72" t="s">
        <v>484</v>
      </c>
      <c r="G72" t="s">
        <v>3</v>
      </c>
      <c r="H72">
        <v>67808</v>
      </c>
      <c r="I72">
        <v>67808</v>
      </c>
      <c r="J72">
        <v>0</v>
      </c>
      <c r="K72">
        <v>67808</v>
      </c>
      <c r="L72">
        <v>0</v>
      </c>
      <c r="M72">
        <v>0</v>
      </c>
      <c r="N72">
        <v>0</v>
      </c>
      <c r="O72" t="s">
        <v>569</v>
      </c>
      <c r="P72" t="s">
        <v>3</v>
      </c>
      <c r="Q72" t="s">
        <v>570</v>
      </c>
      <c r="R72" t="s">
        <v>3</v>
      </c>
      <c r="S72" t="s">
        <v>3</v>
      </c>
      <c r="T72" t="s">
        <v>3</v>
      </c>
      <c r="U72">
        <v>0</v>
      </c>
      <c r="V72">
        <v>0</v>
      </c>
      <c r="W72">
        <v>0</v>
      </c>
      <c r="X72">
        <v>0</v>
      </c>
      <c r="Y72" t="s">
        <v>3</v>
      </c>
      <c r="Z72" t="s">
        <v>3</v>
      </c>
      <c r="AA72">
        <v>0</v>
      </c>
      <c r="AB72" t="s">
        <v>3</v>
      </c>
      <c r="AC72">
        <v>67808</v>
      </c>
      <c r="AD72">
        <v>1</v>
      </c>
      <c r="AE72">
        <v>0</v>
      </c>
      <c r="AF72">
        <v>3</v>
      </c>
      <c r="AG72">
        <v>3</v>
      </c>
      <c r="AH72" t="s">
        <v>153</v>
      </c>
      <c r="AI72" t="s">
        <v>300</v>
      </c>
      <c r="AJ72">
        <v>46121.669675925928</v>
      </c>
      <c r="AK72">
        <v>55915962</v>
      </c>
      <c r="AL72">
        <v>0</v>
      </c>
      <c r="AM72">
        <v>0</v>
      </c>
      <c r="AN72">
        <v>0</v>
      </c>
      <c r="AO72">
        <v>46101</v>
      </c>
      <c r="AP72">
        <v>0</v>
      </c>
      <c r="AQ72">
        <v>1</v>
      </c>
      <c r="AR72">
        <v>0</v>
      </c>
      <c r="AS72" t="s">
        <v>487</v>
      </c>
      <c r="AT72">
        <v>1</v>
      </c>
      <c r="AU72">
        <v>1</v>
      </c>
    </row>
    <row r="73" spans="2:47" x14ac:dyDescent="0.2">
      <c r="B73" t="s">
        <v>571</v>
      </c>
      <c r="C73">
        <v>0</v>
      </c>
      <c r="D73" t="s">
        <v>299</v>
      </c>
      <c r="E73" t="s">
        <v>3</v>
      </c>
      <c r="F73" t="s">
        <v>484</v>
      </c>
      <c r="G73" t="s">
        <v>3</v>
      </c>
      <c r="H73">
        <v>60230</v>
      </c>
      <c r="I73">
        <v>60230</v>
      </c>
      <c r="J73">
        <v>0</v>
      </c>
      <c r="K73">
        <v>60230</v>
      </c>
      <c r="L73">
        <v>0</v>
      </c>
      <c r="M73">
        <v>0</v>
      </c>
      <c r="N73">
        <v>0</v>
      </c>
      <c r="O73" t="s">
        <v>572</v>
      </c>
      <c r="P73" t="s">
        <v>3</v>
      </c>
      <c r="Q73" t="s">
        <v>573</v>
      </c>
      <c r="R73" t="s">
        <v>3</v>
      </c>
      <c r="S73" t="s">
        <v>3</v>
      </c>
      <c r="T73" t="s">
        <v>3</v>
      </c>
      <c r="U73">
        <v>0</v>
      </c>
      <c r="V73">
        <v>0</v>
      </c>
      <c r="W73">
        <v>0</v>
      </c>
      <c r="X73">
        <v>0</v>
      </c>
      <c r="Y73" t="s">
        <v>3</v>
      </c>
      <c r="Z73" t="s">
        <v>3</v>
      </c>
      <c r="AA73">
        <v>0</v>
      </c>
      <c r="AB73" t="s">
        <v>3</v>
      </c>
      <c r="AC73">
        <v>60230</v>
      </c>
      <c r="AD73">
        <v>1</v>
      </c>
      <c r="AE73">
        <v>0</v>
      </c>
      <c r="AF73">
        <v>3</v>
      </c>
      <c r="AG73">
        <v>3</v>
      </c>
      <c r="AH73" t="s">
        <v>153</v>
      </c>
      <c r="AI73" t="s">
        <v>300</v>
      </c>
      <c r="AJ73">
        <v>46121.669675925928</v>
      </c>
      <c r="AK73">
        <v>55915962</v>
      </c>
      <c r="AL73">
        <v>0</v>
      </c>
      <c r="AM73">
        <v>0</v>
      </c>
      <c r="AN73">
        <v>0</v>
      </c>
      <c r="AO73">
        <v>46101</v>
      </c>
      <c r="AP73">
        <v>0</v>
      </c>
      <c r="AQ73">
        <v>1</v>
      </c>
      <c r="AR73">
        <v>0</v>
      </c>
      <c r="AS73" t="s">
        <v>3</v>
      </c>
      <c r="AT73">
        <v>1</v>
      </c>
      <c r="AU73">
        <v>1</v>
      </c>
    </row>
    <row r="74" spans="2:47" x14ac:dyDescent="0.2">
      <c r="B74" t="s">
        <v>574</v>
      </c>
      <c r="C74">
        <v>1</v>
      </c>
      <c r="D74" t="s">
        <v>299</v>
      </c>
      <c r="E74" t="s">
        <v>3</v>
      </c>
      <c r="F74" t="s">
        <v>484</v>
      </c>
      <c r="G74" t="s">
        <v>3</v>
      </c>
      <c r="H74">
        <v>58615</v>
      </c>
      <c r="I74">
        <v>58615</v>
      </c>
      <c r="J74">
        <v>0</v>
      </c>
      <c r="K74">
        <v>58615</v>
      </c>
      <c r="L74">
        <v>0</v>
      </c>
      <c r="M74">
        <v>0</v>
      </c>
      <c r="N74">
        <v>0</v>
      </c>
      <c r="O74" t="s">
        <v>575</v>
      </c>
      <c r="P74" t="s">
        <v>3</v>
      </c>
      <c r="Q74" t="s">
        <v>576</v>
      </c>
      <c r="R74" t="s">
        <v>3</v>
      </c>
      <c r="S74" t="s">
        <v>3</v>
      </c>
      <c r="T74" t="s">
        <v>3</v>
      </c>
      <c r="U74">
        <v>0</v>
      </c>
      <c r="V74">
        <v>0</v>
      </c>
      <c r="W74">
        <v>0</v>
      </c>
      <c r="X74">
        <v>0</v>
      </c>
      <c r="Y74" t="s">
        <v>3</v>
      </c>
      <c r="Z74" t="s">
        <v>3</v>
      </c>
      <c r="AA74">
        <v>0</v>
      </c>
      <c r="AB74" t="s">
        <v>3</v>
      </c>
      <c r="AC74">
        <v>58615</v>
      </c>
      <c r="AD74">
        <v>1</v>
      </c>
      <c r="AE74">
        <v>0</v>
      </c>
      <c r="AF74">
        <v>3</v>
      </c>
      <c r="AG74">
        <v>3</v>
      </c>
      <c r="AH74" t="s">
        <v>153</v>
      </c>
      <c r="AI74" t="s">
        <v>300</v>
      </c>
      <c r="AJ74">
        <v>46121.669675925928</v>
      </c>
      <c r="AK74">
        <v>55915962</v>
      </c>
      <c r="AL74">
        <v>0</v>
      </c>
      <c r="AM74">
        <v>0</v>
      </c>
      <c r="AN74">
        <v>0</v>
      </c>
      <c r="AO74">
        <v>46101</v>
      </c>
      <c r="AP74">
        <v>0</v>
      </c>
      <c r="AQ74">
        <v>1</v>
      </c>
      <c r="AR74">
        <v>0</v>
      </c>
      <c r="AS74" t="s">
        <v>3</v>
      </c>
      <c r="AT74">
        <v>1</v>
      </c>
      <c r="AU74">
        <v>1</v>
      </c>
    </row>
    <row r="75" spans="2:47" x14ac:dyDescent="0.2">
      <c r="B75" t="s">
        <v>577</v>
      </c>
      <c r="C75">
        <v>1</v>
      </c>
      <c r="D75" t="s">
        <v>303</v>
      </c>
      <c r="E75" t="s">
        <v>3</v>
      </c>
      <c r="F75" t="s">
        <v>484</v>
      </c>
      <c r="G75" t="s">
        <v>3</v>
      </c>
      <c r="H75">
        <v>22488.13</v>
      </c>
      <c r="I75">
        <v>22488.13</v>
      </c>
      <c r="J75">
        <v>0</v>
      </c>
      <c r="K75">
        <v>22488.13</v>
      </c>
      <c r="L75">
        <v>0</v>
      </c>
      <c r="M75">
        <v>0</v>
      </c>
      <c r="N75">
        <v>0</v>
      </c>
      <c r="O75" t="s">
        <v>578</v>
      </c>
      <c r="P75" t="s">
        <v>3</v>
      </c>
      <c r="Q75" t="s">
        <v>579</v>
      </c>
      <c r="R75" t="s">
        <v>3</v>
      </c>
      <c r="S75" t="s">
        <v>3</v>
      </c>
      <c r="T75" t="s">
        <v>3</v>
      </c>
      <c r="U75">
        <v>0</v>
      </c>
      <c r="V75">
        <v>0</v>
      </c>
      <c r="W75">
        <v>0</v>
      </c>
      <c r="X75">
        <v>0</v>
      </c>
      <c r="Y75" t="s">
        <v>3</v>
      </c>
      <c r="Z75" t="s">
        <v>3</v>
      </c>
      <c r="AA75">
        <v>0</v>
      </c>
      <c r="AB75" t="s">
        <v>3</v>
      </c>
      <c r="AC75">
        <v>22488.13</v>
      </c>
      <c r="AD75">
        <v>1</v>
      </c>
      <c r="AE75">
        <v>0</v>
      </c>
      <c r="AF75">
        <v>3</v>
      </c>
      <c r="AG75">
        <v>3</v>
      </c>
      <c r="AH75" t="s">
        <v>153</v>
      </c>
      <c r="AI75" t="s">
        <v>304</v>
      </c>
      <c r="AJ75">
        <v>46121.669722222221</v>
      </c>
      <c r="AK75">
        <v>55915971</v>
      </c>
      <c r="AL75">
        <v>0</v>
      </c>
      <c r="AM75">
        <v>0</v>
      </c>
      <c r="AN75">
        <v>0</v>
      </c>
      <c r="AO75">
        <v>46101</v>
      </c>
      <c r="AP75">
        <v>0</v>
      </c>
      <c r="AQ75">
        <v>1</v>
      </c>
      <c r="AR75">
        <v>0</v>
      </c>
      <c r="AS75" t="s">
        <v>487</v>
      </c>
      <c r="AT75">
        <v>1</v>
      </c>
      <c r="AU75">
        <v>1</v>
      </c>
    </row>
    <row r="76" spans="2:47" x14ac:dyDescent="0.2">
      <c r="B76" t="s">
        <v>580</v>
      </c>
      <c r="C76">
        <v>0</v>
      </c>
      <c r="D76" t="s">
        <v>303</v>
      </c>
      <c r="E76" t="s">
        <v>3</v>
      </c>
      <c r="F76" t="s">
        <v>484</v>
      </c>
      <c r="G76" t="s">
        <v>3</v>
      </c>
      <c r="H76">
        <v>23388</v>
      </c>
      <c r="I76">
        <v>23388</v>
      </c>
      <c r="J76">
        <v>0</v>
      </c>
      <c r="K76">
        <v>23388</v>
      </c>
      <c r="L76">
        <v>0</v>
      </c>
      <c r="M76">
        <v>0</v>
      </c>
      <c r="N76">
        <v>0</v>
      </c>
      <c r="O76" t="s">
        <v>581</v>
      </c>
      <c r="P76" t="s">
        <v>3</v>
      </c>
      <c r="Q76" t="s">
        <v>582</v>
      </c>
      <c r="R76" t="s">
        <v>3</v>
      </c>
      <c r="S76" t="s">
        <v>3</v>
      </c>
      <c r="T76" t="s">
        <v>3</v>
      </c>
      <c r="U76">
        <v>0</v>
      </c>
      <c r="V76">
        <v>0</v>
      </c>
      <c r="W76">
        <v>0</v>
      </c>
      <c r="X76">
        <v>0</v>
      </c>
      <c r="Y76" t="s">
        <v>3</v>
      </c>
      <c r="Z76" t="s">
        <v>3</v>
      </c>
      <c r="AA76">
        <v>0</v>
      </c>
      <c r="AB76" t="s">
        <v>3</v>
      </c>
      <c r="AC76">
        <v>23388</v>
      </c>
      <c r="AD76">
        <v>1</v>
      </c>
      <c r="AE76">
        <v>0</v>
      </c>
      <c r="AF76">
        <v>3</v>
      </c>
      <c r="AG76">
        <v>3</v>
      </c>
      <c r="AH76" t="s">
        <v>153</v>
      </c>
      <c r="AI76" t="s">
        <v>304</v>
      </c>
      <c r="AJ76">
        <v>46121.669722222221</v>
      </c>
      <c r="AK76">
        <v>55915971</v>
      </c>
      <c r="AL76">
        <v>0</v>
      </c>
      <c r="AM76">
        <v>0</v>
      </c>
      <c r="AN76">
        <v>0</v>
      </c>
      <c r="AO76">
        <v>46101</v>
      </c>
      <c r="AP76">
        <v>0</v>
      </c>
      <c r="AQ76">
        <v>1</v>
      </c>
      <c r="AR76">
        <v>0</v>
      </c>
      <c r="AS76" t="s">
        <v>3</v>
      </c>
      <c r="AT76">
        <v>1</v>
      </c>
      <c r="AU76">
        <v>1</v>
      </c>
    </row>
    <row r="77" spans="2:47" x14ac:dyDescent="0.2">
      <c r="B77" t="s">
        <v>583</v>
      </c>
      <c r="C77">
        <v>0</v>
      </c>
      <c r="D77" t="s">
        <v>303</v>
      </c>
      <c r="E77" t="s">
        <v>3</v>
      </c>
      <c r="F77" t="s">
        <v>484</v>
      </c>
      <c r="G77" t="s">
        <v>3</v>
      </c>
      <c r="H77">
        <v>23388</v>
      </c>
      <c r="I77">
        <v>23388</v>
      </c>
      <c r="J77">
        <v>0</v>
      </c>
      <c r="K77">
        <v>23388</v>
      </c>
      <c r="L77">
        <v>0</v>
      </c>
      <c r="M77">
        <v>0</v>
      </c>
      <c r="N77">
        <v>0</v>
      </c>
      <c r="O77" t="s">
        <v>489</v>
      </c>
      <c r="P77" t="s">
        <v>3</v>
      </c>
      <c r="Q77" t="s">
        <v>490</v>
      </c>
      <c r="R77" t="s">
        <v>3</v>
      </c>
      <c r="S77" t="s">
        <v>3</v>
      </c>
      <c r="T77" t="s">
        <v>3</v>
      </c>
      <c r="U77">
        <v>0</v>
      </c>
      <c r="V77">
        <v>0</v>
      </c>
      <c r="W77">
        <v>0</v>
      </c>
      <c r="X77">
        <v>0</v>
      </c>
      <c r="Y77" t="s">
        <v>3</v>
      </c>
      <c r="Z77" t="s">
        <v>3</v>
      </c>
      <c r="AA77">
        <v>0</v>
      </c>
      <c r="AB77" t="s">
        <v>3</v>
      </c>
      <c r="AC77">
        <v>23388</v>
      </c>
      <c r="AD77">
        <v>1</v>
      </c>
      <c r="AE77">
        <v>0</v>
      </c>
      <c r="AF77">
        <v>3</v>
      </c>
      <c r="AG77">
        <v>3</v>
      </c>
      <c r="AH77" t="s">
        <v>153</v>
      </c>
      <c r="AI77" t="s">
        <v>304</v>
      </c>
      <c r="AJ77">
        <v>46121.669722222221</v>
      </c>
      <c r="AK77">
        <v>55915971</v>
      </c>
      <c r="AL77">
        <v>0</v>
      </c>
      <c r="AM77">
        <v>0</v>
      </c>
      <c r="AN77">
        <v>0</v>
      </c>
      <c r="AO77">
        <v>46101</v>
      </c>
      <c r="AP77">
        <v>0</v>
      </c>
      <c r="AQ77">
        <v>1</v>
      </c>
      <c r="AR77">
        <v>0</v>
      </c>
      <c r="AS77" t="s">
        <v>3</v>
      </c>
      <c r="AT77">
        <v>1</v>
      </c>
      <c r="AU77">
        <v>1</v>
      </c>
    </row>
    <row r="78" spans="2:47" x14ac:dyDescent="0.2">
      <c r="B78" t="s">
        <v>584</v>
      </c>
      <c r="C78">
        <v>1</v>
      </c>
      <c r="D78" t="s">
        <v>307</v>
      </c>
      <c r="E78" t="s">
        <v>3</v>
      </c>
      <c r="F78" t="s">
        <v>484</v>
      </c>
      <c r="G78" t="s">
        <v>3</v>
      </c>
      <c r="H78">
        <v>158558</v>
      </c>
      <c r="I78">
        <v>158558</v>
      </c>
      <c r="J78">
        <v>0</v>
      </c>
      <c r="K78">
        <v>158558</v>
      </c>
      <c r="L78">
        <v>0</v>
      </c>
      <c r="M78">
        <v>0</v>
      </c>
      <c r="N78">
        <v>0</v>
      </c>
      <c r="O78" t="s">
        <v>585</v>
      </c>
      <c r="P78" t="s">
        <v>3</v>
      </c>
      <c r="Q78" t="s">
        <v>586</v>
      </c>
      <c r="R78" t="s">
        <v>3</v>
      </c>
      <c r="S78" t="s">
        <v>3</v>
      </c>
      <c r="T78" t="s">
        <v>3</v>
      </c>
      <c r="U78">
        <v>0</v>
      </c>
      <c r="V78">
        <v>0</v>
      </c>
      <c r="W78">
        <v>0</v>
      </c>
      <c r="X78">
        <v>0</v>
      </c>
      <c r="Y78" t="s">
        <v>3</v>
      </c>
      <c r="Z78" t="s">
        <v>3</v>
      </c>
      <c r="AA78">
        <v>0</v>
      </c>
      <c r="AB78" t="s">
        <v>3</v>
      </c>
      <c r="AC78">
        <v>158558</v>
      </c>
      <c r="AD78">
        <v>1</v>
      </c>
      <c r="AE78">
        <v>0</v>
      </c>
      <c r="AF78">
        <v>3</v>
      </c>
      <c r="AG78">
        <v>3</v>
      </c>
      <c r="AH78" t="s">
        <v>153</v>
      </c>
      <c r="AI78" t="s">
        <v>308</v>
      </c>
      <c r="AJ78">
        <v>46121.669756944444</v>
      </c>
      <c r="AK78">
        <v>55915979</v>
      </c>
      <c r="AL78">
        <v>0</v>
      </c>
      <c r="AM78">
        <v>0</v>
      </c>
      <c r="AN78">
        <v>0</v>
      </c>
      <c r="AO78">
        <v>46101</v>
      </c>
      <c r="AP78">
        <v>0</v>
      </c>
      <c r="AQ78">
        <v>1</v>
      </c>
      <c r="AR78">
        <v>0</v>
      </c>
      <c r="AS78" t="s">
        <v>487</v>
      </c>
      <c r="AT78">
        <v>1</v>
      </c>
      <c r="AU78">
        <v>1</v>
      </c>
    </row>
    <row r="79" spans="2:47" x14ac:dyDescent="0.2">
      <c r="B79" t="s">
        <v>587</v>
      </c>
      <c r="C79">
        <v>0</v>
      </c>
      <c r="D79" t="s">
        <v>307</v>
      </c>
      <c r="E79" t="s">
        <v>3</v>
      </c>
      <c r="F79" t="s">
        <v>484</v>
      </c>
      <c r="G79" t="s">
        <v>3</v>
      </c>
      <c r="H79">
        <v>158558</v>
      </c>
      <c r="I79">
        <v>158558</v>
      </c>
      <c r="J79">
        <v>0</v>
      </c>
      <c r="K79">
        <v>158558</v>
      </c>
      <c r="L79">
        <v>0</v>
      </c>
      <c r="M79">
        <v>0</v>
      </c>
      <c r="N79">
        <v>0</v>
      </c>
      <c r="O79" t="s">
        <v>588</v>
      </c>
      <c r="P79" t="s">
        <v>3</v>
      </c>
      <c r="Q79" t="s">
        <v>589</v>
      </c>
      <c r="R79" t="s">
        <v>3</v>
      </c>
      <c r="S79" t="s">
        <v>3</v>
      </c>
      <c r="T79" t="s">
        <v>3</v>
      </c>
      <c r="U79">
        <v>0</v>
      </c>
      <c r="V79">
        <v>0</v>
      </c>
      <c r="W79">
        <v>0</v>
      </c>
      <c r="X79">
        <v>0</v>
      </c>
      <c r="Y79" t="s">
        <v>3</v>
      </c>
      <c r="Z79" t="s">
        <v>3</v>
      </c>
      <c r="AA79">
        <v>0</v>
      </c>
      <c r="AB79" t="s">
        <v>3</v>
      </c>
      <c r="AC79">
        <v>158558</v>
      </c>
      <c r="AD79">
        <v>1</v>
      </c>
      <c r="AE79">
        <v>0</v>
      </c>
      <c r="AF79">
        <v>3</v>
      </c>
      <c r="AG79">
        <v>3</v>
      </c>
      <c r="AH79" t="s">
        <v>153</v>
      </c>
      <c r="AI79" t="s">
        <v>308</v>
      </c>
      <c r="AJ79">
        <v>46121.669756944444</v>
      </c>
      <c r="AK79">
        <v>55915979</v>
      </c>
      <c r="AL79">
        <v>0</v>
      </c>
      <c r="AM79">
        <v>0</v>
      </c>
      <c r="AN79">
        <v>0</v>
      </c>
      <c r="AO79">
        <v>46101</v>
      </c>
      <c r="AP79">
        <v>0</v>
      </c>
      <c r="AQ79">
        <v>1</v>
      </c>
      <c r="AR79">
        <v>0</v>
      </c>
      <c r="AS79" t="s">
        <v>3</v>
      </c>
      <c r="AT79">
        <v>1</v>
      </c>
      <c r="AU79">
        <v>1</v>
      </c>
    </row>
    <row r="80" spans="2:47" x14ac:dyDescent="0.2">
      <c r="B80" t="s">
        <v>590</v>
      </c>
      <c r="C80">
        <v>0</v>
      </c>
      <c r="D80" t="s">
        <v>307</v>
      </c>
      <c r="E80" t="s">
        <v>3</v>
      </c>
      <c r="F80" t="s">
        <v>484</v>
      </c>
      <c r="G80" t="s">
        <v>3</v>
      </c>
      <c r="H80">
        <v>158558</v>
      </c>
      <c r="I80">
        <v>158558</v>
      </c>
      <c r="J80">
        <v>0</v>
      </c>
      <c r="K80">
        <v>158558</v>
      </c>
      <c r="L80">
        <v>0</v>
      </c>
      <c r="M80">
        <v>0</v>
      </c>
      <c r="N80">
        <v>0</v>
      </c>
      <c r="O80" t="s">
        <v>505</v>
      </c>
      <c r="P80" t="s">
        <v>3</v>
      </c>
      <c r="Q80" t="s">
        <v>506</v>
      </c>
      <c r="R80" t="s">
        <v>3</v>
      </c>
      <c r="S80" t="s">
        <v>3</v>
      </c>
      <c r="T80" t="s">
        <v>3</v>
      </c>
      <c r="U80">
        <v>0</v>
      </c>
      <c r="V80">
        <v>0</v>
      </c>
      <c r="W80">
        <v>0</v>
      </c>
      <c r="X80">
        <v>0</v>
      </c>
      <c r="Y80" t="s">
        <v>3</v>
      </c>
      <c r="Z80" t="s">
        <v>3</v>
      </c>
      <c r="AA80">
        <v>0</v>
      </c>
      <c r="AB80" t="s">
        <v>3</v>
      </c>
      <c r="AC80">
        <v>158558</v>
      </c>
      <c r="AD80">
        <v>1</v>
      </c>
      <c r="AE80">
        <v>0</v>
      </c>
      <c r="AF80">
        <v>3</v>
      </c>
      <c r="AG80">
        <v>3</v>
      </c>
      <c r="AH80" t="s">
        <v>153</v>
      </c>
      <c r="AI80" t="s">
        <v>308</v>
      </c>
      <c r="AJ80">
        <v>46121.669756944444</v>
      </c>
      <c r="AK80">
        <v>55915979</v>
      </c>
      <c r="AL80">
        <v>0</v>
      </c>
      <c r="AM80">
        <v>0</v>
      </c>
      <c r="AN80">
        <v>0</v>
      </c>
      <c r="AO80">
        <v>46101</v>
      </c>
      <c r="AP80">
        <v>0</v>
      </c>
      <c r="AQ80">
        <v>1</v>
      </c>
      <c r="AR80">
        <v>0</v>
      </c>
      <c r="AS80" t="s">
        <v>3</v>
      </c>
      <c r="AT80">
        <v>1</v>
      </c>
      <c r="AU80">
        <v>1</v>
      </c>
    </row>
    <row r="81" spans="2:47" x14ac:dyDescent="0.2">
      <c r="B81" t="s">
        <v>591</v>
      </c>
      <c r="C81">
        <v>1</v>
      </c>
      <c r="D81" t="s">
        <v>314</v>
      </c>
      <c r="E81" t="s">
        <v>3</v>
      </c>
      <c r="F81" t="s">
        <v>484</v>
      </c>
      <c r="G81" t="s">
        <v>3</v>
      </c>
      <c r="H81">
        <v>133</v>
      </c>
      <c r="I81">
        <v>133</v>
      </c>
      <c r="J81">
        <v>0</v>
      </c>
      <c r="K81">
        <v>133</v>
      </c>
      <c r="L81">
        <v>0</v>
      </c>
      <c r="M81">
        <v>0</v>
      </c>
      <c r="N81">
        <v>0</v>
      </c>
      <c r="O81" t="s">
        <v>581</v>
      </c>
      <c r="P81" t="s">
        <v>3</v>
      </c>
      <c r="Q81" t="s">
        <v>582</v>
      </c>
      <c r="R81" t="s">
        <v>3</v>
      </c>
      <c r="S81" t="s">
        <v>3</v>
      </c>
      <c r="T81" t="s">
        <v>3</v>
      </c>
      <c r="U81">
        <v>0</v>
      </c>
      <c r="V81">
        <v>0</v>
      </c>
      <c r="W81">
        <v>0</v>
      </c>
      <c r="X81">
        <v>0</v>
      </c>
      <c r="Y81" t="s">
        <v>3</v>
      </c>
      <c r="Z81" t="s">
        <v>3</v>
      </c>
      <c r="AA81">
        <v>0</v>
      </c>
      <c r="AB81" t="s">
        <v>3</v>
      </c>
      <c r="AC81">
        <v>133</v>
      </c>
      <c r="AD81">
        <v>1</v>
      </c>
      <c r="AE81">
        <v>0</v>
      </c>
      <c r="AF81">
        <v>1</v>
      </c>
      <c r="AG81">
        <v>3</v>
      </c>
      <c r="AH81" t="s">
        <v>153</v>
      </c>
      <c r="AI81" t="s">
        <v>315</v>
      </c>
      <c r="AJ81">
        <v>46121.66978009259</v>
      </c>
      <c r="AK81">
        <v>55916046</v>
      </c>
      <c r="AL81">
        <v>0</v>
      </c>
      <c r="AM81">
        <v>0</v>
      </c>
      <c r="AN81">
        <v>0</v>
      </c>
      <c r="AO81">
        <v>46101</v>
      </c>
      <c r="AP81">
        <v>0</v>
      </c>
      <c r="AQ81">
        <v>1</v>
      </c>
      <c r="AR81">
        <v>0</v>
      </c>
      <c r="AS81" t="s">
        <v>487</v>
      </c>
      <c r="AT81">
        <v>1</v>
      </c>
      <c r="AU81">
        <v>42</v>
      </c>
    </row>
    <row r="82" spans="2:47" x14ac:dyDescent="0.2">
      <c r="B82" t="s">
        <v>592</v>
      </c>
      <c r="C82">
        <v>0</v>
      </c>
      <c r="D82" t="s">
        <v>314</v>
      </c>
      <c r="E82" t="s">
        <v>3</v>
      </c>
      <c r="F82" t="s">
        <v>484</v>
      </c>
      <c r="G82" t="s">
        <v>3</v>
      </c>
      <c r="H82">
        <v>133</v>
      </c>
      <c r="I82">
        <v>133</v>
      </c>
      <c r="J82">
        <v>0</v>
      </c>
      <c r="K82">
        <v>133</v>
      </c>
      <c r="L82">
        <v>0</v>
      </c>
      <c r="M82">
        <v>0</v>
      </c>
      <c r="N82">
        <v>0</v>
      </c>
      <c r="O82" t="s">
        <v>505</v>
      </c>
      <c r="P82" t="s">
        <v>3</v>
      </c>
      <c r="Q82" t="s">
        <v>506</v>
      </c>
      <c r="R82" t="s">
        <v>3</v>
      </c>
      <c r="S82" t="s">
        <v>3</v>
      </c>
      <c r="T82" t="s">
        <v>3</v>
      </c>
      <c r="U82">
        <v>0</v>
      </c>
      <c r="V82">
        <v>0</v>
      </c>
      <c r="W82">
        <v>0</v>
      </c>
      <c r="X82">
        <v>0</v>
      </c>
      <c r="Y82" t="s">
        <v>3</v>
      </c>
      <c r="Z82" t="s">
        <v>3</v>
      </c>
      <c r="AA82">
        <v>0</v>
      </c>
      <c r="AB82" t="s">
        <v>3</v>
      </c>
      <c r="AC82">
        <v>133</v>
      </c>
      <c r="AD82">
        <v>1</v>
      </c>
      <c r="AE82">
        <v>0</v>
      </c>
      <c r="AF82">
        <v>1</v>
      </c>
      <c r="AG82">
        <v>3</v>
      </c>
      <c r="AH82" t="s">
        <v>153</v>
      </c>
      <c r="AI82" t="s">
        <v>315</v>
      </c>
      <c r="AJ82">
        <v>46121.66978009259</v>
      </c>
      <c r="AK82">
        <v>55916046</v>
      </c>
      <c r="AL82">
        <v>0</v>
      </c>
      <c r="AM82">
        <v>0</v>
      </c>
      <c r="AN82">
        <v>0</v>
      </c>
      <c r="AO82">
        <v>46101</v>
      </c>
      <c r="AP82">
        <v>0</v>
      </c>
      <c r="AQ82">
        <v>1</v>
      </c>
      <c r="AR82">
        <v>0</v>
      </c>
      <c r="AS82" t="s">
        <v>3</v>
      </c>
      <c r="AT82">
        <v>1</v>
      </c>
      <c r="AU82">
        <v>42</v>
      </c>
    </row>
    <row r="83" spans="2:47" x14ac:dyDescent="0.2">
      <c r="B83" t="s">
        <v>593</v>
      </c>
      <c r="C83">
        <v>0</v>
      </c>
      <c r="D83" t="s">
        <v>314</v>
      </c>
      <c r="E83" t="s">
        <v>3</v>
      </c>
      <c r="F83" t="s">
        <v>484</v>
      </c>
      <c r="G83" t="s">
        <v>3</v>
      </c>
      <c r="H83">
        <v>133</v>
      </c>
      <c r="I83">
        <v>133</v>
      </c>
      <c r="J83">
        <v>0</v>
      </c>
      <c r="K83">
        <v>133</v>
      </c>
      <c r="L83">
        <v>0</v>
      </c>
      <c r="M83">
        <v>0</v>
      </c>
      <c r="N83">
        <v>0</v>
      </c>
      <c r="O83" t="s">
        <v>489</v>
      </c>
      <c r="P83" t="s">
        <v>3</v>
      </c>
      <c r="Q83" t="s">
        <v>490</v>
      </c>
      <c r="R83" t="s">
        <v>3</v>
      </c>
      <c r="S83" t="s">
        <v>3</v>
      </c>
      <c r="T83" t="s">
        <v>3</v>
      </c>
      <c r="U83">
        <v>0</v>
      </c>
      <c r="V83">
        <v>0</v>
      </c>
      <c r="W83">
        <v>0</v>
      </c>
      <c r="X83">
        <v>0</v>
      </c>
      <c r="Y83" t="s">
        <v>3</v>
      </c>
      <c r="Z83" t="s">
        <v>3</v>
      </c>
      <c r="AA83">
        <v>0</v>
      </c>
      <c r="AB83" t="s">
        <v>3</v>
      </c>
      <c r="AC83">
        <v>133</v>
      </c>
      <c r="AD83">
        <v>1</v>
      </c>
      <c r="AE83">
        <v>0</v>
      </c>
      <c r="AF83">
        <v>1</v>
      </c>
      <c r="AG83">
        <v>3</v>
      </c>
      <c r="AH83" t="s">
        <v>153</v>
      </c>
      <c r="AI83" t="s">
        <v>315</v>
      </c>
      <c r="AJ83">
        <v>46121.66978009259</v>
      </c>
      <c r="AK83">
        <v>55916046</v>
      </c>
      <c r="AL83">
        <v>0</v>
      </c>
      <c r="AM83">
        <v>0</v>
      </c>
      <c r="AN83">
        <v>0</v>
      </c>
      <c r="AO83">
        <v>46101</v>
      </c>
      <c r="AP83">
        <v>0</v>
      </c>
      <c r="AQ83">
        <v>1</v>
      </c>
      <c r="AR83">
        <v>0</v>
      </c>
      <c r="AS83" t="s">
        <v>3</v>
      </c>
      <c r="AT83">
        <v>1</v>
      </c>
      <c r="AU83">
        <v>42</v>
      </c>
    </row>
    <row r="84" spans="2:47" x14ac:dyDescent="0.2">
      <c r="B84" t="s">
        <v>594</v>
      </c>
      <c r="C84">
        <v>0</v>
      </c>
      <c r="D84" t="s">
        <v>330</v>
      </c>
      <c r="E84" t="s">
        <v>3</v>
      </c>
      <c r="F84" t="s">
        <v>484</v>
      </c>
      <c r="G84" t="s">
        <v>3</v>
      </c>
      <c r="H84">
        <v>3668.54</v>
      </c>
      <c r="I84">
        <v>3668.54</v>
      </c>
      <c r="J84">
        <v>0</v>
      </c>
      <c r="K84">
        <v>3668.54</v>
      </c>
      <c r="L84">
        <v>0</v>
      </c>
      <c r="M84">
        <v>0</v>
      </c>
      <c r="N84">
        <v>0</v>
      </c>
      <c r="O84" t="s">
        <v>505</v>
      </c>
      <c r="P84" t="s">
        <v>3</v>
      </c>
      <c r="Q84" t="s">
        <v>506</v>
      </c>
      <c r="R84" t="s">
        <v>3</v>
      </c>
      <c r="S84" t="s">
        <v>3</v>
      </c>
      <c r="T84" t="s">
        <v>3</v>
      </c>
      <c r="U84">
        <v>0</v>
      </c>
      <c r="V84">
        <v>0</v>
      </c>
      <c r="W84">
        <v>0</v>
      </c>
      <c r="X84">
        <v>0</v>
      </c>
      <c r="Y84" t="s">
        <v>3</v>
      </c>
      <c r="Z84" t="s">
        <v>3</v>
      </c>
      <c r="AA84">
        <v>0</v>
      </c>
      <c r="AB84" t="s">
        <v>3</v>
      </c>
      <c r="AC84">
        <v>3668.54</v>
      </c>
      <c r="AD84">
        <v>1</v>
      </c>
      <c r="AE84">
        <v>0</v>
      </c>
      <c r="AF84">
        <v>1</v>
      </c>
      <c r="AG84">
        <v>3</v>
      </c>
      <c r="AH84" t="s">
        <v>153</v>
      </c>
      <c r="AI84" t="s">
        <v>331</v>
      </c>
      <c r="AJ84">
        <v>46121.669803240744</v>
      </c>
      <c r="AK84">
        <v>55916058</v>
      </c>
      <c r="AL84">
        <v>0</v>
      </c>
      <c r="AM84">
        <v>0</v>
      </c>
      <c r="AN84">
        <v>0</v>
      </c>
      <c r="AO84">
        <v>46101</v>
      </c>
      <c r="AP84">
        <v>0</v>
      </c>
      <c r="AQ84">
        <v>1</v>
      </c>
      <c r="AR84">
        <v>0</v>
      </c>
      <c r="AS84" t="s">
        <v>487</v>
      </c>
      <c r="AT84">
        <v>1</v>
      </c>
      <c r="AU84">
        <v>3</v>
      </c>
    </row>
    <row r="85" spans="2:47" x14ac:dyDescent="0.2">
      <c r="B85" t="s">
        <v>595</v>
      </c>
      <c r="C85">
        <v>0</v>
      </c>
      <c r="D85" t="s">
        <v>330</v>
      </c>
      <c r="E85" t="s">
        <v>3</v>
      </c>
      <c r="F85" t="s">
        <v>484</v>
      </c>
      <c r="G85" t="s">
        <v>3</v>
      </c>
      <c r="H85">
        <v>2940</v>
      </c>
      <c r="I85">
        <v>2940</v>
      </c>
      <c r="J85">
        <v>0</v>
      </c>
      <c r="K85">
        <v>2940</v>
      </c>
      <c r="L85">
        <v>0</v>
      </c>
      <c r="M85">
        <v>0</v>
      </c>
      <c r="N85">
        <v>0</v>
      </c>
      <c r="O85" t="s">
        <v>502</v>
      </c>
      <c r="P85" t="s">
        <v>3</v>
      </c>
      <c r="Q85" t="s">
        <v>503</v>
      </c>
      <c r="R85" t="s">
        <v>3</v>
      </c>
      <c r="S85" t="s">
        <v>3</v>
      </c>
      <c r="T85" t="s">
        <v>3</v>
      </c>
      <c r="U85">
        <v>0</v>
      </c>
      <c r="V85">
        <v>0</v>
      </c>
      <c r="W85">
        <v>0</v>
      </c>
      <c r="X85">
        <v>0</v>
      </c>
      <c r="Y85" t="s">
        <v>3</v>
      </c>
      <c r="Z85" t="s">
        <v>3</v>
      </c>
      <c r="AA85">
        <v>0</v>
      </c>
      <c r="AB85" t="s">
        <v>3</v>
      </c>
      <c r="AC85">
        <v>2940</v>
      </c>
      <c r="AD85">
        <v>1</v>
      </c>
      <c r="AE85">
        <v>0</v>
      </c>
      <c r="AF85">
        <v>1</v>
      </c>
      <c r="AG85">
        <v>3</v>
      </c>
      <c r="AH85" t="s">
        <v>153</v>
      </c>
      <c r="AI85" t="s">
        <v>331</v>
      </c>
      <c r="AJ85">
        <v>46121.669803240744</v>
      </c>
      <c r="AK85">
        <v>55916058</v>
      </c>
      <c r="AL85">
        <v>0</v>
      </c>
      <c r="AM85">
        <v>0</v>
      </c>
      <c r="AN85">
        <v>0</v>
      </c>
      <c r="AO85">
        <v>46101</v>
      </c>
      <c r="AP85">
        <v>0</v>
      </c>
      <c r="AQ85">
        <v>1</v>
      </c>
      <c r="AR85">
        <v>0</v>
      </c>
      <c r="AS85" t="s">
        <v>3</v>
      </c>
      <c r="AT85">
        <v>1</v>
      </c>
      <c r="AU85">
        <v>3</v>
      </c>
    </row>
    <row r="86" spans="2:47" x14ac:dyDescent="0.2">
      <c r="B86" t="s">
        <v>596</v>
      </c>
      <c r="C86">
        <v>1</v>
      </c>
      <c r="D86" t="s">
        <v>330</v>
      </c>
      <c r="E86" t="s">
        <v>3</v>
      </c>
      <c r="F86" t="s">
        <v>484</v>
      </c>
      <c r="G86" t="s">
        <v>3</v>
      </c>
      <c r="H86">
        <v>2934.83</v>
      </c>
      <c r="I86">
        <v>2934.83</v>
      </c>
      <c r="J86">
        <v>0</v>
      </c>
      <c r="K86">
        <v>2934.83</v>
      </c>
      <c r="L86">
        <v>0</v>
      </c>
      <c r="M86">
        <v>0</v>
      </c>
      <c r="N86">
        <v>0</v>
      </c>
      <c r="O86" t="s">
        <v>517</v>
      </c>
      <c r="P86" t="s">
        <v>3</v>
      </c>
      <c r="Q86" t="s">
        <v>518</v>
      </c>
      <c r="R86" t="s">
        <v>3</v>
      </c>
      <c r="S86" t="s">
        <v>3</v>
      </c>
      <c r="T86" t="s">
        <v>3</v>
      </c>
      <c r="U86">
        <v>0</v>
      </c>
      <c r="V86">
        <v>0</v>
      </c>
      <c r="W86">
        <v>0</v>
      </c>
      <c r="X86">
        <v>0</v>
      </c>
      <c r="Y86" t="s">
        <v>3</v>
      </c>
      <c r="Z86" t="s">
        <v>3</v>
      </c>
      <c r="AA86">
        <v>0</v>
      </c>
      <c r="AB86" t="s">
        <v>3</v>
      </c>
      <c r="AC86">
        <v>2934.83</v>
      </c>
      <c r="AD86">
        <v>1</v>
      </c>
      <c r="AE86">
        <v>0</v>
      </c>
      <c r="AF86">
        <v>1</v>
      </c>
      <c r="AG86">
        <v>3</v>
      </c>
      <c r="AH86" t="s">
        <v>153</v>
      </c>
      <c r="AI86" t="s">
        <v>331</v>
      </c>
      <c r="AJ86">
        <v>46121.669803240744</v>
      </c>
      <c r="AK86">
        <v>55916058</v>
      </c>
      <c r="AL86">
        <v>0</v>
      </c>
      <c r="AM86">
        <v>0</v>
      </c>
      <c r="AN86">
        <v>0</v>
      </c>
      <c r="AO86">
        <v>46101</v>
      </c>
      <c r="AP86">
        <v>0</v>
      </c>
      <c r="AQ86">
        <v>1</v>
      </c>
      <c r="AR86">
        <v>0</v>
      </c>
      <c r="AS86" t="s">
        <v>3</v>
      </c>
      <c r="AT86">
        <v>1</v>
      </c>
      <c r="AU86">
        <v>3</v>
      </c>
    </row>
    <row r="87" spans="2:47" x14ac:dyDescent="0.2">
      <c r="B87" t="s">
        <v>597</v>
      </c>
      <c r="C87">
        <v>1</v>
      </c>
      <c r="D87" t="s">
        <v>342</v>
      </c>
      <c r="E87" t="s">
        <v>3</v>
      </c>
      <c r="F87" t="s">
        <v>484</v>
      </c>
      <c r="G87" t="s">
        <v>3</v>
      </c>
      <c r="H87">
        <v>632.88</v>
      </c>
      <c r="I87">
        <v>632.88</v>
      </c>
      <c r="J87">
        <v>0</v>
      </c>
      <c r="K87">
        <v>632.88</v>
      </c>
      <c r="L87">
        <v>0</v>
      </c>
      <c r="M87">
        <v>0</v>
      </c>
      <c r="N87">
        <v>0</v>
      </c>
      <c r="O87" t="s">
        <v>598</v>
      </c>
      <c r="P87" t="s">
        <v>3</v>
      </c>
      <c r="Q87" t="s">
        <v>599</v>
      </c>
      <c r="R87" t="s">
        <v>3</v>
      </c>
      <c r="S87" t="s">
        <v>3</v>
      </c>
      <c r="T87" t="s">
        <v>3</v>
      </c>
      <c r="U87">
        <v>0</v>
      </c>
      <c r="V87">
        <v>0</v>
      </c>
      <c r="W87">
        <v>0</v>
      </c>
      <c r="X87">
        <v>0</v>
      </c>
      <c r="Y87" t="s">
        <v>3</v>
      </c>
      <c r="Z87" t="s">
        <v>3</v>
      </c>
      <c r="AA87">
        <v>0</v>
      </c>
      <c r="AB87" t="s">
        <v>3</v>
      </c>
      <c r="AC87">
        <v>632.88</v>
      </c>
      <c r="AD87">
        <v>1</v>
      </c>
      <c r="AE87">
        <v>0</v>
      </c>
      <c r="AF87">
        <v>3</v>
      </c>
      <c r="AG87">
        <v>3</v>
      </c>
      <c r="AH87" t="s">
        <v>153</v>
      </c>
      <c r="AI87" t="s">
        <v>343</v>
      </c>
      <c r="AJ87">
        <v>46121.66982638889</v>
      </c>
      <c r="AK87">
        <v>55916132</v>
      </c>
      <c r="AL87">
        <v>0</v>
      </c>
      <c r="AM87">
        <v>0</v>
      </c>
      <c r="AN87">
        <v>0</v>
      </c>
      <c r="AO87">
        <v>46101</v>
      </c>
      <c r="AP87">
        <v>0</v>
      </c>
      <c r="AQ87">
        <v>1</v>
      </c>
      <c r="AR87">
        <v>0</v>
      </c>
      <c r="AS87" t="s">
        <v>487</v>
      </c>
      <c r="AT87">
        <v>1</v>
      </c>
      <c r="AU87">
        <v>15</v>
      </c>
    </row>
    <row r="88" spans="2:47" x14ac:dyDescent="0.2">
      <c r="B88" t="s">
        <v>600</v>
      </c>
      <c r="C88">
        <v>0</v>
      </c>
      <c r="D88" t="s">
        <v>342</v>
      </c>
      <c r="E88" t="s">
        <v>3</v>
      </c>
      <c r="F88" t="s">
        <v>484</v>
      </c>
      <c r="G88" t="s">
        <v>3</v>
      </c>
      <c r="H88">
        <v>681.37</v>
      </c>
      <c r="I88">
        <v>681.37</v>
      </c>
      <c r="J88">
        <v>0</v>
      </c>
      <c r="K88">
        <v>681.37</v>
      </c>
      <c r="L88">
        <v>0</v>
      </c>
      <c r="M88">
        <v>0</v>
      </c>
      <c r="N88">
        <v>0</v>
      </c>
      <c r="O88" t="s">
        <v>601</v>
      </c>
      <c r="P88" t="s">
        <v>3</v>
      </c>
      <c r="Q88" t="s">
        <v>602</v>
      </c>
      <c r="R88" t="s">
        <v>3</v>
      </c>
      <c r="S88" t="s">
        <v>3</v>
      </c>
      <c r="T88" t="s">
        <v>3</v>
      </c>
      <c r="U88">
        <v>0</v>
      </c>
      <c r="V88">
        <v>0</v>
      </c>
      <c r="W88">
        <v>0</v>
      </c>
      <c r="X88">
        <v>0</v>
      </c>
      <c r="Y88" t="s">
        <v>3</v>
      </c>
      <c r="Z88" t="s">
        <v>3</v>
      </c>
      <c r="AA88">
        <v>0</v>
      </c>
      <c r="AB88" t="s">
        <v>3</v>
      </c>
      <c r="AC88">
        <v>681.37</v>
      </c>
      <c r="AD88">
        <v>1</v>
      </c>
      <c r="AE88">
        <v>0</v>
      </c>
      <c r="AF88">
        <v>3</v>
      </c>
      <c r="AG88">
        <v>3</v>
      </c>
      <c r="AH88" t="s">
        <v>153</v>
      </c>
      <c r="AI88" t="s">
        <v>343</v>
      </c>
      <c r="AJ88">
        <v>46121.66982638889</v>
      </c>
      <c r="AK88">
        <v>55916132</v>
      </c>
      <c r="AL88">
        <v>0</v>
      </c>
      <c r="AM88">
        <v>0</v>
      </c>
      <c r="AN88">
        <v>0</v>
      </c>
      <c r="AO88">
        <v>46101</v>
      </c>
      <c r="AP88">
        <v>0</v>
      </c>
      <c r="AQ88">
        <v>1</v>
      </c>
      <c r="AR88">
        <v>0</v>
      </c>
      <c r="AS88" t="s">
        <v>3</v>
      </c>
      <c r="AT88">
        <v>1</v>
      </c>
      <c r="AU88">
        <v>15</v>
      </c>
    </row>
    <row r="89" spans="2:47" x14ac:dyDescent="0.2">
      <c r="B89" t="s">
        <v>603</v>
      </c>
      <c r="C89">
        <v>0</v>
      </c>
      <c r="D89" t="s">
        <v>342</v>
      </c>
      <c r="E89" t="s">
        <v>3</v>
      </c>
      <c r="F89" t="s">
        <v>484</v>
      </c>
      <c r="G89" t="s">
        <v>3</v>
      </c>
      <c r="H89">
        <v>647</v>
      </c>
      <c r="I89">
        <v>647</v>
      </c>
      <c r="J89">
        <v>0</v>
      </c>
      <c r="K89">
        <v>647</v>
      </c>
      <c r="L89">
        <v>0</v>
      </c>
      <c r="M89">
        <v>0</v>
      </c>
      <c r="N89">
        <v>0</v>
      </c>
      <c r="O89" t="s">
        <v>497</v>
      </c>
      <c r="P89" t="s">
        <v>3</v>
      </c>
      <c r="Q89" t="s">
        <v>493</v>
      </c>
      <c r="R89" t="s">
        <v>3</v>
      </c>
      <c r="S89" t="s">
        <v>3</v>
      </c>
      <c r="T89" t="s">
        <v>3</v>
      </c>
      <c r="U89">
        <v>0</v>
      </c>
      <c r="V89">
        <v>0</v>
      </c>
      <c r="W89">
        <v>0</v>
      </c>
      <c r="X89">
        <v>0</v>
      </c>
      <c r="Y89" t="s">
        <v>3</v>
      </c>
      <c r="Z89" t="s">
        <v>3</v>
      </c>
      <c r="AA89">
        <v>0</v>
      </c>
      <c r="AB89" t="s">
        <v>3</v>
      </c>
      <c r="AC89">
        <v>647</v>
      </c>
      <c r="AD89">
        <v>1</v>
      </c>
      <c r="AE89">
        <v>0</v>
      </c>
      <c r="AF89">
        <v>3</v>
      </c>
      <c r="AG89">
        <v>3</v>
      </c>
      <c r="AH89" t="s">
        <v>153</v>
      </c>
      <c r="AI89" t="s">
        <v>343</v>
      </c>
      <c r="AJ89">
        <v>46121.66982638889</v>
      </c>
      <c r="AK89">
        <v>55916132</v>
      </c>
      <c r="AL89">
        <v>0</v>
      </c>
      <c r="AM89">
        <v>0</v>
      </c>
      <c r="AN89">
        <v>0</v>
      </c>
      <c r="AO89">
        <v>46101</v>
      </c>
      <c r="AP89">
        <v>0</v>
      </c>
      <c r="AQ89">
        <v>1</v>
      </c>
      <c r="AR89">
        <v>0</v>
      </c>
      <c r="AS89" t="s">
        <v>3</v>
      </c>
      <c r="AT89">
        <v>1</v>
      </c>
      <c r="AU89">
        <v>15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Борисова Людмила Александровна</cp:lastModifiedBy>
  <dcterms:created xsi:type="dcterms:W3CDTF">2026-05-07T10:47:55Z</dcterms:created>
  <dcterms:modified xsi:type="dcterms:W3CDTF">2026-07-02T16:36:47Z</dcterms:modified>
</cp:coreProperties>
</file>